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ashboard Working\P.O.PRF,PI ETC\"/>
    </mc:Choice>
  </mc:AlternateContent>
  <xr:revisionPtr revIDLastSave="0" documentId="13_ncr:1_{EAF8D4DA-EDCC-49DF-B95B-2AB45AB1F149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ta" sheetId="1" r:id="rId1"/>
    <sheet name="Sheet1" sheetId="9" r:id="rId2"/>
    <sheet name="Information" sheetId="8" r:id="rId3"/>
    <sheet name="Units" sheetId="6" r:id="rId4"/>
    <sheet name="PRF Location" sheetId="4" r:id="rId5"/>
    <sheet name="Company" sheetId="3" r:id="rId6"/>
    <sheet name="item master" sheetId="2" r:id="rId7"/>
    <sheet name="Supplier list" sheetId="5" r:id="rId8"/>
  </sheets>
  <externalReferences>
    <externalReference r:id="rId9"/>
  </externalReferences>
  <definedNames>
    <definedName name="_xlnm._FilterDatabase" localSheetId="0" hidden="1">Data!$A$1:$BT$280</definedName>
    <definedName name="_xlnm._FilterDatabase" localSheetId="6" hidden="1">'item master'!$A$1:$M$9389</definedName>
    <definedName name="_xlnm._FilterDatabase" localSheetId="7" hidden="1">'Supplier list'!$A$1:$C$102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5" l="1"/>
  <c r="H55" i="5"/>
  <c r="H103" i="5"/>
  <c r="AO280" i="1"/>
  <c r="AO279" i="1"/>
  <c r="AO278" i="1"/>
  <c r="AS278" i="1" s="1"/>
  <c r="AO277" i="1"/>
  <c r="AO276" i="1"/>
  <c r="AS276" i="1" s="1"/>
  <c r="AO275" i="1"/>
  <c r="AS275" i="1" s="1"/>
  <c r="AO274" i="1"/>
  <c r="AO273" i="1"/>
  <c r="AO272" i="1"/>
  <c r="AJ280" i="1"/>
  <c r="AJ279" i="1"/>
  <c r="AJ277" i="1"/>
  <c r="AJ274" i="1"/>
  <c r="G273" i="1"/>
  <c r="H273" i="1"/>
  <c r="AJ273" i="1"/>
  <c r="AJ272" i="1"/>
  <c r="Y280" i="1"/>
  <c r="AA280" i="1" s="1"/>
  <c r="Y279" i="1"/>
  <c r="AA279" i="1" s="1"/>
  <c r="Y278" i="1"/>
  <c r="AA278" i="1" s="1"/>
  <c r="Y277" i="1"/>
  <c r="AA277" i="1" s="1"/>
  <c r="Y276" i="1"/>
  <c r="AA276" i="1" s="1"/>
  <c r="Y275" i="1"/>
  <c r="AA275" i="1" s="1"/>
  <c r="Y274" i="1"/>
  <c r="AA274" i="1" s="1"/>
  <c r="Y273" i="1"/>
  <c r="AA273" i="1" s="1"/>
  <c r="Y272" i="1"/>
  <c r="AA272" i="1" s="1"/>
  <c r="M280" i="1"/>
  <c r="P280" i="1" s="1"/>
  <c r="M279" i="1"/>
  <c r="P279" i="1" s="1"/>
  <c r="M278" i="1"/>
  <c r="P278" i="1" s="1"/>
  <c r="M277" i="1"/>
  <c r="P277" i="1" s="1"/>
  <c r="M276" i="1"/>
  <c r="P276" i="1" s="1"/>
  <c r="M275" i="1"/>
  <c r="P275" i="1" s="1"/>
  <c r="M274" i="1"/>
  <c r="P274" i="1" s="1"/>
  <c r="M273" i="1"/>
  <c r="P273" i="1" s="1"/>
  <c r="M272" i="1"/>
  <c r="P272" i="1" s="1"/>
  <c r="G272" i="1"/>
  <c r="H272" i="1" s="1"/>
  <c r="U280" i="1"/>
  <c r="U279" i="1"/>
  <c r="U278" i="1"/>
  <c r="U277" i="1"/>
  <c r="U276" i="1"/>
  <c r="U275" i="1"/>
  <c r="U274" i="1"/>
  <c r="U273" i="1"/>
  <c r="U272" i="1"/>
  <c r="O18" i="9" a="1"/>
  <c r="BD271" i="1"/>
  <c r="BD270" i="1"/>
  <c r="BD269" i="1"/>
  <c r="BD268" i="1"/>
  <c r="BD267" i="1"/>
  <c r="BD166" i="1"/>
  <c r="AO271" i="1"/>
  <c r="AP271" i="1" s="1"/>
  <c r="AO270" i="1"/>
  <c r="AP270" i="1" s="1"/>
  <c r="AO269" i="1"/>
  <c r="AP269" i="1" s="1"/>
  <c r="AO268" i="1"/>
  <c r="AP268" i="1" s="1"/>
  <c r="AO267" i="1"/>
  <c r="AP267" i="1" s="1"/>
  <c r="AJ271" i="1"/>
  <c r="AJ270" i="1"/>
  <c r="AJ269" i="1"/>
  <c r="AJ268" i="1"/>
  <c r="AJ267" i="1"/>
  <c r="Y271" i="1"/>
  <c r="Y270" i="1"/>
  <c r="Y269" i="1"/>
  <c r="Y268" i="1"/>
  <c r="Y267" i="1"/>
  <c r="M271" i="1"/>
  <c r="P271" i="1" s="1"/>
  <c r="M270" i="1"/>
  <c r="P270" i="1" s="1"/>
  <c r="M269" i="1"/>
  <c r="P269" i="1" s="1"/>
  <c r="M268" i="1"/>
  <c r="P268" i="1" s="1"/>
  <c r="M267" i="1"/>
  <c r="P267" i="1" s="1"/>
  <c r="G271" i="1"/>
  <c r="H271" i="1" s="1"/>
  <c r="G270" i="1"/>
  <c r="H270" i="1" s="1"/>
  <c r="G269" i="1"/>
  <c r="H269" i="1" s="1"/>
  <c r="G268" i="1"/>
  <c r="H268" i="1" s="1"/>
  <c r="G267" i="1"/>
  <c r="H267" i="1" s="1"/>
  <c r="Y266" i="1"/>
  <c r="Y265" i="1"/>
  <c r="M266" i="1"/>
  <c r="P266" i="1" s="1"/>
  <c r="M265" i="1"/>
  <c r="P265" i="1" s="1"/>
  <c r="Y264" i="1"/>
  <c r="M264" i="1"/>
  <c r="P264" i="1" s="1"/>
  <c r="G264" i="1"/>
  <c r="H264" i="1" s="1"/>
  <c r="Y263" i="1"/>
  <c r="Y262" i="1"/>
  <c r="Y261" i="1"/>
  <c r="M263" i="1"/>
  <c r="P263" i="1" s="1"/>
  <c r="M262" i="1"/>
  <c r="P262" i="1" s="1"/>
  <c r="M261" i="1"/>
  <c r="P261" i="1" s="1"/>
  <c r="G263" i="1"/>
  <c r="H263" i="1" s="1"/>
  <c r="G262" i="1"/>
  <c r="H262" i="1" s="1"/>
  <c r="G261" i="1"/>
  <c r="H261" i="1" s="1"/>
  <c r="Y260" i="1"/>
  <c r="M260" i="1"/>
  <c r="P260" i="1" s="1"/>
  <c r="G260" i="1"/>
  <c r="H260" i="1" s="1"/>
  <c r="Y259" i="1"/>
  <c r="Y258" i="1"/>
  <c r="M259" i="1"/>
  <c r="P259" i="1" s="1"/>
  <c r="M258" i="1"/>
  <c r="P258" i="1" s="1"/>
  <c r="G259" i="1"/>
  <c r="H259" i="1" s="1"/>
  <c r="G258" i="1"/>
  <c r="H258" i="1" s="1"/>
  <c r="Y257" i="1"/>
  <c r="M257" i="1"/>
  <c r="P257" i="1" s="1"/>
  <c r="G257" i="1"/>
  <c r="H257" i="1" s="1"/>
  <c r="Y256" i="1"/>
  <c r="M256" i="1"/>
  <c r="P256" i="1" s="1"/>
  <c r="G256" i="1"/>
  <c r="H256" i="1" s="1"/>
  <c r="AO160" i="1"/>
  <c r="AS160" i="1" s="1"/>
  <c r="AO159" i="1"/>
  <c r="AS159" i="1" s="1"/>
  <c r="AO223" i="1"/>
  <c r="AS223" i="1" s="1"/>
  <c r="AO222" i="1"/>
  <c r="AS222" i="1" s="1"/>
  <c r="AW10" i="1"/>
  <c r="G10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H9" i="1"/>
  <c r="G9" i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AO255" i="1"/>
  <c r="AS255" i="1" s="1"/>
  <c r="AO221" i="1"/>
  <c r="AS221" i="1" s="1"/>
  <c r="AJ255" i="1"/>
  <c r="Y255" i="1"/>
  <c r="M255" i="1"/>
  <c r="P255" i="1" s="1"/>
  <c r="Y254" i="1"/>
  <c r="AJ254" i="1"/>
  <c r="M254" i="1"/>
  <c r="P254" i="1" s="1"/>
  <c r="AO252" i="1"/>
  <c r="AS252" i="1" s="1"/>
  <c r="AO251" i="1"/>
  <c r="AS251" i="1" s="1"/>
  <c r="V215" i="1"/>
  <c r="AJ253" i="1"/>
  <c r="AJ252" i="1"/>
  <c r="AJ251" i="1"/>
  <c r="Y253" i="1"/>
  <c r="Y252" i="1"/>
  <c r="Y251" i="1"/>
  <c r="M253" i="1"/>
  <c r="P253" i="1" s="1"/>
  <c r="M252" i="1"/>
  <c r="P252" i="1" s="1"/>
  <c r="M251" i="1"/>
  <c r="P251" i="1" s="1"/>
  <c r="Y250" i="1"/>
  <c r="M250" i="1"/>
  <c r="P250" i="1" s="1"/>
  <c r="Y249" i="1"/>
  <c r="Y248" i="1"/>
  <c r="M249" i="1"/>
  <c r="P249" i="1" s="1"/>
  <c r="M248" i="1"/>
  <c r="P248" i="1" s="1"/>
  <c r="BS247" i="1"/>
  <c r="BT247" i="1" s="1"/>
  <c r="BS246" i="1"/>
  <c r="BT246" i="1" s="1"/>
  <c r="BO247" i="1"/>
  <c r="BO246" i="1"/>
  <c r="BA247" i="1"/>
  <c r="BA246" i="1"/>
  <c r="AG247" i="1"/>
  <c r="G247" i="1" s="1"/>
  <c r="H247" i="1" s="1"/>
  <c r="AG246" i="1"/>
  <c r="G246" i="1" s="1"/>
  <c r="H246" i="1" s="1"/>
  <c r="BS245" i="1"/>
  <c r="BT245" i="1" s="1"/>
  <c r="BO245" i="1"/>
  <c r="BA245" i="1"/>
  <c r="AG245" i="1"/>
  <c r="G245" i="1" s="1"/>
  <c r="H245" i="1" s="1"/>
  <c r="L247" i="1"/>
  <c r="L246" i="1"/>
  <c r="L245" i="1"/>
  <c r="X245" i="1" s="1"/>
  <c r="M245" i="1"/>
  <c r="P245" i="1" s="1"/>
  <c r="BS244" i="1"/>
  <c r="BT244" i="1" s="1"/>
  <c r="BS243" i="1"/>
  <c r="BT243" i="1" s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43" i="1"/>
  <c r="BD142" i="1"/>
  <c r="BD141" i="1"/>
  <c r="BD140" i="1"/>
  <c r="BD139" i="1"/>
  <c r="BA236" i="1"/>
  <c r="BA235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8" i="1"/>
  <c r="AS7" i="1"/>
  <c r="AS6" i="1"/>
  <c r="AS5" i="1"/>
  <c r="AS4" i="1"/>
  <c r="AS3" i="1"/>
  <c r="AS2" i="1"/>
  <c r="AJ244" i="1"/>
  <c r="X244" i="1"/>
  <c r="X243" i="1"/>
  <c r="AN243" i="1" s="1"/>
  <c r="AO243" i="1" s="1"/>
  <c r="AS243" i="1" s="1"/>
  <c r="M244" i="1"/>
  <c r="P244" i="1" s="1"/>
  <c r="M243" i="1"/>
  <c r="P243" i="1" s="1"/>
  <c r="V243" i="1"/>
  <c r="AA45" i="1"/>
  <c r="BS242" i="1"/>
  <c r="BT242" i="1" s="1"/>
  <c r="BS241" i="1"/>
  <c r="BT241" i="1" s="1"/>
  <c r="BS240" i="1"/>
  <c r="BT240" i="1" s="1"/>
  <c r="BS239" i="1"/>
  <c r="BT239" i="1" s="1"/>
  <c r="BS238" i="1"/>
  <c r="BT238" i="1" s="1"/>
  <c r="BS237" i="1"/>
  <c r="BT237" i="1" s="1"/>
  <c r="BS236" i="1"/>
  <c r="BT236" i="1" s="1"/>
  <c r="BS235" i="1"/>
  <c r="BT235" i="1" s="1"/>
  <c r="BS234" i="1"/>
  <c r="BT234" i="1" s="1"/>
  <c r="BS233" i="1"/>
  <c r="BT233" i="1" s="1"/>
  <c r="BS232" i="1"/>
  <c r="BT232" i="1" s="1"/>
  <c r="L242" i="1"/>
  <c r="M242" i="1" s="1"/>
  <c r="V242" i="1"/>
  <c r="AJ236" i="1"/>
  <c r="AJ235" i="1"/>
  <c r="AJ234" i="1"/>
  <c r="M236" i="1"/>
  <c r="O236" i="1" s="1"/>
  <c r="Z236" i="1" s="1"/>
  <c r="M235" i="1"/>
  <c r="O235" i="1" s="1"/>
  <c r="Z235" i="1" s="1"/>
  <c r="M234" i="1"/>
  <c r="M233" i="1"/>
  <c r="M232" i="1"/>
  <c r="M231" i="1"/>
  <c r="P231" i="1" s="1"/>
  <c r="M230" i="1"/>
  <c r="P230" i="1" s="1"/>
  <c r="M229" i="1"/>
  <c r="P229" i="1" s="1"/>
  <c r="M228" i="1"/>
  <c r="P228" i="1" s="1"/>
  <c r="M227" i="1"/>
  <c r="P227" i="1" s="1"/>
  <c r="M226" i="1"/>
  <c r="P226" i="1" s="1"/>
  <c r="M225" i="1"/>
  <c r="P225" i="1" s="1"/>
  <c r="M224" i="1"/>
  <c r="P224" i="1" s="1"/>
  <c r="M223" i="1"/>
  <c r="P223" i="1" s="1"/>
  <c r="M222" i="1"/>
  <c r="P222" i="1" s="1"/>
  <c r="M221" i="1"/>
  <c r="P221" i="1" s="1"/>
  <c r="M220" i="1"/>
  <c r="P220" i="1" s="1"/>
  <c r="M219" i="1"/>
  <c r="P219" i="1" s="1"/>
  <c r="M218" i="1"/>
  <c r="P218" i="1" s="1"/>
  <c r="M217" i="1"/>
  <c r="P217" i="1" s="1"/>
  <c r="M216" i="1"/>
  <c r="P216" i="1" s="1"/>
  <c r="M215" i="1"/>
  <c r="P215" i="1" s="1"/>
  <c r="M214" i="1"/>
  <c r="P214" i="1" s="1"/>
  <c r="M213" i="1"/>
  <c r="P213" i="1" s="1"/>
  <c r="M212" i="1"/>
  <c r="P212" i="1" s="1"/>
  <c r="M211" i="1"/>
  <c r="P211" i="1" s="1"/>
  <c r="M210" i="1"/>
  <c r="P210" i="1" s="1"/>
  <c r="M209" i="1"/>
  <c r="P209" i="1" s="1"/>
  <c r="M208" i="1"/>
  <c r="P208" i="1" s="1"/>
  <c r="M207" i="1"/>
  <c r="P207" i="1" s="1"/>
  <c r="M206" i="1"/>
  <c r="P206" i="1" s="1"/>
  <c r="M205" i="1"/>
  <c r="P205" i="1" s="1"/>
  <c r="M204" i="1"/>
  <c r="P204" i="1" s="1"/>
  <c r="M203" i="1"/>
  <c r="P203" i="1" s="1"/>
  <c r="M202" i="1"/>
  <c r="P202" i="1" s="1"/>
  <c r="M201" i="1"/>
  <c r="P201" i="1" s="1"/>
  <c r="M200" i="1"/>
  <c r="P200" i="1" s="1"/>
  <c r="M199" i="1"/>
  <c r="P199" i="1" s="1"/>
  <c r="M198" i="1"/>
  <c r="P198" i="1" s="1"/>
  <c r="M197" i="1"/>
  <c r="P197" i="1" s="1"/>
  <c r="M196" i="1"/>
  <c r="P196" i="1" s="1"/>
  <c r="M195" i="1"/>
  <c r="P195" i="1" s="1"/>
  <c r="M194" i="1"/>
  <c r="P194" i="1" s="1"/>
  <c r="M193" i="1"/>
  <c r="P193" i="1" s="1"/>
  <c r="M192" i="1"/>
  <c r="P192" i="1" s="1"/>
  <c r="M191" i="1"/>
  <c r="P191" i="1" s="1"/>
  <c r="M190" i="1"/>
  <c r="P190" i="1" s="1"/>
  <c r="M189" i="1"/>
  <c r="P189" i="1" s="1"/>
  <c r="M188" i="1"/>
  <c r="P188" i="1" s="1"/>
  <c r="M187" i="1"/>
  <c r="P187" i="1" s="1"/>
  <c r="M186" i="1"/>
  <c r="P186" i="1" s="1"/>
  <c r="M185" i="1"/>
  <c r="P185" i="1" s="1"/>
  <c r="M184" i="1"/>
  <c r="P184" i="1" s="1"/>
  <c r="M183" i="1"/>
  <c r="P183" i="1" s="1"/>
  <c r="M182" i="1"/>
  <c r="P182" i="1" s="1"/>
  <c r="M181" i="1"/>
  <c r="P181" i="1" s="1"/>
  <c r="M180" i="1"/>
  <c r="P180" i="1" s="1"/>
  <c r="M179" i="1"/>
  <c r="P179" i="1" s="1"/>
  <c r="M178" i="1"/>
  <c r="P178" i="1" s="1"/>
  <c r="M177" i="1"/>
  <c r="P177" i="1" s="1"/>
  <c r="M176" i="1"/>
  <c r="P176" i="1" s="1"/>
  <c r="M175" i="1"/>
  <c r="P175" i="1" s="1"/>
  <c r="M174" i="1"/>
  <c r="P174" i="1" s="1"/>
  <c r="M173" i="1"/>
  <c r="P173" i="1" s="1"/>
  <c r="M172" i="1"/>
  <c r="P172" i="1" s="1"/>
  <c r="M171" i="1"/>
  <c r="P171" i="1" s="1"/>
  <c r="M170" i="1"/>
  <c r="P170" i="1" s="1"/>
  <c r="M169" i="1"/>
  <c r="P169" i="1" s="1"/>
  <c r="M168" i="1"/>
  <c r="P168" i="1" s="1"/>
  <c r="M167" i="1"/>
  <c r="P167" i="1" s="1"/>
  <c r="M166" i="1"/>
  <c r="P166" i="1" s="1"/>
  <c r="M165" i="1"/>
  <c r="P165" i="1" s="1"/>
  <c r="M164" i="1"/>
  <c r="P164" i="1" s="1"/>
  <c r="M163" i="1"/>
  <c r="P163" i="1" s="1"/>
  <c r="M162" i="1"/>
  <c r="P162" i="1" s="1"/>
  <c r="M161" i="1"/>
  <c r="P161" i="1" s="1"/>
  <c r="M160" i="1"/>
  <c r="P160" i="1" s="1"/>
  <c r="M159" i="1"/>
  <c r="P159" i="1" s="1"/>
  <c r="M158" i="1"/>
  <c r="P158" i="1" s="1"/>
  <c r="M157" i="1"/>
  <c r="P157" i="1" s="1"/>
  <c r="M156" i="1"/>
  <c r="P156" i="1" s="1"/>
  <c r="M155" i="1"/>
  <c r="P155" i="1" s="1"/>
  <c r="M154" i="1"/>
  <c r="P154" i="1" s="1"/>
  <c r="M153" i="1"/>
  <c r="P153" i="1" s="1"/>
  <c r="M152" i="1"/>
  <c r="P152" i="1" s="1"/>
  <c r="M151" i="1"/>
  <c r="P151" i="1" s="1"/>
  <c r="M150" i="1"/>
  <c r="P150" i="1" s="1"/>
  <c r="M149" i="1"/>
  <c r="P149" i="1" s="1"/>
  <c r="M148" i="1"/>
  <c r="P148" i="1" s="1"/>
  <c r="M147" i="1"/>
  <c r="P147" i="1" s="1"/>
  <c r="M146" i="1"/>
  <c r="P146" i="1" s="1"/>
  <c r="M145" i="1"/>
  <c r="P145" i="1" s="1"/>
  <c r="M144" i="1"/>
  <c r="P144" i="1" s="1"/>
  <c r="M143" i="1"/>
  <c r="P143" i="1" s="1"/>
  <c r="M142" i="1"/>
  <c r="P142" i="1" s="1"/>
  <c r="M141" i="1"/>
  <c r="P141" i="1" s="1"/>
  <c r="M140" i="1"/>
  <c r="P140" i="1" s="1"/>
  <c r="M139" i="1"/>
  <c r="P139" i="1" s="1"/>
  <c r="M138" i="1"/>
  <c r="P138" i="1" s="1"/>
  <c r="M137" i="1"/>
  <c r="P137" i="1" s="1"/>
  <c r="M136" i="1"/>
  <c r="P136" i="1" s="1"/>
  <c r="M135" i="1"/>
  <c r="P135" i="1" s="1"/>
  <c r="M134" i="1"/>
  <c r="P134" i="1" s="1"/>
  <c r="M133" i="1"/>
  <c r="P133" i="1" s="1"/>
  <c r="M132" i="1"/>
  <c r="P132" i="1" s="1"/>
  <c r="M131" i="1"/>
  <c r="P131" i="1" s="1"/>
  <c r="M130" i="1"/>
  <c r="P130" i="1" s="1"/>
  <c r="M128" i="1"/>
  <c r="P128" i="1" s="1"/>
  <c r="M122" i="1"/>
  <c r="P122" i="1" s="1"/>
  <c r="M117" i="1"/>
  <c r="P117" i="1" s="1"/>
  <c r="M116" i="1"/>
  <c r="P116" i="1" s="1"/>
  <c r="M113" i="1"/>
  <c r="P113" i="1" s="1"/>
  <c r="M110" i="1"/>
  <c r="P110" i="1" s="1"/>
  <c r="M109" i="1"/>
  <c r="P109" i="1" s="1"/>
  <c r="M108" i="1"/>
  <c r="P108" i="1" s="1"/>
  <c r="M107" i="1"/>
  <c r="P107" i="1" s="1"/>
  <c r="M106" i="1"/>
  <c r="P106" i="1" s="1"/>
  <c r="M105" i="1"/>
  <c r="P105" i="1" s="1"/>
  <c r="M104" i="1"/>
  <c r="P104" i="1" s="1"/>
  <c r="M103" i="1"/>
  <c r="P103" i="1" s="1"/>
  <c r="M102" i="1"/>
  <c r="P102" i="1" s="1"/>
  <c r="M101" i="1"/>
  <c r="P101" i="1" s="1"/>
  <c r="M100" i="1"/>
  <c r="P100" i="1" s="1"/>
  <c r="M99" i="1"/>
  <c r="P99" i="1" s="1"/>
  <c r="M98" i="1"/>
  <c r="P98" i="1" s="1"/>
  <c r="M97" i="1"/>
  <c r="P97" i="1" s="1"/>
  <c r="M96" i="1"/>
  <c r="P96" i="1" s="1"/>
  <c r="M95" i="1"/>
  <c r="P95" i="1" s="1"/>
  <c r="M94" i="1"/>
  <c r="P94" i="1" s="1"/>
  <c r="M93" i="1"/>
  <c r="P93" i="1" s="1"/>
  <c r="M92" i="1"/>
  <c r="P92" i="1" s="1"/>
  <c r="M91" i="1"/>
  <c r="P91" i="1" s="1"/>
  <c r="M90" i="1"/>
  <c r="P90" i="1" s="1"/>
  <c r="M89" i="1"/>
  <c r="P89" i="1" s="1"/>
  <c r="M88" i="1"/>
  <c r="P88" i="1" s="1"/>
  <c r="M87" i="1"/>
  <c r="P87" i="1" s="1"/>
  <c r="M86" i="1"/>
  <c r="P86" i="1" s="1"/>
  <c r="M85" i="1"/>
  <c r="P85" i="1" s="1"/>
  <c r="M84" i="1"/>
  <c r="P84" i="1" s="1"/>
  <c r="M83" i="1"/>
  <c r="P83" i="1" s="1"/>
  <c r="M82" i="1"/>
  <c r="P82" i="1" s="1"/>
  <c r="M81" i="1"/>
  <c r="P81" i="1" s="1"/>
  <c r="M80" i="1"/>
  <c r="P80" i="1" s="1"/>
  <c r="M79" i="1"/>
  <c r="P79" i="1" s="1"/>
  <c r="M78" i="1"/>
  <c r="P78" i="1" s="1"/>
  <c r="M77" i="1"/>
  <c r="P77" i="1" s="1"/>
  <c r="M76" i="1"/>
  <c r="P76" i="1" s="1"/>
  <c r="M75" i="1"/>
  <c r="P75" i="1" s="1"/>
  <c r="M74" i="1"/>
  <c r="P74" i="1" s="1"/>
  <c r="M73" i="1"/>
  <c r="P73" i="1" s="1"/>
  <c r="M72" i="1"/>
  <c r="P72" i="1" s="1"/>
  <c r="M71" i="1"/>
  <c r="P71" i="1" s="1"/>
  <c r="M70" i="1"/>
  <c r="P70" i="1" s="1"/>
  <c r="M69" i="1"/>
  <c r="P69" i="1" s="1"/>
  <c r="M68" i="1"/>
  <c r="P68" i="1" s="1"/>
  <c r="M67" i="1"/>
  <c r="P67" i="1" s="1"/>
  <c r="M66" i="1"/>
  <c r="P66" i="1" s="1"/>
  <c r="M65" i="1"/>
  <c r="P65" i="1" s="1"/>
  <c r="M64" i="1"/>
  <c r="P64" i="1" s="1"/>
  <c r="M63" i="1"/>
  <c r="P63" i="1" s="1"/>
  <c r="M62" i="1"/>
  <c r="P62" i="1" s="1"/>
  <c r="M61" i="1"/>
  <c r="P61" i="1" s="1"/>
  <c r="M60" i="1"/>
  <c r="P60" i="1" s="1"/>
  <c r="M59" i="1"/>
  <c r="P59" i="1" s="1"/>
  <c r="M58" i="1"/>
  <c r="P58" i="1" s="1"/>
  <c r="M57" i="1"/>
  <c r="P57" i="1" s="1"/>
  <c r="M56" i="1"/>
  <c r="P56" i="1" s="1"/>
  <c r="M55" i="1"/>
  <c r="P55" i="1" s="1"/>
  <c r="M54" i="1"/>
  <c r="P54" i="1" s="1"/>
  <c r="M53" i="1"/>
  <c r="P53" i="1" s="1"/>
  <c r="M52" i="1"/>
  <c r="P52" i="1" s="1"/>
  <c r="M51" i="1"/>
  <c r="P51" i="1" s="1"/>
  <c r="M50" i="1"/>
  <c r="P50" i="1" s="1"/>
  <c r="M49" i="1"/>
  <c r="P49" i="1" s="1"/>
  <c r="M48" i="1"/>
  <c r="P48" i="1" s="1"/>
  <c r="M47" i="1"/>
  <c r="P47" i="1" s="1"/>
  <c r="M46" i="1"/>
  <c r="P46" i="1" s="1"/>
  <c r="M45" i="1"/>
  <c r="P45" i="1" s="1"/>
  <c r="M44" i="1"/>
  <c r="P44" i="1" s="1"/>
  <c r="M43" i="1"/>
  <c r="P43" i="1" s="1"/>
  <c r="M42" i="1"/>
  <c r="P42" i="1" s="1"/>
  <c r="M41" i="1"/>
  <c r="P41" i="1" s="1"/>
  <c r="M40" i="1"/>
  <c r="P40" i="1" s="1"/>
  <c r="M39" i="1"/>
  <c r="P39" i="1" s="1"/>
  <c r="M38" i="1"/>
  <c r="P38" i="1" s="1"/>
  <c r="M37" i="1"/>
  <c r="P37" i="1" s="1"/>
  <c r="M36" i="1"/>
  <c r="P36" i="1" s="1"/>
  <c r="M35" i="1"/>
  <c r="P35" i="1" s="1"/>
  <c r="M34" i="1"/>
  <c r="P34" i="1" s="1"/>
  <c r="M33" i="1"/>
  <c r="P33" i="1" s="1"/>
  <c r="M32" i="1"/>
  <c r="P32" i="1" s="1"/>
  <c r="M31" i="1"/>
  <c r="P31" i="1" s="1"/>
  <c r="M30" i="1"/>
  <c r="P30" i="1" s="1"/>
  <c r="M29" i="1"/>
  <c r="P29" i="1" s="1"/>
  <c r="M28" i="1"/>
  <c r="P28" i="1" s="1"/>
  <c r="M27" i="1"/>
  <c r="P27" i="1" s="1"/>
  <c r="M26" i="1"/>
  <c r="P26" i="1" s="1"/>
  <c r="M25" i="1"/>
  <c r="P25" i="1" s="1"/>
  <c r="M24" i="1"/>
  <c r="P24" i="1" s="1"/>
  <c r="M23" i="1"/>
  <c r="P23" i="1" s="1"/>
  <c r="M22" i="1"/>
  <c r="P22" i="1" s="1"/>
  <c r="M21" i="1"/>
  <c r="P21" i="1" s="1"/>
  <c r="M20" i="1"/>
  <c r="P20" i="1" s="1"/>
  <c r="M19" i="1"/>
  <c r="P19" i="1" s="1"/>
  <c r="M18" i="1"/>
  <c r="P18" i="1" s="1"/>
  <c r="M17" i="1"/>
  <c r="P17" i="1" s="1"/>
  <c r="M16" i="1"/>
  <c r="P16" i="1" s="1"/>
  <c r="M15" i="1"/>
  <c r="P15" i="1" s="1"/>
  <c r="M14" i="1"/>
  <c r="P14" i="1" s="1"/>
  <c r="M13" i="1"/>
  <c r="P13" i="1" s="1"/>
  <c r="M12" i="1"/>
  <c r="P12" i="1" s="1"/>
  <c r="M11" i="1"/>
  <c r="P11" i="1" s="1"/>
  <c r="M10" i="1"/>
  <c r="P10" i="1" s="1"/>
  <c r="M9" i="1"/>
  <c r="P9" i="1" s="1"/>
  <c r="M2" i="1"/>
  <c r="P2" i="1" s="1"/>
  <c r="L241" i="1"/>
  <c r="M241" i="1" s="1"/>
  <c r="L240" i="1"/>
  <c r="M240" i="1" s="1"/>
  <c r="O240" i="1" s="1"/>
  <c r="L239" i="1"/>
  <c r="L238" i="1"/>
  <c r="X240" i="1"/>
  <c r="V241" i="1"/>
  <c r="AJ241" i="1" s="1"/>
  <c r="V240" i="1"/>
  <c r="V239" i="1"/>
  <c r="V238" i="1"/>
  <c r="V237" i="1"/>
  <c r="AJ237" i="1" s="1"/>
  <c r="P236" i="1"/>
  <c r="L237" i="1"/>
  <c r="M237" i="1" s="1"/>
  <c r="Y236" i="1"/>
  <c r="Y235" i="1"/>
  <c r="P235" i="1"/>
  <c r="AJ231" i="1"/>
  <c r="AJ230" i="1"/>
  <c r="AJ229" i="1"/>
  <c r="AJ228" i="1"/>
  <c r="AJ227" i="1"/>
  <c r="Y231" i="1"/>
  <c r="Y230" i="1"/>
  <c r="Y229" i="1"/>
  <c r="Y228" i="1"/>
  <c r="Y227" i="1"/>
  <c r="AJ226" i="1"/>
  <c r="X226" i="1"/>
  <c r="Y226" i="1" s="1"/>
  <c r="AJ225" i="1"/>
  <c r="X225" i="1"/>
  <c r="Y225" i="1" s="1"/>
  <c r="Y234" i="1"/>
  <c r="P234" i="1"/>
  <c r="AJ233" i="1"/>
  <c r="AJ232" i="1"/>
  <c r="Y233" i="1"/>
  <c r="Y232" i="1"/>
  <c r="P233" i="1"/>
  <c r="P232" i="1"/>
  <c r="AJ224" i="1"/>
  <c r="AJ223" i="1"/>
  <c r="AJ222" i="1"/>
  <c r="X224" i="1"/>
  <c r="Y224" i="1" s="1"/>
  <c r="X223" i="1"/>
  <c r="Y223" i="1" s="1"/>
  <c r="X222" i="1"/>
  <c r="Y222" i="1" s="1"/>
  <c r="AJ221" i="1"/>
  <c r="X221" i="1"/>
  <c r="Y221" i="1" s="1"/>
  <c r="AJ220" i="1"/>
  <c r="AJ219" i="1"/>
  <c r="X220" i="1"/>
  <c r="Y220" i="1" s="1"/>
  <c r="X219" i="1"/>
  <c r="Y219" i="1" s="1"/>
  <c r="G2" i="1"/>
  <c r="H2" i="1" s="1"/>
  <c r="X218" i="1"/>
  <c r="X217" i="1"/>
  <c r="V218" i="1"/>
  <c r="V217" i="1"/>
  <c r="BS231" i="1"/>
  <c r="BT231" i="1" s="1"/>
  <c r="BS230" i="1"/>
  <c r="BT230" i="1" s="1"/>
  <c r="BS229" i="1"/>
  <c r="BT229" i="1" s="1"/>
  <c r="BS228" i="1"/>
  <c r="BT228" i="1" s="1"/>
  <c r="BS227" i="1"/>
  <c r="BT227" i="1" s="1"/>
  <c r="BS226" i="1"/>
  <c r="BT226" i="1" s="1"/>
  <c r="BS225" i="1"/>
  <c r="BT225" i="1" s="1"/>
  <c r="BS224" i="1"/>
  <c r="BT224" i="1" s="1"/>
  <c r="BS223" i="1"/>
  <c r="BT223" i="1" s="1"/>
  <c r="BS222" i="1"/>
  <c r="BT222" i="1" s="1"/>
  <c r="BS221" i="1"/>
  <c r="BT221" i="1" s="1"/>
  <c r="BS220" i="1"/>
  <c r="BT220" i="1" s="1"/>
  <c r="BS219" i="1"/>
  <c r="BT219" i="1" s="1"/>
  <c r="BS218" i="1"/>
  <c r="BT218" i="1" s="1"/>
  <c r="BS217" i="1"/>
  <c r="BT217" i="1" s="1"/>
  <c r="BS216" i="1"/>
  <c r="BT216" i="1" s="1"/>
  <c r="BS215" i="1"/>
  <c r="BT215" i="1" s="1"/>
  <c r="BS214" i="1"/>
  <c r="BT214" i="1" s="1"/>
  <c r="BS213" i="1"/>
  <c r="BT213" i="1" s="1"/>
  <c r="BS212" i="1"/>
  <c r="BT212" i="1" s="1"/>
  <c r="BS211" i="1"/>
  <c r="BT211" i="1" s="1"/>
  <c r="BS210" i="1"/>
  <c r="BT210" i="1" s="1"/>
  <c r="BS209" i="1"/>
  <c r="BT209" i="1" s="1"/>
  <c r="BS208" i="1"/>
  <c r="BT208" i="1" s="1"/>
  <c r="X216" i="1"/>
  <c r="V216" i="1"/>
  <c r="X215" i="1"/>
  <c r="X214" i="1"/>
  <c r="V214" i="1"/>
  <c r="X213" i="1"/>
  <c r="V213" i="1"/>
  <c r="X212" i="1"/>
  <c r="V212" i="1"/>
  <c r="X211" i="1"/>
  <c r="V211" i="1"/>
  <c r="X210" i="1"/>
  <c r="V210" i="1"/>
  <c r="X209" i="1"/>
  <c r="V209" i="1"/>
  <c r="X208" i="1"/>
  <c r="V208" i="1"/>
  <c r="BS207" i="1"/>
  <c r="BT207" i="1" s="1"/>
  <c r="BS206" i="1"/>
  <c r="BT206" i="1" s="1"/>
  <c r="BS205" i="1"/>
  <c r="BT205" i="1" s="1"/>
  <c r="BS204" i="1"/>
  <c r="BT204" i="1" s="1"/>
  <c r="BS203" i="1"/>
  <c r="BT203" i="1" s="1"/>
  <c r="BS202" i="1"/>
  <c r="BT202" i="1" s="1"/>
  <c r="BS201" i="1"/>
  <c r="BT201" i="1" s="1"/>
  <c r="BS200" i="1"/>
  <c r="BT200" i="1" s="1"/>
  <c r="BS199" i="1"/>
  <c r="BT199" i="1" s="1"/>
  <c r="BS198" i="1"/>
  <c r="BT198" i="1" s="1"/>
  <c r="BS197" i="1"/>
  <c r="BT197" i="1" s="1"/>
  <c r="BS196" i="1"/>
  <c r="BT196" i="1" s="1"/>
  <c r="BS195" i="1"/>
  <c r="BT195" i="1" s="1"/>
  <c r="BS194" i="1"/>
  <c r="BT194" i="1" s="1"/>
  <c r="BS193" i="1"/>
  <c r="BT193" i="1" s="1"/>
  <c r="AJ207" i="1"/>
  <c r="AJ206" i="1"/>
  <c r="AJ205" i="1"/>
  <c r="AJ204" i="1"/>
  <c r="Y207" i="1"/>
  <c r="Y206" i="1"/>
  <c r="Y205" i="1"/>
  <c r="Y204" i="1"/>
  <c r="V203" i="1"/>
  <c r="V202" i="1"/>
  <c r="V201" i="1"/>
  <c r="V200" i="1"/>
  <c r="V199" i="1"/>
  <c r="V198" i="1"/>
  <c r="V197" i="1"/>
  <c r="V196" i="1"/>
  <c r="V195" i="1"/>
  <c r="V194" i="1"/>
  <c r="V193" i="1"/>
  <c r="BS192" i="1"/>
  <c r="BT192" i="1" s="1"/>
  <c r="BS191" i="1"/>
  <c r="BT191" i="1" s="1"/>
  <c r="BS190" i="1"/>
  <c r="BT190" i="1" s="1"/>
  <c r="BS189" i="1"/>
  <c r="BT189" i="1" s="1"/>
  <c r="BS188" i="1"/>
  <c r="BT188" i="1" s="1"/>
  <c r="BS187" i="1"/>
  <c r="BT187" i="1" s="1"/>
  <c r="BS186" i="1"/>
  <c r="BT186" i="1" s="1"/>
  <c r="BS185" i="1"/>
  <c r="BT185" i="1" s="1"/>
  <c r="BS184" i="1"/>
  <c r="BT184" i="1" s="1"/>
  <c r="BS183" i="1"/>
  <c r="BT183" i="1" s="1"/>
  <c r="BS182" i="1"/>
  <c r="BT182" i="1" s="1"/>
  <c r="BS181" i="1"/>
  <c r="BT181" i="1" s="1"/>
  <c r="BS180" i="1"/>
  <c r="BT180" i="1" s="1"/>
  <c r="BS179" i="1"/>
  <c r="BT179" i="1" s="1"/>
  <c r="BS178" i="1"/>
  <c r="BT178" i="1" s="1"/>
  <c r="BS177" i="1"/>
  <c r="BT177" i="1" s="1"/>
  <c r="BS176" i="1"/>
  <c r="BT176" i="1" s="1"/>
  <c r="BS175" i="1"/>
  <c r="BT175" i="1" s="1"/>
  <c r="BS174" i="1"/>
  <c r="BT174" i="1" s="1"/>
  <c r="BS173" i="1"/>
  <c r="BT173" i="1" s="1"/>
  <c r="BS172" i="1"/>
  <c r="BT172" i="1" s="1"/>
  <c r="BS171" i="1"/>
  <c r="BT171" i="1" s="1"/>
  <c r="BS170" i="1"/>
  <c r="BT170" i="1" s="1"/>
  <c r="BS169" i="1"/>
  <c r="BT169" i="1" s="1"/>
  <c r="BS168" i="1"/>
  <c r="BT168" i="1" s="1"/>
  <c r="BS167" i="1"/>
  <c r="BT167" i="1" s="1"/>
  <c r="BS166" i="1"/>
  <c r="BT166" i="1" s="1"/>
  <c r="BS165" i="1"/>
  <c r="BT165" i="1" s="1"/>
  <c r="BS164" i="1"/>
  <c r="BT164" i="1" s="1"/>
  <c r="BS163" i="1"/>
  <c r="BT163" i="1" s="1"/>
  <c r="BS162" i="1"/>
  <c r="BT162" i="1" s="1"/>
  <c r="BS161" i="1"/>
  <c r="BT161" i="1" s="1"/>
  <c r="BS160" i="1"/>
  <c r="BT160" i="1" s="1"/>
  <c r="BS159" i="1"/>
  <c r="BT159" i="1" s="1"/>
  <c r="BS158" i="1"/>
  <c r="BT158" i="1" s="1"/>
  <c r="BS157" i="1"/>
  <c r="BT157" i="1" s="1"/>
  <c r="BS156" i="1"/>
  <c r="BT156" i="1" s="1"/>
  <c r="BS155" i="1"/>
  <c r="BT155" i="1" s="1"/>
  <c r="BS154" i="1"/>
  <c r="BT154" i="1" s="1"/>
  <c r="BS153" i="1"/>
  <c r="BT153" i="1" s="1"/>
  <c r="BS152" i="1"/>
  <c r="BT152" i="1" s="1"/>
  <c r="BS151" i="1"/>
  <c r="BT151" i="1" s="1"/>
  <c r="BS150" i="1"/>
  <c r="BT150" i="1" s="1"/>
  <c r="BS149" i="1"/>
  <c r="BT149" i="1" s="1"/>
  <c r="BS148" i="1"/>
  <c r="BT148" i="1" s="1"/>
  <c r="BS147" i="1"/>
  <c r="BT147" i="1" s="1"/>
  <c r="BS146" i="1"/>
  <c r="BT146" i="1" s="1"/>
  <c r="BS145" i="1"/>
  <c r="BT145" i="1" s="1"/>
  <c r="BS144" i="1"/>
  <c r="BT144" i="1" s="1"/>
  <c r="BS143" i="1"/>
  <c r="BT143" i="1" s="1"/>
  <c r="BS142" i="1"/>
  <c r="BT142" i="1" s="1"/>
  <c r="BS141" i="1"/>
  <c r="BT141" i="1" s="1"/>
  <c r="BS140" i="1"/>
  <c r="BT140" i="1" s="1"/>
  <c r="BS139" i="1"/>
  <c r="BT139" i="1" s="1"/>
  <c r="BS138" i="1"/>
  <c r="BT138" i="1" s="1"/>
  <c r="BS137" i="1"/>
  <c r="BT137" i="1" s="1"/>
  <c r="BS136" i="1"/>
  <c r="BT136" i="1" s="1"/>
  <c r="BS135" i="1"/>
  <c r="BT135" i="1" s="1"/>
  <c r="BS134" i="1"/>
  <c r="BT134" i="1" s="1"/>
  <c r="BS133" i="1"/>
  <c r="BT133" i="1" s="1"/>
  <c r="BS132" i="1"/>
  <c r="BT132" i="1" s="1"/>
  <c r="BS131" i="1"/>
  <c r="BT131" i="1" s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X192" i="1"/>
  <c r="V192" i="1"/>
  <c r="X191" i="1"/>
  <c r="X190" i="1"/>
  <c r="X189" i="1"/>
  <c r="X188" i="1"/>
  <c r="X187" i="1"/>
  <c r="X186" i="1"/>
  <c r="X185" i="1"/>
  <c r="V191" i="1"/>
  <c r="V190" i="1"/>
  <c r="V189" i="1"/>
  <c r="V188" i="1"/>
  <c r="V187" i="1"/>
  <c r="V186" i="1"/>
  <c r="V185" i="1"/>
  <c r="X184" i="1"/>
  <c r="X183" i="1"/>
  <c r="X182" i="1"/>
  <c r="X181" i="1"/>
  <c r="X180" i="1"/>
  <c r="X179" i="1"/>
  <c r="X178" i="1"/>
  <c r="X177" i="1"/>
  <c r="X176" i="1"/>
  <c r="X175" i="1"/>
  <c r="X174" i="1"/>
  <c r="V184" i="1"/>
  <c r="V183" i="1"/>
  <c r="V182" i="1"/>
  <c r="V181" i="1"/>
  <c r="V180" i="1"/>
  <c r="V179" i="1"/>
  <c r="V178" i="1"/>
  <c r="V177" i="1"/>
  <c r="V176" i="1"/>
  <c r="V175" i="1"/>
  <c r="V174" i="1"/>
  <c r="AJ173" i="1"/>
  <c r="X173" i="1"/>
  <c r="Y173" i="1" s="1"/>
  <c r="AJ172" i="1"/>
  <c r="X172" i="1"/>
  <c r="Y172" i="1" s="1"/>
  <c r="AJ171" i="1"/>
  <c r="X171" i="1"/>
  <c r="Y171" i="1" s="1"/>
  <c r="AO170" i="1"/>
  <c r="AS170" i="1" s="1"/>
  <c r="AO169" i="1"/>
  <c r="AS169" i="1" s="1"/>
  <c r="AO168" i="1"/>
  <c r="AS168" i="1" s="1"/>
  <c r="AO167" i="1"/>
  <c r="AS167" i="1" s="1"/>
  <c r="AO166" i="1"/>
  <c r="AS166" i="1" s="1"/>
  <c r="AO165" i="1"/>
  <c r="AS165" i="1" s="1"/>
  <c r="AO164" i="1"/>
  <c r="AS164" i="1" s="1"/>
  <c r="AJ170" i="1"/>
  <c r="X170" i="1"/>
  <c r="Y170" i="1" s="1"/>
  <c r="AJ169" i="1"/>
  <c r="AJ168" i="1"/>
  <c r="AJ167" i="1"/>
  <c r="X169" i="1"/>
  <c r="Y169" i="1" s="1"/>
  <c r="X168" i="1"/>
  <c r="Y168" i="1" s="1"/>
  <c r="X167" i="1"/>
  <c r="Y167" i="1" s="1"/>
  <c r="AJ166" i="1"/>
  <c r="X166" i="1"/>
  <c r="Y166" i="1" s="1"/>
  <c r="AJ165" i="1"/>
  <c r="X165" i="1"/>
  <c r="Y165" i="1" s="1"/>
  <c r="AJ164" i="1"/>
  <c r="X164" i="1"/>
  <c r="Y164" i="1" s="1"/>
  <c r="AO163" i="1"/>
  <c r="AS163" i="1" s="1"/>
  <c r="AO162" i="1"/>
  <c r="AS162" i="1" s="1"/>
  <c r="AO161" i="1"/>
  <c r="AS161" i="1" s="1"/>
  <c r="AO158" i="1"/>
  <c r="AS158" i="1" s="1"/>
  <c r="AO157" i="1"/>
  <c r="AS157" i="1" s="1"/>
  <c r="AO156" i="1"/>
  <c r="AS156" i="1" s="1"/>
  <c r="AO155" i="1"/>
  <c r="AS155" i="1" s="1"/>
  <c r="AO154" i="1"/>
  <c r="AS154" i="1" s="1"/>
  <c r="AO153" i="1"/>
  <c r="AS153" i="1" s="1"/>
  <c r="AO152" i="1"/>
  <c r="AS152" i="1" s="1"/>
  <c r="AO151" i="1"/>
  <c r="AS151" i="1" s="1"/>
  <c r="AO150" i="1"/>
  <c r="AS150" i="1" s="1"/>
  <c r="AO149" i="1"/>
  <c r="AS149" i="1" s="1"/>
  <c r="AO148" i="1"/>
  <c r="AS148" i="1" s="1"/>
  <c r="AO147" i="1"/>
  <c r="AS147" i="1" s="1"/>
  <c r="AO146" i="1"/>
  <c r="AS146" i="1" s="1"/>
  <c r="AO145" i="1"/>
  <c r="AS145" i="1" s="1"/>
  <c r="AO144" i="1"/>
  <c r="AS144" i="1" s="1"/>
  <c r="AO143" i="1"/>
  <c r="AS143" i="1" s="1"/>
  <c r="AO142" i="1"/>
  <c r="AS142" i="1" s="1"/>
  <c r="AJ163" i="1"/>
  <c r="X163" i="1"/>
  <c r="Y163" i="1" s="1"/>
  <c r="AJ162" i="1"/>
  <c r="X162" i="1"/>
  <c r="Y162" i="1" s="1"/>
  <c r="AJ161" i="1"/>
  <c r="X161" i="1"/>
  <c r="Y161" i="1" s="1"/>
  <c r="AJ160" i="1"/>
  <c r="AJ159" i="1"/>
  <c r="Y160" i="1"/>
  <c r="Y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X158" i="1"/>
  <c r="Y158" i="1" s="1"/>
  <c r="X157" i="1"/>
  <c r="Y157" i="1" s="1"/>
  <c r="X156" i="1"/>
  <c r="Y156" i="1" s="1"/>
  <c r="X155" i="1"/>
  <c r="Y155" i="1" s="1"/>
  <c r="X154" i="1"/>
  <c r="Y154" i="1" s="1"/>
  <c r="X153" i="1"/>
  <c r="Y153" i="1" s="1"/>
  <c r="X152" i="1"/>
  <c r="Y152" i="1" s="1"/>
  <c r="X151" i="1"/>
  <c r="Y151" i="1" s="1"/>
  <c r="X150" i="1"/>
  <c r="Y150" i="1" s="1"/>
  <c r="X149" i="1"/>
  <c r="Y149" i="1" s="1"/>
  <c r="X148" i="1"/>
  <c r="Y148" i="1" s="1"/>
  <c r="X147" i="1"/>
  <c r="Y147" i="1" s="1"/>
  <c r="X146" i="1"/>
  <c r="Y146" i="1" s="1"/>
  <c r="X145" i="1"/>
  <c r="Y145" i="1" s="1"/>
  <c r="X144" i="1"/>
  <c r="Y144" i="1" s="1"/>
  <c r="X143" i="1"/>
  <c r="Y143" i="1" s="1"/>
  <c r="X142" i="1"/>
  <c r="Y142" i="1" s="1"/>
  <c r="AO141" i="1"/>
  <c r="AS141" i="1" s="1"/>
  <c r="AO140" i="1"/>
  <c r="AS140" i="1" s="1"/>
  <c r="AO139" i="1"/>
  <c r="AS139" i="1" s="1"/>
  <c r="AO138" i="1"/>
  <c r="AS138" i="1" s="1"/>
  <c r="AO137" i="1"/>
  <c r="AS137" i="1" s="1"/>
  <c r="AO136" i="1"/>
  <c r="AS136" i="1" s="1"/>
  <c r="AO135" i="1"/>
  <c r="AS135" i="1" s="1"/>
  <c r="AO134" i="1"/>
  <c r="AS134" i="1" s="1"/>
  <c r="AO133" i="1"/>
  <c r="AS133" i="1" s="1"/>
  <c r="AO132" i="1"/>
  <c r="AS132" i="1" s="1"/>
  <c r="AO131" i="1"/>
  <c r="AS131" i="1" s="1"/>
  <c r="AJ141" i="1"/>
  <c r="AJ140" i="1"/>
  <c r="X141" i="1"/>
  <c r="Y141" i="1" s="1"/>
  <c r="X140" i="1"/>
  <c r="Y140" i="1" s="1"/>
  <c r="X139" i="1"/>
  <c r="Y139" i="1" s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8" i="1"/>
  <c r="BD87" i="1"/>
  <c r="BD86" i="1"/>
  <c r="BD8" i="1"/>
  <c r="BD7" i="1"/>
  <c r="BD6" i="1"/>
  <c r="BD5" i="1"/>
  <c r="BD4" i="1"/>
  <c r="BD3" i="1"/>
  <c r="BD2" i="1"/>
  <c r="X138" i="1"/>
  <c r="Y138" i="1" s="1"/>
  <c r="X137" i="1"/>
  <c r="Y137" i="1" s="1"/>
  <c r="AJ139" i="1"/>
  <c r="AJ138" i="1"/>
  <c r="AJ137" i="1"/>
  <c r="AJ136" i="1"/>
  <c r="AJ135" i="1"/>
  <c r="AJ134" i="1"/>
  <c r="AJ133" i="1"/>
  <c r="AJ132" i="1"/>
  <c r="AJ131" i="1"/>
  <c r="X136" i="1"/>
  <c r="Y136" i="1" s="1"/>
  <c r="AH139" i="1"/>
  <c r="AH138" i="1"/>
  <c r="AH137" i="1"/>
  <c r="AH136" i="1"/>
  <c r="AH135" i="1"/>
  <c r="AH134" i="1"/>
  <c r="AH133" i="1"/>
  <c r="AH132" i="1"/>
  <c r="AH131" i="1"/>
  <c r="X135" i="1"/>
  <c r="Y135" i="1" s="1"/>
  <c r="X134" i="1"/>
  <c r="Y134" i="1" s="1"/>
  <c r="X133" i="1"/>
  <c r="Y133" i="1" s="1"/>
  <c r="X132" i="1"/>
  <c r="Y132" i="1" s="1"/>
  <c r="X131" i="1"/>
  <c r="Y131" i="1" s="1"/>
  <c r="BS130" i="1"/>
  <c r="BT130" i="1" s="1"/>
  <c r="BS129" i="1"/>
  <c r="BT129" i="1" s="1"/>
  <c r="BS128" i="1"/>
  <c r="BT128" i="1" s="1"/>
  <c r="BS127" i="1"/>
  <c r="BT127" i="1" s="1"/>
  <c r="BS126" i="1"/>
  <c r="BT126" i="1" s="1"/>
  <c r="BS125" i="1"/>
  <c r="BT125" i="1" s="1"/>
  <c r="BS124" i="1"/>
  <c r="BT124" i="1" s="1"/>
  <c r="BS123" i="1"/>
  <c r="BT123" i="1" s="1"/>
  <c r="BS122" i="1"/>
  <c r="BT122" i="1" s="1"/>
  <c r="BS121" i="1"/>
  <c r="BT121" i="1" s="1"/>
  <c r="BS120" i="1"/>
  <c r="BT120" i="1" s="1"/>
  <c r="BS119" i="1"/>
  <c r="BT119" i="1" s="1"/>
  <c r="BS118" i="1"/>
  <c r="BT118" i="1" s="1"/>
  <c r="BS117" i="1"/>
  <c r="BT117" i="1" s="1"/>
  <c r="BS116" i="1"/>
  <c r="BT116" i="1" s="1"/>
  <c r="BS115" i="1"/>
  <c r="BT115" i="1" s="1"/>
  <c r="BS114" i="1"/>
  <c r="BT114" i="1" s="1"/>
  <c r="BS113" i="1"/>
  <c r="BT113" i="1" s="1"/>
  <c r="BS112" i="1"/>
  <c r="BT112" i="1" s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AO130" i="1"/>
  <c r="AS130" i="1" s="1"/>
  <c r="AO129" i="1"/>
  <c r="AS129" i="1" s="1"/>
  <c r="AO128" i="1"/>
  <c r="AS128" i="1" s="1"/>
  <c r="AO127" i="1"/>
  <c r="AS127" i="1" s="1"/>
  <c r="AO126" i="1"/>
  <c r="AS126" i="1" s="1"/>
  <c r="AO125" i="1"/>
  <c r="AS125" i="1" s="1"/>
  <c r="AO124" i="1"/>
  <c r="AS124" i="1" s="1"/>
  <c r="AO123" i="1"/>
  <c r="AS123" i="1" s="1"/>
  <c r="AO122" i="1"/>
  <c r="AS122" i="1" s="1"/>
  <c r="AO121" i="1"/>
  <c r="AS121" i="1" s="1"/>
  <c r="AO120" i="1"/>
  <c r="AS120" i="1" s="1"/>
  <c r="AO119" i="1"/>
  <c r="AS119" i="1" s="1"/>
  <c r="AO118" i="1"/>
  <c r="AS118" i="1" s="1"/>
  <c r="AO117" i="1"/>
  <c r="AS117" i="1" s="1"/>
  <c r="AO116" i="1"/>
  <c r="AS116" i="1" s="1"/>
  <c r="AO115" i="1"/>
  <c r="AS115" i="1" s="1"/>
  <c r="AO114" i="1"/>
  <c r="AS114" i="1" s="1"/>
  <c r="AO113" i="1"/>
  <c r="AS113" i="1" s="1"/>
  <c r="AO112" i="1"/>
  <c r="AS112" i="1" s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X130" i="1"/>
  <c r="V130" i="1"/>
  <c r="X129" i="1"/>
  <c r="X128" i="1"/>
  <c r="V128" i="1"/>
  <c r="X127" i="1"/>
  <c r="X126" i="1"/>
  <c r="X125" i="1"/>
  <c r="X124" i="1"/>
  <c r="X123" i="1"/>
  <c r="X122" i="1"/>
  <c r="V122" i="1"/>
  <c r="X121" i="1"/>
  <c r="X120" i="1"/>
  <c r="X119" i="1"/>
  <c r="X118" i="1"/>
  <c r="X117" i="1"/>
  <c r="V117" i="1"/>
  <c r="X116" i="1"/>
  <c r="V116" i="1"/>
  <c r="X115" i="1"/>
  <c r="X114" i="1"/>
  <c r="X113" i="1"/>
  <c r="V113" i="1"/>
  <c r="X112" i="1"/>
  <c r="K129" i="1"/>
  <c r="M129" i="1" s="1"/>
  <c r="P129" i="1" s="1"/>
  <c r="K127" i="1"/>
  <c r="M127" i="1" s="1"/>
  <c r="P127" i="1" s="1"/>
  <c r="K126" i="1"/>
  <c r="M126" i="1" s="1"/>
  <c r="P126" i="1" s="1"/>
  <c r="K125" i="1"/>
  <c r="M125" i="1" s="1"/>
  <c r="P125" i="1" s="1"/>
  <c r="K124" i="1"/>
  <c r="M124" i="1" s="1"/>
  <c r="P124" i="1" s="1"/>
  <c r="K123" i="1"/>
  <c r="M123" i="1" s="1"/>
  <c r="P123" i="1" s="1"/>
  <c r="K121" i="1"/>
  <c r="M121" i="1" s="1"/>
  <c r="P121" i="1" s="1"/>
  <c r="K120" i="1"/>
  <c r="M120" i="1" s="1"/>
  <c r="P120" i="1" s="1"/>
  <c r="K119" i="1"/>
  <c r="M119" i="1" s="1"/>
  <c r="P119" i="1" s="1"/>
  <c r="K118" i="1"/>
  <c r="M118" i="1" s="1"/>
  <c r="P118" i="1" s="1"/>
  <c r="K115" i="1"/>
  <c r="M115" i="1" s="1"/>
  <c r="P115" i="1" s="1"/>
  <c r="K114" i="1"/>
  <c r="M114" i="1" s="1"/>
  <c r="P114" i="1" s="1"/>
  <c r="K112" i="1"/>
  <c r="M112" i="1" s="1"/>
  <c r="P112" i="1" s="1"/>
  <c r="BS111" i="1"/>
  <c r="BT111" i="1" s="1"/>
  <c r="BS110" i="1"/>
  <c r="BT110" i="1" s="1"/>
  <c r="BS109" i="1"/>
  <c r="BT109" i="1" s="1"/>
  <c r="BS108" i="1"/>
  <c r="BT108" i="1" s="1"/>
  <c r="BS107" i="1"/>
  <c r="BT107" i="1" s="1"/>
  <c r="BS106" i="1"/>
  <c r="BT106" i="1" s="1"/>
  <c r="BS105" i="1"/>
  <c r="BT105" i="1" s="1"/>
  <c r="BS104" i="1"/>
  <c r="BT104" i="1" s="1"/>
  <c r="BS103" i="1"/>
  <c r="BT103" i="1" s="1"/>
  <c r="BS102" i="1"/>
  <c r="BT102" i="1" s="1"/>
  <c r="BS101" i="1"/>
  <c r="BT101" i="1" s="1"/>
  <c r="BS100" i="1"/>
  <c r="BT100" i="1" s="1"/>
  <c r="AO111" i="1"/>
  <c r="AS111" i="1" s="1"/>
  <c r="AO110" i="1"/>
  <c r="AS110" i="1" s="1"/>
  <c r="AO109" i="1"/>
  <c r="AS109" i="1" s="1"/>
  <c r="AO108" i="1"/>
  <c r="AS108" i="1" s="1"/>
  <c r="AO107" i="1"/>
  <c r="AS107" i="1" s="1"/>
  <c r="AO106" i="1"/>
  <c r="AS106" i="1" s="1"/>
  <c r="AO105" i="1"/>
  <c r="AS105" i="1" s="1"/>
  <c r="AO104" i="1"/>
  <c r="AS104" i="1" s="1"/>
  <c r="AO103" i="1"/>
  <c r="AS103" i="1" s="1"/>
  <c r="AO102" i="1"/>
  <c r="AS102" i="1" s="1"/>
  <c r="AO101" i="1"/>
  <c r="AS101" i="1" s="1"/>
  <c r="AO100" i="1"/>
  <c r="AS100" i="1" s="1"/>
  <c r="AH111" i="1"/>
  <c r="AH110" i="1"/>
  <c r="AH109" i="1"/>
  <c r="Y111" i="1"/>
  <c r="Y110" i="1"/>
  <c r="Y109" i="1"/>
  <c r="AJ111" i="1"/>
  <c r="AJ110" i="1"/>
  <c r="AJ109" i="1"/>
  <c r="K111" i="1"/>
  <c r="M111" i="1" s="1"/>
  <c r="P111" i="1" s="1"/>
  <c r="Y108" i="1"/>
  <c r="Y107" i="1"/>
  <c r="Y106" i="1"/>
  <c r="Y105" i="1"/>
  <c r="Y104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  <c r="AJ108" i="1"/>
  <c r="AJ107" i="1"/>
  <c r="AJ106" i="1"/>
  <c r="AJ105" i="1"/>
  <c r="AJ104" i="1"/>
  <c r="Y103" i="1"/>
  <c r="Y102" i="1"/>
  <c r="AJ103" i="1"/>
  <c r="AJ102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7" i="1"/>
  <c r="BO66" i="1"/>
  <c r="BO65" i="1"/>
  <c r="BO64" i="1"/>
  <c r="BO63" i="1"/>
  <c r="BO62" i="1"/>
  <c r="BO61" i="1"/>
  <c r="BO60" i="1"/>
  <c r="BO59" i="1"/>
  <c r="BO58" i="1"/>
  <c r="BO25" i="1"/>
  <c r="BO8" i="1"/>
  <c r="BO7" i="1"/>
  <c r="BO6" i="1"/>
  <c r="BO5" i="1"/>
  <c r="BO4" i="1"/>
  <c r="BO3" i="1"/>
  <c r="BO2" i="1"/>
  <c r="Y101" i="1"/>
  <c r="Y100" i="1"/>
  <c r="AJ101" i="1"/>
  <c r="AJ100" i="1"/>
  <c r="Y41" i="1"/>
  <c r="X13" i="1"/>
  <c r="V13" i="1"/>
  <c r="H9379" i="2"/>
  <c r="H8311" i="2"/>
  <c r="H8272" i="2"/>
  <c r="H8271" i="2"/>
  <c r="H8168" i="2"/>
  <c r="H8162" i="2"/>
  <c r="H8161" i="2"/>
  <c r="H7918" i="2"/>
  <c r="H7917" i="2"/>
  <c r="H7713" i="2"/>
  <c r="H7712" i="2"/>
  <c r="H7711" i="2"/>
  <c r="H7710" i="2"/>
  <c r="H7709" i="2"/>
  <c r="H7708" i="2"/>
  <c r="H7707" i="2"/>
  <c r="H7706" i="2"/>
  <c r="H7705" i="2"/>
  <c r="H7703" i="2"/>
  <c r="H4765" i="2"/>
  <c r="H4488" i="2"/>
  <c r="H4081" i="2"/>
  <c r="H2798" i="2"/>
  <c r="H1482" i="2"/>
  <c r="H809" i="2"/>
  <c r="H396" i="2"/>
  <c r="BA2" i="1"/>
  <c r="BS99" i="1"/>
  <c r="BT99" i="1" s="1"/>
  <c r="BS98" i="1"/>
  <c r="BT98" i="1" s="1"/>
  <c r="BS97" i="1"/>
  <c r="BT97" i="1" s="1"/>
  <c r="BS96" i="1"/>
  <c r="BT96" i="1" s="1"/>
  <c r="BS95" i="1"/>
  <c r="BT95" i="1" s="1"/>
  <c r="BS94" i="1"/>
  <c r="BT94" i="1" s="1"/>
  <c r="BS93" i="1"/>
  <c r="BT93" i="1" s="1"/>
  <c r="BS92" i="1"/>
  <c r="BT92" i="1" s="1"/>
  <c r="BS91" i="1"/>
  <c r="BT91" i="1" s="1"/>
  <c r="BS90" i="1"/>
  <c r="BT90" i="1" s="1"/>
  <c r="BS89" i="1"/>
  <c r="BT89" i="1" s="1"/>
  <c r="BS88" i="1"/>
  <c r="BT88" i="1" s="1"/>
  <c r="BS87" i="1"/>
  <c r="BT87" i="1" s="1"/>
  <c r="BS86" i="1"/>
  <c r="BT86" i="1" s="1"/>
  <c r="BS85" i="1"/>
  <c r="BT85" i="1" s="1"/>
  <c r="BS84" i="1"/>
  <c r="BT84" i="1" s="1"/>
  <c r="BS83" i="1"/>
  <c r="BT83" i="1" s="1"/>
  <c r="BS82" i="1"/>
  <c r="BT82" i="1" s="1"/>
  <c r="BS81" i="1"/>
  <c r="BT81" i="1" s="1"/>
  <c r="BS80" i="1"/>
  <c r="BT80" i="1" s="1"/>
  <c r="BS79" i="1"/>
  <c r="BT79" i="1" s="1"/>
  <c r="BS78" i="1"/>
  <c r="BT78" i="1" s="1"/>
  <c r="BS77" i="1"/>
  <c r="BT77" i="1" s="1"/>
  <c r="BS76" i="1"/>
  <c r="BT76" i="1" s="1"/>
  <c r="BS75" i="1"/>
  <c r="BT75" i="1" s="1"/>
  <c r="BS74" i="1"/>
  <c r="BT74" i="1" s="1"/>
  <c r="BS73" i="1"/>
  <c r="BT73" i="1" s="1"/>
  <c r="BS72" i="1"/>
  <c r="BT72" i="1" s="1"/>
  <c r="BS71" i="1"/>
  <c r="BT71" i="1" s="1"/>
  <c r="BS70" i="1"/>
  <c r="BT70" i="1" s="1"/>
  <c r="BS69" i="1"/>
  <c r="BT69" i="1" s="1"/>
  <c r="BS68" i="1"/>
  <c r="BT68" i="1" s="1"/>
  <c r="BS67" i="1"/>
  <c r="BT67" i="1" s="1"/>
  <c r="BS66" i="1"/>
  <c r="BT66" i="1" s="1"/>
  <c r="BS65" i="1"/>
  <c r="BT65" i="1" s="1"/>
  <c r="BS64" i="1"/>
  <c r="BT64" i="1" s="1"/>
  <c r="BS63" i="1"/>
  <c r="BT63" i="1" s="1"/>
  <c r="BS62" i="1"/>
  <c r="BT62" i="1" s="1"/>
  <c r="BS61" i="1"/>
  <c r="BT61" i="1" s="1"/>
  <c r="BS60" i="1"/>
  <c r="BT60" i="1" s="1"/>
  <c r="BS59" i="1"/>
  <c r="BT59" i="1" s="1"/>
  <c r="BS58" i="1"/>
  <c r="BT58" i="1" s="1"/>
  <c r="BS57" i="1"/>
  <c r="BT57" i="1" s="1"/>
  <c r="BS56" i="1"/>
  <c r="BT56" i="1" s="1"/>
  <c r="BS55" i="1"/>
  <c r="BT55" i="1" s="1"/>
  <c r="BS54" i="1"/>
  <c r="BT54" i="1" s="1"/>
  <c r="BS53" i="1"/>
  <c r="BT53" i="1" s="1"/>
  <c r="BS52" i="1"/>
  <c r="BT52" i="1" s="1"/>
  <c r="BS51" i="1"/>
  <c r="BT51" i="1" s="1"/>
  <c r="BS50" i="1"/>
  <c r="BT50" i="1" s="1"/>
  <c r="BS49" i="1"/>
  <c r="BT49" i="1" s="1"/>
  <c r="BS48" i="1"/>
  <c r="BT48" i="1" s="1"/>
  <c r="BS47" i="1"/>
  <c r="BT47" i="1" s="1"/>
  <c r="BS46" i="1"/>
  <c r="BT46" i="1" s="1"/>
  <c r="BS45" i="1"/>
  <c r="BT45" i="1" s="1"/>
  <c r="BS44" i="1"/>
  <c r="BT44" i="1" s="1"/>
  <c r="BS43" i="1"/>
  <c r="BT43" i="1" s="1"/>
  <c r="BS42" i="1"/>
  <c r="BT42" i="1" s="1"/>
  <c r="BS41" i="1"/>
  <c r="BT41" i="1" s="1"/>
  <c r="BS40" i="1"/>
  <c r="BT40" i="1" s="1"/>
  <c r="BS39" i="1"/>
  <c r="BT39" i="1" s="1"/>
  <c r="BS38" i="1"/>
  <c r="BT38" i="1" s="1"/>
  <c r="BS37" i="1"/>
  <c r="BT37" i="1" s="1"/>
  <c r="BS36" i="1"/>
  <c r="BT36" i="1" s="1"/>
  <c r="BS35" i="1"/>
  <c r="BT35" i="1" s="1"/>
  <c r="BS34" i="1"/>
  <c r="BT34" i="1" s="1"/>
  <c r="BS33" i="1"/>
  <c r="BT33" i="1" s="1"/>
  <c r="BS32" i="1"/>
  <c r="BT32" i="1" s="1"/>
  <c r="BS31" i="1"/>
  <c r="BT31" i="1" s="1"/>
  <c r="BS30" i="1"/>
  <c r="BT30" i="1" s="1"/>
  <c r="BS29" i="1"/>
  <c r="BT29" i="1" s="1"/>
  <c r="BS28" i="1"/>
  <c r="BT28" i="1" s="1"/>
  <c r="BS27" i="1"/>
  <c r="BT27" i="1" s="1"/>
  <c r="BS26" i="1"/>
  <c r="BT26" i="1" s="1"/>
  <c r="BS25" i="1"/>
  <c r="BT25" i="1" s="1"/>
  <c r="BS24" i="1"/>
  <c r="BT24" i="1" s="1"/>
  <c r="BS23" i="1"/>
  <c r="BT23" i="1" s="1"/>
  <c r="BS22" i="1"/>
  <c r="BT22" i="1" s="1"/>
  <c r="BS21" i="1"/>
  <c r="BT21" i="1" s="1"/>
  <c r="BS20" i="1"/>
  <c r="BT20" i="1" s="1"/>
  <c r="BS19" i="1"/>
  <c r="BT19" i="1" s="1"/>
  <c r="BS18" i="1"/>
  <c r="BT18" i="1" s="1"/>
  <c r="BS17" i="1"/>
  <c r="BT17" i="1" s="1"/>
  <c r="BS16" i="1"/>
  <c r="BT16" i="1" s="1"/>
  <c r="BS15" i="1"/>
  <c r="BT15" i="1" s="1"/>
  <c r="BS14" i="1"/>
  <c r="BT14" i="1" s="1"/>
  <c r="BS13" i="1"/>
  <c r="BT13" i="1" s="1"/>
  <c r="BS12" i="1"/>
  <c r="BT12" i="1" s="1"/>
  <c r="BS11" i="1"/>
  <c r="BT11" i="1" s="1"/>
  <c r="BS10" i="1"/>
  <c r="BT10" i="1" s="1"/>
  <c r="BS9" i="1"/>
  <c r="BT9" i="1" s="1"/>
  <c r="BS8" i="1"/>
  <c r="BT8" i="1" s="1"/>
  <c r="BS7" i="1"/>
  <c r="BT7" i="1" s="1"/>
  <c r="BS6" i="1"/>
  <c r="BT6" i="1" s="1"/>
  <c r="BS5" i="1"/>
  <c r="BT5" i="1" s="1"/>
  <c r="BS4" i="1"/>
  <c r="BT4" i="1" s="1"/>
  <c r="BS3" i="1"/>
  <c r="BT3" i="1" s="1"/>
  <c r="BS2" i="1"/>
  <c r="BT2" i="1" s="1"/>
  <c r="AO99" i="1"/>
  <c r="AS99" i="1" s="1"/>
  <c r="AO98" i="1"/>
  <c r="AS98" i="1" s="1"/>
  <c r="AO97" i="1"/>
  <c r="AS97" i="1" s="1"/>
  <c r="AO96" i="1"/>
  <c r="AS96" i="1" s="1"/>
  <c r="AO95" i="1"/>
  <c r="AS95" i="1" s="1"/>
  <c r="AO94" i="1"/>
  <c r="AS94" i="1" s="1"/>
  <c r="AO93" i="1"/>
  <c r="AS93" i="1" s="1"/>
  <c r="AO92" i="1"/>
  <c r="AS92" i="1" s="1"/>
  <c r="AO91" i="1"/>
  <c r="AS91" i="1" s="1"/>
  <c r="AO90" i="1"/>
  <c r="AS90" i="1" s="1"/>
  <c r="AO89" i="1"/>
  <c r="AS89" i="1" s="1"/>
  <c r="Y99" i="1"/>
  <c r="Y98" i="1"/>
  <c r="Y97" i="1"/>
  <c r="Y96" i="1"/>
  <c r="Y95" i="1"/>
  <c r="Y94" i="1"/>
  <c r="Y93" i="1"/>
  <c r="Y92" i="1"/>
  <c r="Y91" i="1"/>
  <c r="Y90" i="1"/>
  <c r="Y89" i="1"/>
  <c r="AJ99" i="1"/>
  <c r="AJ98" i="1"/>
  <c r="AJ97" i="1"/>
  <c r="AJ96" i="1"/>
  <c r="AJ95" i="1"/>
  <c r="AJ94" i="1"/>
  <c r="AJ93" i="1"/>
  <c r="AJ92" i="1"/>
  <c r="AJ91" i="1"/>
  <c r="AJ90" i="1"/>
  <c r="AJ89" i="1"/>
  <c r="AO88" i="1"/>
  <c r="AS88" i="1" s="1"/>
  <c r="AO87" i="1"/>
  <c r="AS87" i="1" s="1"/>
  <c r="AO86" i="1"/>
  <c r="AS86" i="1" s="1"/>
  <c r="AJ88" i="1"/>
  <c r="AJ87" i="1"/>
  <c r="AJ86" i="1"/>
  <c r="Y88" i="1"/>
  <c r="Y87" i="1"/>
  <c r="Y86" i="1"/>
  <c r="BA76" i="1"/>
  <c r="BD76" i="1" s="1"/>
  <c r="BA75" i="1"/>
  <c r="BD75" i="1" s="1"/>
  <c r="BA74" i="1"/>
  <c r="BD74" i="1" s="1"/>
  <c r="BA73" i="1"/>
  <c r="BD73" i="1" s="1"/>
  <c r="BA72" i="1"/>
  <c r="BD72" i="1" s="1"/>
  <c r="BB56" i="1"/>
  <c r="BA45" i="1"/>
  <c r="BD45" i="1" s="1"/>
  <c r="BA48" i="1"/>
  <c r="BD48" i="1" s="1"/>
  <c r="AZ68" i="1"/>
  <c r="BA57" i="1"/>
  <c r="BD57" i="1" s="1"/>
  <c r="BA56" i="1"/>
  <c r="BD56" i="1" s="1"/>
  <c r="BA55" i="1"/>
  <c r="BD55" i="1" s="1"/>
  <c r="BA54" i="1"/>
  <c r="BD54" i="1" s="1"/>
  <c r="BA44" i="1"/>
  <c r="BD44" i="1" s="1"/>
  <c r="BA53" i="1"/>
  <c r="BD53" i="1" s="1"/>
  <c r="BA52" i="1"/>
  <c r="BD52" i="1" s="1"/>
  <c r="BA51" i="1"/>
  <c r="BD51" i="1" s="1"/>
  <c r="BA50" i="1"/>
  <c r="BD50" i="1" s="1"/>
  <c r="BA49" i="1"/>
  <c r="BD49" i="1" s="1"/>
  <c r="BA47" i="1"/>
  <c r="BD47" i="1" s="1"/>
  <c r="BA46" i="1"/>
  <c r="BD46" i="1" s="1"/>
  <c r="BA13" i="1"/>
  <c r="BD13" i="1" s="1"/>
  <c r="AO42" i="1"/>
  <c r="AS42" i="1" s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45" i="1"/>
  <c r="AJ43" i="1"/>
  <c r="AJ42" i="1"/>
  <c r="AJ39" i="1"/>
  <c r="AJ38" i="1"/>
  <c r="AJ37" i="1"/>
  <c r="AO74" i="1"/>
  <c r="AS74" i="1" s="1"/>
  <c r="AO73" i="1"/>
  <c r="AS73" i="1" s="1"/>
  <c r="Y74" i="1"/>
  <c r="Y73" i="1"/>
  <c r="AO66" i="1"/>
  <c r="AS66" i="1" s="1"/>
  <c r="AO70" i="1"/>
  <c r="AS70" i="1" s="1"/>
  <c r="AO65" i="1"/>
  <c r="AS65" i="1" s="1"/>
  <c r="AO67" i="1"/>
  <c r="AS67" i="1" s="1"/>
  <c r="AO72" i="1"/>
  <c r="AS72" i="1" s="1"/>
  <c r="Y72" i="1"/>
  <c r="AO45" i="1"/>
  <c r="AS45" i="1" s="1"/>
  <c r="AO68" i="1"/>
  <c r="AS68" i="1" s="1"/>
  <c r="AW52" i="1"/>
  <c r="G52" i="1" s="1"/>
  <c r="H52" i="1" s="1"/>
  <c r="AO38" i="1"/>
  <c r="AS38" i="1" s="1"/>
  <c r="AO41" i="1"/>
  <c r="AS41" i="1" s="1"/>
  <c r="AO40" i="1"/>
  <c r="AS40" i="1" s="1"/>
  <c r="AO30" i="1"/>
  <c r="AS30" i="1" s="1"/>
  <c r="AO19" i="1"/>
  <c r="AS19" i="1" s="1"/>
  <c r="AO13" i="1"/>
  <c r="AS13" i="1" s="1"/>
  <c r="AO35" i="1"/>
  <c r="AS35" i="1" s="1"/>
  <c r="AO17" i="1"/>
  <c r="AS17" i="1" s="1"/>
  <c r="AO34" i="1"/>
  <c r="AS34" i="1" s="1"/>
  <c r="AO33" i="1"/>
  <c r="AS33" i="1" s="1"/>
  <c r="AO26" i="1"/>
  <c r="AS26" i="1" s="1"/>
  <c r="AO25" i="1"/>
  <c r="AS25" i="1" s="1"/>
  <c r="AO24" i="1"/>
  <c r="AS24" i="1" s="1"/>
  <c r="AO23" i="1"/>
  <c r="AS23" i="1" s="1"/>
  <c r="AO22" i="1"/>
  <c r="AS22" i="1" s="1"/>
  <c r="AO20" i="1"/>
  <c r="AS20" i="1" s="1"/>
  <c r="AO39" i="1"/>
  <c r="AS39" i="1" s="1"/>
  <c r="AO43" i="1"/>
  <c r="AS43" i="1" s="1"/>
  <c r="AO37" i="1"/>
  <c r="AS37" i="1" s="1"/>
  <c r="Y40" i="1"/>
  <c r="AO16" i="1"/>
  <c r="AS16" i="1" s="1"/>
  <c r="AO14" i="1"/>
  <c r="AS14" i="1" s="1"/>
  <c r="AO18" i="1"/>
  <c r="AS18" i="1" s="1"/>
  <c r="AO10" i="1"/>
  <c r="AS10" i="1" s="1"/>
  <c r="AO9" i="1"/>
  <c r="AS9" i="1" s="1"/>
  <c r="AO36" i="1"/>
  <c r="AS36" i="1" s="1"/>
  <c r="AO11" i="1"/>
  <c r="AS11" i="1" s="1"/>
  <c r="AO12" i="1"/>
  <c r="AS12" i="1" s="1"/>
  <c r="X36" i="1"/>
  <c r="V36" i="1"/>
  <c r="X35" i="1"/>
  <c r="V35" i="1"/>
  <c r="AJ35" i="1" s="1"/>
  <c r="X34" i="1"/>
  <c r="V34" i="1"/>
  <c r="AJ34" i="1" s="1"/>
  <c r="X33" i="1"/>
  <c r="V33" i="1"/>
  <c r="AJ33" i="1" s="1"/>
  <c r="X32" i="1"/>
  <c r="AN32" i="1" s="1"/>
  <c r="AO32" i="1" s="1"/>
  <c r="AS32" i="1" s="1"/>
  <c r="V32" i="1"/>
  <c r="AJ32" i="1" s="1"/>
  <c r="X31" i="1"/>
  <c r="AN31" i="1" s="1"/>
  <c r="AO31" i="1" s="1"/>
  <c r="AS31" i="1" s="1"/>
  <c r="V31" i="1"/>
  <c r="AJ31" i="1" s="1"/>
  <c r="X30" i="1"/>
  <c r="V30" i="1"/>
  <c r="X29" i="1"/>
  <c r="AN29" i="1" s="1"/>
  <c r="AO29" i="1" s="1"/>
  <c r="AS29" i="1" s="1"/>
  <c r="V29" i="1"/>
  <c r="AJ29" i="1" s="1"/>
  <c r="X28" i="1"/>
  <c r="AN28" i="1" s="1"/>
  <c r="AO28" i="1" s="1"/>
  <c r="AS28" i="1" s="1"/>
  <c r="V28" i="1"/>
  <c r="AJ28" i="1" s="1"/>
  <c r="X27" i="1"/>
  <c r="AN27" i="1" s="1"/>
  <c r="AO27" i="1" s="1"/>
  <c r="AS27" i="1" s="1"/>
  <c r="V27" i="1"/>
  <c r="AJ27" i="1" s="1"/>
  <c r="X26" i="1"/>
  <c r="V26" i="1"/>
  <c r="AJ26" i="1" s="1"/>
  <c r="X25" i="1"/>
  <c r="V25" i="1"/>
  <c r="X24" i="1"/>
  <c r="V24" i="1"/>
  <c r="AJ24" i="1" s="1"/>
  <c r="X23" i="1"/>
  <c r="V23" i="1"/>
  <c r="AJ23" i="1" s="1"/>
  <c r="X22" i="1"/>
  <c r="V22" i="1"/>
  <c r="AJ22" i="1" s="1"/>
  <c r="X21" i="1"/>
  <c r="AN21" i="1" s="1"/>
  <c r="AO21" i="1" s="1"/>
  <c r="AS21" i="1" s="1"/>
  <c r="V21" i="1"/>
  <c r="AJ21" i="1" s="1"/>
  <c r="X20" i="1"/>
  <c r="V20" i="1"/>
  <c r="AJ20" i="1" s="1"/>
  <c r="X19" i="1"/>
  <c r="V19" i="1"/>
  <c r="AJ19" i="1" s="1"/>
  <c r="X18" i="1"/>
  <c r="V18" i="1"/>
  <c r="AJ18" i="1" s="1"/>
  <c r="X17" i="1"/>
  <c r="V17" i="1"/>
  <c r="AJ17" i="1" s="1"/>
  <c r="X16" i="1"/>
  <c r="V16" i="1"/>
  <c r="AJ16" i="1" s="1"/>
  <c r="X15" i="1"/>
  <c r="AN15" i="1" s="1"/>
  <c r="AO15" i="1" s="1"/>
  <c r="AS15" i="1" s="1"/>
  <c r="V15" i="1"/>
  <c r="AJ15" i="1" s="1"/>
  <c r="X14" i="1"/>
  <c r="V14" i="1"/>
  <c r="AJ14" i="1" s="1"/>
  <c r="X12" i="1"/>
  <c r="V12" i="1"/>
  <c r="AJ12" i="1" s="1"/>
  <c r="X11" i="1"/>
  <c r="V11" i="1"/>
  <c r="X10" i="1"/>
  <c r="V10" i="1"/>
  <c r="AJ10" i="1" s="1"/>
  <c r="X9" i="1"/>
  <c r="V9" i="1"/>
  <c r="Y43" i="1"/>
  <c r="Y42" i="1"/>
  <c r="Y39" i="1"/>
  <c r="Y38" i="1"/>
  <c r="Y37" i="1"/>
  <c r="AO55" i="1"/>
  <c r="AS55" i="1" s="1"/>
  <c r="AO54" i="1"/>
  <c r="AS54" i="1" s="1"/>
  <c r="AO53" i="1"/>
  <c r="AS53" i="1" s="1"/>
  <c r="AO52" i="1"/>
  <c r="AS52" i="1" s="1"/>
  <c r="AO51" i="1"/>
  <c r="AS51" i="1" s="1"/>
  <c r="AO50" i="1"/>
  <c r="AS50" i="1" s="1"/>
  <c r="AO49" i="1"/>
  <c r="AS49" i="1" s="1"/>
  <c r="AO48" i="1"/>
  <c r="AS48" i="1" s="1"/>
  <c r="AO47" i="1"/>
  <c r="AS47" i="1" s="1"/>
  <c r="AO46" i="1"/>
  <c r="AS46" i="1" s="1"/>
  <c r="AO44" i="1"/>
  <c r="AS44" i="1" s="1"/>
  <c r="X47" i="1"/>
  <c r="V47" i="1"/>
  <c r="AJ47" i="1" s="1"/>
  <c r="X46" i="1"/>
  <c r="V46" i="1"/>
  <c r="AJ46" i="1" s="1"/>
  <c r="X44" i="1"/>
  <c r="V44" i="1"/>
  <c r="AJ44" i="1" s="1"/>
  <c r="X53" i="1"/>
  <c r="V53" i="1"/>
  <c r="AJ53" i="1" s="1"/>
  <c r="X52" i="1"/>
  <c r="V52" i="1"/>
  <c r="AJ52" i="1" s="1"/>
  <c r="X51" i="1"/>
  <c r="V51" i="1"/>
  <c r="AJ51" i="1" s="1"/>
  <c r="X50" i="1"/>
  <c r="V50" i="1"/>
  <c r="AJ50" i="1" s="1"/>
  <c r="X49" i="1"/>
  <c r="V49" i="1"/>
  <c r="AJ49" i="1" s="1"/>
  <c r="X48" i="1"/>
  <c r="V48" i="1"/>
  <c r="AJ48" i="1" s="1"/>
  <c r="AO57" i="1"/>
  <c r="AS57" i="1" s="1"/>
  <c r="AO56" i="1"/>
  <c r="AS56" i="1" s="1"/>
  <c r="Y57" i="1"/>
  <c r="Y56" i="1"/>
  <c r="Y55" i="1"/>
  <c r="Y54" i="1"/>
  <c r="AO75" i="1"/>
  <c r="AS75" i="1" s="1"/>
  <c r="Y75" i="1"/>
  <c r="AO71" i="1"/>
  <c r="AS71" i="1" s="1"/>
  <c r="AO69" i="1"/>
  <c r="AS69" i="1" s="1"/>
  <c r="Y71" i="1"/>
  <c r="Y70" i="1"/>
  <c r="Y69" i="1"/>
  <c r="AN64" i="1"/>
  <c r="AO64" i="1" s="1"/>
  <c r="AS64" i="1" s="1"/>
  <c r="AN63" i="1"/>
  <c r="AO63" i="1" s="1"/>
  <c r="AS63" i="1" s="1"/>
  <c r="AN62" i="1"/>
  <c r="AO62" i="1" s="1"/>
  <c r="AS62" i="1" s="1"/>
  <c r="AN61" i="1"/>
  <c r="AO61" i="1" s="1"/>
  <c r="AS61" i="1" s="1"/>
  <c r="AN60" i="1"/>
  <c r="AO60" i="1" s="1"/>
  <c r="AS60" i="1" s="1"/>
  <c r="AN59" i="1"/>
  <c r="AO59" i="1" s="1"/>
  <c r="AS59" i="1" s="1"/>
  <c r="AN58" i="1"/>
  <c r="AO58" i="1" s="1"/>
  <c r="AS58" i="1" s="1"/>
  <c r="Y58" i="1"/>
  <c r="Y59" i="1"/>
  <c r="Y60" i="1"/>
  <c r="Y61" i="1"/>
  <c r="Y62" i="1"/>
  <c r="Y63" i="1"/>
  <c r="Y64" i="1"/>
  <c r="Y65" i="1"/>
  <c r="Y66" i="1"/>
  <c r="Y67" i="1"/>
  <c r="Y68" i="1"/>
  <c r="AO78" i="1"/>
  <c r="AS78" i="1" s="1"/>
  <c r="AO81" i="1"/>
  <c r="AS81" i="1" s="1"/>
  <c r="AO76" i="1"/>
  <c r="AS76" i="1" s="1"/>
  <c r="Y76" i="1"/>
  <c r="AO84" i="1"/>
  <c r="AS84" i="1" s="1"/>
  <c r="AO79" i="1"/>
  <c r="AS79" i="1" s="1"/>
  <c r="AO82" i="1"/>
  <c r="AS82" i="1" s="1"/>
  <c r="AO77" i="1"/>
  <c r="AS77" i="1" s="1"/>
  <c r="AO83" i="1"/>
  <c r="AS83" i="1" s="1"/>
  <c r="AO80" i="1"/>
  <c r="AS80" i="1" s="1"/>
  <c r="Y83" i="1"/>
  <c r="Y82" i="1"/>
  <c r="Y81" i="1"/>
  <c r="Y80" i="1"/>
  <c r="Y79" i="1"/>
  <c r="Y78" i="1"/>
  <c r="Y77" i="1"/>
  <c r="AO85" i="1"/>
  <c r="AS85" i="1" s="1"/>
  <c r="AJ8" i="1"/>
  <c r="AJ7" i="1"/>
  <c r="AJ6" i="1"/>
  <c r="AJ5" i="1"/>
  <c r="AJ4" i="1"/>
  <c r="AJ3" i="1"/>
  <c r="AJ2" i="1"/>
  <c r="Y85" i="1"/>
  <c r="Y84" i="1"/>
  <c r="Y8" i="1"/>
  <c r="Y7" i="1"/>
  <c r="Y6" i="1"/>
  <c r="Y5" i="1"/>
  <c r="Y4" i="1"/>
  <c r="Y3" i="1"/>
  <c r="K8" i="1"/>
  <c r="M8" i="1" s="1"/>
  <c r="P8" i="1" s="1"/>
  <c r="K7" i="1"/>
  <c r="M7" i="1" s="1"/>
  <c r="P7" i="1" s="1"/>
  <c r="K6" i="1"/>
  <c r="M6" i="1" s="1"/>
  <c r="P6" i="1" s="1"/>
  <c r="K5" i="1"/>
  <c r="M5" i="1" s="1"/>
  <c r="P5" i="1" s="1"/>
  <c r="K4" i="1"/>
  <c r="M4" i="1" s="1"/>
  <c r="P4" i="1" s="1"/>
  <c r="K3" i="1"/>
  <c r="M3" i="1" s="1"/>
  <c r="P3" i="1" s="1"/>
  <c r="Y2" i="1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Q280" i="1" l="1"/>
  <c r="AS280" i="1"/>
  <c r="AQ279" i="1"/>
  <c r="AS279" i="1"/>
  <c r="AQ277" i="1"/>
  <c r="AS277" i="1"/>
  <c r="AQ274" i="1"/>
  <c r="AS274" i="1"/>
  <c r="AQ273" i="1"/>
  <c r="AS273" i="1"/>
  <c r="AQ272" i="1"/>
  <c r="AS272" i="1"/>
  <c r="AS271" i="1"/>
  <c r="AS270" i="1"/>
  <c r="AS269" i="1"/>
  <c r="AS268" i="1"/>
  <c r="AS267" i="1"/>
  <c r="AC271" i="1"/>
  <c r="AD271" i="1" s="1"/>
  <c r="BA271" i="1" s="1"/>
  <c r="AA271" i="1"/>
  <c r="AC270" i="1"/>
  <c r="AD270" i="1" s="1"/>
  <c r="BA270" i="1" s="1"/>
  <c r="AA270" i="1"/>
  <c r="AC269" i="1"/>
  <c r="AD269" i="1" s="1"/>
  <c r="BA269" i="1" s="1"/>
  <c r="AA269" i="1"/>
  <c r="AC268" i="1"/>
  <c r="AD268" i="1" s="1"/>
  <c r="BA268" i="1" s="1"/>
  <c r="AA268" i="1"/>
  <c r="AC267" i="1"/>
  <c r="AD267" i="1" s="1"/>
  <c r="BA267" i="1" s="1"/>
  <c r="AA267" i="1"/>
  <c r="U271" i="1"/>
  <c r="U270" i="1"/>
  <c r="U269" i="1"/>
  <c r="U268" i="1"/>
  <c r="U267" i="1"/>
  <c r="U166" i="1"/>
  <c r="U266" i="1"/>
  <c r="U265" i="1"/>
  <c r="AC266" i="1"/>
  <c r="AD266" i="1" s="1"/>
  <c r="AA266" i="1"/>
  <c r="AC265" i="1"/>
  <c r="AD265" i="1" s="1"/>
  <c r="AA265" i="1"/>
  <c r="M239" i="1"/>
  <c r="X239" i="1"/>
  <c r="Y239" i="1" s="1"/>
  <c r="U264" i="1"/>
  <c r="U261" i="1"/>
  <c r="U260" i="1"/>
  <c r="U259" i="1"/>
  <c r="U263" i="1"/>
  <c r="U262" i="1"/>
  <c r="U258" i="1"/>
  <c r="AC264" i="1"/>
  <c r="AA264" i="1"/>
  <c r="M238" i="1"/>
  <c r="X238" i="1"/>
  <c r="Y238" i="1" s="1"/>
  <c r="AC263" i="1"/>
  <c r="AA263" i="1"/>
  <c r="AC262" i="1"/>
  <c r="AA262" i="1"/>
  <c r="AC261" i="1"/>
  <c r="AA261" i="1"/>
  <c r="AC260" i="1"/>
  <c r="AA26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AC259" i="1"/>
  <c r="AA259" i="1"/>
  <c r="AC258" i="1"/>
  <c r="AA258" i="1"/>
  <c r="BH232" i="1"/>
  <c r="BP232" i="1" s="1"/>
  <c r="BH231" i="1"/>
  <c r="BP231" i="1" s="1"/>
  <c r="BH230" i="1"/>
  <c r="BP230" i="1" s="1"/>
  <c r="BH229" i="1"/>
  <c r="BP229" i="1" s="1"/>
  <c r="BH228" i="1"/>
  <c r="BP228" i="1" s="1"/>
  <c r="BH227" i="1"/>
  <c r="BP227" i="1" s="1"/>
  <c r="AC256" i="1"/>
  <c r="AA256" i="1"/>
  <c r="U257" i="1"/>
  <c r="U256" i="1"/>
  <c r="AC257" i="1"/>
  <c r="AA257" i="1"/>
  <c r="M247" i="1"/>
  <c r="P247" i="1" s="1"/>
  <c r="X247" i="1"/>
  <c r="M246" i="1"/>
  <c r="P246" i="1" s="1"/>
  <c r="X246" i="1"/>
  <c r="BE235" i="1"/>
  <c r="BF235" i="1" s="1"/>
  <c r="BG235" i="1" s="1"/>
  <c r="BH241" i="1"/>
  <c r="BP241" i="1" s="1"/>
  <c r="BH240" i="1"/>
  <c r="BP240" i="1" s="1"/>
  <c r="BH238" i="1"/>
  <c r="BP238" i="1" s="1"/>
  <c r="BH237" i="1"/>
  <c r="BP237" i="1" s="1"/>
  <c r="BH236" i="1"/>
  <c r="BP236" i="1" s="1"/>
  <c r="BH235" i="1"/>
  <c r="BP235" i="1" s="1"/>
  <c r="BH234" i="1"/>
  <c r="BP234" i="1" s="1"/>
  <c r="BH233" i="1"/>
  <c r="BP233" i="1" s="1"/>
  <c r="U255" i="1"/>
  <c r="U221" i="1"/>
  <c r="AC252" i="1"/>
  <c r="AA252" i="1"/>
  <c r="AC251" i="1"/>
  <c r="AA251" i="1"/>
  <c r="AC250" i="1"/>
  <c r="AA250" i="1"/>
  <c r="AC255" i="1"/>
  <c r="AA255" i="1"/>
  <c r="AC253" i="1"/>
  <c r="AA253" i="1"/>
  <c r="U253" i="1"/>
  <c r="U254" i="1"/>
  <c r="AC254" i="1"/>
  <c r="AA254" i="1"/>
  <c r="U252" i="1"/>
  <c r="U251" i="1"/>
  <c r="U250" i="1"/>
  <c r="U249" i="1"/>
  <c r="U248" i="1"/>
  <c r="BH239" i="1"/>
  <c r="BP239" i="1" s="1"/>
  <c r="AC249" i="1"/>
  <c r="AA249" i="1"/>
  <c r="AC248" i="1"/>
  <c r="AA248" i="1"/>
  <c r="BH226" i="1"/>
  <c r="BP226" i="1" s="1"/>
  <c r="BH225" i="1"/>
  <c r="BP225" i="1" s="1"/>
  <c r="BH224" i="1"/>
  <c r="BP224" i="1" s="1"/>
  <c r="BH221" i="1"/>
  <c r="BP221" i="1" s="1"/>
  <c r="BH220" i="1"/>
  <c r="BP220" i="1" s="1"/>
  <c r="BH219" i="1"/>
  <c r="BP219" i="1" s="1"/>
  <c r="BH74" i="1"/>
  <c r="BP74" i="1" s="1"/>
  <c r="BH73" i="1"/>
  <c r="BP73" i="1" s="1"/>
  <c r="BH72" i="1"/>
  <c r="BP72" i="1" s="1"/>
  <c r="BH45" i="1"/>
  <c r="BH13" i="1"/>
  <c r="BH55" i="1"/>
  <c r="BH54" i="1"/>
  <c r="BH53" i="1"/>
  <c r="BH52" i="1"/>
  <c r="BH51" i="1"/>
  <c r="BH50" i="1"/>
  <c r="BH49" i="1"/>
  <c r="BH48" i="1"/>
  <c r="BH47" i="1"/>
  <c r="BH46" i="1"/>
  <c r="BH44" i="1"/>
  <c r="BH57" i="1"/>
  <c r="BH56" i="1"/>
  <c r="BH75" i="1"/>
  <c r="BP75" i="1" s="1"/>
  <c r="BH76" i="1"/>
  <c r="BP76" i="1" s="1"/>
  <c r="BH99" i="1"/>
  <c r="BH98" i="1"/>
  <c r="BH97" i="1"/>
  <c r="BH95" i="1"/>
  <c r="BH94" i="1"/>
  <c r="BH93" i="1"/>
  <c r="BH92" i="1"/>
  <c r="BH91" i="1"/>
  <c r="BH90" i="1"/>
  <c r="BH88" i="1"/>
  <c r="BH87" i="1"/>
  <c r="BH86" i="1"/>
  <c r="BH218" i="1"/>
  <c r="BP218" i="1" s="1"/>
  <c r="BH217" i="1"/>
  <c r="BP217" i="1" s="1"/>
  <c r="BH216" i="1"/>
  <c r="BP216" i="1" s="1"/>
  <c r="BH215" i="1"/>
  <c r="BP215" i="1" s="1"/>
  <c r="BH214" i="1"/>
  <c r="BP214" i="1" s="1"/>
  <c r="BH213" i="1"/>
  <c r="BP213" i="1" s="1"/>
  <c r="BH212" i="1"/>
  <c r="BP212" i="1" s="1"/>
  <c r="BH211" i="1"/>
  <c r="BP211" i="1" s="1"/>
  <c r="BH210" i="1"/>
  <c r="BP210" i="1" s="1"/>
  <c r="BH209" i="1"/>
  <c r="BP209" i="1" s="1"/>
  <c r="BH208" i="1"/>
  <c r="BP208" i="1" s="1"/>
  <c r="BH207" i="1"/>
  <c r="BP207" i="1" s="1"/>
  <c r="BH206" i="1"/>
  <c r="BP206" i="1" s="1"/>
  <c r="BH205" i="1"/>
  <c r="BP205" i="1" s="1"/>
  <c r="BH204" i="1"/>
  <c r="BP204" i="1" s="1"/>
  <c r="BH203" i="1"/>
  <c r="BP203" i="1" s="1"/>
  <c r="BH202" i="1"/>
  <c r="BP202" i="1" s="1"/>
  <c r="BH201" i="1"/>
  <c r="BP201" i="1" s="1"/>
  <c r="BH200" i="1"/>
  <c r="BP200" i="1" s="1"/>
  <c r="BH199" i="1"/>
  <c r="BP199" i="1" s="1"/>
  <c r="BH198" i="1"/>
  <c r="BP198" i="1" s="1"/>
  <c r="BH197" i="1"/>
  <c r="BP197" i="1" s="1"/>
  <c r="BH196" i="1"/>
  <c r="BP196" i="1" s="1"/>
  <c r="BH195" i="1"/>
  <c r="BP195" i="1" s="1"/>
  <c r="BH194" i="1"/>
  <c r="BP194" i="1" s="1"/>
  <c r="BH193" i="1"/>
  <c r="BP193" i="1" s="1"/>
  <c r="AN245" i="1"/>
  <c r="AO245" i="1" s="1"/>
  <c r="AS245" i="1" s="1"/>
  <c r="Y245" i="1"/>
  <c r="AA245" i="1" s="1"/>
  <c r="AC245" i="1" s="1"/>
  <c r="AN244" i="1"/>
  <c r="AO244" i="1" s="1"/>
  <c r="AS244" i="1" s="1"/>
  <c r="Y244" i="1"/>
  <c r="AA244" i="1" s="1"/>
  <c r="AC244" i="1" s="1"/>
  <c r="AD244" i="1" s="1"/>
  <c r="BA244" i="1" s="1"/>
  <c r="BD244" i="1" s="1"/>
  <c r="BE2" i="1"/>
  <c r="BE236" i="1"/>
  <c r="BF236" i="1" s="1"/>
  <c r="BG236" i="1" s="1"/>
  <c r="BH130" i="1"/>
  <c r="BH96" i="1"/>
  <c r="BH192" i="1"/>
  <c r="BP192" i="1" s="1"/>
  <c r="BH191" i="1"/>
  <c r="BP191" i="1" s="1"/>
  <c r="BH190" i="1"/>
  <c r="BP190" i="1" s="1"/>
  <c r="BH189" i="1"/>
  <c r="BP189" i="1" s="1"/>
  <c r="BH170" i="1"/>
  <c r="BP170" i="1" s="1"/>
  <c r="BH169" i="1"/>
  <c r="BP169" i="1" s="1"/>
  <c r="BH168" i="1"/>
  <c r="BP168" i="1" s="1"/>
  <c r="BH167" i="1"/>
  <c r="BP167" i="1" s="1"/>
  <c r="BH166" i="1"/>
  <c r="BP166" i="1" s="1"/>
  <c r="BH165" i="1"/>
  <c r="BP165" i="1" s="1"/>
  <c r="BH164" i="1"/>
  <c r="BP164" i="1" s="1"/>
  <c r="BH163" i="1"/>
  <c r="BP163" i="1" s="1"/>
  <c r="BH162" i="1"/>
  <c r="BP162" i="1" s="1"/>
  <c r="BH161" i="1"/>
  <c r="BP161" i="1" s="1"/>
  <c r="BH160" i="1"/>
  <c r="BP160" i="1" s="1"/>
  <c r="BH159" i="1"/>
  <c r="BP159" i="1" s="1"/>
  <c r="BH158" i="1"/>
  <c r="BP158" i="1" s="1"/>
  <c r="BH157" i="1"/>
  <c r="BP157" i="1" s="1"/>
  <c r="BH156" i="1"/>
  <c r="BP156" i="1" s="1"/>
  <c r="BH155" i="1"/>
  <c r="BP155" i="1" s="1"/>
  <c r="BH154" i="1"/>
  <c r="BP154" i="1" s="1"/>
  <c r="BH153" i="1"/>
  <c r="BP153" i="1" s="1"/>
  <c r="BH152" i="1"/>
  <c r="BP152" i="1" s="1"/>
  <c r="BH151" i="1"/>
  <c r="BP151" i="1" s="1"/>
  <c r="BH150" i="1"/>
  <c r="BP150" i="1" s="1"/>
  <c r="BH149" i="1"/>
  <c r="BP149" i="1" s="1"/>
  <c r="BH148" i="1"/>
  <c r="BP148" i="1" s="1"/>
  <c r="BH147" i="1"/>
  <c r="BP147" i="1" s="1"/>
  <c r="BH146" i="1"/>
  <c r="BP146" i="1" s="1"/>
  <c r="BH145" i="1"/>
  <c r="BP145" i="1" s="1"/>
  <c r="BH144" i="1"/>
  <c r="BP144" i="1" s="1"/>
  <c r="BH143" i="1"/>
  <c r="BP143" i="1" s="1"/>
  <c r="BH142" i="1"/>
  <c r="BP142" i="1" s="1"/>
  <c r="BH141" i="1"/>
  <c r="BP141" i="1" s="1"/>
  <c r="BH140" i="1"/>
  <c r="BP140" i="1" s="1"/>
  <c r="BH139" i="1"/>
  <c r="BP139" i="1" s="1"/>
  <c r="BH111" i="1"/>
  <c r="BH110" i="1"/>
  <c r="BP110" i="1" s="1"/>
  <c r="BH109" i="1"/>
  <c r="BP109" i="1" s="1"/>
  <c r="BH108" i="1"/>
  <c r="BP108" i="1" s="1"/>
  <c r="BH107" i="1"/>
  <c r="BP107" i="1" s="1"/>
  <c r="BH106" i="1"/>
  <c r="BH105" i="1"/>
  <c r="BH104" i="1"/>
  <c r="BH103" i="1"/>
  <c r="BP103" i="1" s="1"/>
  <c r="BH102" i="1"/>
  <c r="BP102" i="1" s="1"/>
  <c r="BH101" i="1"/>
  <c r="BP101" i="1" s="1"/>
  <c r="BH100" i="1"/>
  <c r="BP100" i="1" s="1"/>
  <c r="BH188" i="1"/>
  <c r="BP188" i="1" s="1"/>
  <c r="BH187" i="1"/>
  <c r="BP187" i="1" s="1"/>
  <c r="BH186" i="1"/>
  <c r="BP186" i="1" s="1"/>
  <c r="BH185" i="1"/>
  <c r="BP185" i="1" s="1"/>
  <c r="BH184" i="1"/>
  <c r="BP184" i="1" s="1"/>
  <c r="BH183" i="1"/>
  <c r="BP183" i="1" s="1"/>
  <c r="BH182" i="1"/>
  <c r="BP182" i="1" s="1"/>
  <c r="BH181" i="1"/>
  <c r="BP181" i="1" s="1"/>
  <c r="BH180" i="1"/>
  <c r="BP180" i="1" s="1"/>
  <c r="BH179" i="1"/>
  <c r="BP179" i="1" s="1"/>
  <c r="BH178" i="1"/>
  <c r="BP178" i="1" s="1"/>
  <c r="BH177" i="1"/>
  <c r="BP177" i="1" s="1"/>
  <c r="BH176" i="1"/>
  <c r="BP176" i="1" s="1"/>
  <c r="BH175" i="1"/>
  <c r="BP175" i="1" s="1"/>
  <c r="BH174" i="1"/>
  <c r="BP174" i="1" s="1"/>
  <c r="BH173" i="1"/>
  <c r="BP173" i="1" s="1"/>
  <c r="BH172" i="1"/>
  <c r="BP172" i="1" s="1"/>
  <c r="BH171" i="1"/>
  <c r="BP171" i="1" s="1"/>
  <c r="BH138" i="1"/>
  <c r="BP138" i="1" s="1"/>
  <c r="BH137" i="1"/>
  <c r="BP137" i="1" s="1"/>
  <c r="BH136" i="1"/>
  <c r="BP136" i="1" s="1"/>
  <c r="BH135" i="1"/>
  <c r="BP135" i="1" s="1"/>
  <c r="BH134" i="1"/>
  <c r="BP134" i="1" s="1"/>
  <c r="BH133" i="1"/>
  <c r="BP133" i="1" s="1"/>
  <c r="BH132" i="1"/>
  <c r="BP132" i="1" s="1"/>
  <c r="BH131" i="1"/>
  <c r="BP131" i="1" s="1"/>
  <c r="BH8" i="1"/>
  <c r="BH7" i="1"/>
  <c r="BH6" i="1"/>
  <c r="BH5" i="1"/>
  <c r="BH4" i="1"/>
  <c r="BH3" i="1"/>
  <c r="BH2" i="1"/>
  <c r="U247" i="1"/>
  <c r="U246" i="1"/>
  <c r="U245" i="1"/>
  <c r="U244" i="1"/>
  <c r="U242" i="1"/>
  <c r="U243" i="1"/>
  <c r="U241" i="1"/>
  <c r="U240" i="1"/>
  <c r="U239" i="1"/>
  <c r="U238" i="1"/>
  <c r="U237" i="1"/>
  <c r="U236" i="1"/>
  <c r="U235" i="1"/>
  <c r="U231" i="1"/>
  <c r="U230" i="1"/>
  <c r="Y243" i="1"/>
  <c r="AA243" i="1" s="1"/>
  <c r="AC243" i="1" s="1"/>
  <c r="AD243" i="1" s="1"/>
  <c r="BA243" i="1" s="1"/>
  <c r="BD243" i="1" s="1"/>
  <c r="AJ243" i="1"/>
  <c r="BH242" i="1"/>
  <c r="BP242" i="1" s="1"/>
  <c r="BD245" i="1"/>
  <c r="BE245" i="1" s="1"/>
  <c r="AJ245" i="1"/>
  <c r="Y242" i="1"/>
  <c r="AJ242" i="1"/>
  <c r="BD247" i="1"/>
  <c r="BD246" i="1"/>
  <c r="AC236" i="1"/>
  <c r="AA236" i="1"/>
  <c r="AC235" i="1"/>
  <c r="AA235" i="1"/>
  <c r="AC231" i="1"/>
  <c r="AD231" i="1" s="1"/>
  <c r="BA231" i="1" s="1"/>
  <c r="BE231" i="1" s="1"/>
  <c r="AA231" i="1"/>
  <c r="AC230" i="1"/>
  <c r="AD230" i="1" s="1"/>
  <c r="BA230" i="1" s="1"/>
  <c r="BE230" i="1" s="1"/>
  <c r="AA230" i="1"/>
  <c r="AC229" i="1"/>
  <c r="AD229" i="1" s="1"/>
  <c r="BA229" i="1" s="1"/>
  <c r="BE229" i="1" s="1"/>
  <c r="AA229" i="1"/>
  <c r="AC228" i="1"/>
  <c r="AD228" i="1" s="1"/>
  <c r="BA228" i="1" s="1"/>
  <c r="BE228" i="1" s="1"/>
  <c r="AA228" i="1"/>
  <c r="AC227" i="1"/>
  <c r="AD227" i="1" s="1"/>
  <c r="BA227" i="1" s="1"/>
  <c r="BE227" i="1" s="1"/>
  <c r="AA227" i="1"/>
  <c r="AC226" i="1"/>
  <c r="AD226" i="1" s="1"/>
  <c r="BA226" i="1" s="1"/>
  <c r="BE226" i="1" s="1"/>
  <c r="AA226" i="1"/>
  <c r="AC225" i="1"/>
  <c r="AD225" i="1" s="1"/>
  <c r="BA225" i="1" s="1"/>
  <c r="BE225" i="1" s="1"/>
  <c r="AA225" i="1"/>
  <c r="AC234" i="1"/>
  <c r="AD234" i="1" s="1"/>
  <c r="BA234" i="1" s="1"/>
  <c r="BE234" i="1" s="1"/>
  <c r="AA234" i="1"/>
  <c r="AC233" i="1"/>
  <c r="AD233" i="1" s="1"/>
  <c r="BA233" i="1" s="1"/>
  <c r="BE233" i="1" s="1"/>
  <c r="AA233" i="1"/>
  <c r="AC232" i="1"/>
  <c r="AD232" i="1" s="1"/>
  <c r="BA232" i="1" s="1"/>
  <c r="BE232" i="1" s="1"/>
  <c r="AA232" i="1"/>
  <c r="AC224" i="1"/>
  <c r="AD224" i="1" s="1"/>
  <c r="BA224" i="1" s="1"/>
  <c r="BE224" i="1" s="1"/>
  <c r="AA224" i="1"/>
  <c r="AC223" i="1"/>
  <c r="AD223" i="1" s="1"/>
  <c r="BA223" i="1" s="1"/>
  <c r="BD223" i="1" s="1"/>
  <c r="AA223" i="1"/>
  <c r="AC222" i="1"/>
  <c r="AD222" i="1" s="1"/>
  <c r="BA222" i="1" s="1"/>
  <c r="BD222" i="1" s="1"/>
  <c r="AA222" i="1"/>
  <c r="AC221" i="1"/>
  <c r="AD221" i="1" s="1"/>
  <c r="BA221" i="1" s="1"/>
  <c r="BE221" i="1" s="1"/>
  <c r="AA221" i="1"/>
  <c r="AC220" i="1"/>
  <c r="AD220" i="1" s="1"/>
  <c r="BA220" i="1" s="1"/>
  <c r="BE220" i="1" s="1"/>
  <c r="AA220" i="1"/>
  <c r="AC219" i="1"/>
  <c r="AD219" i="1" s="1"/>
  <c r="BA219" i="1" s="1"/>
  <c r="BE219" i="1" s="1"/>
  <c r="AA219" i="1"/>
  <c r="AC207" i="1"/>
  <c r="AD207" i="1" s="1"/>
  <c r="BA207" i="1" s="1"/>
  <c r="BE207" i="1" s="1"/>
  <c r="AA207" i="1"/>
  <c r="AC206" i="1"/>
  <c r="AD206" i="1" s="1"/>
  <c r="BA206" i="1" s="1"/>
  <c r="BE206" i="1" s="1"/>
  <c r="AA206" i="1"/>
  <c r="AC205" i="1"/>
  <c r="AD205" i="1" s="1"/>
  <c r="BA205" i="1" s="1"/>
  <c r="BE205" i="1" s="1"/>
  <c r="AA205" i="1"/>
  <c r="AC204" i="1"/>
  <c r="AD204" i="1" s="1"/>
  <c r="BA204" i="1" s="1"/>
  <c r="BE204" i="1" s="1"/>
  <c r="AA204" i="1"/>
  <c r="AC173" i="1"/>
  <c r="AD173" i="1" s="1"/>
  <c r="BA173" i="1" s="1"/>
  <c r="BE173" i="1" s="1"/>
  <c r="AA173" i="1"/>
  <c r="AC172" i="1"/>
  <c r="AD172" i="1" s="1"/>
  <c r="BA172" i="1" s="1"/>
  <c r="BE172" i="1" s="1"/>
  <c r="AA172" i="1"/>
  <c r="AC171" i="1"/>
  <c r="AD171" i="1" s="1"/>
  <c r="BA171" i="1" s="1"/>
  <c r="BE171" i="1" s="1"/>
  <c r="AA171" i="1"/>
  <c r="AC170" i="1"/>
  <c r="AD170" i="1" s="1"/>
  <c r="BA170" i="1" s="1"/>
  <c r="BE170" i="1" s="1"/>
  <c r="AA170" i="1"/>
  <c r="AC169" i="1"/>
  <c r="AD169" i="1" s="1"/>
  <c r="BA169" i="1" s="1"/>
  <c r="BE169" i="1" s="1"/>
  <c r="AA169" i="1"/>
  <c r="AC168" i="1"/>
  <c r="AD168" i="1" s="1"/>
  <c r="BA168" i="1" s="1"/>
  <c r="BE168" i="1" s="1"/>
  <c r="AA168" i="1"/>
  <c r="AC167" i="1"/>
  <c r="AD167" i="1" s="1"/>
  <c r="BA167" i="1" s="1"/>
  <c r="BE167" i="1" s="1"/>
  <c r="AA167" i="1"/>
  <c r="AC166" i="1"/>
  <c r="AD166" i="1" s="1"/>
  <c r="BA166" i="1" s="1"/>
  <c r="BE166" i="1" s="1"/>
  <c r="AA166" i="1"/>
  <c r="AC165" i="1"/>
  <c r="AD165" i="1" s="1"/>
  <c r="BA165" i="1" s="1"/>
  <c r="BE165" i="1" s="1"/>
  <c r="AA165" i="1"/>
  <c r="AC164" i="1"/>
  <c r="AD164" i="1" s="1"/>
  <c r="BA164" i="1" s="1"/>
  <c r="BE164" i="1" s="1"/>
  <c r="AA164" i="1"/>
  <c r="AC163" i="1"/>
  <c r="AD163" i="1" s="1"/>
  <c r="BA163" i="1" s="1"/>
  <c r="BE163" i="1" s="1"/>
  <c r="AA163" i="1"/>
  <c r="AC162" i="1"/>
  <c r="AD162" i="1" s="1"/>
  <c r="BA162" i="1" s="1"/>
  <c r="BE162" i="1" s="1"/>
  <c r="AA162" i="1"/>
  <c r="AC161" i="1"/>
  <c r="AD161" i="1" s="1"/>
  <c r="BA161" i="1" s="1"/>
  <c r="BE161" i="1" s="1"/>
  <c r="AA161" i="1"/>
  <c r="AC160" i="1"/>
  <c r="AD160" i="1" s="1"/>
  <c r="BA160" i="1" s="1"/>
  <c r="BE160" i="1" s="1"/>
  <c r="AA160" i="1"/>
  <c r="AC159" i="1"/>
  <c r="AD159" i="1" s="1"/>
  <c r="BA159" i="1" s="1"/>
  <c r="BE159" i="1" s="1"/>
  <c r="AA159" i="1"/>
  <c r="AC158" i="1"/>
  <c r="AD158" i="1" s="1"/>
  <c r="BA158" i="1" s="1"/>
  <c r="BE158" i="1" s="1"/>
  <c r="AA158" i="1"/>
  <c r="AC157" i="1"/>
  <c r="AD157" i="1" s="1"/>
  <c r="BA157" i="1" s="1"/>
  <c r="BE157" i="1" s="1"/>
  <c r="AA157" i="1"/>
  <c r="AC156" i="1"/>
  <c r="AD156" i="1" s="1"/>
  <c r="BA156" i="1" s="1"/>
  <c r="BE156" i="1" s="1"/>
  <c r="AA156" i="1"/>
  <c r="AC155" i="1"/>
  <c r="AD155" i="1" s="1"/>
  <c r="BA155" i="1" s="1"/>
  <c r="BE155" i="1" s="1"/>
  <c r="AA155" i="1"/>
  <c r="AC154" i="1"/>
  <c r="AD154" i="1" s="1"/>
  <c r="BA154" i="1" s="1"/>
  <c r="BE154" i="1" s="1"/>
  <c r="AA154" i="1"/>
  <c r="AC153" i="1"/>
  <c r="AD153" i="1" s="1"/>
  <c r="BA153" i="1" s="1"/>
  <c r="BE153" i="1" s="1"/>
  <c r="AA153" i="1"/>
  <c r="AC152" i="1"/>
  <c r="AD152" i="1" s="1"/>
  <c r="BA152" i="1" s="1"/>
  <c r="BE152" i="1" s="1"/>
  <c r="AA152" i="1"/>
  <c r="AC151" i="1"/>
  <c r="AD151" i="1" s="1"/>
  <c r="BA151" i="1" s="1"/>
  <c r="BE151" i="1" s="1"/>
  <c r="AA151" i="1"/>
  <c r="AC150" i="1"/>
  <c r="AD150" i="1" s="1"/>
  <c r="BA150" i="1" s="1"/>
  <c r="BE150" i="1" s="1"/>
  <c r="AA150" i="1"/>
  <c r="AC149" i="1"/>
  <c r="AD149" i="1" s="1"/>
  <c r="BA149" i="1" s="1"/>
  <c r="BE149" i="1" s="1"/>
  <c r="AA149" i="1"/>
  <c r="AC148" i="1"/>
  <c r="AD148" i="1" s="1"/>
  <c r="BA148" i="1" s="1"/>
  <c r="BE148" i="1" s="1"/>
  <c r="AA148" i="1"/>
  <c r="AC147" i="1"/>
  <c r="AD147" i="1" s="1"/>
  <c r="BA147" i="1" s="1"/>
  <c r="BE147" i="1" s="1"/>
  <c r="AA147" i="1"/>
  <c r="AC146" i="1"/>
  <c r="AD146" i="1" s="1"/>
  <c r="BA146" i="1" s="1"/>
  <c r="BE146" i="1" s="1"/>
  <c r="AA146" i="1"/>
  <c r="AC145" i="1"/>
  <c r="AD145" i="1" s="1"/>
  <c r="BA145" i="1" s="1"/>
  <c r="BE145" i="1" s="1"/>
  <c r="AA145" i="1"/>
  <c r="AC144" i="1"/>
  <c r="AD144" i="1" s="1"/>
  <c r="BA144" i="1" s="1"/>
  <c r="BE144" i="1" s="1"/>
  <c r="AA144" i="1"/>
  <c r="AC143" i="1"/>
  <c r="AD143" i="1" s="1"/>
  <c r="BA143" i="1" s="1"/>
  <c r="BE143" i="1" s="1"/>
  <c r="AA143" i="1"/>
  <c r="AC142" i="1"/>
  <c r="AD142" i="1" s="1"/>
  <c r="BA142" i="1" s="1"/>
  <c r="BE142" i="1" s="1"/>
  <c r="AA142" i="1"/>
  <c r="AC141" i="1"/>
  <c r="AD141" i="1" s="1"/>
  <c r="BA141" i="1" s="1"/>
  <c r="BE141" i="1" s="1"/>
  <c r="AA141" i="1"/>
  <c r="AC140" i="1"/>
  <c r="AD140" i="1" s="1"/>
  <c r="BA140" i="1" s="1"/>
  <c r="BE140" i="1" s="1"/>
  <c r="AA140" i="1"/>
  <c r="AC139" i="1"/>
  <c r="AD139" i="1" s="1"/>
  <c r="BA139" i="1" s="1"/>
  <c r="BE139" i="1" s="1"/>
  <c r="AA139" i="1"/>
  <c r="AC138" i="1"/>
  <c r="AD138" i="1" s="1"/>
  <c r="BA138" i="1" s="1"/>
  <c r="BE138" i="1" s="1"/>
  <c r="AA138" i="1"/>
  <c r="AC137" i="1"/>
  <c r="AD137" i="1" s="1"/>
  <c r="BA137" i="1" s="1"/>
  <c r="BE137" i="1" s="1"/>
  <c r="AA137" i="1"/>
  <c r="AC136" i="1"/>
  <c r="AD136" i="1" s="1"/>
  <c r="BA136" i="1" s="1"/>
  <c r="BE136" i="1" s="1"/>
  <c r="AA136" i="1"/>
  <c r="AC135" i="1"/>
  <c r="AD135" i="1" s="1"/>
  <c r="BA135" i="1" s="1"/>
  <c r="BE135" i="1" s="1"/>
  <c r="AA135" i="1"/>
  <c r="AC134" i="1"/>
  <c r="AD134" i="1" s="1"/>
  <c r="BA134" i="1" s="1"/>
  <c r="BE134" i="1" s="1"/>
  <c r="AA134" i="1"/>
  <c r="AC133" i="1"/>
  <c r="AD133" i="1" s="1"/>
  <c r="BA133" i="1" s="1"/>
  <c r="BE133" i="1" s="1"/>
  <c r="AA133" i="1"/>
  <c r="AC132" i="1"/>
  <c r="AD132" i="1" s="1"/>
  <c r="BA132" i="1" s="1"/>
  <c r="BE132" i="1" s="1"/>
  <c r="AA132" i="1"/>
  <c r="AC131" i="1"/>
  <c r="AD131" i="1" s="1"/>
  <c r="BA131" i="1" s="1"/>
  <c r="BE131" i="1" s="1"/>
  <c r="AA131" i="1"/>
  <c r="AC111" i="1"/>
  <c r="AD111" i="1" s="1"/>
  <c r="BA111" i="1" s="1"/>
  <c r="AA111" i="1"/>
  <c r="AC110" i="1"/>
  <c r="AD110" i="1" s="1"/>
  <c r="BA110" i="1" s="1"/>
  <c r="BE110" i="1" s="1"/>
  <c r="AA110" i="1"/>
  <c r="AC109" i="1"/>
  <c r="AD109" i="1" s="1"/>
  <c r="BA109" i="1" s="1"/>
  <c r="BE109" i="1" s="1"/>
  <c r="BF109" i="1" s="1"/>
  <c r="BG109" i="1" s="1"/>
  <c r="BQ109" i="1" s="1"/>
  <c r="AA109" i="1"/>
  <c r="AC108" i="1"/>
  <c r="AD108" i="1" s="1"/>
  <c r="BA108" i="1" s="1"/>
  <c r="BE108" i="1" s="1"/>
  <c r="AA108" i="1"/>
  <c r="AC107" i="1"/>
  <c r="AD107" i="1" s="1"/>
  <c r="BA107" i="1" s="1"/>
  <c r="BE107" i="1" s="1"/>
  <c r="BF107" i="1" s="1"/>
  <c r="BG107" i="1" s="1"/>
  <c r="BQ107" i="1" s="1"/>
  <c r="AA107" i="1"/>
  <c r="AC106" i="1"/>
  <c r="AD106" i="1" s="1"/>
  <c r="BA106" i="1" s="1"/>
  <c r="AA106" i="1"/>
  <c r="AC105" i="1"/>
  <c r="AD105" i="1" s="1"/>
  <c r="BA105" i="1" s="1"/>
  <c r="AA105" i="1"/>
  <c r="AC104" i="1"/>
  <c r="AD104" i="1" s="1"/>
  <c r="BA104" i="1" s="1"/>
  <c r="AA104" i="1"/>
  <c r="AC103" i="1"/>
  <c r="AD103" i="1" s="1"/>
  <c r="BA103" i="1" s="1"/>
  <c r="BE103" i="1" s="1"/>
  <c r="BF103" i="1" s="1"/>
  <c r="BG103" i="1" s="1"/>
  <c r="BQ103" i="1" s="1"/>
  <c r="AA103" i="1"/>
  <c r="AC102" i="1"/>
  <c r="AD102" i="1" s="1"/>
  <c r="BA102" i="1" s="1"/>
  <c r="BE102" i="1" s="1"/>
  <c r="BF102" i="1" s="1"/>
  <c r="BG102" i="1" s="1"/>
  <c r="BQ102" i="1" s="1"/>
  <c r="AA102" i="1"/>
  <c r="AC101" i="1"/>
  <c r="AD101" i="1" s="1"/>
  <c r="BA101" i="1" s="1"/>
  <c r="BE101" i="1" s="1"/>
  <c r="AA101" i="1"/>
  <c r="AC100" i="1"/>
  <c r="AD100" i="1" s="1"/>
  <c r="BA100" i="1" s="1"/>
  <c r="BE100" i="1" s="1"/>
  <c r="BF100" i="1" s="1"/>
  <c r="BG100" i="1" s="1"/>
  <c r="BQ100" i="1" s="1"/>
  <c r="AA100" i="1"/>
  <c r="AC41" i="1"/>
  <c r="AD41" i="1" s="1"/>
  <c r="BA41" i="1" s="1"/>
  <c r="BD41" i="1" s="1"/>
  <c r="BH41" i="1" s="1"/>
  <c r="AA41" i="1"/>
  <c r="AC99" i="1"/>
  <c r="AD99" i="1" s="1"/>
  <c r="BA99" i="1" s="1"/>
  <c r="AA99" i="1"/>
  <c r="AC98" i="1"/>
  <c r="AD98" i="1" s="1"/>
  <c r="BA98" i="1" s="1"/>
  <c r="AA98" i="1"/>
  <c r="AC97" i="1"/>
  <c r="AD97" i="1" s="1"/>
  <c r="BA97" i="1" s="1"/>
  <c r="AA97" i="1"/>
  <c r="AC96" i="1"/>
  <c r="AD96" i="1" s="1"/>
  <c r="BA96" i="1" s="1"/>
  <c r="AA96" i="1"/>
  <c r="AC95" i="1"/>
  <c r="AD95" i="1" s="1"/>
  <c r="BA95" i="1" s="1"/>
  <c r="AA95" i="1"/>
  <c r="AC94" i="1"/>
  <c r="AD94" i="1" s="1"/>
  <c r="BA94" i="1" s="1"/>
  <c r="AA94" i="1"/>
  <c r="AC93" i="1"/>
  <c r="AD93" i="1" s="1"/>
  <c r="BA93" i="1" s="1"/>
  <c r="AA93" i="1"/>
  <c r="AC92" i="1"/>
  <c r="AD92" i="1" s="1"/>
  <c r="BA92" i="1" s="1"/>
  <c r="AA92" i="1"/>
  <c r="AC91" i="1"/>
  <c r="AD91" i="1" s="1"/>
  <c r="BA91" i="1" s="1"/>
  <c r="AA91" i="1"/>
  <c r="AC90" i="1"/>
  <c r="AD90" i="1" s="1"/>
  <c r="BA90" i="1" s="1"/>
  <c r="AA90" i="1"/>
  <c r="AC89" i="1"/>
  <c r="AD89" i="1" s="1"/>
  <c r="BA89" i="1" s="1"/>
  <c r="BD89" i="1" s="1"/>
  <c r="BH89" i="1" s="1"/>
  <c r="AA89" i="1"/>
  <c r="AC88" i="1"/>
  <c r="AD88" i="1" s="1"/>
  <c r="BA88" i="1" s="1"/>
  <c r="AA88" i="1"/>
  <c r="AC87" i="1"/>
  <c r="AD87" i="1" s="1"/>
  <c r="BA87" i="1" s="1"/>
  <c r="AA87" i="1"/>
  <c r="AC86" i="1"/>
  <c r="AD86" i="1" s="1"/>
  <c r="BA86" i="1" s="1"/>
  <c r="AA86" i="1"/>
  <c r="AC74" i="1"/>
  <c r="AA74" i="1"/>
  <c r="AC73" i="1"/>
  <c r="AA73" i="1"/>
  <c r="AC72" i="1"/>
  <c r="AA72" i="1"/>
  <c r="AC40" i="1"/>
  <c r="AD40" i="1" s="1"/>
  <c r="BA40" i="1" s="1"/>
  <c r="BD40" i="1" s="1"/>
  <c r="BH40" i="1" s="1"/>
  <c r="AA40" i="1"/>
  <c r="AC43" i="1"/>
  <c r="AD43" i="1" s="1"/>
  <c r="BA43" i="1" s="1"/>
  <c r="BD43" i="1" s="1"/>
  <c r="BH43" i="1" s="1"/>
  <c r="AA43" i="1"/>
  <c r="AC42" i="1"/>
  <c r="AD42" i="1" s="1"/>
  <c r="BA42" i="1" s="1"/>
  <c r="BD42" i="1" s="1"/>
  <c r="BH42" i="1" s="1"/>
  <c r="AA42" i="1"/>
  <c r="AC39" i="1"/>
  <c r="AD39" i="1" s="1"/>
  <c r="BA39" i="1" s="1"/>
  <c r="BD39" i="1" s="1"/>
  <c r="BH39" i="1" s="1"/>
  <c r="AA39" i="1"/>
  <c r="AC38" i="1"/>
  <c r="AD38" i="1" s="1"/>
  <c r="BA38" i="1" s="1"/>
  <c r="BD38" i="1" s="1"/>
  <c r="BH38" i="1" s="1"/>
  <c r="AA38" i="1"/>
  <c r="AC37" i="1"/>
  <c r="AD37" i="1" s="1"/>
  <c r="BA37" i="1" s="1"/>
  <c r="BD37" i="1" s="1"/>
  <c r="BH37" i="1" s="1"/>
  <c r="AA37" i="1"/>
  <c r="AC57" i="1"/>
  <c r="AA57" i="1"/>
  <c r="AC56" i="1"/>
  <c r="AA56" i="1"/>
  <c r="AC55" i="1"/>
  <c r="AA55" i="1"/>
  <c r="AC54" i="1"/>
  <c r="AA54" i="1"/>
  <c r="AC75" i="1"/>
  <c r="AA75" i="1"/>
  <c r="AC71" i="1"/>
  <c r="AD71" i="1" s="1"/>
  <c r="BA71" i="1" s="1"/>
  <c r="BD71" i="1" s="1"/>
  <c r="BH71" i="1" s="1"/>
  <c r="AA71" i="1"/>
  <c r="AC70" i="1"/>
  <c r="AD70" i="1" s="1"/>
  <c r="BA70" i="1" s="1"/>
  <c r="BD70" i="1" s="1"/>
  <c r="BH70" i="1" s="1"/>
  <c r="AA70" i="1"/>
  <c r="AC69" i="1"/>
  <c r="AD69" i="1" s="1"/>
  <c r="BA69" i="1" s="1"/>
  <c r="BD69" i="1" s="1"/>
  <c r="BH69" i="1" s="1"/>
  <c r="AA69" i="1"/>
  <c r="AC58" i="1"/>
  <c r="AD58" i="1" s="1"/>
  <c r="BA58" i="1" s="1"/>
  <c r="BD58" i="1" s="1"/>
  <c r="BH58" i="1" s="1"/>
  <c r="AA58" i="1"/>
  <c r="AC59" i="1"/>
  <c r="AD59" i="1" s="1"/>
  <c r="BA59" i="1" s="1"/>
  <c r="BD59" i="1" s="1"/>
  <c r="BH59" i="1" s="1"/>
  <c r="AA59" i="1"/>
  <c r="AC60" i="1"/>
  <c r="AD60" i="1" s="1"/>
  <c r="BA60" i="1" s="1"/>
  <c r="BD60" i="1" s="1"/>
  <c r="BH60" i="1" s="1"/>
  <c r="AA60" i="1"/>
  <c r="AC61" i="1"/>
  <c r="AD61" i="1" s="1"/>
  <c r="BA61" i="1" s="1"/>
  <c r="BD61" i="1" s="1"/>
  <c r="BH61" i="1" s="1"/>
  <c r="AA61" i="1"/>
  <c r="AC62" i="1"/>
  <c r="AD62" i="1" s="1"/>
  <c r="BA62" i="1" s="1"/>
  <c r="BD62" i="1" s="1"/>
  <c r="BH62" i="1" s="1"/>
  <c r="AA62" i="1"/>
  <c r="AC63" i="1"/>
  <c r="AD63" i="1" s="1"/>
  <c r="BA63" i="1" s="1"/>
  <c r="BD63" i="1" s="1"/>
  <c r="BH63" i="1" s="1"/>
  <c r="AA63" i="1"/>
  <c r="AC64" i="1"/>
  <c r="AD64" i="1" s="1"/>
  <c r="BA64" i="1" s="1"/>
  <c r="BD64" i="1" s="1"/>
  <c r="BH64" i="1" s="1"/>
  <c r="AA64" i="1"/>
  <c r="AC65" i="1"/>
  <c r="AD65" i="1" s="1"/>
  <c r="BA65" i="1" s="1"/>
  <c r="BD65" i="1" s="1"/>
  <c r="BH65" i="1" s="1"/>
  <c r="AA65" i="1"/>
  <c r="AC66" i="1"/>
  <c r="AD66" i="1" s="1"/>
  <c r="BA66" i="1" s="1"/>
  <c r="BD66" i="1" s="1"/>
  <c r="BH66" i="1" s="1"/>
  <c r="AA66" i="1"/>
  <c r="AC67" i="1"/>
  <c r="AD67" i="1" s="1"/>
  <c r="BA67" i="1" s="1"/>
  <c r="BD67" i="1" s="1"/>
  <c r="BH67" i="1" s="1"/>
  <c r="AA67" i="1"/>
  <c r="AC68" i="1"/>
  <c r="AD68" i="1" s="1"/>
  <c r="AA68" i="1"/>
  <c r="AC76" i="1"/>
  <c r="AA76" i="1"/>
  <c r="AC83" i="1"/>
  <c r="AD83" i="1" s="1"/>
  <c r="BA83" i="1" s="1"/>
  <c r="BD83" i="1" s="1"/>
  <c r="BH83" i="1" s="1"/>
  <c r="AA83" i="1"/>
  <c r="AC82" i="1"/>
  <c r="AD82" i="1" s="1"/>
  <c r="BA82" i="1" s="1"/>
  <c r="BD82" i="1" s="1"/>
  <c r="BH82" i="1" s="1"/>
  <c r="AA82" i="1"/>
  <c r="AC81" i="1"/>
  <c r="AD81" i="1" s="1"/>
  <c r="BA81" i="1" s="1"/>
  <c r="BD81" i="1" s="1"/>
  <c r="BH81" i="1" s="1"/>
  <c r="AA81" i="1"/>
  <c r="AC80" i="1"/>
  <c r="AD80" i="1" s="1"/>
  <c r="BA80" i="1" s="1"/>
  <c r="BD80" i="1" s="1"/>
  <c r="BH80" i="1" s="1"/>
  <c r="AA80" i="1"/>
  <c r="AC79" i="1"/>
  <c r="AD79" i="1" s="1"/>
  <c r="BA79" i="1" s="1"/>
  <c r="BD79" i="1" s="1"/>
  <c r="BH79" i="1" s="1"/>
  <c r="AA79" i="1"/>
  <c r="AC78" i="1"/>
  <c r="AD78" i="1" s="1"/>
  <c r="BA78" i="1" s="1"/>
  <c r="BD78" i="1" s="1"/>
  <c r="BH78" i="1" s="1"/>
  <c r="AA78" i="1"/>
  <c r="AC77" i="1"/>
  <c r="AD77" i="1" s="1"/>
  <c r="BA77" i="1" s="1"/>
  <c r="BD77" i="1" s="1"/>
  <c r="BH77" i="1" s="1"/>
  <c r="AA77" i="1"/>
  <c r="AC85" i="1"/>
  <c r="AD85" i="1" s="1"/>
  <c r="BA85" i="1" s="1"/>
  <c r="BD85" i="1" s="1"/>
  <c r="BH85" i="1" s="1"/>
  <c r="AA85" i="1"/>
  <c r="AC84" i="1"/>
  <c r="AD84" i="1" s="1"/>
  <c r="BA84" i="1" s="1"/>
  <c r="BD84" i="1" s="1"/>
  <c r="BH84" i="1" s="1"/>
  <c r="AA84" i="1"/>
  <c r="AC8" i="1"/>
  <c r="AD8" i="1" s="1"/>
  <c r="BA8" i="1" s="1"/>
  <c r="AA8" i="1"/>
  <c r="AC7" i="1"/>
  <c r="AD7" i="1" s="1"/>
  <c r="BA7" i="1" s="1"/>
  <c r="AA7" i="1"/>
  <c r="AC6" i="1"/>
  <c r="AD6" i="1" s="1"/>
  <c r="BA6" i="1" s="1"/>
  <c r="AA6" i="1"/>
  <c r="AC5" i="1"/>
  <c r="AD5" i="1" s="1"/>
  <c r="BA5" i="1" s="1"/>
  <c r="AA5" i="1"/>
  <c r="AC4" i="1"/>
  <c r="AD4" i="1" s="1"/>
  <c r="BA4" i="1" s="1"/>
  <c r="AA4" i="1"/>
  <c r="AC3" i="1"/>
  <c r="AD3" i="1" s="1"/>
  <c r="BA3" i="1" s="1"/>
  <c r="AA3" i="1"/>
  <c r="AC2" i="1"/>
  <c r="AA2" i="1"/>
  <c r="O242" i="1"/>
  <c r="Y240" i="1"/>
  <c r="AJ240" i="1"/>
  <c r="AJ239" i="1"/>
  <c r="AJ238" i="1"/>
  <c r="Z240" i="1"/>
  <c r="P240" i="1"/>
  <c r="O241" i="1"/>
  <c r="X241" i="1"/>
  <c r="Y241" i="1" s="1"/>
  <c r="O237" i="1"/>
  <c r="X237" i="1"/>
  <c r="Y237" i="1" s="1"/>
  <c r="Y196" i="1"/>
  <c r="AJ196" i="1"/>
  <c r="Y203" i="1"/>
  <c r="AJ203" i="1"/>
  <c r="Y202" i="1"/>
  <c r="AJ202" i="1"/>
  <c r="Y201" i="1"/>
  <c r="AJ201" i="1"/>
  <c r="Y200" i="1"/>
  <c r="AJ200" i="1"/>
  <c r="Y194" i="1"/>
  <c r="AJ194" i="1"/>
  <c r="Y193" i="1"/>
  <c r="AJ193" i="1"/>
  <c r="U229" i="1"/>
  <c r="U228" i="1"/>
  <c r="U227" i="1"/>
  <c r="U226" i="1"/>
  <c r="U225" i="1"/>
  <c r="U234" i="1"/>
  <c r="U233" i="1"/>
  <c r="U232" i="1"/>
  <c r="Y199" i="1"/>
  <c r="AJ199" i="1"/>
  <c r="Y198" i="1"/>
  <c r="AJ198" i="1"/>
  <c r="Y217" i="1"/>
  <c r="AJ217" i="1"/>
  <c r="Y195" i="1"/>
  <c r="AJ195" i="1"/>
  <c r="Y218" i="1"/>
  <c r="AJ218" i="1"/>
  <c r="U224" i="1"/>
  <c r="U223" i="1"/>
  <c r="U222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Y216" i="1"/>
  <c r="AJ216" i="1"/>
  <c r="Y215" i="1"/>
  <c r="AJ215" i="1"/>
  <c r="Y214" i="1"/>
  <c r="AJ214" i="1"/>
  <c r="Y213" i="1"/>
  <c r="AJ213" i="1"/>
  <c r="Y212" i="1"/>
  <c r="AJ212" i="1"/>
  <c r="Y211" i="1"/>
  <c r="AJ211" i="1"/>
  <c r="Y210" i="1"/>
  <c r="AJ210" i="1"/>
  <c r="Y209" i="1"/>
  <c r="AJ209" i="1"/>
  <c r="AJ208" i="1"/>
  <c r="Y208" i="1"/>
  <c r="Y197" i="1"/>
  <c r="AJ197" i="1"/>
  <c r="Y192" i="1"/>
  <c r="AJ192" i="1"/>
  <c r="Y191" i="1"/>
  <c r="AJ191" i="1"/>
  <c r="Y190" i="1"/>
  <c r="AJ190" i="1"/>
  <c r="Y189" i="1"/>
  <c r="AJ189" i="1"/>
  <c r="Y188" i="1"/>
  <c r="AJ188" i="1"/>
  <c r="Y187" i="1"/>
  <c r="AJ187" i="1"/>
  <c r="Y186" i="1"/>
  <c r="AJ186" i="1"/>
  <c r="Y185" i="1"/>
  <c r="AJ185" i="1"/>
  <c r="Y184" i="1"/>
  <c r="AJ184" i="1"/>
  <c r="Y183" i="1"/>
  <c r="AJ183" i="1"/>
  <c r="Y182" i="1"/>
  <c r="AJ182" i="1"/>
  <c r="Y181" i="1"/>
  <c r="AJ181" i="1"/>
  <c r="Y180" i="1"/>
  <c r="AJ180" i="1"/>
  <c r="Y179" i="1"/>
  <c r="AJ179" i="1"/>
  <c r="Y178" i="1"/>
  <c r="AJ178" i="1"/>
  <c r="Y177" i="1"/>
  <c r="AJ177" i="1"/>
  <c r="Y176" i="1"/>
  <c r="AJ176" i="1"/>
  <c r="Y175" i="1"/>
  <c r="AJ175" i="1"/>
  <c r="Y174" i="1"/>
  <c r="AJ174" i="1"/>
  <c r="U190" i="1"/>
  <c r="U189" i="1"/>
  <c r="U188" i="1"/>
  <c r="U186" i="1"/>
  <c r="U185" i="1"/>
  <c r="U181" i="1"/>
  <c r="U177" i="1"/>
  <c r="U174" i="1"/>
  <c r="U191" i="1"/>
  <c r="U187" i="1"/>
  <c r="U184" i="1"/>
  <c r="U182" i="1"/>
  <c r="U180" i="1"/>
  <c r="U179" i="1"/>
  <c r="U178" i="1"/>
  <c r="U176" i="1"/>
  <c r="U175" i="1"/>
  <c r="U183" i="1"/>
  <c r="U168" i="1"/>
  <c r="U169" i="1"/>
  <c r="U171" i="1"/>
  <c r="U170" i="1"/>
  <c r="U172" i="1"/>
  <c r="U164" i="1"/>
  <c r="U162" i="1"/>
  <c r="U160" i="1"/>
  <c r="U173" i="1"/>
  <c r="U167" i="1"/>
  <c r="U165" i="1"/>
  <c r="U163" i="1"/>
  <c r="U161" i="1"/>
  <c r="U159" i="1"/>
  <c r="U149" i="1"/>
  <c r="U148" i="1"/>
  <c r="U137" i="1"/>
  <c r="U129" i="1"/>
  <c r="U118" i="1"/>
  <c r="U104" i="1"/>
  <c r="U152" i="1"/>
  <c r="U121" i="1"/>
  <c r="U109" i="1"/>
  <c r="U154" i="1"/>
  <c r="U146" i="1"/>
  <c r="U139" i="1"/>
  <c r="U130" i="1"/>
  <c r="U120" i="1"/>
  <c r="U110" i="1"/>
  <c r="U153" i="1"/>
  <c r="U136" i="1"/>
  <c r="U126" i="1"/>
  <c r="U115" i="1"/>
  <c r="U102" i="1"/>
  <c r="U156" i="1"/>
  <c r="U142" i="1"/>
  <c r="U140" i="1"/>
  <c r="U131" i="1"/>
  <c r="U123" i="1"/>
  <c r="U116" i="1"/>
  <c r="U111" i="1"/>
  <c r="U103" i="1"/>
  <c r="U150" i="1"/>
  <c r="U144" i="1"/>
  <c r="U138" i="1"/>
  <c r="U128" i="1"/>
  <c r="U117" i="1"/>
  <c r="U101" i="1"/>
  <c r="U158" i="1"/>
  <c r="U143" i="1"/>
  <c r="U141" i="1"/>
  <c r="U132" i="1"/>
  <c r="U124" i="1"/>
  <c r="U112" i="1"/>
  <c r="U107" i="1"/>
  <c r="U100" i="1"/>
  <c r="U157" i="1"/>
  <c r="U145" i="1"/>
  <c r="U134" i="1"/>
  <c r="U127" i="1"/>
  <c r="U119" i="1"/>
  <c r="U114" i="1"/>
  <c r="U108" i="1"/>
  <c r="U155" i="1"/>
  <c r="U147" i="1"/>
  <c r="U133" i="1"/>
  <c r="U125" i="1"/>
  <c r="U113" i="1"/>
  <c r="U105" i="1"/>
  <c r="U151" i="1"/>
  <c r="U135" i="1"/>
  <c r="U122" i="1"/>
  <c r="U106" i="1"/>
  <c r="BE57" i="1"/>
  <c r="BF57" i="1" s="1"/>
  <c r="BG57" i="1" s="1"/>
  <c r="BE56" i="1"/>
  <c r="BG56" i="1" s="1"/>
  <c r="BE54" i="1"/>
  <c r="BE48" i="1"/>
  <c r="BG48" i="1" s="1"/>
  <c r="Y130" i="1"/>
  <c r="AJ130" i="1"/>
  <c r="Y128" i="1"/>
  <c r="AJ128" i="1"/>
  <c r="Y122" i="1"/>
  <c r="AJ122" i="1"/>
  <c r="Y117" i="1"/>
  <c r="AJ117" i="1"/>
  <c r="Y116" i="1"/>
  <c r="AJ116" i="1"/>
  <c r="Y113" i="1"/>
  <c r="AJ113" i="1"/>
  <c r="V129" i="1"/>
  <c r="V127" i="1"/>
  <c r="V126" i="1"/>
  <c r="V125" i="1"/>
  <c r="V124" i="1"/>
  <c r="V123" i="1"/>
  <c r="V121" i="1"/>
  <c r="V120" i="1"/>
  <c r="V119" i="1"/>
  <c r="V118" i="1"/>
  <c r="V115" i="1"/>
  <c r="V114" i="1"/>
  <c r="V112" i="1"/>
  <c r="AJ13" i="1"/>
  <c r="Y13" i="1"/>
  <c r="AA13" i="1" s="1"/>
  <c r="H7800" i="2"/>
  <c r="H7801" i="2"/>
  <c r="H7796" i="2"/>
  <c r="H7797" i="2"/>
  <c r="H7806" i="2"/>
  <c r="H7802" i="2"/>
  <c r="H7799" i="2"/>
  <c r="H7792" i="2"/>
  <c r="H7790" i="2"/>
  <c r="H7791" i="2"/>
  <c r="H7805" i="2"/>
  <c r="H7803" i="2"/>
  <c r="H7798" i="2"/>
  <c r="H7793" i="2"/>
  <c r="H7795" i="2"/>
  <c r="H7789" i="2"/>
  <c r="H1331" i="2"/>
  <c r="H7804" i="2"/>
  <c r="H7644" i="2"/>
  <c r="H801" i="2"/>
  <c r="H7794" i="2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BA68" i="1"/>
  <c r="BD68" i="1" s="1"/>
  <c r="BH68" i="1" s="1"/>
  <c r="BE55" i="1"/>
  <c r="BF55" i="1" s="1"/>
  <c r="BG55" i="1" s="1"/>
  <c r="U74" i="1"/>
  <c r="U73" i="1"/>
  <c r="U72" i="1"/>
  <c r="U45" i="1"/>
  <c r="U48" i="1"/>
  <c r="U41" i="1"/>
  <c r="U30" i="1"/>
  <c r="U13" i="1"/>
  <c r="BE76" i="1"/>
  <c r="BE75" i="1"/>
  <c r="BE74" i="1"/>
  <c r="BE73" i="1"/>
  <c r="BE72" i="1"/>
  <c r="BE45" i="1"/>
  <c r="BG45" i="1" s="1"/>
  <c r="Y36" i="1"/>
  <c r="AJ36" i="1"/>
  <c r="Y30" i="1"/>
  <c r="AJ30" i="1"/>
  <c r="Y25" i="1"/>
  <c r="AJ25" i="1"/>
  <c r="Y11" i="1"/>
  <c r="AJ11" i="1"/>
  <c r="Y9" i="1"/>
  <c r="AJ9" i="1"/>
  <c r="Y34" i="1"/>
  <c r="Y26" i="1"/>
  <c r="Y19" i="1"/>
  <c r="Y10" i="1"/>
  <c r="Y28" i="1"/>
  <c r="Y20" i="1"/>
  <c r="Y12" i="1"/>
  <c r="Y22" i="1"/>
  <c r="Y32" i="1"/>
  <c r="Y29" i="1"/>
  <c r="Y16" i="1"/>
  <c r="Y33" i="1"/>
  <c r="Y23" i="1"/>
  <c r="Y14" i="1"/>
  <c r="Y15" i="1"/>
  <c r="U35" i="1"/>
  <c r="U36" i="1"/>
  <c r="U34" i="1"/>
  <c r="U33" i="1"/>
  <c r="U32" i="1"/>
  <c r="U31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2" i="1"/>
  <c r="U11" i="1"/>
  <c r="U10" i="1"/>
  <c r="U9" i="1"/>
  <c r="U43" i="1"/>
  <c r="U42" i="1"/>
  <c r="U40" i="1"/>
  <c r="U39" i="1"/>
  <c r="U38" i="1"/>
  <c r="U37" i="1"/>
  <c r="U46" i="1"/>
  <c r="U44" i="1"/>
  <c r="U47" i="1"/>
  <c r="U52" i="1"/>
  <c r="U51" i="1"/>
  <c r="U50" i="1"/>
  <c r="U57" i="1"/>
  <c r="U53" i="1"/>
  <c r="U54" i="1"/>
  <c r="U49" i="1"/>
  <c r="U56" i="1"/>
  <c r="U55" i="1"/>
  <c r="Y31" i="1"/>
  <c r="Y21" i="1"/>
  <c r="Y27" i="1"/>
  <c r="Y24" i="1"/>
  <c r="Y18" i="1"/>
  <c r="Y17" i="1"/>
  <c r="Y35" i="1"/>
  <c r="Y47" i="1"/>
  <c r="Y46" i="1"/>
  <c r="Y44" i="1"/>
  <c r="Y53" i="1"/>
  <c r="Y52" i="1"/>
  <c r="Y51" i="1"/>
  <c r="Y50" i="1"/>
  <c r="Y49" i="1"/>
  <c r="Y48" i="1"/>
  <c r="U75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76" i="1"/>
  <c r="U84" i="1"/>
  <c r="U83" i="1"/>
  <c r="U82" i="1"/>
  <c r="U81" i="1"/>
  <c r="U80" i="1"/>
  <c r="U79" i="1"/>
  <c r="U78" i="1"/>
  <c r="U77" i="1"/>
  <c r="U85" i="1"/>
  <c r="U2" i="1"/>
  <c r="U3" i="1"/>
  <c r="U5" i="1"/>
  <c r="U7" i="1"/>
  <c r="U8" i="1"/>
  <c r="U4" i="1"/>
  <c r="U6" i="1"/>
  <c r="O239" i="1" l="1"/>
  <c r="O238" i="1"/>
  <c r="BQ235" i="1"/>
  <c r="BQ236" i="1"/>
  <c r="AN247" i="1"/>
  <c r="AO247" i="1" s="1"/>
  <c r="AS247" i="1" s="1"/>
  <c r="BH247" i="1" s="1"/>
  <c r="BP247" i="1" s="1"/>
  <c r="Y247" i="1"/>
  <c r="AA247" i="1" s="1"/>
  <c r="AC247" i="1" s="1"/>
  <c r="AN246" i="1"/>
  <c r="AO246" i="1" s="1"/>
  <c r="AS246" i="1" s="1"/>
  <c r="BH246" i="1" s="1"/>
  <c r="BP246" i="1" s="1"/>
  <c r="Y246" i="1"/>
  <c r="AA246" i="1" s="1"/>
  <c r="AC246" i="1" s="1"/>
  <c r="BH223" i="1"/>
  <c r="BP223" i="1" s="1"/>
  <c r="BE223" i="1"/>
  <c r="BF223" i="1" s="1"/>
  <c r="BG223" i="1" s="1"/>
  <c r="BE222" i="1"/>
  <c r="BF222" i="1" s="1"/>
  <c r="BG222" i="1" s="1"/>
  <c r="BH222" i="1"/>
  <c r="BP222" i="1" s="1"/>
  <c r="Z242" i="1"/>
  <c r="AA242" i="1" s="1"/>
  <c r="AC242" i="1" s="1"/>
  <c r="AD242" i="1" s="1"/>
  <c r="BA242" i="1" s="1"/>
  <c r="BE242" i="1" s="1"/>
  <c r="BF242" i="1" s="1"/>
  <c r="BG242" i="1" s="1"/>
  <c r="BQ242" i="1" s="1"/>
  <c r="P242" i="1"/>
  <c r="BH245" i="1"/>
  <c r="BP245" i="1" s="1"/>
  <c r="BH244" i="1"/>
  <c r="BP244" i="1" s="1"/>
  <c r="BE244" i="1"/>
  <c r="BF245" i="1"/>
  <c r="BG245" i="1" s="1"/>
  <c r="BH243" i="1"/>
  <c r="BP243" i="1" s="1"/>
  <c r="BE243" i="1"/>
  <c r="BF231" i="1"/>
  <c r="BG231" i="1" s="1"/>
  <c r="BQ231" i="1" s="1"/>
  <c r="BF230" i="1"/>
  <c r="BG230" i="1" s="1"/>
  <c r="BQ230" i="1" s="1"/>
  <c r="BF229" i="1"/>
  <c r="BG229" i="1" s="1"/>
  <c r="BQ229" i="1" s="1"/>
  <c r="BF228" i="1"/>
  <c r="BG228" i="1" s="1"/>
  <c r="BQ228" i="1" s="1"/>
  <c r="BF227" i="1"/>
  <c r="BG227" i="1" s="1"/>
  <c r="BQ227" i="1" s="1"/>
  <c r="BF226" i="1"/>
  <c r="BG226" i="1" s="1"/>
  <c r="BQ226" i="1" s="1"/>
  <c r="BF225" i="1"/>
  <c r="BG225" i="1" s="1"/>
  <c r="BQ225" i="1" s="1"/>
  <c r="BF234" i="1"/>
  <c r="BG234" i="1" s="1"/>
  <c r="BQ234" i="1" s="1"/>
  <c r="BF233" i="1"/>
  <c r="BG233" i="1" s="1"/>
  <c r="BQ233" i="1" s="1"/>
  <c r="BF232" i="1"/>
  <c r="BG232" i="1" s="1"/>
  <c r="BQ232" i="1" s="1"/>
  <c r="BF224" i="1"/>
  <c r="BG224" i="1" s="1"/>
  <c r="BQ224" i="1" s="1"/>
  <c r="BF221" i="1"/>
  <c r="BG221" i="1" s="1"/>
  <c r="BQ221" i="1" s="1"/>
  <c r="BF220" i="1"/>
  <c r="BG220" i="1" s="1"/>
  <c r="BQ220" i="1" s="1"/>
  <c r="BF219" i="1"/>
  <c r="BG219" i="1" s="1"/>
  <c r="BQ219" i="1" s="1"/>
  <c r="BF207" i="1"/>
  <c r="BG207" i="1" s="1"/>
  <c r="BQ207" i="1" s="1"/>
  <c r="BF206" i="1"/>
  <c r="BG206" i="1" s="1"/>
  <c r="BQ206" i="1" s="1"/>
  <c r="BF205" i="1"/>
  <c r="BG205" i="1" s="1"/>
  <c r="BQ205" i="1" s="1"/>
  <c r="BF204" i="1"/>
  <c r="BG204" i="1" s="1"/>
  <c r="BQ204" i="1" s="1"/>
  <c r="BF173" i="1"/>
  <c r="BG173" i="1" s="1"/>
  <c r="BQ173" i="1" s="1"/>
  <c r="BF172" i="1"/>
  <c r="BG172" i="1" s="1"/>
  <c r="BQ172" i="1" s="1"/>
  <c r="BF171" i="1"/>
  <c r="BG171" i="1" s="1"/>
  <c r="BQ171" i="1" s="1"/>
  <c r="BF170" i="1"/>
  <c r="BG170" i="1" s="1"/>
  <c r="BQ170" i="1" s="1"/>
  <c r="BF169" i="1"/>
  <c r="BG169" i="1" s="1"/>
  <c r="BQ169" i="1" s="1"/>
  <c r="BF168" i="1"/>
  <c r="BG168" i="1" s="1"/>
  <c r="BQ168" i="1" s="1"/>
  <c r="BF167" i="1"/>
  <c r="BG167" i="1" s="1"/>
  <c r="BQ167" i="1" s="1"/>
  <c r="BF166" i="1"/>
  <c r="BG166" i="1" s="1"/>
  <c r="BQ166" i="1" s="1"/>
  <c r="BF165" i="1"/>
  <c r="BG165" i="1" s="1"/>
  <c r="BQ165" i="1" s="1"/>
  <c r="BF164" i="1"/>
  <c r="BG164" i="1" s="1"/>
  <c r="BQ164" i="1" s="1"/>
  <c r="BF163" i="1"/>
  <c r="BG163" i="1" s="1"/>
  <c r="BQ163" i="1" s="1"/>
  <c r="BF162" i="1"/>
  <c r="BG162" i="1" s="1"/>
  <c r="BQ162" i="1" s="1"/>
  <c r="BF161" i="1"/>
  <c r="BG161" i="1" s="1"/>
  <c r="BQ161" i="1" s="1"/>
  <c r="BF160" i="1"/>
  <c r="BG160" i="1" s="1"/>
  <c r="BQ160" i="1" s="1"/>
  <c r="BF159" i="1"/>
  <c r="BG159" i="1" s="1"/>
  <c r="BQ159" i="1" s="1"/>
  <c r="BF158" i="1"/>
  <c r="BG158" i="1" s="1"/>
  <c r="BQ158" i="1" s="1"/>
  <c r="BF157" i="1"/>
  <c r="BG157" i="1" s="1"/>
  <c r="BQ157" i="1" s="1"/>
  <c r="BF156" i="1"/>
  <c r="BG156" i="1" s="1"/>
  <c r="BQ156" i="1" s="1"/>
  <c r="BF155" i="1"/>
  <c r="BG155" i="1" s="1"/>
  <c r="BQ155" i="1" s="1"/>
  <c r="BF154" i="1"/>
  <c r="BG154" i="1" s="1"/>
  <c r="BQ154" i="1" s="1"/>
  <c r="BF153" i="1"/>
  <c r="BG153" i="1" s="1"/>
  <c r="BQ153" i="1" s="1"/>
  <c r="BF152" i="1"/>
  <c r="BG152" i="1" s="1"/>
  <c r="BQ152" i="1" s="1"/>
  <c r="BF151" i="1"/>
  <c r="BG151" i="1" s="1"/>
  <c r="BQ151" i="1" s="1"/>
  <c r="BF150" i="1"/>
  <c r="BG150" i="1" s="1"/>
  <c r="BQ150" i="1" s="1"/>
  <c r="BF149" i="1"/>
  <c r="BG149" i="1" s="1"/>
  <c r="BQ149" i="1" s="1"/>
  <c r="BF148" i="1"/>
  <c r="BG148" i="1" s="1"/>
  <c r="BQ148" i="1" s="1"/>
  <c r="BF147" i="1"/>
  <c r="BG147" i="1" s="1"/>
  <c r="BQ147" i="1" s="1"/>
  <c r="BF146" i="1"/>
  <c r="BG146" i="1" s="1"/>
  <c r="BQ146" i="1" s="1"/>
  <c r="BF145" i="1"/>
  <c r="BG145" i="1" s="1"/>
  <c r="BQ145" i="1" s="1"/>
  <c r="BF144" i="1"/>
  <c r="BG144" i="1" s="1"/>
  <c r="BQ144" i="1" s="1"/>
  <c r="BF143" i="1"/>
  <c r="BG143" i="1" s="1"/>
  <c r="BQ143" i="1" s="1"/>
  <c r="BF142" i="1"/>
  <c r="BG142" i="1" s="1"/>
  <c r="BQ142" i="1" s="1"/>
  <c r="BF141" i="1"/>
  <c r="BG141" i="1" s="1"/>
  <c r="BQ141" i="1" s="1"/>
  <c r="BF140" i="1"/>
  <c r="BG140" i="1" s="1"/>
  <c r="BQ140" i="1" s="1"/>
  <c r="BF139" i="1"/>
  <c r="BG139" i="1" s="1"/>
  <c r="BQ139" i="1" s="1"/>
  <c r="BF138" i="1"/>
  <c r="BG138" i="1" s="1"/>
  <c r="BQ138" i="1" s="1"/>
  <c r="BF137" i="1"/>
  <c r="BG137" i="1" s="1"/>
  <c r="BQ137" i="1" s="1"/>
  <c r="BF136" i="1"/>
  <c r="BG136" i="1" s="1"/>
  <c r="BQ136" i="1" s="1"/>
  <c r="BF135" i="1"/>
  <c r="BG135" i="1" s="1"/>
  <c r="BQ135" i="1" s="1"/>
  <c r="BF134" i="1"/>
  <c r="BG134" i="1" s="1"/>
  <c r="BQ134" i="1" s="1"/>
  <c r="BF133" i="1"/>
  <c r="BG133" i="1" s="1"/>
  <c r="BQ133" i="1" s="1"/>
  <c r="BF132" i="1"/>
  <c r="BG132" i="1" s="1"/>
  <c r="BQ132" i="1" s="1"/>
  <c r="BF131" i="1"/>
  <c r="BG131" i="1" s="1"/>
  <c r="BQ131" i="1" s="1"/>
  <c r="BE247" i="1"/>
  <c r="BE246" i="1"/>
  <c r="AA240" i="1"/>
  <c r="AC196" i="1"/>
  <c r="AD196" i="1" s="1"/>
  <c r="BA196" i="1" s="1"/>
  <c r="BE196" i="1" s="1"/>
  <c r="AA196" i="1"/>
  <c r="AC203" i="1"/>
  <c r="AD203" i="1" s="1"/>
  <c r="BA203" i="1" s="1"/>
  <c r="BE203" i="1" s="1"/>
  <c r="AA203" i="1"/>
  <c r="AC202" i="1"/>
  <c r="AD202" i="1" s="1"/>
  <c r="BA202" i="1" s="1"/>
  <c r="BE202" i="1" s="1"/>
  <c r="AA202" i="1"/>
  <c r="AC201" i="1"/>
  <c r="AD201" i="1" s="1"/>
  <c r="BA201" i="1" s="1"/>
  <c r="BE201" i="1" s="1"/>
  <c r="AA201" i="1"/>
  <c r="AC200" i="1"/>
  <c r="AD200" i="1" s="1"/>
  <c r="BA200" i="1" s="1"/>
  <c r="BE200" i="1" s="1"/>
  <c r="AA200" i="1"/>
  <c r="AC194" i="1"/>
  <c r="AD194" i="1" s="1"/>
  <c r="BA194" i="1" s="1"/>
  <c r="BE194" i="1" s="1"/>
  <c r="AA194" i="1"/>
  <c r="AC193" i="1"/>
  <c r="AD193" i="1" s="1"/>
  <c r="BA193" i="1" s="1"/>
  <c r="BE193" i="1" s="1"/>
  <c r="AA193" i="1"/>
  <c r="AC199" i="1"/>
  <c r="AD199" i="1" s="1"/>
  <c r="BA199" i="1" s="1"/>
  <c r="BE199" i="1" s="1"/>
  <c r="AA199" i="1"/>
  <c r="AC198" i="1"/>
  <c r="AD198" i="1" s="1"/>
  <c r="BA198" i="1" s="1"/>
  <c r="BE198" i="1" s="1"/>
  <c r="AA198" i="1"/>
  <c r="AC217" i="1"/>
  <c r="AD217" i="1" s="1"/>
  <c r="BA217" i="1" s="1"/>
  <c r="BE217" i="1" s="1"/>
  <c r="AA217" i="1"/>
  <c r="AC195" i="1"/>
  <c r="AD195" i="1" s="1"/>
  <c r="BA195" i="1" s="1"/>
  <c r="BE195" i="1" s="1"/>
  <c r="AA195" i="1"/>
  <c r="AC218" i="1"/>
  <c r="AD218" i="1" s="1"/>
  <c r="BA218" i="1" s="1"/>
  <c r="BE218" i="1" s="1"/>
  <c r="AA218" i="1"/>
  <c r="AC216" i="1"/>
  <c r="AD216" i="1" s="1"/>
  <c r="BA216" i="1" s="1"/>
  <c r="BE216" i="1" s="1"/>
  <c r="AA216" i="1"/>
  <c r="AC215" i="1"/>
  <c r="AD215" i="1" s="1"/>
  <c r="BA215" i="1" s="1"/>
  <c r="BE215" i="1" s="1"/>
  <c r="AA215" i="1"/>
  <c r="AC214" i="1"/>
  <c r="AD214" i="1" s="1"/>
  <c r="BA214" i="1" s="1"/>
  <c r="BE214" i="1" s="1"/>
  <c r="AA214" i="1"/>
  <c r="AC213" i="1"/>
  <c r="AD213" i="1" s="1"/>
  <c r="BA213" i="1" s="1"/>
  <c r="BE213" i="1" s="1"/>
  <c r="AA213" i="1"/>
  <c r="AC212" i="1"/>
  <c r="AD212" i="1" s="1"/>
  <c r="BA212" i="1" s="1"/>
  <c r="BE212" i="1" s="1"/>
  <c r="AA212" i="1"/>
  <c r="AC211" i="1"/>
  <c r="AD211" i="1" s="1"/>
  <c r="BA211" i="1" s="1"/>
  <c r="BE211" i="1" s="1"/>
  <c r="AA211" i="1"/>
  <c r="AC210" i="1"/>
  <c r="AD210" i="1" s="1"/>
  <c r="BA210" i="1" s="1"/>
  <c r="BE210" i="1" s="1"/>
  <c r="AA210" i="1"/>
  <c r="AC209" i="1"/>
  <c r="AD209" i="1" s="1"/>
  <c r="BA209" i="1" s="1"/>
  <c r="BE209" i="1" s="1"/>
  <c r="AA209" i="1"/>
  <c r="AC208" i="1"/>
  <c r="AD208" i="1" s="1"/>
  <c r="BA208" i="1" s="1"/>
  <c r="BE208" i="1" s="1"/>
  <c r="AA208" i="1"/>
  <c r="AC197" i="1"/>
  <c r="AD197" i="1" s="1"/>
  <c r="BA197" i="1" s="1"/>
  <c r="BE197" i="1" s="1"/>
  <c r="AA197" i="1"/>
  <c r="AC192" i="1"/>
  <c r="AD192" i="1" s="1"/>
  <c r="BA192" i="1" s="1"/>
  <c r="BE192" i="1" s="1"/>
  <c r="AA192" i="1"/>
  <c r="AC191" i="1"/>
  <c r="AD191" i="1" s="1"/>
  <c r="BA191" i="1" s="1"/>
  <c r="BE191" i="1" s="1"/>
  <c r="AA191" i="1"/>
  <c r="AC190" i="1"/>
  <c r="AD190" i="1" s="1"/>
  <c r="BA190" i="1" s="1"/>
  <c r="BE190" i="1" s="1"/>
  <c r="AA190" i="1"/>
  <c r="AC189" i="1"/>
  <c r="AD189" i="1" s="1"/>
  <c r="BA189" i="1" s="1"/>
  <c r="BE189" i="1" s="1"/>
  <c r="AA189" i="1"/>
  <c r="AC188" i="1"/>
  <c r="AD188" i="1" s="1"/>
  <c r="BA188" i="1" s="1"/>
  <c r="BE188" i="1" s="1"/>
  <c r="AA188" i="1"/>
  <c r="AC187" i="1"/>
  <c r="AD187" i="1" s="1"/>
  <c r="BA187" i="1" s="1"/>
  <c r="BE187" i="1" s="1"/>
  <c r="AA187" i="1"/>
  <c r="AC186" i="1"/>
  <c r="AD186" i="1" s="1"/>
  <c r="BA186" i="1" s="1"/>
  <c r="BE186" i="1" s="1"/>
  <c r="AA186" i="1"/>
  <c r="AC185" i="1"/>
  <c r="AD185" i="1" s="1"/>
  <c r="BA185" i="1" s="1"/>
  <c r="BE185" i="1" s="1"/>
  <c r="AA185" i="1"/>
  <c r="AC184" i="1"/>
  <c r="AD184" i="1" s="1"/>
  <c r="BA184" i="1" s="1"/>
  <c r="BE184" i="1" s="1"/>
  <c r="AA184" i="1"/>
  <c r="AC183" i="1"/>
  <c r="AD183" i="1" s="1"/>
  <c r="BA183" i="1" s="1"/>
  <c r="BE183" i="1" s="1"/>
  <c r="AA183" i="1"/>
  <c r="AC182" i="1"/>
  <c r="AD182" i="1" s="1"/>
  <c r="BA182" i="1" s="1"/>
  <c r="BE182" i="1" s="1"/>
  <c r="AA182" i="1"/>
  <c r="AC181" i="1"/>
  <c r="AD181" i="1" s="1"/>
  <c r="BA181" i="1" s="1"/>
  <c r="BE181" i="1" s="1"/>
  <c r="AA181" i="1"/>
  <c r="AC180" i="1"/>
  <c r="AD180" i="1" s="1"/>
  <c r="BA180" i="1" s="1"/>
  <c r="BE180" i="1" s="1"/>
  <c r="AA180" i="1"/>
  <c r="AC179" i="1"/>
  <c r="AD179" i="1" s="1"/>
  <c r="BA179" i="1" s="1"/>
  <c r="BE179" i="1" s="1"/>
  <c r="AA179" i="1"/>
  <c r="AC178" i="1"/>
  <c r="AD178" i="1" s="1"/>
  <c r="BA178" i="1" s="1"/>
  <c r="BE178" i="1" s="1"/>
  <c r="AA178" i="1"/>
  <c r="AC177" i="1"/>
  <c r="AD177" i="1" s="1"/>
  <c r="BA177" i="1" s="1"/>
  <c r="BE177" i="1" s="1"/>
  <c r="AA177" i="1"/>
  <c r="AC176" i="1"/>
  <c r="AD176" i="1" s="1"/>
  <c r="BA176" i="1" s="1"/>
  <c r="BE176" i="1" s="1"/>
  <c r="AA176" i="1"/>
  <c r="AC175" i="1"/>
  <c r="AD175" i="1" s="1"/>
  <c r="BA175" i="1" s="1"/>
  <c r="BE175" i="1" s="1"/>
  <c r="AA175" i="1"/>
  <c r="AC174" i="1"/>
  <c r="AD174" i="1" s="1"/>
  <c r="BA174" i="1" s="1"/>
  <c r="BE174" i="1" s="1"/>
  <c r="AA174" i="1"/>
  <c r="AC130" i="1"/>
  <c r="AD130" i="1" s="1"/>
  <c r="BA130" i="1" s="1"/>
  <c r="AA130" i="1"/>
  <c r="AC128" i="1"/>
  <c r="AD128" i="1" s="1"/>
  <c r="BA128" i="1" s="1"/>
  <c r="BE128" i="1" s="1"/>
  <c r="AA128" i="1"/>
  <c r="AC122" i="1"/>
  <c r="AD122" i="1" s="1"/>
  <c r="BA122" i="1" s="1"/>
  <c r="AA122" i="1"/>
  <c r="AC117" i="1"/>
  <c r="AD117" i="1" s="1"/>
  <c r="BA117" i="1" s="1"/>
  <c r="BE117" i="1" s="1"/>
  <c r="BF117" i="1" s="1"/>
  <c r="BG117" i="1" s="1"/>
  <c r="BQ117" i="1" s="1"/>
  <c r="AA117" i="1"/>
  <c r="AC116" i="1"/>
  <c r="AD116" i="1" s="1"/>
  <c r="BA116" i="1" s="1"/>
  <c r="AA116" i="1"/>
  <c r="AC113" i="1"/>
  <c r="AD113" i="1" s="1"/>
  <c r="BA113" i="1" s="1"/>
  <c r="AA113" i="1"/>
  <c r="AC36" i="1"/>
  <c r="AD36" i="1" s="1"/>
  <c r="BA36" i="1" s="1"/>
  <c r="BD36" i="1" s="1"/>
  <c r="BH36" i="1" s="1"/>
  <c r="AA36" i="1"/>
  <c r="AC30" i="1"/>
  <c r="AD30" i="1" s="1"/>
  <c r="BA30" i="1" s="1"/>
  <c r="BD30" i="1" s="1"/>
  <c r="BH30" i="1" s="1"/>
  <c r="AA30" i="1"/>
  <c r="AC25" i="1"/>
  <c r="AD25" i="1" s="1"/>
  <c r="BA25" i="1" s="1"/>
  <c r="BD25" i="1" s="1"/>
  <c r="BH25" i="1" s="1"/>
  <c r="AA25" i="1"/>
  <c r="AC11" i="1"/>
  <c r="AD11" i="1" s="1"/>
  <c r="BA11" i="1" s="1"/>
  <c r="BD11" i="1" s="1"/>
  <c r="BH11" i="1" s="1"/>
  <c r="AA11" i="1"/>
  <c r="AC9" i="1"/>
  <c r="AD9" i="1" s="1"/>
  <c r="BA9" i="1" s="1"/>
  <c r="BD9" i="1" s="1"/>
  <c r="BH9" i="1" s="1"/>
  <c r="AA9" i="1"/>
  <c r="AC34" i="1"/>
  <c r="AD34" i="1" s="1"/>
  <c r="BA34" i="1" s="1"/>
  <c r="BD34" i="1" s="1"/>
  <c r="BH34" i="1" s="1"/>
  <c r="AA34" i="1"/>
  <c r="AC26" i="1"/>
  <c r="AD26" i="1" s="1"/>
  <c r="BA26" i="1" s="1"/>
  <c r="BD26" i="1" s="1"/>
  <c r="BH26" i="1" s="1"/>
  <c r="AA26" i="1"/>
  <c r="AC19" i="1"/>
  <c r="AD19" i="1" s="1"/>
  <c r="BA19" i="1" s="1"/>
  <c r="BD19" i="1" s="1"/>
  <c r="BH19" i="1" s="1"/>
  <c r="AA19" i="1"/>
  <c r="AC10" i="1"/>
  <c r="AD10" i="1" s="1"/>
  <c r="BA10" i="1" s="1"/>
  <c r="BD10" i="1" s="1"/>
  <c r="BH10" i="1" s="1"/>
  <c r="AA10" i="1"/>
  <c r="AC28" i="1"/>
  <c r="AD28" i="1" s="1"/>
  <c r="BA28" i="1" s="1"/>
  <c r="BD28" i="1" s="1"/>
  <c r="BH28" i="1" s="1"/>
  <c r="AA28" i="1"/>
  <c r="AC20" i="1"/>
  <c r="AD20" i="1" s="1"/>
  <c r="BA20" i="1" s="1"/>
  <c r="BD20" i="1" s="1"/>
  <c r="BH20" i="1" s="1"/>
  <c r="AA20" i="1"/>
  <c r="AC12" i="1"/>
  <c r="AD12" i="1" s="1"/>
  <c r="BA12" i="1" s="1"/>
  <c r="BD12" i="1" s="1"/>
  <c r="BH12" i="1" s="1"/>
  <c r="AA12" i="1"/>
  <c r="AC22" i="1"/>
  <c r="AD22" i="1" s="1"/>
  <c r="BA22" i="1" s="1"/>
  <c r="BD22" i="1" s="1"/>
  <c r="BH22" i="1" s="1"/>
  <c r="AA22" i="1"/>
  <c r="AC32" i="1"/>
  <c r="AD32" i="1" s="1"/>
  <c r="BA32" i="1" s="1"/>
  <c r="BD32" i="1" s="1"/>
  <c r="BH32" i="1" s="1"/>
  <c r="AA32" i="1"/>
  <c r="AC29" i="1"/>
  <c r="AD29" i="1" s="1"/>
  <c r="BA29" i="1" s="1"/>
  <c r="BD29" i="1" s="1"/>
  <c r="BH29" i="1" s="1"/>
  <c r="AA29" i="1"/>
  <c r="AC16" i="1"/>
  <c r="AD16" i="1" s="1"/>
  <c r="BA16" i="1" s="1"/>
  <c r="BD16" i="1" s="1"/>
  <c r="BH16" i="1" s="1"/>
  <c r="AA16" i="1"/>
  <c r="AC33" i="1"/>
  <c r="AD33" i="1" s="1"/>
  <c r="BA33" i="1" s="1"/>
  <c r="BD33" i="1" s="1"/>
  <c r="BH33" i="1" s="1"/>
  <c r="AA33" i="1"/>
  <c r="AC23" i="1"/>
  <c r="AD23" i="1" s="1"/>
  <c r="BA23" i="1" s="1"/>
  <c r="BD23" i="1" s="1"/>
  <c r="BH23" i="1" s="1"/>
  <c r="AA23" i="1"/>
  <c r="AC14" i="1"/>
  <c r="AD14" i="1" s="1"/>
  <c r="BA14" i="1" s="1"/>
  <c r="BD14" i="1" s="1"/>
  <c r="BH14" i="1" s="1"/>
  <c r="AA14" i="1"/>
  <c r="AC15" i="1"/>
  <c r="AD15" i="1" s="1"/>
  <c r="BA15" i="1" s="1"/>
  <c r="BD15" i="1" s="1"/>
  <c r="BH15" i="1" s="1"/>
  <c r="AA15" i="1"/>
  <c r="AC31" i="1"/>
  <c r="AD31" i="1" s="1"/>
  <c r="BA31" i="1" s="1"/>
  <c r="BD31" i="1" s="1"/>
  <c r="BH31" i="1" s="1"/>
  <c r="AA31" i="1"/>
  <c r="AC21" i="1"/>
  <c r="AD21" i="1" s="1"/>
  <c r="BA21" i="1" s="1"/>
  <c r="BD21" i="1" s="1"/>
  <c r="BH21" i="1" s="1"/>
  <c r="AA21" i="1"/>
  <c r="AC27" i="1"/>
  <c r="AD27" i="1" s="1"/>
  <c r="BA27" i="1" s="1"/>
  <c r="BD27" i="1" s="1"/>
  <c r="BH27" i="1" s="1"/>
  <c r="AA27" i="1"/>
  <c r="AC24" i="1"/>
  <c r="AD24" i="1" s="1"/>
  <c r="BA24" i="1" s="1"/>
  <c r="BD24" i="1" s="1"/>
  <c r="BH24" i="1" s="1"/>
  <c r="AA24" i="1"/>
  <c r="AC18" i="1"/>
  <c r="AD18" i="1" s="1"/>
  <c r="BA18" i="1" s="1"/>
  <c r="BD18" i="1" s="1"/>
  <c r="BH18" i="1" s="1"/>
  <c r="AA18" i="1"/>
  <c r="AC17" i="1"/>
  <c r="AD17" i="1" s="1"/>
  <c r="BA17" i="1" s="1"/>
  <c r="BD17" i="1" s="1"/>
  <c r="BH17" i="1" s="1"/>
  <c r="AA17" i="1"/>
  <c r="AC35" i="1"/>
  <c r="AD35" i="1" s="1"/>
  <c r="BA35" i="1" s="1"/>
  <c r="BD35" i="1" s="1"/>
  <c r="BH35" i="1" s="1"/>
  <c r="AA35" i="1"/>
  <c r="AC47" i="1"/>
  <c r="AA47" i="1"/>
  <c r="AC46" i="1"/>
  <c r="AA46" i="1"/>
  <c r="AC44" i="1"/>
  <c r="AA44" i="1"/>
  <c r="AC53" i="1"/>
  <c r="AA53" i="1"/>
  <c r="AC52" i="1"/>
  <c r="AA52" i="1"/>
  <c r="AC51" i="1"/>
  <c r="AA51" i="1"/>
  <c r="AC50" i="1"/>
  <c r="AA50" i="1"/>
  <c r="AC49" i="1"/>
  <c r="AA49" i="1"/>
  <c r="AC48" i="1"/>
  <c r="AA48" i="1"/>
  <c r="Z241" i="1"/>
  <c r="AA241" i="1" s="1"/>
  <c r="AC241" i="1" s="1"/>
  <c r="AD241" i="1" s="1"/>
  <c r="BA241" i="1" s="1"/>
  <c r="BE241" i="1" s="1"/>
  <c r="P241" i="1"/>
  <c r="Z237" i="1"/>
  <c r="AA237" i="1" s="1"/>
  <c r="AC237" i="1" s="1"/>
  <c r="AD237" i="1" s="1"/>
  <c r="BA237" i="1" s="1"/>
  <c r="BE237" i="1" s="1"/>
  <c r="P237" i="1"/>
  <c r="BF54" i="1"/>
  <c r="BG54" i="1" s="1"/>
  <c r="BF110" i="1"/>
  <c r="BG110" i="1" s="1"/>
  <c r="BQ110" i="1" s="1"/>
  <c r="BP128" i="1"/>
  <c r="BP117" i="1"/>
  <c r="AJ129" i="1"/>
  <c r="Y129" i="1"/>
  <c r="AJ127" i="1"/>
  <c r="Y127" i="1"/>
  <c r="AJ126" i="1"/>
  <c r="Y126" i="1"/>
  <c r="AJ125" i="1"/>
  <c r="Y125" i="1"/>
  <c r="AJ124" i="1"/>
  <c r="Y124" i="1"/>
  <c r="AJ123" i="1"/>
  <c r="Y123" i="1"/>
  <c r="AJ121" i="1"/>
  <c r="Y121" i="1"/>
  <c r="AJ120" i="1"/>
  <c r="Y120" i="1"/>
  <c r="AJ119" i="1"/>
  <c r="Y119" i="1"/>
  <c r="AJ118" i="1"/>
  <c r="Y118" i="1"/>
  <c r="AJ115" i="1"/>
  <c r="Y115" i="1"/>
  <c r="AJ114" i="1"/>
  <c r="Y114" i="1"/>
  <c r="Y112" i="1"/>
  <c r="AJ112" i="1"/>
  <c r="BF101" i="1"/>
  <c r="BG101" i="1" s="1"/>
  <c r="BQ101" i="1" s="1"/>
  <c r="BP111" i="1"/>
  <c r="BE111" i="1"/>
  <c r="BF111" i="1" s="1"/>
  <c r="BG111" i="1" s="1"/>
  <c r="BQ111" i="1" s="1"/>
  <c r="BF108" i="1"/>
  <c r="BG108" i="1" s="1"/>
  <c r="BQ108" i="1" s="1"/>
  <c r="BP106" i="1"/>
  <c r="BE106" i="1"/>
  <c r="BF106" i="1" s="1"/>
  <c r="BG106" i="1" s="1"/>
  <c r="BQ106" i="1" s="1"/>
  <c r="BP105" i="1"/>
  <c r="BE105" i="1"/>
  <c r="BF105" i="1" s="1"/>
  <c r="BG105" i="1" s="1"/>
  <c r="BQ105" i="1" s="1"/>
  <c r="BP104" i="1"/>
  <c r="BE104" i="1"/>
  <c r="BP4" i="1"/>
  <c r="BE4" i="1"/>
  <c r="BG4" i="1" s="1"/>
  <c r="BQ4" i="1" s="1"/>
  <c r="BP5" i="1"/>
  <c r="BE5" i="1"/>
  <c r="BG5" i="1" s="1"/>
  <c r="BQ5" i="1" s="1"/>
  <c r="BP6" i="1"/>
  <c r="BE6" i="1"/>
  <c r="BG6" i="1" s="1"/>
  <c r="BQ6" i="1" s="1"/>
  <c r="BI48" i="1"/>
  <c r="BO48" i="1" s="1"/>
  <c r="BP48" i="1" s="1"/>
  <c r="BQ48" i="1" s="1"/>
  <c r="BI55" i="1"/>
  <c r="BO55" i="1" s="1"/>
  <c r="BP55" i="1" s="1"/>
  <c r="BQ55" i="1" s="1"/>
  <c r="BI54" i="1"/>
  <c r="BO54" i="1" s="1"/>
  <c r="BP54" i="1" s="1"/>
  <c r="BP87" i="1"/>
  <c r="BE87" i="1"/>
  <c r="BF87" i="1" s="1"/>
  <c r="BG87" i="1" s="1"/>
  <c r="BQ87" i="1" s="1"/>
  <c r="BP7" i="1"/>
  <c r="BE7" i="1"/>
  <c r="BG7" i="1" s="1"/>
  <c r="BQ7" i="1" s="1"/>
  <c r="BP90" i="1"/>
  <c r="BE90" i="1"/>
  <c r="BP3" i="1"/>
  <c r="BE3" i="1"/>
  <c r="BG3" i="1" s="1"/>
  <c r="BQ3" i="1" s="1"/>
  <c r="BP8" i="1"/>
  <c r="BE8" i="1"/>
  <c r="BG8" i="1" s="1"/>
  <c r="BQ8" i="1" s="1"/>
  <c r="BP2" i="1"/>
  <c r="BG2" i="1"/>
  <c r="BQ2" i="1" s="1"/>
  <c r="BE99" i="1"/>
  <c r="BP99" i="1"/>
  <c r="BE98" i="1"/>
  <c r="BP98" i="1"/>
  <c r="BE97" i="1"/>
  <c r="BP97" i="1"/>
  <c r="BE96" i="1"/>
  <c r="BP96" i="1"/>
  <c r="BE95" i="1"/>
  <c r="BP95" i="1"/>
  <c r="BE94" i="1"/>
  <c r="BP94" i="1"/>
  <c r="BE93" i="1"/>
  <c r="BP93" i="1"/>
  <c r="BE92" i="1"/>
  <c r="BP92" i="1"/>
  <c r="BE91" i="1"/>
  <c r="BP91" i="1"/>
  <c r="BE89" i="1"/>
  <c r="BP89" i="1"/>
  <c r="BF76" i="1"/>
  <c r="BG76" i="1" s="1"/>
  <c r="BQ76" i="1" s="1"/>
  <c r="BF75" i="1"/>
  <c r="BG75" i="1" s="1"/>
  <c r="BQ75" i="1" s="1"/>
  <c r="BF74" i="1"/>
  <c r="BG74" i="1" s="1"/>
  <c r="BQ74" i="1" s="1"/>
  <c r="BF73" i="1"/>
  <c r="BG73" i="1" s="1"/>
  <c r="BQ73" i="1" s="1"/>
  <c r="BF72" i="1"/>
  <c r="BG72" i="1" s="1"/>
  <c r="BQ72" i="1" s="1"/>
  <c r="BP86" i="1"/>
  <c r="BE86" i="1"/>
  <c r="BP88" i="1"/>
  <c r="BE88" i="1"/>
  <c r="BE37" i="1"/>
  <c r="BG37" i="1" s="1"/>
  <c r="BE39" i="1"/>
  <c r="BG39" i="1" s="1"/>
  <c r="BE42" i="1"/>
  <c r="BG42" i="1" s="1"/>
  <c r="BE38" i="1"/>
  <c r="BG38" i="1" s="1"/>
  <c r="BE13" i="1"/>
  <c r="BG13" i="1" s="1"/>
  <c r="BE40" i="1"/>
  <c r="BG40" i="1" s="1"/>
  <c r="BI57" i="1"/>
  <c r="BO57" i="1" s="1"/>
  <c r="BP57" i="1" s="1"/>
  <c r="BQ57" i="1" s="1"/>
  <c r="BI56" i="1"/>
  <c r="BO56" i="1" s="1"/>
  <c r="BP56" i="1" s="1"/>
  <c r="BQ56" i="1" s="1"/>
  <c r="BI45" i="1"/>
  <c r="BO45" i="1" s="1"/>
  <c r="BP45" i="1" s="1"/>
  <c r="BQ45" i="1" s="1"/>
  <c r="BI68" i="1"/>
  <c r="BO68" i="1" s="1"/>
  <c r="BP68" i="1" s="1"/>
  <c r="BI47" i="1"/>
  <c r="BO47" i="1" s="1"/>
  <c r="BP47" i="1" s="1"/>
  <c r="BI46" i="1"/>
  <c r="BO46" i="1" s="1"/>
  <c r="BP46" i="1" s="1"/>
  <c r="BI44" i="1"/>
  <c r="BO44" i="1" s="1"/>
  <c r="BP44" i="1" s="1"/>
  <c r="BE68" i="1"/>
  <c r="BE43" i="1"/>
  <c r="BG43" i="1" s="1"/>
  <c r="BE53" i="1"/>
  <c r="BF53" i="1" s="1"/>
  <c r="BG53" i="1" s="1"/>
  <c r="BE52" i="1"/>
  <c r="BF52" i="1" s="1"/>
  <c r="BG52" i="1" s="1"/>
  <c r="BE51" i="1"/>
  <c r="BG51" i="1" s="1"/>
  <c r="BE50" i="1"/>
  <c r="BG50" i="1" s="1"/>
  <c r="BE49" i="1"/>
  <c r="BG49" i="1" s="1"/>
  <c r="BE47" i="1"/>
  <c r="BG47" i="1" s="1"/>
  <c r="BE46" i="1"/>
  <c r="BG46" i="1" s="1"/>
  <c r="BE44" i="1"/>
  <c r="BG44" i="1" s="1"/>
  <c r="Z239" i="1" l="1"/>
  <c r="AA239" i="1" s="1"/>
  <c r="AC239" i="1" s="1"/>
  <c r="AD239" i="1" s="1"/>
  <c r="BA239" i="1" s="1"/>
  <c r="BE239" i="1" s="1"/>
  <c r="P239" i="1"/>
  <c r="Z238" i="1"/>
  <c r="AA238" i="1" s="1"/>
  <c r="AC238" i="1" s="1"/>
  <c r="AD238" i="1" s="1"/>
  <c r="BA238" i="1" s="1"/>
  <c r="BE238" i="1" s="1"/>
  <c r="P238" i="1"/>
  <c r="BQ223" i="1"/>
  <c r="BQ222" i="1"/>
  <c r="BQ245" i="1"/>
  <c r="BQ54" i="1"/>
  <c r="BQ47" i="1"/>
  <c r="BQ46" i="1"/>
  <c r="BQ44" i="1"/>
  <c r="BF244" i="1"/>
  <c r="BG244" i="1" s="1"/>
  <c r="BQ244" i="1" s="1"/>
  <c r="BF243" i="1"/>
  <c r="BG243" i="1" s="1"/>
  <c r="BQ243" i="1" s="1"/>
  <c r="BF196" i="1"/>
  <c r="BG196" i="1" s="1"/>
  <c r="BQ196" i="1" s="1"/>
  <c r="BF203" i="1"/>
  <c r="BG203" i="1" s="1"/>
  <c r="BQ203" i="1" s="1"/>
  <c r="BF202" i="1"/>
  <c r="BG202" i="1" s="1"/>
  <c r="BQ202" i="1" s="1"/>
  <c r="BF201" i="1"/>
  <c r="BG201" i="1" s="1"/>
  <c r="BQ201" i="1" s="1"/>
  <c r="BF200" i="1"/>
  <c r="BG200" i="1" s="1"/>
  <c r="BQ200" i="1" s="1"/>
  <c r="BF194" i="1"/>
  <c r="BG194" i="1" s="1"/>
  <c r="BQ194" i="1" s="1"/>
  <c r="BF193" i="1"/>
  <c r="BG193" i="1" s="1"/>
  <c r="BQ193" i="1" s="1"/>
  <c r="BF199" i="1"/>
  <c r="BG199" i="1" s="1"/>
  <c r="BQ199" i="1" s="1"/>
  <c r="BF198" i="1"/>
  <c r="BG198" i="1" s="1"/>
  <c r="BQ198" i="1" s="1"/>
  <c r="BF217" i="1"/>
  <c r="BG217" i="1" s="1"/>
  <c r="BQ217" i="1" s="1"/>
  <c r="BF195" i="1"/>
  <c r="BG195" i="1" s="1"/>
  <c r="BQ195" i="1" s="1"/>
  <c r="BF218" i="1"/>
  <c r="BG218" i="1" s="1"/>
  <c r="BQ218" i="1" s="1"/>
  <c r="BF216" i="1"/>
  <c r="BG216" i="1" s="1"/>
  <c r="BQ216" i="1" s="1"/>
  <c r="BF215" i="1"/>
  <c r="BG215" i="1" s="1"/>
  <c r="BQ215" i="1" s="1"/>
  <c r="BF214" i="1"/>
  <c r="BG214" i="1" s="1"/>
  <c r="BQ214" i="1" s="1"/>
  <c r="BF213" i="1"/>
  <c r="BG213" i="1" s="1"/>
  <c r="BQ213" i="1" s="1"/>
  <c r="BF212" i="1"/>
  <c r="BG212" i="1" s="1"/>
  <c r="BQ212" i="1" s="1"/>
  <c r="BF211" i="1"/>
  <c r="BG211" i="1" s="1"/>
  <c r="BQ211" i="1" s="1"/>
  <c r="BF210" i="1"/>
  <c r="BG210" i="1" s="1"/>
  <c r="BQ210" i="1" s="1"/>
  <c r="BF209" i="1"/>
  <c r="BG209" i="1" s="1"/>
  <c r="BQ209" i="1" s="1"/>
  <c r="BF208" i="1"/>
  <c r="BG208" i="1" s="1"/>
  <c r="BQ208" i="1" s="1"/>
  <c r="BF197" i="1"/>
  <c r="BG197" i="1" s="1"/>
  <c r="BQ197" i="1" s="1"/>
  <c r="BF192" i="1"/>
  <c r="BG192" i="1" s="1"/>
  <c r="BQ192" i="1" s="1"/>
  <c r="BF191" i="1"/>
  <c r="BG191" i="1" s="1"/>
  <c r="BQ191" i="1" s="1"/>
  <c r="BF190" i="1"/>
  <c r="BG190" i="1" s="1"/>
  <c r="BQ190" i="1" s="1"/>
  <c r="BF189" i="1"/>
  <c r="BG189" i="1" s="1"/>
  <c r="BQ189" i="1" s="1"/>
  <c r="BF188" i="1"/>
  <c r="BG188" i="1" s="1"/>
  <c r="BQ188" i="1" s="1"/>
  <c r="BF187" i="1"/>
  <c r="BG187" i="1" s="1"/>
  <c r="BQ187" i="1" s="1"/>
  <c r="BF186" i="1"/>
  <c r="BG186" i="1" s="1"/>
  <c r="BQ186" i="1" s="1"/>
  <c r="BF185" i="1"/>
  <c r="BG185" i="1" s="1"/>
  <c r="BQ185" i="1" s="1"/>
  <c r="BF184" i="1"/>
  <c r="BG184" i="1" s="1"/>
  <c r="BQ184" i="1" s="1"/>
  <c r="BF183" i="1"/>
  <c r="BG183" i="1" s="1"/>
  <c r="BQ183" i="1" s="1"/>
  <c r="BF182" i="1"/>
  <c r="BG182" i="1" s="1"/>
  <c r="BQ182" i="1" s="1"/>
  <c r="BF181" i="1"/>
  <c r="BG181" i="1" s="1"/>
  <c r="BQ181" i="1" s="1"/>
  <c r="BF180" i="1"/>
  <c r="BG180" i="1" s="1"/>
  <c r="BQ180" i="1" s="1"/>
  <c r="BF179" i="1"/>
  <c r="BG179" i="1" s="1"/>
  <c r="BQ179" i="1" s="1"/>
  <c r="BF178" i="1"/>
  <c r="BG178" i="1" s="1"/>
  <c r="BQ178" i="1" s="1"/>
  <c r="BF177" i="1"/>
  <c r="BG177" i="1" s="1"/>
  <c r="BQ177" i="1" s="1"/>
  <c r="BF176" i="1"/>
  <c r="BG176" i="1" s="1"/>
  <c r="BQ176" i="1" s="1"/>
  <c r="BF175" i="1"/>
  <c r="BG175" i="1" s="1"/>
  <c r="BQ175" i="1" s="1"/>
  <c r="BF174" i="1"/>
  <c r="BG174" i="1" s="1"/>
  <c r="BQ174" i="1" s="1"/>
  <c r="BF241" i="1"/>
  <c r="BG241" i="1" s="1"/>
  <c r="BQ241" i="1" s="1"/>
  <c r="BF237" i="1"/>
  <c r="BG237" i="1" s="1"/>
  <c r="BQ237" i="1" s="1"/>
  <c r="BF247" i="1"/>
  <c r="BG247" i="1" s="1"/>
  <c r="BQ247" i="1" s="1"/>
  <c r="BF246" i="1"/>
  <c r="BG246" i="1" s="1"/>
  <c r="BQ246" i="1" s="1"/>
  <c r="AC240" i="1"/>
  <c r="AD240" i="1" s="1"/>
  <c r="BA240" i="1" s="1"/>
  <c r="BE240" i="1" s="1"/>
  <c r="AC129" i="1"/>
  <c r="AD129" i="1" s="1"/>
  <c r="BA129" i="1" s="1"/>
  <c r="AA129" i="1"/>
  <c r="AC127" i="1"/>
  <c r="AD127" i="1" s="1"/>
  <c r="BA127" i="1" s="1"/>
  <c r="AA127" i="1"/>
  <c r="AC126" i="1"/>
  <c r="AD126" i="1" s="1"/>
  <c r="BA126" i="1" s="1"/>
  <c r="AA126" i="1"/>
  <c r="AC125" i="1"/>
  <c r="AD125" i="1" s="1"/>
  <c r="BA125" i="1" s="1"/>
  <c r="AA125" i="1"/>
  <c r="AC124" i="1"/>
  <c r="AD124" i="1" s="1"/>
  <c r="BA124" i="1" s="1"/>
  <c r="AA124" i="1"/>
  <c r="AC123" i="1"/>
  <c r="AD123" i="1" s="1"/>
  <c r="BA123" i="1" s="1"/>
  <c r="AA123" i="1"/>
  <c r="AC121" i="1"/>
  <c r="AD121" i="1" s="1"/>
  <c r="BA121" i="1" s="1"/>
  <c r="AA121" i="1"/>
  <c r="AC120" i="1"/>
  <c r="AD120" i="1" s="1"/>
  <c r="BA120" i="1" s="1"/>
  <c r="BE120" i="1" s="1"/>
  <c r="AA120" i="1"/>
  <c r="AC119" i="1"/>
  <c r="AD119" i="1" s="1"/>
  <c r="BA119" i="1" s="1"/>
  <c r="AA119" i="1"/>
  <c r="AC118" i="1"/>
  <c r="AD118" i="1" s="1"/>
  <c r="BA118" i="1" s="1"/>
  <c r="BE118" i="1" s="1"/>
  <c r="BF118" i="1" s="1"/>
  <c r="BG118" i="1" s="1"/>
  <c r="BQ118" i="1" s="1"/>
  <c r="AA118" i="1"/>
  <c r="AC115" i="1"/>
  <c r="AD115" i="1" s="1"/>
  <c r="BA115" i="1" s="1"/>
  <c r="AA115" i="1"/>
  <c r="AC114" i="1"/>
  <c r="AD114" i="1" s="1"/>
  <c r="BA114" i="1" s="1"/>
  <c r="BE114" i="1" s="1"/>
  <c r="AA114" i="1"/>
  <c r="AC112" i="1"/>
  <c r="AD112" i="1" s="1"/>
  <c r="BA112" i="1" s="1"/>
  <c r="BE112" i="1" s="1"/>
  <c r="BF112" i="1" s="1"/>
  <c r="BG112" i="1" s="1"/>
  <c r="BQ112" i="1" s="1"/>
  <c r="AA112" i="1"/>
  <c r="BP116" i="1"/>
  <c r="BE116" i="1"/>
  <c r="BF116" i="1" s="1"/>
  <c r="BG116" i="1" s="1"/>
  <c r="BQ116" i="1" s="1"/>
  <c r="BP113" i="1"/>
  <c r="BE113" i="1"/>
  <c r="BF113" i="1" s="1"/>
  <c r="BG113" i="1" s="1"/>
  <c r="BQ113" i="1" s="1"/>
  <c r="BP70" i="1"/>
  <c r="BE70" i="1"/>
  <c r="BF70" i="1" s="1"/>
  <c r="BG70" i="1" s="1"/>
  <c r="BP83" i="1"/>
  <c r="BE83" i="1"/>
  <c r="BF83" i="1" s="1"/>
  <c r="BG83" i="1" s="1"/>
  <c r="BP81" i="1"/>
  <c r="BE81" i="1"/>
  <c r="BF81" i="1" s="1"/>
  <c r="BG81" i="1" s="1"/>
  <c r="BF128" i="1"/>
  <c r="BG128" i="1" s="1"/>
  <c r="BQ128" i="1" s="1"/>
  <c r="BP120" i="1"/>
  <c r="BP118" i="1"/>
  <c r="BP114" i="1"/>
  <c r="BP112" i="1"/>
  <c r="BF104" i="1"/>
  <c r="BG104" i="1" s="1"/>
  <c r="BQ104" i="1" s="1"/>
  <c r="BP130" i="1"/>
  <c r="BE130" i="1"/>
  <c r="BF130" i="1" s="1"/>
  <c r="BG130" i="1" s="1"/>
  <c r="BQ130" i="1" s="1"/>
  <c r="BP122" i="1"/>
  <c r="BE122" i="1"/>
  <c r="BP71" i="1"/>
  <c r="BE71" i="1"/>
  <c r="BF71" i="1" s="1"/>
  <c r="BG71" i="1" s="1"/>
  <c r="BP69" i="1"/>
  <c r="BE69" i="1"/>
  <c r="BF69" i="1" s="1"/>
  <c r="BG69" i="1" s="1"/>
  <c r="BP82" i="1"/>
  <c r="BE82" i="1"/>
  <c r="BF82" i="1" s="1"/>
  <c r="BG82" i="1" s="1"/>
  <c r="BP80" i="1"/>
  <c r="BE80" i="1"/>
  <c r="BF80" i="1" s="1"/>
  <c r="BG80" i="1" s="1"/>
  <c r="BP79" i="1"/>
  <c r="BE79" i="1"/>
  <c r="BF79" i="1" s="1"/>
  <c r="BG79" i="1" s="1"/>
  <c r="BP62" i="1"/>
  <c r="BE62" i="1"/>
  <c r="BF62" i="1" s="1"/>
  <c r="BG62" i="1" s="1"/>
  <c r="BP60" i="1"/>
  <c r="BE60" i="1"/>
  <c r="BF60" i="1" s="1"/>
  <c r="BG60" i="1" s="1"/>
  <c r="BP78" i="1"/>
  <c r="BE78" i="1"/>
  <c r="BF78" i="1" s="1"/>
  <c r="BG78" i="1" s="1"/>
  <c r="BE41" i="1"/>
  <c r="BG41" i="1" s="1"/>
  <c r="BP77" i="1"/>
  <c r="BE77" i="1"/>
  <c r="BF77" i="1" s="1"/>
  <c r="BG77" i="1" s="1"/>
  <c r="BQ77" i="1" s="1"/>
  <c r="BP58" i="1"/>
  <c r="BE58" i="1"/>
  <c r="BF58" i="1" s="1"/>
  <c r="BG58" i="1" s="1"/>
  <c r="BQ58" i="1" s="1"/>
  <c r="BP59" i="1"/>
  <c r="BE59" i="1"/>
  <c r="BF59" i="1" s="1"/>
  <c r="BG59" i="1" s="1"/>
  <c r="BP61" i="1"/>
  <c r="BE61" i="1"/>
  <c r="BF61" i="1" s="1"/>
  <c r="BG61" i="1" s="1"/>
  <c r="BP63" i="1"/>
  <c r="BE63" i="1"/>
  <c r="BF63" i="1" s="1"/>
  <c r="BG63" i="1" s="1"/>
  <c r="BP65" i="1"/>
  <c r="BE65" i="1"/>
  <c r="BF65" i="1" s="1"/>
  <c r="BG65" i="1" s="1"/>
  <c r="BQ65" i="1" s="1"/>
  <c r="BP67" i="1"/>
  <c r="BE67" i="1"/>
  <c r="BF67" i="1" s="1"/>
  <c r="BG67" i="1" s="1"/>
  <c r="BP64" i="1"/>
  <c r="BE64" i="1"/>
  <c r="BG64" i="1" s="1"/>
  <c r="BP66" i="1"/>
  <c r="BE66" i="1"/>
  <c r="BF66" i="1" s="1"/>
  <c r="BG66" i="1" s="1"/>
  <c r="BP85" i="1"/>
  <c r="BE85" i="1"/>
  <c r="BF85" i="1" s="1"/>
  <c r="BG85" i="1" s="1"/>
  <c r="BQ85" i="1" s="1"/>
  <c r="BP84" i="1"/>
  <c r="BE84" i="1"/>
  <c r="BF84" i="1" s="1"/>
  <c r="BG84" i="1" s="1"/>
  <c r="BI37" i="1"/>
  <c r="BO37" i="1" s="1"/>
  <c r="BP37" i="1" s="1"/>
  <c r="BQ37" i="1" s="1"/>
  <c r="BI39" i="1"/>
  <c r="BO39" i="1" s="1"/>
  <c r="BP39" i="1" s="1"/>
  <c r="BQ39" i="1" s="1"/>
  <c r="BI42" i="1"/>
  <c r="BO42" i="1" s="1"/>
  <c r="BP42" i="1" s="1"/>
  <c r="BQ42" i="1" s="1"/>
  <c r="BI38" i="1"/>
  <c r="BO38" i="1" s="1"/>
  <c r="BP38" i="1" s="1"/>
  <c r="BQ38" i="1" s="1"/>
  <c r="BI13" i="1"/>
  <c r="BO13" i="1" s="1"/>
  <c r="BP13" i="1" s="1"/>
  <c r="BQ13" i="1" s="1"/>
  <c r="BI40" i="1"/>
  <c r="BO40" i="1" s="1"/>
  <c r="BP40" i="1" s="1"/>
  <c r="BQ40" i="1" s="1"/>
  <c r="BF90" i="1"/>
  <c r="BG90" i="1" s="1"/>
  <c r="BQ90" i="1" s="1"/>
  <c r="BF99" i="1"/>
  <c r="BG99" i="1" s="1"/>
  <c r="BQ99" i="1" s="1"/>
  <c r="BF98" i="1"/>
  <c r="BG98" i="1" s="1"/>
  <c r="BQ98" i="1" s="1"/>
  <c r="BF97" i="1"/>
  <c r="BG97" i="1" s="1"/>
  <c r="BQ97" i="1" s="1"/>
  <c r="BF96" i="1"/>
  <c r="BG96" i="1" s="1"/>
  <c r="BQ96" i="1" s="1"/>
  <c r="BF95" i="1"/>
  <c r="BG95" i="1" s="1"/>
  <c r="BQ95" i="1" s="1"/>
  <c r="BF94" i="1"/>
  <c r="BG94" i="1" s="1"/>
  <c r="BQ94" i="1" s="1"/>
  <c r="BF93" i="1"/>
  <c r="BG93" i="1" s="1"/>
  <c r="BQ93" i="1" s="1"/>
  <c r="BF92" i="1"/>
  <c r="BG92" i="1" s="1"/>
  <c r="BQ92" i="1" s="1"/>
  <c r="BF91" i="1"/>
  <c r="BG91" i="1" s="1"/>
  <c r="BQ91" i="1" s="1"/>
  <c r="BF89" i="1"/>
  <c r="BG89" i="1" s="1"/>
  <c r="BQ89" i="1" s="1"/>
  <c r="BF86" i="1"/>
  <c r="BG86" i="1" s="1"/>
  <c r="BQ86" i="1" s="1"/>
  <c r="BF88" i="1"/>
  <c r="BG88" i="1" s="1"/>
  <c r="BQ88" i="1" s="1"/>
  <c r="BF68" i="1"/>
  <c r="BG68" i="1" s="1"/>
  <c r="BQ68" i="1" s="1"/>
  <c r="BI43" i="1"/>
  <c r="BO43" i="1" s="1"/>
  <c r="BP43" i="1" s="1"/>
  <c r="BQ43" i="1" s="1"/>
  <c r="BI53" i="1"/>
  <c r="BO53" i="1" s="1"/>
  <c r="BP53" i="1" s="1"/>
  <c r="BQ53" i="1" s="1"/>
  <c r="BI52" i="1"/>
  <c r="BO52" i="1" s="1"/>
  <c r="BP52" i="1" s="1"/>
  <c r="BQ52" i="1" s="1"/>
  <c r="BI51" i="1"/>
  <c r="BO51" i="1" s="1"/>
  <c r="BP51" i="1" s="1"/>
  <c r="BQ51" i="1" s="1"/>
  <c r="BI50" i="1"/>
  <c r="BO50" i="1" s="1"/>
  <c r="BP50" i="1" s="1"/>
  <c r="BQ50" i="1" s="1"/>
  <c r="BI49" i="1"/>
  <c r="BO49" i="1" s="1"/>
  <c r="BP49" i="1" s="1"/>
  <c r="BQ49" i="1" s="1"/>
  <c r="BI36" i="1"/>
  <c r="BO36" i="1" s="1"/>
  <c r="BP36" i="1" s="1"/>
  <c r="BI11" i="1"/>
  <c r="BO11" i="1" s="1"/>
  <c r="BP11" i="1" s="1"/>
  <c r="BI20" i="1"/>
  <c r="BO20" i="1" s="1"/>
  <c r="BP20" i="1" s="1"/>
  <c r="BI22" i="1"/>
  <c r="BO22" i="1" s="1"/>
  <c r="BP22" i="1" s="1"/>
  <c r="BI16" i="1"/>
  <c r="BO16" i="1" s="1"/>
  <c r="BP16" i="1" s="1"/>
  <c r="BI23" i="1"/>
  <c r="BO23" i="1" s="1"/>
  <c r="BP23" i="1" s="1"/>
  <c r="BI14" i="1"/>
  <c r="BO14" i="1" s="1"/>
  <c r="BP14" i="1" s="1"/>
  <c r="BI21" i="1"/>
  <c r="BO21" i="1" s="1"/>
  <c r="BP21" i="1" s="1"/>
  <c r="BI27" i="1"/>
  <c r="BO27" i="1" s="1"/>
  <c r="BP27" i="1" s="1"/>
  <c r="BI18" i="1"/>
  <c r="BO18" i="1" s="1"/>
  <c r="BP18" i="1" s="1"/>
  <c r="BI17" i="1"/>
  <c r="BO17" i="1" s="1"/>
  <c r="BP17" i="1" s="1"/>
  <c r="BI35" i="1"/>
  <c r="BO35" i="1" s="1"/>
  <c r="BP35" i="1" s="1"/>
  <c r="BI24" i="1"/>
  <c r="BO24" i="1" s="1"/>
  <c r="BP24" i="1" s="1"/>
  <c r="BE25" i="1"/>
  <c r="BG25" i="1" s="1"/>
  <c r="BP25" i="1"/>
  <c r="BE30" i="1"/>
  <c r="BG30" i="1" s="1"/>
  <c r="BE34" i="1"/>
  <c r="BG34" i="1" s="1"/>
  <c r="BE26" i="1"/>
  <c r="BG26" i="1" s="1"/>
  <c r="BE19" i="1"/>
  <c r="BG19" i="1" s="1"/>
  <c r="BE10" i="1"/>
  <c r="BG10" i="1" s="1"/>
  <c r="BE28" i="1"/>
  <c r="BG28" i="1" s="1"/>
  <c r="BE12" i="1"/>
  <c r="BG12" i="1" s="1"/>
  <c r="BE32" i="1"/>
  <c r="BG32" i="1" s="1"/>
  <c r="BE29" i="1"/>
  <c r="BG29" i="1" s="1"/>
  <c r="BE33" i="1"/>
  <c r="BG33" i="1" s="1"/>
  <c r="BE15" i="1"/>
  <c r="BG15" i="1" s="1"/>
  <c r="BE31" i="1"/>
  <c r="BG31" i="1" s="1"/>
  <c r="BE36" i="1"/>
  <c r="BG36" i="1" s="1"/>
  <c r="BE20" i="1"/>
  <c r="BG20" i="1" s="1"/>
  <c r="BE22" i="1"/>
  <c r="BG22" i="1" s="1"/>
  <c r="BE16" i="1"/>
  <c r="BG16" i="1" s="1"/>
  <c r="BE23" i="1"/>
  <c r="BG23" i="1" s="1"/>
  <c r="BE14" i="1"/>
  <c r="BG14" i="1" s="1"/>
  <c r="BE21" i="1"/>
  <c r="BG21" i="1" s="1"/>
  <c r="BE27" i="1"/>
  <c r="BG27" i="1" s="1"/>
  <c r="BE18" i="1"/>
  <c r="BG18" i="1" s="1"/>
  <c r="BE17" i="1"/>
  <c r="BG17" i="1" s="1"/>
  <c r="BE35" i="1"/>
  <c r="BG35" i="1" s="1"/>
  <c r="BE11" i="1"/>
  <c r="BG11" i="1" s="1"/>
  <c r="BE24" i="1"/>
  <c r="BG24" i="1" s="1"/>
  <c r="BQ81" i="1" l="1"/>
  <c r="BQ71" i="1"/>
  <c r="BQ59" i="1"/>
  <c r="BQ67" i="1"/>
  <c r="BQ79" i="1"/>
  <c r="BQ66" i="1"/>
  <c r="BQ63" i="1"/>
  <c r="BQ60" i="1"/>
  <c r="BQ82" i="1"/>
  <c r="BQ69" i="1"/>
  <c r="BQ62" i="1"/>
  <c r="BQ83" i="1"/>
  <c r="BQ84" i="1"/>
  <c r="BQ78" i="1"/>
  <c r="BQ61" i="1"/>
  <c r="BQ70" i="1"/>
  <c r="BQ36" i="1"/>
  <c r="BQ20" i="1"/>
  <c r="BQ22" i="1"/>
  <c r="BQ16" i="1"/>
  <c r="BQ23" i="1"/>
  <c r="BQ14" i="1"/>
  <c r="BQ11" i="1"/>
  <c r="BQ21" i="1"/>
  <c r="BQ35" i="1"/>
  <c r="BQ24" i="1"/>
  <c r="BQ64" i="1"/>
  <c r="BQ27" i="1"/>
  <c r="BQ18" i="1"/>
  <c r="BQ17" i="1"/>
  <c r="BQ80" i="1"/>
  <c r="BQ25" i="1"/>
  <c r="BF239" i="1"/>
  <c r="BG239" i="1" s="1"/>
  <c r="BQ239" i="1" s="1"/>
  <c r="BF240" i="1"/>
  <c r="BG240" i="1" s="1"/>
  <c r="BQ240" i="1" s="1"/>
  <c r="BF238" i="1"/>
  <c r="BG238" i="1" s="1"/>
  <c r="BQ238" i="1" s="1"/>
  <c r="BP129" i="1"/>
  <c r="BE129" i="1"/>
  <c r="BF129" i="1" s="1"/>
  <c r="BG129" i="1" s="1"/>
  <c r="BQ129" i="1" s="1"/>
  <c r="BP127" i="1"/>
  <c r="BE127" i="1"/>
  <c r="BF127" i="1" s="1"/>
  <c r="BG127" i="1" s="1"/>
  <c r="BQ127" i="1" s="1"/>
  <c r="BP125" i="1"/>
  <c r="BE125" i="1"/>
  <c r="BF125" i="1" s="1"/>
  <c r="BG125" i="1" s="1"/>
  <c r="BQ125" i="1" s="1"/>
  <c r="BP124" i="1"/>
  <c r="BE124" i="1"/>
  <c r="BF124" i="1" s="1"/>
  <c r="BG124" i="1" s="1"/>
  <c r="BQ124" i="1" s="1"/>
  <c r="BP119" i="1"/>
  <c r="BE119" i="1"/>
  <c r="BF119" i="1" s="1"/>
  <c r="BG119" i="1" s="1"/>
  <c r="BQ119" i="1" s="1"/>
  <c r="BF120" i="1"/>
  <c r="BG120" i="1" s="1"/>
  <c r="BQ120" i="1" s="1"/>
  <c r="BF114" i="1"/>
  <c r="BG114" i="1" s="1"/>
  <c r="BQ114" i="1" s="1"/>
  <c r="BF122" i="1"/>
  <c r="BG122" i="1" s="1"/>
  <c r="BQ122" i="1" s="1"/>
  <c r="BP126" i="1"/>
  <c r="BE126" i="1"/>
  <c r="BF126" i="1" s="1"/>
  <c r="BG126" i="1" s="1"/>
  <c r="BQ126" i="1" s="1"/>
  <c r="BP123" i="1"/>
  <c r="BE123" i="1"/>
  <c r="BF123" i="1" s="1"/>
  <c r="BG123" i="1" s="1"/>
  <c r="BQ123" i="1" s="1"/>
  <c r="BP121" i="1"/>
  <c r="BE121" i="1"/>
  <c r="BP115" i="1"/>
  <c r="BE115" i="1"/>
  <c r="BF115" i="1" s="1"/>
  <c r="BG115" i="1" s="1"/>
  <c r="BQ115" i="1" s="1"/>
  <c r="BI41" i="1"/>
  <c r="BO41" i="1" s="1"/>
  <c r="BP41" i="1" s="1"/>
  <c r="BQ41" i="1" s="1"/>
  <c r="BE9" i="1"/>
  <c r="BG9" i="1" s="1"/>
  <c r="BI30" i="1"/>
  <c r="BO30" i="1" s="1"/>
  <c r="BP30" i="1" s="1"/>
  <c r="BQ30" i="1" s="1"/>
  <c r="BI34" i="1"/>
  <c r="BO34" i="1" s="1"/>
  <c r="BP34" i="1" s="1"/>
  <c r="BQ34" i="1" s="1"/>
  <c r="BI26" i="1"/>
  <c r="BO26" i="1" s="1"/>
  <c r="BP26" i="1" s="1"/>
  <c r="BQ26" i="1" s="1"/>
  <c r="BI19" i="1"/>
  <c r="BO19" i="1" s="1"/>
  <c r="BP19" i="1" s="1"/>
  <c r="BQ19" i="1" s="1"/>
  <c r="BI10" i="1"/>
  <c r="BO10" i="1" s="1"/>
  <c r="BP10" i="1" s="1"/>
  <c r="BQ10" i="1" s="1"/>
  <c r="BI28" i="1"/>
  <c r="BO28" i="1" s="1"/>
  <c r="BP28" i="1" s="1"/>
  <c r="BQ28" i="1" s="1"/>
  <c r="BI12" i="1"/>
  <c r="BO12" i="1" s="1"/>
  <c r="BP12" i="1" s="1"/>
  <c r="BQ12" i="1" s="1"/>
  <c r="BI32" i="1"/>
  <c r="BO32" i="1" s="1"/>
  <c r="BP32" i="1" s="1"/>
  <c r="BQ32" i="1" s="1"/>
  <c r="BI29" i="1"/>
  <c r="BO29" i="1" s="1"/>
  <c r="BP29" i="1" s="1"/>
  <c r="BQ29" i="1" s="1"/>
  <c r="BI33" i="1"/>
  <c r="BO33" i="1" s="1"/>
  <c r="BP33" i="1" s="1"/>
  <c r="BQ33" i="1" s="1"/>
  <c r="BI15" i="1"/>
  <c r="BO15" i="1" s="1"/>
  <c r="BP15" i="1" s="1"/>
  <c r="BQ15" i="1" s="1"/>
  <c r="BI31" i="1"/>
  <c r="BO31" i="1" s="1"/>
  <c r="BP31" i="1" s="1"/>
  <c r="BQ31" i="1" s="1"/>
  <c r="BF121" i="1" l="1"/>
  <c r="BG121" i="1" s="1"/>
  <c r="BQ121" i="1" s="1"/>
  <c r="BI9" i="1"/>
  <c r="BO9" i="1" s="1"/>
  <c r="BP9" i="1" s="1"/>
  <c r="BQ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<sst xmlns="http://schemas.openxmlformats.org/spreadsheetml/2006/main" count="33924" uniqueCount="20161">
  <si>
    <t xml:space="preserve"> </t>
  </si>
  <si>
    <t>Company</t>
  </si>
  <si>
    <t>Sl No</t>
  </si>
  <si>
    <t>Kinshasa Name</t>
  </si>
  <si>
    <t>Supplier Country</t>
  </si>
  <si>
    <t>Brand Name</t>
  </si>
  <si>
    <t>Status</t>
  </si>
  <si>
    <t>Dosage Form</t>
  </si>
  <si>
    <t>Strength / Composition</t>
  </si>
  <si>
    <t>Pack Size / Presentation</t>
  </si>
  <si>
    <t>Route of Admin</t>
  </si>
  <si>
    <t>Indications (Summary)</t>
  </si>
  <si>
    <t>Posology / Dosage</t>
  </si>
  <si>
    <t>NEUROQUE 500MCG/ML (MECOBALAMIN) INJ. B/5 AMP</t>
  </si>
  <si>
    <t>Neuroque</t>
  </si>
  <si>
    <t>Active</t>
  </si>
  <si>
    <t>Injection</t>
  </si>
  <si>
    <t>Methylcobalamin 500 mcg/mL</t>
  </si>
  <si>
    <t>Box of 5 ampoules of 1 mL</t>
  </si>
  <si>
    <t>IM / IV</t>
  </si>
  <si>
    <t>Peripheral &amp; diabetic neuropathies, neurotransmitter synthesis, megaloblastic anemia</t>
  </si>
  <si>
    <t>1 ampoule (500 mcg) daily, 3 times per week</t>
  </si>
  <si>
    <t>PREGATAS-ME (PREGABALIN+MECOBALAMIN) B/30CAP</t>
  </si>
  <si>
    <t>Pregatas</t>
  </si>
  <si>
    <t>Capsule</t>
  </si>
  <si>
    <t>Pregabalin 75 mg + Methylcobalamin 750 mcg</t>
  </si>
  <si>
    <t>Box of 30 capsules</t>
  </si>
  <si>
    <t>Oral</t>
  </si>
  <si>
    <t>Nerve pain (diabetic neuropathy, shingles, spinal cord injury, fibromyalgia)</t>
  </si>
  <si>
    <t>As directed by physician</t>
  </si>
  <si>
    <t>PREGATAS-75 (PREGABALIN) B/30 CAPSULE</t>
  </si>
  <si>
    <t>Pregabalin 75 mg</t>
  </si>
  <si>
    <t>CYPROPLEX (CYPROHEPTADINE) SIROP 200ML</t>
  </si>
  <si>
    <t>Cyproplex</t>
  </si>
  <si>
    <t>Oral Suspension</t>
  </si>
  <si>
    <t>Cyproheptadine 2 mg / 5 mL</t>
  </si>
  <si>
    <t>Box of 200 mL</t>
  </si>
  <si>
    <t>Allergy symptoms (watery eyes, runny nose, hives, itching)</t>
  </si>
  <si>
    <t>CYPROPLEX-4 (CYPROHEPTADINE) B/ 10 X 10 CES</t>
  </si>
  <si>
    <t>Tablet</t>
  </si>
  <si>
    <t>Cyproheptadine 4 mg</t>
  </si>
  <si>
    <t>Box of 2×10 &amp; 10×10 tablets</t>
  </si>
  <si>
    <t>Allergy symptoms &amp; appetite stimulation</t>
  </si>
  <si>
    <t>DESLORA 2.5MG/5ML (DESLORATADINE) SIROP 60ML</t>
  </si>
  <si>
    <t>Deslora</t>
  </si>
  <si>
    <t>Syrup</t>
  </si>
  <si>
    <t>Desloratadine 2.5 mg / 5 mL</t>
  </si>
  <si>
    <t>Box of 60 mL (Pineapple flavour)</t>
  </si>
  <si>
    <t>Allergies (sneezing, watery eyes, itching), chronic skin hives</t>
  </si>
  <si>
    <t>&lt;1yr: 2mL; 1-3yr: 2.5mL; 3-6yr: 5mL once daily</t>
  </si>
  <si>
    <t>DESLORA-5MG (DESLORATADINE) B/10CES</t>
  </si>
  <si>
    <t>Desloratadine 5 mg</t>
  </si>
  <si>
    <t>Box of 10 tablets</t>
  </si>
  <si>
    <t>1 tablet daily</t>
  </si>
  <si>
    <t>LORANIQE 10MG (LORATADINE) B/10 CES</t>
  </si>
  <si>
    <t>Loranique</t>
  </si>
  <si>
    <t>Loratadine 10 mg</t>
  </si>
  <si>
    <t>Hay fever, allergies (sneezing, runny nose, itchy eyes), hives</t>
  </si>
  <si>
    <t>BROMOVAN (BROMHEXINE) 4MG /5ML SIRUP 100ML</t>
  </si>
  <si>
    <t>Bromovan</t>
  </si>
  <si>
    <t>Bromhexine 4 mg / 5 mL</t>
  </si>
  <si>
    <t>100 mL bottle</t>
  </si>
  <si>
    <t>Respiratory disorders with excessive mucus (bronchitis, bronchiectasis, pneumoconiosis)</t>
  </si>
  <si>
    <t>Adults/12+: 10mL TID; 6-12y: 5mL TID; 2-5y: 2.5mL TID</t>
  </si>
  <si>
    <t>DEXOL (CONTRE LA GRIPPE) SUSP.FL/ 100ML</t>
  </si>
  <si>
    <t>Dexol</t>
  </si>
  <si>
    <t>Syrup (per 5mL)</t>
  </si>
  <si>
    <t>Paracetamol 250mg + Dextromethorphan 10mg + Chlorphenamine 2mg + Phenylephrine 5mg</t>
  </si>
  <si>
    <t>Cold/flu symptoms (fever, cough, stuffy nose, body aches)</t>
  </si>
  <si>
    <t>1–2 teaspoon (5–10mL) three times daily</t>
  </si>
  <si>
    <t>DEXOL (ANTIGRIPPALES) B/10 CAPSULES</t>
  </si>
  <si>
    <t>Paracetamol 500mg + Dextromethorphan 15mg + Chlorphenamine 2mg + Phenylephrine 10mg</t>
  </si>
  <si>
    <t>Box of 10 capsules</t>
  </si>
  <si>
    <t>Cold/flu, sinusitis, bronchitis (cough, fever, stuffy nose)</t>
  </si>
  <si>
    <t>1 capsule twice daily (adults &amp; children ≥12y)</t>
  </si>
  <si>
    <t>QLINDA GEL (CLINDAMYCINE) T/30G</t>
  </si>
  <si>
    <t>Qlinda</t>
  </si>
  <si>
    <t>Gel (Topical)</t>
  </si>
  <si>
    <t>Clindamycin 1% w/w</t>
  </si>
  <si>
    <t>Tube of 30g &amp; 60g</t>
  </si>
  <si>
    <t>Cutaneous</t>
  </si>
  <si>
    <t>Acne treatment</t>
  </si>
  <si>
    <t>Apply to clean, dry skin twice daily</t>
  </si>
  <si>
    <t>TOPISOL (CLOBETASOL) CREME T/30G</t>
  </si>
  <si>
    <t>Topisol</t>
  </si>
  <si>
    <t>Cream (Topical)</t>
  </si>
  <si>
    <t>Clobetasol 0.05% w/w</t>
  </si>
  <si>
    <t>Tube of 30g</t>
  </si>
  <si>
    <t>Topical</t>
  </si>
  <si>
    <t>Eczema, contact dermatitis, seborrheic dermatitis, psoriasis</t>
  </si>
  <si>
    <t>Apply 1–2 times daily</t>
  </si>
  <si>
    <t>TOPISOL (CLOBETASOL) CREME T/15G</t>
  </si>
  <si>
    <t>Tube of 15g</t>
  </si>
  <si>
    <t>BUCCODRIL (BAIN DE BOUCHE) SOLUTION FL/150ML</t>
  </si>
  <si>
    <t>Buccodril</t>
  </si>
  <si>
    <t>Mouthwash Solution</t>
  </si>
  <si>
    <t>Thymol 0.06% + Eucalyptol 0.09% + Menthol 0.04% + Ethanol 21.6%</t>
  </si>
  <si>
    <t>Bottle of 150 mL</t>
  </si>
  <si>
    <t>Oral (Rinse)</t>
  </si>
  <si>
    <t>Dental plaque prevention, gingivitis, oral hygiene</t>
  </si>
  <si>
    <t>Rinse with 10 mL twice daily (spit out)</t>
  </si>
  <si>
    <t>FUSIDIQ (ACIDE FUSIDIQUE) CREME T/15G</t>
  </si>
  <si>
    <t>Fusidiq</t>
  </si>
  <si>
    <t>Fusidic acid 2% w/w</t>
  </si>
  <si>
    <t>Tube (topical)</t>
  </si>
  <si>
    <t>Bacterial skin infections (cellulitis, impetigo, conjunctivitis)</t>
  </si>
  <si>
    <t>UNIDERM @@ 30MG @@ CREAM</t>
  </si>
  <si>
    <t>Uniderm</t>
  </si>
  <si>
    <t>Betamethasone valerate 0.61mg + Gentamicin 1mg + Tolnaftate 10mg + Clioquinol 10mg</t>
  </si>
  <si>
    <t>Tubes of 15g &amp; 30g</t>
  </si>
  <si>
    <t>Skin fungal infections</t>
  </si>
  <si>
    <t>KORTIF (HYDROCORTISONE 100 MG) TUBE DE 15G</t>
  </si>
  <si>
    <t>Kortif</t>
  </si>
  <si>
    <t>Hydrocortisone (active ingredient)</t>
  </si>
  <si>
    <t>Swelling, itching, irritation (insect bites, eczema, dermatitis, anal itching)</t>
  </si>
  <si>
    <t>KETOMIZ (KETOCONAZOLE) SHAMPOO 100ML</t>
  </si>
  <si>
    <t>Ketomiz</t>
  </si>
  <si>
    <t>Shampoo</t>
  </si>
  <si>
    <t>Ketoconazole 2% w/v</t>
  </si>
  <si>
    <t>Bottle of 100 mL</t>
  </si>
  <si>
    <t>Topical (Scalp)</t>
  </si>
  <si>
    <t>Fungal infections (tinea, candidiasis, dandruff, seborrheic dermatitis)</t>
  </si>
  <si>
    <t>LE BOXEUR (ANTI-MOSQUITO) POMMADE 10GR</t>
  </si>
  <si>
    <t>Boxer</t>
  </si>
  <si>
    <t>Balm (Topical)</t>
  </si>
  <si>
    <t>Natural extracts (camphor, mint, etc.)</t>
  </si>
  <si>
    <t>10 g balm (green)</t>
  </si>
  <si>
    <t>Antipruritic, analgesic, mosquito repellent, colds, headache, muscle aches</t>
  </si>
  <si>
    <t>Rub gently on affected skin 2–3 times daily</t>
  </si>
  <si>
    <t>LE BOXEUR (ANTI-MOSQUITO) LIQUID 3.5ML</t>
  </si>
  <si>
    <t>Liquid</t>
  </si>
  <si>
    <t>3.5 mL bottle</t>
  </si>
  <si>
    <t>Oral / External</t>
  </si>
  <si>
    <t>BENZOATE DE BENZYLE (BENZOSOL) 25% 100ML</t>
  </si>
  <si>
    <t>Benzosol</t>
  </si>
  <si>
    <t>Topical Solution</t>
  </si>
  <si>
    <t>Benzyl Benzoate 25% w/v</t>
  </si>
  <si>
    <t>Scabies (Sarcoptes scabiei), trombidiosis (chiggers)</t>
  </si>
  <si>
    <t>DERMACIDAL (ANTISEPSIE) SOLUTION 125ML</t>
  </si>
  <si>
    <t>Dermacidal</t>
  </si>
  <si>
    <t>Solution (Skin)</t>
  </si>
  <si>
    <t>Benzalkonium chloride 0.5g + Chlorhexidine digluconate 0.2g per 100ml</t>
  </si>
  <si>
    <t>Bottle of 125ml</t>
  </si>
  <si>
    <t>Topical (Skin)</t>
  </si>
  <si>
    <t>Antiseptic for external skin infections; cleansing of cutaneous/mucous affections</t>
  </si>
  <si>
    <t>Apply minimum twice daily</t>
  </si>
  <si>
    <t>GERMITTOL 50ML LIQUID</t>
  </si>
  <si>
    <t>Germittol</t>
  </si>
  <si>
    <t>Solution</t>
  </si>
  <si>
    <t>Chloroxylenol 4.8% + Terpineol 9.0% + Alcohol 13.1%</t>
  </si>
  <si>
    <t>Bottles of 50ml &amp; 100ml</t>
  </si>
  <si>
    <t>Topical (External)</t>
  </si>
  <si>
    <t>Antiseptic for external skin infections</t>
  </si>
  <si>
    <t>V-LAVAGE (ACIDE LACTIQUE) LIQUIDE DE LAVAGE 100ML</t>
  </si>
  <si>
    <t>V-Lavage</t>
  </si>
  <si>
    <t>Vaginal Wash Solution</t>
  </si>
  <si>
    <t>Lactic acid 1.2% + Sea buckthorn oil + Tea tree oil (pH 3.5)</t>
  </si>
  <si>
    <t>Bottle of 100ml</t>
  </si>
  <si>
    <t>Vaginal</t>
  </si>
  <si>
    <t>Antiseptic solution for vaginal care</t>
  </si>
  <si>
    <t>FOREDERM ( BETAMETHASONE DIPROPIONATE) CREME 15G</t>
  </si>
  <si>
    <t>Forederm</t>
  </si>
  <si>
    <t>Betamethasone dipropionate 0.05%</t>
  </si>
  <si>
    <t>Eczema, dermatitis, allergies, rash (reduces swelling, itching, redness)</t>
  </si>
  <si>
    <t>UNIDINE-M (POVIDONE IODE+ METRO) POMMDE 30G</t>
  </si>
  <si>
    <t>Unidine</t>
  </si>
  <si>
    <t>Ointment</t>
  </si>
  <si>
    <t>Povidone Iodized 5% + Metronidazole 1%</t>
  </si>
  <si>
    <t>Box of 30g ointment</t>
  </si>
  <si>
    <t>Broad-spectrum for wounds, traumatic tears, ulcers, cellulitis, bedsores</t>
  </si>
  <si>
    <t>UNIDINE (POVIDONE IODEE) 10% SOLUTION 125 ML</t>
  </si>
  <si>
    <t>Povidone Iodized 10%</t>
  </si>
  <si>
    <t>Skin antisepsis, operative field, wounds, burns, vaginitis</t>
  </si>
  <si>
    <t>UNIDINE (POVIDONE-IODEE) 5% POMMADE 20G</t>
  </si>
  <si>
    <t>Povidone Iodized 5%</t>
  </si>
  <si>
    <t>Tube of 20g</t>
  </si>
  <si>
    <t>Antiseptic for skin disinfection, minor wounds</t>
  </si>
  <si>
    <t>CALMIN (CALAMINE) LOTION 100ML</t>
  </si>
  <si>
    <t>Calmin Lotion</t>
  </si>
  <si>
    <t>Lotion</t>
  </si>
  <si>
    <t>Calamine 8% + Aloe Vera 10% + Light Liquid Paraffin 10%</t>
  </si>
  <si>
    <t>Mild itchiness (sunburn, insect bites, poison ivy, mild skin conditions)</t>
  </si>
  <si>
    <t>CLOTRISAN V6 (CLOTRIMAZOLE) B/6 OVULE+APPLOCATOR</t>
  </si>
  <si>
    <t>Clotrisan</t>
  </si>
  <si>
    <t>Vaginal Insert / Ovule</t>
  </si>
  <si>
    <t>Clotrimazole 1% w/w</t>
  </si>
  <si>
    <t>Box of 6 ovules</t>
  </si>
  <si>
    <t>Vaginal candidiasis, trichomoniasis, mixed vaginal infections, bacterial vaginitis</t>
  </si>
  <si>
    <t>1 insert deeply into vagina each evening for 6 consecutive nights</t>
  </si>
  <si>
    <t>CLOTRISAN (CLOTRIMAZOLE) POUDRE 50G</t>
  </si>
  <si>
    <t>Topical Powder</t>
  </si>
  <si>
    <t>Clotrimazole 1% + Zinc Oxide 1.75% + Dimeticone 2.5% + Talc</t>
  </si>
  <si>
    <t>Bottle of 50g</t>
  </si>
  <si>
    <t>Antifungal for skin infections / rashes</t>
  </si>
  <si>
    <t>CONVEX PRESERVATIF LISSE B/3PCS</t>
  </si>
  <si>
    <t>Convex</t>
  </si>
  <si>
    <t>Condom (Medical Device)</t>
  </si>
  <si>
    <t>N/A</t>
  </si>
  <si>
    <t>Box of 3 condoms</t>
  </si>
  <si>
    <t>Barrier / External</t>
  </si>
  <si>
    <t>Reduces probability of pregnancy or sexually transmitted infections (STIs)</t>
  </si>
  <si>
    <t>Single use during intercourse; use as directed</t>
  </si>
  <si>
    <t>TADANIQUE 20MG (TADALAFIL) B/4CES</t>
  </si>
  <si>
    <t>Tadanique</t>
  </si>
  <si>
    <t>Tadalafil 20 mg</t>
  </si>
  <si>
    <t>Box of 4 tablets</t>
  </si>
  <si>
    <t>Erectile dysfunction (ED), Benign prostatic hyperplasia (BPH), Pulmonary arterial hypertension</t>
  </si>
  <si>
    <t>1 tablet once daily, 45 mins to 1 hour before relation</t>
  </si>
  <si>
    <t>SILDEQUE-100MG (SILDENAFIL) B/4CES</t>
  </si>
  <si>
    <t>Sildeque</t>
  </si>
  <si>
    <t>Sildenafil 100 mg</t>
  </si>
  <si>
    <t>Erectile dysfunction, Pulmonary arterial hypertension</t>
  </si>
  <si>
    <t>SILDEQUE-50 MG (SILDENAFIL) B/4 CES</t>
  </si>
  <si>
    <t>Sildenafil 50 mg</t>
  </si>
  <si>
    <t>UNISPA 10MG (BUSCOPAN) B/ 6 SUPPO</t>
  </si>
  <si>
    <t>Unispa</t>
  </si>
  <si>
    <t>Suppository</t>
  </si>
  <si>
    <t>Hyoscine Butylbromide 10 mg</t>
  </si>
  <si>
    <t>Box of 6 suppositories</t>
  </si>
  <si>
    <t>Rectal</t>
  </si>
  <si>
    <t>Crampy abdominal pain, esophageal spasms, renal colic, bladder spasms</t>
  </si>
  <si>
    <t>SPARET (MEFENAMIQUE + DICYCLOVIRINE) B/10CES</t>
  </si>
  <si>
    <t>Sparet</t>
  </si>
  <si>
    <t>Mefenamic Acid 500 mg + Paracetamol 325 mg</t>
  </si>
  <si>
    <t>Joint and muscle pains (adults)</t>
  </si>
  <si>
    <t>1 tablet once or twice daily</t>
  </si>
  <si>
    <t>SPARET (DICYCLOVERINE+SIMETICONE) GOUTTES 15ML</t>
  </si>
  <si>
    <t>Oral Drops</t>
  </si>
  <si>
    <t>Simeticone 40 mg + Dicycloverine 10 mg (per drop)</t>
  </si>
  <si>
    <t>15 mL oral drops bottle</t>
  </si>
  <si>
    <t>Colicky pain in children</t>
  </si>
  <si>
    <t>1 drop/kg/dose, 2–3 times daily</t>
  </si>
  <si>
    <t>SPARET FORTE (MEFENAMIQUE+PARACETAMOL) B/10CES</t>
  </si>
  <si>
    <t>Mefenamic Acid 250 mg + Dicyclomine HCl 10 mg</t>
  </si>
  <si>
    <t>Menstrual pain, intestinal/biliary/ureteric colic</t>
  </si>
  <si>
    <t>1 tablet twice daily</t>
  </si>
  <si>
    <t>3 PLUS FORTE (VIT.B1+B6+B12) SIROP 100ML</t>
  </si>
  <si>
    <t>Trois Plus Forte Suspension</t>
  </si>
  <si>
    <t>Thiamine (B1) 20mg + Pyridoxine (B6) 10mg + Cyanocobalamin (B12) 2mcg per 5mL</t>
  </si>
  <si>
    <t>Adjunctive therapy for functional asthenia</t>
  </si>
  <si>
    <t>3 PLUS FORTE (VIT.B1+B6+B12) B/30CES</t>
  </si>
  <si>
    <t>Trois Plus Forte Tablet</t>
  </si>
  <si>
    <t>Thiamine (B1) 50mg + Pyridoxine (B6) 50mg + Cyanocobalamin (B12) 500mcg</t>
  </si>
  <si>
    <t>Box of 3×10 tablets</t>
  </si>
  <si>
    <t>3 PLUS FORTE (VIT.B1+B6+B12) INJ. B/10AMP</t>
  </si>
  <si>
    <t>Trois Plus Forte Injectable</t>
  </si>
  <si>
    <t>Thiamine (B1) 100mg + Pyridoxine (B6) 100mg + Cyanocobalamin (B12) 1000mcg per 3mL</t>
  </si>
  <si>
    <t>Box of 10 ampoules of 3 mL</t>
  </si>
  <si>
    <t>CYPROVITAL (CYPROHEPTADINE+VITAMINES) SIROP 100ML</t>
  </si>
  <si>
    <t>Cyprovital</t>
  </si>
  <si>
    <t>Cyproheptadine 2mg + Vit B1, B2, B6, Nicotinamide per 5mL</t>
  </si>
  <si>
    <t>Fortifying and food supplement</t>
  </si>
  <si>
    <t>CYPROPLEX PLUS (CYPROHEPTADINE+MULTIVITAMINE +LYSINE) SIROP DE 200ML</t>
  </si>
  <si>
    <t>Cyproplex Plus</t>
  </si>
  <si>
    <t>Cyproheptadine HCl 2 mg per 5 mL</t>
  </si>
  <si>
    <t>Bottle of 200 mL</t>
  </si>
  <si>
    <t>U CEE 500MG (VITAMINE C) B/10 X 10 CES</t>
  </si>
  <si>
    <t>U-Cee 500</t>
  </si>
  <si>
    <t>Sucking Tablet</t>
  </si>
  <si>
    <t>Ascorbic Acid (Vitamin C) 500 mg</t>
  </si>
  <si>
    <t>Box of 10×10 sucking tablets</t>
  </si>
  <si>
    <t>Oral (Sublingual/Chew)</t>
  </si>
  <si>
    <t>Antioxidant; maintains skin, cartilage, teeth, bone, blood vessels</t>
  </si>
  <si>
    <t>3 tablets daily</t>
  </si>
  <si>
    <t>ZINQUE (GLUCONATE DE ZINC) SIROP 60ML</t>
  </si>
  <si>
    <t>Zinque</t>
  </si>
  <si>
    <t>Zinc Gluconate 20 mg per 5 mL</t>
  </si>
  <si>
    <t>60 mL bottle</t>
  </si>
  <si>
    <t>Zinc deficiency, stunted growth, acute diarrhea, wound healing</t>
  </si>
  <si>
    <t>&lt;6m: 1/2 dose 10–14d; &gt;6m: 1 dose 14d (or as directed)</t>
  </si>
  <si>
    <t>ZINQUE - DT 20MG (SULFATE DE ZINC ) B/10 CES</t>
  </si>
  <si>
    <t>Zinc Sulfate 20 mg</t>
  </si>
  <si>
    <t>&lt;6m: 1/2 tab 10–14d; &gt;6m: 1 tab 14d (or as directed)</t>
  </si>
  <si>
    <t>S.R.O. SACHETS**PCS/1 (UNIRAL)</t>
  </si>
  <si>
    <t>Uniral</t>
  </si>
  <si>
    <t>Powder for Solution</t>
  </si>
  <si>
    <t>ORS: NaCl 2.6g + KCl 1.5g + Sod. Citrate 2.9g + Glucose 13.5g (per 22g sachet)</t>
  </si>
  <si>
    <t>22 g sachet</t>
  </si>
  <si>
    <t>Prevention and treatment of dehydration due to diarrhea</t>
  </si>
  <si>
    <t>Dissolve 1 sachet in 1L of water</t>
  </si>
  <si>
    <t>FORTOMEGA PLUS (OMEGA-3 + VIT-E) B/2X10 CAPSULES</t>
  </si>
  <si>
    <t>Fortomega Plus</t>
  </si>
  <si>
    <t>Omega-3 500 mg + Vitamin E 1 mg</t>
  </si>
  <si>
    <t>Box of 20 capsules</t>
  </si>
  <si>
    <t>CV risk reduction, mental health, inflammation, pregnancy support, weight loss</t>
  </si>
  <si>
    <t>Adults: 1–2 caps/day; Children: 1 cap/day</t>
  </si>
  <si>
    <t>LYCOTONE (LYCOPENE+MULTIVI+MINER) B/30 CAP</t>
  </si>
  <si>
    <t>Lycotone Capsules</t>
  </si>
  <si>
    <t>Multivitamin + Minerals + Lycopene (B1, B2, B6, B12, A, C, D3, E, Biotin, Folic, Selenium, Zinc, etc.)</t>
  </si>
  <si>
    <t>Box of 3×10 capsules</t>
  </si>
  <si>
    <t>Powerful antioxidant; sun protection, heart health, cancer risk reduction</t>
  </si>
  <si>
    <t>LYCOTONE (LYCOPENE+MULTIVI+MINER) SUSP. FL/ 200ML</t>
  </si>
  <si>
    <t>Lycotone Suspension</t>
  </si>
  <si>
    <t>Lycopene 5000mcg + Nicotinamide 25mg + B6, B12, Folic, Selenium, Zinc, Manganese, Iodine, Copper (per 10mL)</t>
  </si>
  <si>
    <t>Bottle of 100 mL / 200 mL</t>
  </si>
  <si>
    <t>Powerful antioxidant; sun protection, heart health</t>
  </si>
  <si>
    <t>5–10 mL, 2–3 times daily (or as directed)</t>
  </si>
  <si>
    <t>EVAGON (VITAMINE A+E) B/2X12 CAPSULES MOLLES</t>
  </si>
  <si>
    <t>Evagon</t>
  </si>
  <si>
    <t>Soft Capsule</t>
  </si>
  <si>
    <t>Vitamin E 70 mg + Vitamin A 30,000 IU</t>
  </si>
  <si>
    <t>Box of 24 soft capsules</t>
  </si>
  <si>
    <t>Vit A/E deficiency, night blindness, infertility, menopause</t>
  </si>
  <si>
    <t>1–2 capsules daily</t>
  </si>
  <si>
    <t>E-200 (VITAMIN E ) B/30 CAPSULE</t>
  </si>
  <si>
    <t>E-200</t>
  </si>
  <si>
    <t>Vitamin E 200 mg</t>
  </si>
  <si>
    <t>Antioxidant; Vitamin E deficiency</t>
  </si>
  <si>
    <t>1 capsule once daily</t>
  </si>
  <si>
    <t>HAEMVITAL PLUS (SULFATE FER + ACID FOLIC )10 X10</t>
  </si>
  <si>
    <t>Haemvital</t>
  </si>
  <si>
    <t>Sugar-coated Tablet</t>
  </si>
  <si>
    <t>Ferrous Sulfate 200 mg + Folic Acid 0.5 mg</t>
  </si>
  <si>
    <t>Box of 10×10 tablets</t>
  </si>
  <si>
    <t>Iron deficiency anemia</t>
  </si>
  <si>
    <t>HAEMVITAL (SULFATE DE FER) 200MG B/10 X10 CES</t>
  </si>
  <si>
    <t>Ferrous Sulfate 200 mg</t>
  </si>
  <si>
    <t>BCO - Z ( VIT B COM+VIT+C+ZINC ) B/30CES</t>
  </si>
  <si>
    <t>BcoZ</t>
  </si>
  <si>
    <t>B-Complex + Vitamin C + Zinc (B1 10mg, B2 10mg, B6 3mg, B12 10mcg, C 150mg, Zinc 15mg, etc.)</t>
  </si>
  <si>
    <t>Multivitamin; prevents deficiency due to poor diet, illness, pregnancy</t>
  </si>
  <si>
    <t>1 tablet once daily</t>
  </si>
  <si>
    <t>CALCIDOS (CAL. + VIT D3) B/ 3 X10 CES</t>
  </si>
  <si>
    <t>Calcidos Tablet</t>
  </si>
  <si>
    <t>Calcium Carbonate 500 mg + Vitamin D3 250 IU</t>
  </si>
  <si>
    <t>Low calcium, osteoporosis, osteomalacia, rickets, hypoparathyroidism</t>
  </si>
  <si>
    <t>CALCIDOS (CAL. + VIT. D3) SIRUP 100ML</t>
  </si>
  <si>
    <t>Calcidos Suspension</t>
  </si>
  <si>
    <t>Calcium Carbonate 625mg (=Ca 250mg) + Vitamin D3 125 IU per 5mL</t>
  </si>
  <si>
    <t>ONDACET 8MG (ONDASETRON) ORO-DISPER. B/4 CES</t>
  </si>
  <si>
    <t>Ondacet</t>
  </si>
  <si>
    <t>Ondansetron 8 mg</t>
  </si>
  <si>
    <t>Nausea &amp; vomiting (chemotherapy, radiation, surgery, gastroenteritis)</t>
  </si>
  <si>
    <t>ONDACET 4MG (ONDASETRON) ORO-DISPER. B/4 CES</t>
  </si>
  <si>
    <t>Ondansetron 4 mg</t>
  </si>
  <si>
    <t>ONDACET 4MG (ONDASETRON) INJ. B/1 AMP+ SER.</t>
  </si>
  <si>
    <t>Ondansetron 2 mg per mL</t>
  </si>
  <si>
    <t>Box of 1 ampoule (2 mL) + syringe</t>
  </si>
  <si>
    <t>ONDACET (ONDANSETRONE) 30ML SIROP</t>
  </si>
  <si>
    <t>Ondansetron 2 mg per 5 mL</t>
  </si>
  <si>
    <t>Bottle of 30 mL</t>
  </si>
  <si>
    <t>Nausea &amp; vomiting (children &gt;6 months)</t>
  </si>
  <si>
    <t>Usually 5 mL as needed</t>
  </si>
  <si>
    <t>ONDACET (ONDASETRON) ORAL SPRAY 15ML</t>
  </si>
  <si>
    <t>Oral Spray</t>
  </si>
  <si>
    <t>Ondansetron 2 mg per spray dose</t>
  </si>
  <si>
    <t>Box of 15 mL spray</t>
  </si>
  <si>
    <t>Oral (Buccal)</t>
  </si>
  <si>
    <t>Nausea &amp; vomiting</t>
  </si>
  <si>
    <t>&lt;6y: 1 spray; &gt;6y: 2 sprays; max adult 24 mg/day</t>
  </si>
  <si>
    <t>LAXAQUE 5MG (DULCOLAX) B/10 SUPPOS.</t>
  </si>
  <si>
    <t>Laxaque Suppositories</t>
  </si>
  <si>
    <t>Bisacodyl 5 mg</t>
  </si>
  <si>
    <t>Box of 2×5 suppositories</t>
  </si>
  <si>
    <t>Constipation, neurogenic bowel dysfunction</t>
  </si>
  <si>
    <t>1 suppository once or twice daily</t>
  </si>
  <si>
    <t>DULCOLAX 5MG (LAXAQUE) B/10X10CES</t>
  </si>
  <si>
    <t>Laxaque Tablet</t>
  </si>
  <si>
    <t>LOOZE 3.35MG/5ML (LACTULOSE) SOLUTION FL/ 150ML</t>
  </si>
  <si>
    <t>Looze</t>
  </si>
  <si>
    <t>Lactulose 3.35 g per 5 mL</t>
  </si>
  <si>
    <t>Acute/chronic constipation, hepatic encephalopathy</t>
  </si>
  <si>
    <t>HEPAQUE (HEPARIN) 5000UI/5ML INJ.B/5AMP</t>
  </si>
  <si>
    <t>Hepaque</t>
  </si>
  <si>
    <t>Injectable Solution</t>
  </si>
  <si>
    <t>Heparin 5000 IU per ampoule</t>
  </si>
  <si>
    <t>Box of 5 ampoules (5 mL)</t>
  </si>
  <si>
    <t>IV / SC</t>
  </si>
  <si>
    <t>Prophylaxis of DVT &amp; PE; Treatment of DVT, PE, unstable angina; Prophylaxis of mural thrombosis; Extracorporeal circulation &amp; haemodialysis</t>
  </si>
  <si>
    <t>Continuous IV infusion in glucose/NaCl, intermittent IV, or SC injection (as directed)</t>
  </si>
  <si>
    <t>VENTOLIQUE (SALBUTAMOL) 100MCG SPRAY 200 DOSES</t>
  </si>
  <si>
    <t>VENTOLIQUE</t>
  </si>
  <si>
    <t>Inhalation Spray</t>
  </si>
  <si>
    <t>Salbutamol 100 mcg per dose</t>
  </si>
  <si>
    <t>Inhalation spray with 200 doses</t>
  </si>
  <si>
    <t>Inhalation</t>
  </si>
  <si>
    <t>Symptomatic treatment of severe acute asthma (children &amp; infants)</t>
  </si>
  <si>
    <t>VENTOLIQUE (SALBUTAMOL) SIROP 100ML</t>
  </si>
  <si>
    <t>Salbutamol 2 mg per 5 mL</t>
  </si>
  <si>
    <t>Asthma, bronchospasm, reversible airways obstruction</t>
  </si>
  <si>
    <t>Adults: 4mg TID/QID; 2-6y: 1-2mg; 6-12y: 2mg; &gt;12y: 2-4mg TID/QID</t>
  </si>
  <si>
    <t>VENTOLIQUE 4MG(SALBUTAMOL) B/10X10CES</t>
  </si>
  <si>
    <t>Salbutamol 4 mg</t>
  </si>
  <si>
    <t>Bronchospasm in bronchial asthma, chronic bronchitis, emphysema</t>
  </si>
  <si>
    <t>SOLU-KORTIF 100MG (HYDROCORTISONE) INJ. B/1 VIAL</t>
  </si>
  <si>
    <t>Solu-Kortif</t>
  </si>
  <si>
    <t>Powder for Injection</t>
  </si>
  <si>
    <t>Hydrocortisone 100 mg per vial + 5 mL ampoule (diluent)</t>
  </si>
  <si>
    <t>Box: 1 vial + 1 ampoule</t>
  </si>
  <si>
    <t>IV / IM</t>
  </si>
  <si>
    <t>Adrenocortical insufficiency, adrenogenital syndrome, hypercalcemia, thyroiditis, rheumatoid arthritis, dermatitis, asthma, COPD</t>
  </si>
  <si>
    <t>CORTISTAR (HARMORRHODAL) B/10 SUPPO.</t>
  </si>
  <si>
    <t>Cortistar</t>
  </si>
  <si>
    <t>Hydrocortisone acetate 0.25% + Zinc oxide 5% + Lidocaine 3% + Allantoin 0.5%</t>
  </si>
  <si>
    <t>Box of 10 suppositories</t>
  </si>
  <si>
    <t>Hemorrhoidal pain</t>
  </si>
  <si>
    <t>1 suppository once or twice daily (as directed)</t>
  </si>
  <si>
    <t>NAZOCLEAR (SERUM PHYSIO) 0.65% 10ML GOUTTES NASALS</t>
  </si>
  <si>
    <t>NAZOCLEAR</t>
  </si>
  <si>
    <t>Nasal Drops</t>
  </si>
  <si>
    <t>Sodium Chloride 0.65% w/v</t>
  </si>
  <si>
    <t>Nasal drops bottle</t>
  </si>
  <si>
    <t>Nasal</t>
  </si>
  <si>
    <t>Dryness inside nasal passages; dissolves thick/crusty mucus in babies &amp; children</t>
  </si>
  <si>
    <t>NAZOVERT 0.05% (XYLOMETAZOLIN) GOUTTES NASAL 10ML</t>
  </si>
  <si>
    <t>NAZOVERT</t>
  </si>
  <si>
    <t>Xylometazoline 0.05% w/v</t>
  </si>
  <si>
    <t>Bottle of 10 mL</t>
  </si>
  <si>
    <t>Nasal congestion, allergic rhinitis, sinusitis</t>
  </si>
  <si>
    <t>2 drops each narine 2–3 times daily (max 7 days use)</t>
  </si>
  <si>
    <t>NAZOVERT 0.1% (XYLOMETAZOLIN) GOUTTES NASAL 10ML</t>
  </si>
  <si>
    <t>Xylometazoline 0.1% w/v</t>
  </si>
  <si>
    <t>CERVOLINE 1000MG/4ML (CITICOLINE) INJ. B/5AMP</t>
  </si>
  <si>
    <t>Cervoline 1000</t>
  </si>
  <si>
    <t>Citicoline 1000 mg / 4 mL ampoule</t>
  </si>
  <si>
    <t>Box of 5 ampoules (4 mL)</t>
  </si>
  <si>
    <t>Head trauma, ischemic stroke, neurodegenerative disorder, chronic cerebrovascular disease</t>
  </si>
  <si>
    <t>CERVOLINE 500MG/4ML (CITICOLINE) INJ. B/5AMP</t>
  </si>
  <si>
    <t>Cervoline 500</t>
  </si>
  <si>
    <t>Citicoline 500 mg / 4 mL ampoule</t>
  </si>
  <si>
    <t>MAGNEQUE FORTE 5MG/10ML (MAGNESIUM) INJ B/5 AMP</t>
  </si>
  <si>
    <t>Magneque</t>
  </si>
  <si>
    <t>Magnesium Sulfate 1 g / 10 mL ampoule</t>
  </si>
  <si>
    <t>Box of 5 ampoules (10 mL)</t>
  </si>
  <si>
    <t>Eclampsia crisis, hypokalemia with hypomagnesemia, hydroelectrolyte rebalancing, parenteral nutrition, severe acute asthma</t>
  </si>
  <si>
    <t>DIAZEPAM 10MG/2ML INJ B/10AMP</t>
  </si>
  <si>
    <t>Diazepam 10 mg / 2 mL ampoule</t>
  </si>
  <si>
    <t>Box of 10 ampoules (2 mL)</t>
  </si>
  <si>
    <t>Anxiety, alcohol withdrawal, seizures, muscle spasms, sedation before procedures</t>
  </si>
  <si>
    <t>1–2 ampoules daily (as directed)</t>
  </si>
  <si>
    <t>CARBATROL 200MG (CARBAZEPINE) B/5 X 10 CES</t>
  </si>
  <si>
    <t>Carbatrol</t>
  </si>
  <si>
    <t>Carbamazepine 200 mg</t>
  </si>
  <si>
    <t>Box of 5×10 tablets</t>
  </si>
  <si>
    <t>Seizure prevention/control (anticonvulsant); trigeminal neuralgia</t>
  </si>
  <si>
    <t>1 tablet twice daily (or as directed)</t>
  </si>
  <si>
    <t>PROTOQ 40MG (PANTOPRAZOLE) INJ. B/1VIAL+ NACL 10ML</t>
  </si>
  <si>
    <t>Protoq Injectable</t>
  </si>
  <si>
    <t>Pantoprazole 40 mg (lyophilized powder) + NaCl diluent</t>
  </si>
  <si>
    <t>Vial + Sodium Chloride ampoule</t>
  </si>
  <si>
    <t>IV</t>
  </si>
  <si>
    <t>GERD, severe esophagitis, duodenal/gastric ulcer, H. pylori eradication, Zollinger-Ellison, stress ulcer, upper GI bleeding</t>
  </si>
  <si>
    <t>1 vial (40 mg) per day</t>
  </si>
  <si>
    <t>ESOQUE 20MG (ESOMEPRAZOLE) INJ. B/1 VIAL+NACL</t>
  </si>
  <si>
    <t>Esoque Injectable</t>
  </si>
  <si>
    <t>Esomeprazole 20 mg + NaCl diluent</t>
  </si>
  <si>
    <t>GERD, severe esophagitis, duodenal/gastric ulcer, H. pylori, Zollinger-Ellison, stress ulcer, NSAID-induced peptic ulcer</t>
  </si>
  <si>
    <t>RABEQUE 20MG (RABEPRAZOLE) B/ 10 CES</t>
  </si>
  <si>
    <t>Rabeque</t>
  </si>
  <si>
    <t>Rabeprazole 20 mg</t>
  </si>
  <si>
    <t>Short-term treatment of gastric &amp; duodenal ulcers, GERD</t>
  </si>
  <si>
    <t>1 tablet once daily in the morning for 4 weeks</t>
  </si>
  <si>
    <t>RABEQUE 20MG (RABEPRAZOLE) INJ. B/1 VIAL+EAU</t>
  </si>
  <si>
    <t>Rabeprazole 20 mg per vial</t>
  </si>
  <si>
    <t>Box of 1 vial</t>
  </si>
  <si>
    <t>Gastric &amp; duodenal ulcers, GERD (alternative to oral PPI)</t>
  </si>
  <si>
    <t>1 vial (20 mg) IV once daily</t>
  </si>
  <si>
    <t>RABEQUE-D (RABEPRAZOLE+DOMPERI.) B/ 10 GELULES</t>
  </si>
  <si>
    <t>Rabeprazole 10 mg (modified release) + Domperidone 10 mg</t>
  </si>
  <si>
    <t>Gastric &amp; duodenal ulcers, GERD</t>
  </si>
  <si>
    <t>1 capsule once daily in the morning for 4 weeks</t>
  </si>
  <si>
    <t>H -LOC (RANITIDINE) INJ B/5AMP</t>
  </si>
  <si>
    <t>H Loc</t>
  </si>
  <si>
    <t>Ranitidine 50 mg / 2 mL ampoule</t>
  </si>
  <si>
    <t>Box of 5 ampoules (2 mL)</t>
  </si>
  <si>
    <t>Peptic ulcer disease, GERD, Zollinger–Ellison syndrome</t>
  </si>
  <si>
    <t>MISOPTOL (MISOPROSTOL) 200UG B/4CES</t>
  </si>
  <si>
    <t>Misoptol</t>
  </si>
  <si>
    <t>Misoprostol 200 mcg</t>
  </si>
  <si>
    <t>Prevention &amp; treatment of stomach ulcers</t>
  </si>
  <si>
    <t>As directed by physician (Contraindicated in pregnancy)</t>
  </si>
  <si>
    <t>ZOCID 20MG (OMEPRAZOLE) B/10X10 GELULE</t>
  </si>
  <si>
    <t>Zocid</t>
  </si>
  <si>
    <t>Omeprazole 20 mg</t>
  </si>
  <si>
    <t>Box of 10×10 capsules</t>
  </si>
  <si>
    <t>GERD, peptic ulcer disease, Zollinger–Ellison syndrome</t>
  </si>
  <si>
    <t>Starting: 60 mg daily (1 tab TID); Max: 360 mg daily</t>
  </si>
  <si>
    <t>NOCI KIT – H. PYLORI (7 KITS DE COMBI)</t>
  </si>
  <si>
    <t>Noci Kit</t>
  </si>
  <si>
    <t>Kit (Capsules + Tablets)</t>
  </si>
  <si>
    <t>Lansoprazole 30mg + Clarithromycin 500mg + Tinidazole 500mg (per kit)</t>
  </si>
  <si>
    <t>Box of 7 kits</t>
  </si>
  <si>
    <t>½ kit twice daily for minimum 7 days</t>
  </si>
  <si>
    <t>UNIGEL (ANTI-ACIDE) B/10X10 CES</t>
  </si>
  <si>
    <t>Unigel Tablet</t>
  </si>
  <si>
    <t>Chewable Tablet</t>
  </si>
  <si>
    <t>Aluminium Hydroxide 500 mg</t>
  </si>
  <si>
    <t>Box of 10×10 chewable tablets</t>
  </si>
  <si>
    <t>Gastric hyperacidity, gastritis, stomach pains, GERD</t>
  </si>
  <si>
    <t>Adults: 1 chewable tablet four times daily</t>
  </si>
  <si>
    <t>NOCIGEL (ANTIACIDE + ANTIFLATULENT) SUSP. 200ML</t>
  </si>
  <si>
    <t>Nocigel Syrup</t>
  </si>
  <si>
    <t>Aluminium Hydroxide 225mg + Magnesium Hydroxide 200mg + Algenic Acid 200mg + Mg Trisilicate 250mg + Simethicone 50mg (per 5mL)</t>
  </si>
  <si>
    <t>5 mL (1 tsp), 2–3 times daily (or as directed)</t>
  </si>
  <si>
    <t>SECOURS (PAIN RELIEF) B/10CES</t>
  </si>
  <si>
    <t>Secours</t>
  </si>
  <si>
    <t>Diclofenac 50mg + Paracetamol 325mg + Chlorphenamine 4mg + Magnesium Trisilicate 100mg</t>
  </si>
  <si>
    <t>Headache, body pain, fever, toothache, gout pain</t>
  </si>
  <si>
    <t>Adults &amp; children &gt;14y: 1 tablet twice daily (with/after meals)</t>
  </si>
  <si>
    <t>ULTRA DOZEM (PARA+TRAMADOL) B \10 CES</t>
  </si>
  <si>
    <t>Ultradozem</t>
  </si>
  <si>
    <t>Tramadol 37.5 mg + Paracetamol 325 mg</t>
  </si>
  <si>
    <t>Moderate to severe pain</t>
  </si>
  <si>
    <t>FELOXAM 20MG (PIROXICAM) B/3X5 SUPPO.</t>
  </si>
  <si>
    <t>Feloxam Suppositories</t>
  </si>
  <si>
    <t>Piroxicam 20 mg</t>
  </si>
  <si>
    <t>Box of 15 suppositories</t>
  </si>
  <si>
    <t>Rheumatoid arthritis, osteoarthritis, ankylosing spondylitis</t>
  </si>
  <si>
    <t>1 suppository daily (at bedtime)</t>
  </si>
  <si>
    <t>FELOXAM 20MG (PIROXICAM) B/10 CAPSULES</t>
  </si>
  <si>
    <t>Feloxam Capsule</t>
  </si>
  <si>
    <t>IBUNIQUE FORTE (PARA+IBU+CAF) B/10X10 CAPS</t>
  </si>
  <si>
    <t>Ibunique Forte</t>
  </si>
  <si>
    <t>Ibuprofen 400 mg + Paracetamol 325 mg + Caffeine 40 mg</t>
  </si>
  <si>
    <t>Pain relief, analgesic, antipyretic, anti-inflammatory (cold/flu)</t>
  </si>
  <si>
    <t>1 capsule three times daily</t>
  </si>
  <si>
    <t>IBUNIQUE (PARA+IBU+CAF) B/10X10 CAPS</t>
  </si>
  <si>
    <t>Ibunique Capsules</t>
  </si>
  <si>
    <t>Ibuprofen 200 mg + Paracetamol 325 mg + Caffeine 40 mg</t>
  </si>
  <si>
    <t>UFLAM (PARA+IBU) B/10 X10 CES</t>
  </si>
  <si>
    <t>Uflam Tablets</t>
  </si>
  <si>
    <t>Ibuprofen 400 mg + Paracetamol 325 mg</t>
  </si>
  <si>
    <t>Pain relief, analgesic, antipyretic, anti-inflammatory</t>
  </si>
  <si>
    <t>1 tablet three times daily</t>
  </si>
  <si>
    <t>UFLAM (PARACETAMOL+IBUPROFEN) SIROP 60ML</t>
  </si>
  <si>
    <t>Uflam Oral Suspension</t>
  </si>
  <si>
    <t>Ibuprofen 50 mg + Paracetamol 125 mg per 5 mL</t>
  </si>
  <si>
    <t>Bottle of 60 mL</t>
  </si>
  <si>
    <t>5–10 mL three times daily (as directed)</t>
  </si>
  <si>
    <t>BANAFEN 100MG (IBUPROFEN) SUSPENSION FL/100ML</t>
  </si>
  <si>
    <t>Banafen</t>
  </si>
  <si>
    <t>Ibuprofen 100 mg per 5 mL</t>
  </si>
  <si>
    <t>Fever and minor aches/pain due to common cold/flu (children)</t>
  </si>
  <si>
    <t>5 mL three times daily (usual)</t>
  </si>
  <si>
    <t>IPRO - 400 ((IBUPROFENE) MG BT/10X10CES</t>
  </si>
  <si>
    <t>Ipro-400</t>
  </si>
  <si>
    <t>Ibuprofen 400 mg</t>
  </si>
  <si>
    <t>Headache, dental pain, menstrual cramps, muscle aches, arthritis</t>
  </si>
  <si>
    <t>1 tablet two or three times daily</t>
  </si>
  <si>
    <t>DEXIBU (DEXIBUPROFEN ) SUSPENSION 60ML</t>
  </si>
  <si>
    <t>Dexibu</t>
  </si>
  <si>
    <t>Dexibuprofen 12 mg per mL</t>
  </si>
  <si>
    <t>Pain and inflammation in infants</t>
  </si>
  <si>
    <t>At least 5 mL, 2–3 times daily (as directed)</t>
  </si>
  <si>
    <t>DICLIQUE SPORT GEL T/30G</t>
  </si>
  <si>
    <t>Diclique Sport Gel</t>
  </si>
  <si>
    <t>Diclofenac diethylamine 1.16% + Linseed oil 3% + Methyl salicylate 10% + Menthol 5%</t>
  </si>
  <si>
    <t>Tube of 30 g</t>
  </si>
  <si>
    <t>Gout, back pain, osteoarthritis, rheumatoid arthritis, joint/muscle pain</t>
  </si>
  <si>
    <t>Apply as directed by physician</t>
  </si>
  <si>
    <t>DICLIQUE (DICLO.+PARA.) B/10X10CES</t>
  </si>
  <si>
    <t>Diclique Suppositories</t>
  </si>
  <si>
    <t>Diclofenac sodium 100 mg</t>
  </si>
  <si>
    <t>Acute/chronic inflammatory rheumatism, arthritis, low back pain, radicalgia</t>
  </si>
  <si>
    <t>1 suppository per day</t>
  </si>
  <si>
    <t>DICLIQUE PLUS (DICLO+PARA+CHLORZ) B/10X10 CES</t>
  </si>
  <si>
    <t>Diclique Plus</t>
  </si>
  <si>
    <t>Diclofenac 50 mg + Paracetamol 325 mg + Chlorzoxazone 250 mg</t>
  </si>
  <si>
    <t>Gout, back pain, osteoarthritis, rheumatoid arthritis, toothache, muscle ache</t>
  </si>
  <si>
    <t>As directed by physician (contains 325mg Paracetamol/tab)</t>
  </si>
  <si>
    <t>DICQUE 100MG (DICLOFENAC) B/10SUPPOS</t>
  </si>
  <si>
    <t>Dicque Suppository</t>
  </si>
  <si>
    <t>Diclofenac 50 mg</t>
  </si>
  <si>
    <t>Pain and inflammatory diseases (gout) when oral route is not suitable</t>
  </si>
  <si>
    <t>DICQUE-CR 100MG (DICLOFENAC) B\10 CAP</t>
  </si>
  <si>
    <t>Dicque-CR 100</t>
  </si>
  <si>
    <t>Diclofenac 100 mg (modified-release)</t>
  </si>
  <si>
    <t>Pain and inflammatory diseases (gout)</t>
  </si>
  <si>
    <t>1 capsule twice daily (as directed)</t>
  </si>
  <si>
    <t>PANTEX-30MG (PENTAZOCINE) I.M/ I.V B/10AMP</t>
  </si>
  <si>
    <t>Pantex</t>
  </si>
  <si>
    <t>Pentazocine 30 mg per mL</t>
  </si>
  <si>
    <t>Box of 10 ampoules (1 mL)</t>
  </si>
  <si>
    <t>Intense pain (non-responsive), preoperative/anesthetic supplement</t>
  </si>
  <si>
    <t>1–2 ampoules every 4 hours; max 360 mg/day</t>
  </si>
  <si>
    <t>PABU (PARACETAMOL+IBUPROFEN) SIROP 60ML</t>
  </si>
  <si>
    <t>Pabu</t>
  </si>
  <si>
    <t>Paracetamol 125 mg + Ibuprofen 100 mg per 5 mL</t>
  </si>
  <si>
    <t>15–20 mg/kg/dose (paracetamol) as directed</t>
  </si>
  <si>
    <t>PA-C (PARACETAMOL+VIT-C) SUSP 100ML</t>
  </si>
  <si>
    <t>Pa-C</t>
  </si>
  <si>
    <t>Paracetamol 125 mg + Ascorbic Acid 50 mg per 5 mL</t>
  </si>
  <si>
    <t>Fever/pain (headache, flu, toothache, menstrual pain)</t>
  </si>
  <si>
    <t>PA-12 1000MG LP (PARACETAMOL) B/12 CES</t>
  </si>
  <si>
    <t>Pa 12</t>
  </si>
  <si>
    <t>Modified-Release Tablet</t>
  </si>
  <si>
    <t>Paracetamol 1000 mg</t>
  </si>
  <si>
    <t>Box of 12 tablets</t>
  </si>
  <si>
    <t>Mild to moderate pain (back pain, osteoarthritis) – adults only</t>
  </si>
  <si>
    <t>1 tablet every 12 hours (do not break)</t>
  </si>
  <si>
    <t>PA (PARACETAMOL) IV/IM INJ. B/5 AMP</t>
  </si>
  <si>
    <t>Pa Injectable</t>
  </si>
  <si>
    <t>Paracetamol 750 mg per 5 mL ampoule</t>
  </si>
  <si>
    <t>Box of 5 ampoules</t>
  </si>
  <si>
    <t>Pain and fever (children)</t>
  </si>
  <si>
    <t>15–20 mg/kg/dose</t>
  </si>
  <si>
    <t>PA 125MG/5ML (PARACETAMOL) SUSPENSION 100ML</t>
  </si>
  <si>
    <t>Pa - Syrup</t>
  </si>
  <si>
    <t>Paracetamol 125 mg per 5 mL</t>
  </si>
  <si>
    <t>ACECLOMOL (ACECLOFENAC+PARACETAMOL) B/10 CES</t>
  </si>
  <si>
    <t>Aceclomol</t>
  </si>
  <si>
    <t>Paracetamol 325 mg + Aceclofenac 100 mg</t>
  </si>
  <si>
    <t>Inflammation, pain (back pain, osteoarthritis), fever</t>
  </si>
  <si>
    <t>1 tablet once or twice daily (4–6 hours apart)</t>
  </si>
  <si>
    <t>PERFAC-C (PARACETAMOL+VIT-C) SIROP 100ML</t>
  </si>
  <si>
    <t>Perfac</t>
  </si>
  <si>
    <t>Fever/pain (headache, flu, toothache) for children</t>
  </si>
  <si>
    <t>PERFAC 1G (PARACETAMOL) PERFUSION I.V.FL/100ML</t>
  </si>
  <si>
    <t>IV Infusion</t>
  </si>
  <si>
    <t>Paracetamol 1000 mg per 100 mL bottle</t>
  </si>
  <si>
    <t>Box of 1 bottle (100 mL)</t>
  </si>
  <si>
    <t>Post-operative moderate pain, fever (urgent/IV route needed)</t>
  </si>
  <si>
    <t>PERFAC 300MG (PARACETAMOL) B/10 SUPPOS</t>
  </si>
  <si>
    <t>Paracetamol 300 mg</t>
  </si>
  <si>
    <t>Moderate pain, fever (when oral route not possible)</t>
  </si>
  <si>
    <t>Children 3–6 years: as directed</t>
  </si>
  <si>
    <t>PERFAC 200MG (PARACETAMOL) B/10 SUPPOS</t>
  </si>
  <si>
    <t>Paracetamol 200 mg</t>
  </si>
  <si>
    <t>Children 1–3 years: as directed</t>
  </si>
  <si>
    <t>PERFAC 100MG (PARACETAMOL) B/10 SUPPOS</t>
  </si>
  <si>
    <t>Paracetamol 100 mg</t>
  </si>
  <si>
    <t>Children 6 months – 1 year: as directed</t>
  </si>
  <si>
    <t>PERFAC 750MG (PARACETAMOL) I.M/I.V INJ. B/5AMP</t>
  </si>
  <si>
    <t>HIFER-Z (ANTI-ANEMIC) SIROP 200ML</t>
  </si>
  <si>
    <t>Hifer-Z Syrup</t>
  </si>
  <si>
    <t>Protein hydrolysate 1g + Iron 32mg + Zinc 44mg + Folic acid 1mg + B6 1.5mg + B12 7.5mcg + Lysine 50mg + Niacinamide 45mg + D-panthenol 5mg (per 15mL)</t>
  </si>
  <si>
    <t>Food vitaminic supplement</t>
  </si>
  <si>
    <t>1-6y: 2.5mL BID; 6-12y: 5mL BID; &gt;12y: 10mL BID</t>
  </si>
  <si>
    <t>HIFER 20MG/ML (SACCHAROSE FER) INJ. 5ML B/1 AMP</t>
  </si>
  <si>
    <t>Hifer Injectable</t>
  </si>
  <si>
    <t>Iron sucrose 20 mg per mL</t>
  </si>
  <si>
    <t>Box of 1 ampoule (5 mL)</t>
  </si>
  <si>
    <t>Iron deficiency anemia in kidney disease</t>
  </si>
  <si>
    <t>HIFER (FER+ACIDE FOLIC) B/ 3X10 CES</t>
  </si>
  <si>
    <t>Hifer Tablet</t>
  </si>
  <si>
    <t>Iron 100 mg + Folic Acid 1000 mcg</t>
  </si>
  <si>
    <t>Prevention of iron/folic acid deficiency (pregnancy); iron deficiency anemia</t>
  </si>
  <si>
    <t>1 tablet once daily (from 3rd month of pregnancy)</t>
  </si>
  <si>
    <t>EPOFIT 4000IU (ERYTHROPOIETINE) B/1 SER.PREREMPLIE</t>
  </si>
  <si>
    <t>Epofit</t>
  </si>
  <si>
    <t>Pre-filled Syringe</t>
  </si>
  <si>
    <t>Erythropoietin 4000 IU per 1.0 mL syringe</t>
  </si>
  <si>
    <t>Box of 1 pre-filled syringe (1 mL)</t>
  </si>
  <si>
    <t>SC / IV</t>
  </si>
  <si>
    <t>Anemia in chronic renal failure, chemotherapy-induced anemia, major surgery, HIV-related anemia</t>
  </si>
  <si>
    <t>Correction: 50 IU/kg 3x/week; adjust by 25 IU/kg; Maintenance: 75–300 IU/kg/week</t>
  </si>
  <si>
    <t>ZOLETRIX 4MG (ACIDE ZOLEDRONIQUE) INJECTABLE B/1 VIAL</t>
  </si>
  <si>
    <t>Zoletrix</t>
  </si>
  <si>
    <t>Zoledronic acid 4 mg per vial</t>
  </si>
  <si>
    <t>Box of 1 vial (100 mL)</t>
  </si>
  <si>
    <t>Skeletal-related events (pathological fractures, spinal compression) in malignancies; tumor-induced hypercalcaemia</t>
  </si>
  <si>
    <t>PACLITRIX 300MG / 50ML (PACLITAXEL) INJECTABLE B/1 VIAL</t>
  </si>
  <si>
    <t>Paclitrix</t>
  </si>
  <si>
    <t>Paclitaxel 300 mg per vial</t>
  </si>
  <si>
    <t>Ovarian, breast, lung, Kaposi sarcoma, cervical, pancreatic cancer</t>
  </si>
  <si>
    <t>PACLITRIX‐100MG (PACLITAXEL) INJECTABLE B/1 VIAL</t>
  </si>
  <si>
    <t>Paclitaxel 100 mg per vial</t>
  </si>
  <si>
    <t>CYTOCIS 50MG / 5ML (CISPLATIN) INJECTABLE B/1 VIAL</t>
  </si>
  <si>
    <t>Cytocis 50</t>
  </si>
  <si>
    <t>Cisplatin 50 mg per vial</t>
  </si>
  <si>
    <t>Testicular, ovarian, bladder, head/neck, non-small cell &amp; small cell lung, cervical carcinoma</t>
  </si>
  <si>
    <t>CYTOCIS 10MG / 20ML (CISPLATIN) INJECTABLE B/1 VIAL</t>
  </si>
  <si>
    <t>Cytocis 10</t>
  </si>
  <si>
    <t>Cisplatin 10 mg per vial</t>
  </si>
  <si>
    <t>CYTODOX 50MG (DOXORUBICIN) INJECTABLE B/1 VIAL</t>
  </si>
  <si>
    <t>Cytodox 50</t>
  </si>
  <si>
    <t>Doxorubicin 2 mg/mL (50 mg per 25 mL vial)</t>
  </si>
  <si>
    <t>Box of 1 vial (25 mL)</t>
  </si>
  <si>
    <t>Acute leukaemia, lymphomas, sarcomas, paediatric malignancies, breast &amp; lung carcinomas</t>
  </si>
  <si>
    <t>CYTODOX 10MG (DOXORUBICIN) INJECTABLE B/1 VIAL</t>
  </si>
  <si>
    <t>Cytodox 10</t>
  </si>
  <si>
    <t>Doxorubicin 2 mg/mL (10 mg per 5 mL vial)</t>
  </si>
  <si>
    <t>Box of 1 vial (5 mL)</t>
  </si>
  <si>
    <t>BLEOTRIX (BLECOMYCIN SULFATE INJ.) B/1VIAL</t>
  </si>
  <si>
    <t>Bleotrix</t>
  </si>
  <si>
    <t>Bleomycin 15 IU per vial</t>
  </si>
  <si>
    <t>Skin, oral cavity, head/neck cancer; lymphomas; testicular cancer; fluid accumulation in chest</t>
  </si>
  <si>
    <t>NERVOCAINE (BUPIVACAINE+DEXTROSE) INJ. B/5 AMP</t>
  </si>
  <si>
    <t>Nervocaine</t>
  </si>
  <si>
    <t>Bupivacaine HCl 5 mg + Dextrose per mL</t>
  </si>
  <si>
    <t>Spinal (Intrathecal)</t>
  </si>
  <si>
    <t>Spinal anesthesia: lower limb, abdominal, urological, gynecological, cesarean surgery</t>
  </si>
  <si>
    <t>UNICAINE 2% GEL (LIDOCAINE) T/30G</t>
  </si>
  <si>
    <t>Unicaine</t>
  </si>
  <si>
    <t>Topical Cream</t>
  </si>
  <si>
    <t>Lidocaine 2% w/v</t>
  </si>
  <si>
    <t>Topical (Cutaneous/Mucosal)</t>
  </si>
  <si>
    <t>Oral/gastric pain; local anesthesia before stomatological, laryngoscopic, esophageal procedures</t>
  </si>
  <si>
    <t>Apply as needed (2 applications recommended)</t>
  </si>
  <si>
    <t>UNICAINE PLUS (LIDOCAINE+ADRENALINE) INJ. FL/20ML</t>
  </si>
  <si>
    <t>Lidocaine 20 mg + Adrenaline 0.0125 mg per mL</t>
  </si>
  <si>
    <t>Vial of 20 mL</t>
  </si>
  <si>
    <t>Injection (Infiltration)</t>
  </si>
  <si>
    <t>Local, regional, intra-articular, periarticular, sympathetic infiltration anesthesia</t>
  </si>
  <si>
    <t>UNICAINE 2% (LIDOCAIN) INJ. FL/20ML</t>
  </si>
  <si>
    <t>Lidocaine 2 mg per mL</t>
  </si>
  <si>
    <t>Injection (Local-regional)</t>
  </si>
  <si>
    <t>Local-regional anesthesia (adults &amp; children &gt;1 year)</t>
  </si>
  <si>
    <t>As directed by anesthetist</t>
  </si>
  <si>
    <t>SEVOFLURANE (SOJOURN) ANESTHESIQUE A INHALER 250ML</t>
  </si>
  <si>
    <t>Sojourn</t>
  </si>
  <si>
    <t>Inhalation Vapour</t>
  </si>
  <si>
    <t>Sevoflurane 100% v/v</t>
  </si>
  <si>
    <t>Bottle of 250 mL</t>
  </si>
  <si>
    <t>Induction &amp; maintenance of general anesthesia (adults &amp; children)</t>
  </si>
  <si>
    <t>ISOFLURANE (ISORANE) ANESTHESIQUE A INHALER 250ML</t>
  </si>
  <si>
    <t>Isorane</t>
  </si>
  <si>
    <t>Isoflurane 100% v/v</t>
  </si>
  <si>
    <t>Induction &amp; maintenance of general anesthesia</t>
  </si>
  <si>
    <t>HALOTHANE (FLUOTHANE) ANESTHESIQUE A INHALER 250ML</t>
  </si>
  <si>
    <t>Fluothane</t>
  </si>
  <si>
    <t>Halothane 100% v/v</t>
  </si>
  <si>
    <t>OTOBIOTIC GOUTTES OTIQUES 5ML</t>
  </si>
  <si>
    <t>Otobiotic</t>
  </si>
  <si>
    <t>Ear Drops</t>
  </si>
  <si>
    <t>Chloramphenicol 5% + Beclomethasone 0.025% + Lignocaine 2% + Clotrimazole 1% (per 5 mL)</t>
  </si>
  <si>
    <t>Bottle of 5 mL</t>
  </si>
  <si>
    <t>Otic</t>
  </si>
  <si>
    <t>External &amp; media otitis, acute otitis externa</t>
  </si>
  <si>
    <t>2–3 drops, 2–3 times daily</t>
  </si>
  <si>
    <t>OCUTIM 0.50% (TIMOLOL) COLLYRE 10ML</t>
  </si>
  <si>
    <t>OCUTIM</t>
  </si>
  <si>
    <t>Eye Drops</t>
  </si>
  <si>
    <t>Timolol 0.5% w/v</t>
  </si>
  <si>
    <t>Ophthalmic</t>
  </si>
  <si>
    <t>Ocular hypertension, chronic open-angle glaucoma, secondary glaucoma</t>
  </si>
  <si>
    <t>1 drop (0.5%) in affected eye twice daily</t>
  </si>
  <si>
    <t>CIPROQUE (CIPROFLOXIN) COLLYRE 10ML</t>
  </si>
  <si>
    <t>CIPROQUE</t>
  </si>
  <si>
    <t>Ciprofloxacin 0.3% w/v (as HCl)</t>
  </si>
  <si>
    <t>Conjunctivitis (pinkeye), corneal ulcers (bacterial infections)</t>
  </si>
  <si>
    <t>1 drop as directed (tilt head, look upward, close eyes 1–2 min)</t>
  </si>
  <si>
    <t>INDONIQUE 0.1% (INDOMETHACINE) COLLYRE 10ML</t>
  </si>
  <si>
    <t>Indonique</t>
  </si>
  <si>
    <t>Indomethacin 0.1% w/v</t>
  </si>
  <si>
    <t>Prevention of per-operative miosis during cataract surgery; post-surgical inflammation</t>
  </si>
  <si>
    <t>Pre-op: 1 drop every 30 min (2 hrs before); Post-op: 1 drop 4–6 times daily for 1 month</t>
  </si>
  <si>
    <t>OFLOQUE 200MG (OFLOXACINE) B/10 CES</t>
  </si>
  <si>
    <t>Ofloque 200</t>
  </si>
  <si>
    <t>Ofloxacin 200 mg</t>
  </si>
  <si>
    <t>Pyelonephritis, complicated UTIs, prostatitis, pelvic inflammatory disease, sepsis</t>
  </si>
  <si>
    <t>Up to 400 mg once daily (or divided if &gt;400 mg)</t>
  </si>
  <si>
    <t>WAXORT (BICARBONATE) 5% GOUTTE OTIQUE 10ML</t>
  </si>
  <si>
    <t>Waxort</t>
  </si>
  <si>
    <t>Sodium Bicarbonate 5% w/v</t>
  </si>
  <si>
    <t>Soften dry or hardened earwax</t>
  </si>
  <si>
    <t>3–4 drops twice daily for up to 7 days</t>
  </si>
  <si>
    <t>PRETGESTAN 200MG (PROGESTERONE) B/15 CAP ORALE</t>
  </si>
  <si>
    <t>Pretgestan 200</t>
  </si>
  <si>
    <t>Progesterone 200 mg</t>
  </si>
  <si>
    <t>Box of 15 capsules</t>
  </si>
  <si>
    <t>Oral / Vaginal</t>
  </si>
  <si>
    <t>Progesterone deficiency (menstrual disorders, premenstrual disorders, menopause, IVF, recurrent abortion)</t>
  </si>
  <si>
    <t>200 mg at bedtime Day 15–26 OR 100 mg Day 1–25</t>
  </si>
  <si>
    <t>PRETGESTAN 100MG (PROGESTERONE) B/30 CAP ORALE</t>
  </si>
  <si>
    <t>Pretgestan 100</t>
  </si>
  <si>
    <t>Progesterone 100 mg</t>
  </si>
  <si>
    <t>MENOPTAS 75IU (MENOTROPHINE) INJ. B/ 1 VIAL</t>
  </si>
  <si>
    <t>Menoptas 75</t>
  </si>
  <si>
    <t>Menotrophin 75 IU + NaCl 0.9% diluent</t>
  </si>
  <si>
    <t>Box: 1 ampoule powder + 1 ampoule diluent (5 mL)</t>
  </si>
  <si>
    <t>IM / SC</t>
  </si>
  <si>
    <t>Anovulation, polycystic ovarian disease (PCOD)</t>
  </si>
  <si>
    <t>As directed by fertility specialist</t>
  </si>
  <si>
    <t>CORIGNITAS 5000IU B/1AMP</t>
  </si>
  <si>
    <t>Corignitas</t>
  </si>
  <si>
    <t>Chorionic Gonadotrophin 5000 IU + NaCl 0.9% diluent</t>
  </si>
  <si>
    <t>Females: conception, IVF; Males: hypogonadotropic hypogonadism</t>
  </si>
  <si>
    <t>Females: 5000–10000 IU once; Males: 500–1000 IU 3×/week</t>
  </si>
  <si>
    <t>TORTAS 20MG (TORSAMIDE) B/30CES</t>
  </si>
  <si>
    <t>Tortas 20</t>
  </si>
  <si>
    <t>Torasemide 20 mg</t>
  </si>
  <si>
    <t>Box of 30 tablets</t>
  </si>
  <si>
    <t>Edema (heart failure, kidney/liver disease); high blood pressure</t>
  </si>
  <si>
    <t>1 tablet once daily (or as directed)</t>
  </si>
  <si>
    <t>TORTAS 10MG (TORSAMIDE) B/30CES</t>
  </si>
  <si>
    <t>Tortas 10</t>
  </si>
  <si>
    <t>Torasemide 10 mg</t>
  </si>
  <si>
    <t>UNITOL 20% (MANNITOL) PERFUSION I.V. FL/100ML</t>
  </si>
  <si>
    <t>UNITOL</t>
  </si>
  <si>
    <t>Mannitol 20 g per 100 mL bottle</t>
  </si>
  <si>
    <t>Raised intracranial pressure (ICP), intraocular pressure, oliguric renal failure, toxin excretion</t>
  </si>
  <si>
    <t>UNITOL 10% (MANNITOL) PERFUSION I.V. FL/100ML</t>
  </si>
  <si>
    <t>Mannitol 10 g per 100 mL bottle</t>
  </si>
  <si>
    <t>Raised ICP, acute angle-closure glaucoma, cerebral edema</t>
  </si>
  <si>
    <t>CLAVIX-AS (CLOPIDOGREL75MG+ASPIRIN75MG) B/30CES</t>
  </si>
  <si>
    <t>Clavix-AS 75</t>
  </si>
  <si>
    <t>Clopidogrel 75 mg + Aspirin 75 mg</t>
  </si>
  <si>
    <t>Secondary prevention of atherothrombotic events (ACS, post-stent, STEMI)</t>
  </si>
  <si>
    <t>CLAVIX-75 (CLOPIDOGREL) B/30CES</t>
  </si>
  <si>
    <t>Clavix-75</t>
  </si>
  <si>
    <t>Clopidogrel 75 mg</t>
  </si>
  <si>
    <t>Prevention of atherothrombotic events; thromboembolic events in atrial fibrillation</t>
  </si>
  <si>
    <t>ASP 81 (ASPIRINE) B/30CES</t>
  </si>
  <si>
    <t>Asp 81</t>
  </si>
  <si>
    <t>Enteric-Coated Tablet</t>
  </si>
  <si>
    <t>Aspirin 81 mg</t>
  </si>
  <si>
    <t>Prevent blood clots, TIA, unstable angina, MI, stroke; colorectal cancer prevention</t>
  </si>
  <si>
    <t>CAPTOPRIL 25MG B/10X10CES (UNIPRIL)</t>
  </si>
  <si>
    <t>Unipril 25</t>
  </si>
  <si>
    <t>Captopril 25 mg</t>
  </si>
  <si>
    <t>Hypertension, congestive heart failure, myocardial infarction</t>
  </si>
  <si>
    <t>Individualized; max 150 mg/day</t>
  </si>
  <si>
    <t>ROVAS 20MG (ROSUVASTATIN) B/30CES</t>
  </si>
  <si>
    <t>Rovas</t>
  </si>
  <si>
    <t>Rosuvastatin 20 mg</t>
  </si>
  <si>
    <t>Hypercholesterolaemia, hypertriglyceridemia, mixed dyslipidemia, CV event prevention</t>
  </si>
  <si>
    <t>5–20 mg once daily (start dose 5–10 mg)</t>
  </si>
  <si>
    <t>ROVAS 10MG (ROSUVASTATIN) B/30 CES</t>
  </si>
  <si>
    <t>Rosuvastatin 10 mg</t>
  </si>
  <si>
    <t>ROVAS 5MG (ROSUVASTATIN) B/30CES</t>
  </si>
  <si>
    <t>Rosuvastatin 5 mg</t>
  </si>
  <si>
    <t>CARCA 6.25MG (CARVEDILOL) B/30CES</t>
  </si>
  <si>
    <t>Carca</t>
  </si>
  <si>
    <t>Carvedilol 6.25 mg</t>
  </si>
  <si>
    <t>Essential hypertension, chronic stable angina, moderate-severe chronic heart failure</t>
  </si>
  <si>
    <t>Once daily; max single dose 25 mg, max daily 50 mg</t>
  </si>
  <si>
    <t>CARCA 3.125MG (CARVEDILOL) B/30CES</t>
  </si>
  <si>
    <t>Carvedilol 3.125 mg</t>
  </si>
  <si>
    <t>NEBTAS-H (NEBIVOLOL+HCL 5 MG / 12.5MG) B/30CES</t>
  </si>
  <si>
    <t>Nebtas-H</t>
  </si>
  <si>
    <t>Nebivolol 5 mg + Hydrochlorothiazide 12.5 mg</t>
  </si>
  <si>
    <t>Hypertension, chronic heart failure</t>
  </si>
  <si>
    <t>1 tablet daily (same time each day)</t>
  </si>
  <si>
    <t>NEBTAS-5 (NEBIVOLOL) B/30 CES</t>
  </si>
  <si>
    <t>Nebtas 5</t>
  </si>
  <si>
    <t>Nebivolol 5 mg</t>
  </si>
  <si>
    <t>Essential hypertension; stable mild-moderate CHF in elderly (≥70 years)</t>
  </si>
  <si>
    <t>1 tablet (5 mg) daily</t>
  </si>
  <si>
    <t>LOSARTAS-HT (LOSARTAN+ HCL) 50MG+12.5MG B/30CES</t>
  </si>
  <si>
    <t>Losartas</t>
  </si>
  <si>
    <t>Losartan 100 mg + Hydrochlorothiazide 12.5 mg</t>
  </si>
  <si>
    <t>Essential hypertension (uncontrolled), renal disease in T2DM, CHF, stroke risk reduction</t>
  </si>
  <si>
    <t>LOSARTAS 100MG (LOSARTAN) B/30CES</t>
  </si>
  <si>
    <t>Losartan 100 mg</t>
  </si>
  <si>
    <t>Essential hypertension, renal disease in T2DM, CHF, stroke risk reduction</t>
  </si>
  <si>
    <t>Start 50 mg once daily; increase to 100 mg if needed</t>
  </si>
  <si>
    <t>LOSARTAS 50MG (LOSARTAN) B/28CES</t>
  </si>
  <si>
    <t>Losartan 50 mg</t>
  </si>
  <si>
    <t>Box of 28 tablets</t>
  </si>
  <si>
    <t>ENAPRIL-HT (ENAPRIL+HCL) 10MG/25MG B/30CES</t>
  </si>
  <si>
    <t>Enapril</t>
  </si>
  <si>
    <t>Enalapril 10 mg + Hydrochlorothiazide 25 mg</t>
  </si>
  <si>
    <t>Hypertension (uncontrolled), symptomatic heart failure, prevention of CHF</t>
  </si>
  <si>
    <t>ENAPRIL 10MG (ENALAPRIL) B/30CES</t>
  </si>
  <si>
    <t>Enalapril 10 mg</t>
  </si>
  <si>
    <t>Hypertension, symptomatic heart failure, prevention of CHF</t>
  </si>
  <si>
    <t>Initial 5–20 mg once daily (mild HTN: 5–10 mg)</t>
  </si>
  <si>
    <t>ENAPRIL 5MG (ENALAPRIL) B/30CES</t>
  </si>
  <si>
    <t>Enalapril 5 mg</t>
  </si>
  <si>
    <t>AMTAS 10MG (AMLODIPINE) B/30CES</t>
  </si>
  <si>
    <t>Amtas</t>
  </si>
  <si>
    <t>Amlodipine 10 mg</t>
  </si>
  <si>
    <t>Essential hypertension, chronic stable angina, vasospastic (Prinzmetal's) angina</t>
  </si>
  <si>
    <t>Start 5 mg once daily; max 10 mg daily</t>
  </si>
  <si>
    <t>AMTAS 5MG (AMLODIPINE) B/30CES</t>
  </si>
  <si>
    <t>Amlodipine 5 mg</t>
  </si>
  <si>
    <t>RAMITAS-HT (RAMIPRIL+HCL) 5+12.5 MG B/30 CES</t>
  </si>
  <si>
    <t>Ramitas</t>
  </si>
  <si>
    <t>Ramipril 5 mg + Hydrochlorothiazide 12.5 mg</t>
  </si>
  <si>
    <t>Hypertension (uncontrolled), congestive heart failure, post-MI survival</t>
  </si>
  <si>
    <t>RAMITAS-5MG (RAMIPRIL) B/30 CES</t>
  </si>
  <si>
    <t>Ramipril 5 mg</t>
  </si>
  <si>
    <t>Hypertension, congestive heart failure, post-MI survival</t>
  </si>
  <si>
    <t>1 capsule daily</t>
  </si>
  <si>
    <t>RAMITAS-2.5MG (RAMIPRIL) B/30 CAP</t>
  </si>
  <si>
    <t>Ramipril 2.5 mg</t>
  </si>
  <si>
    <t>TELTAS 80 AH (TELMISARTAN +AMLO+ HCL) B/30CES</t>
  </si>
  <si>
    <t>Teltas</t>
  </si>
  <si>
    <t>Telmisartan 80 mg + Amlodipine 5 mg + HCTZ 12.5 mg</t>
  </si>
  <si>
    <t>Hypertension (uncontrolled)</t>
  </si>
  <si>
    <t>TELTAS 40 AH (TELMISARTAN+AMLO+ HCL) B/30CES</t>
  </si>
  <si>
    <t>Telmisartan 40 mg + Amlodipine 5 mg + HCTZ 12.5 mg</t>
  </si>
  <si>
    <t>Hypertension (uncontrolled by mono/bi-therapy)</t>
  </si>
  <si>
    <t>TELTAS 80 LH (TELMISARTAN+HCT.) B/30CES</t>
  </si>
  <si>
    <t>Telmisartan 80 mg + Hydrochlorothiazide 12.5 mg</t>
  </si>
  <si>
    <t>TELTAS 80H (TELMISARTAN + HCL) 80MG+25MG B/30CES</t>
  </si>
  <si>
    <t>Telmisartan 80 mg + Hydrochlorothiazide 25 mg</t>
  </si>
  <si>
    <t>TELTAS 40H (TELMISARTAN + HCL) 40MG+12.5MG B/30CES</t>
  </si>
  <si>
    <t>Telmisartan 40 mg + Hydrochlorothiazide 12.5 mg</t>
  </si>
  <si>
    <t>TELTAS 80MG (TELMISARTAN) B/30CES</t>
  </si>
  <si>
    <t>Telmisartan 80 mg</t>
  </si>
  <si>
    <t>Hypertension; prevents strokes, heart attacks, kidney problems</t>
  </si>
  <si>
    <t>TELTAS 40MG (TELMISARTAN) B/30CES</t>
  </si>
  <si>
    <t>Telmisartan 40 mg</t>
  </si>
  <si>
    <t>VELTAM 0.4MG (TAMSULOSIN) B/3X10 CES</t>
  </si>
  <si>
    <t>Veltam</t>
  </si>
  <si>
    <t>Tamsulosin 0.4 mg</t>
  </si>
  <si>
    <t>Symptomatic benign prostatic hyperplasia (BPH), chronic prostatitis</t>
  </si>
  <si>
    <t>1 tablet daily, 30 min after meal (swallow whole)</t>
  </si>
  <si>
    <t>GLYMAT (GLICLAZIDE 80MG+ METFORMIN 500MG) B/30CES</t>
  </si>
  <si>
    <t>Glymat</t>
  </si>
  <si>
    <t>Gliclazide 80 mg + Metformin 500 mg</t>
  </si>
  <si>
    <t>Type 2 diabetes (blood glucose control)</t>
  </si>
  <si>
    <t>FORMETIN SR 1000MG ( METFORMIN LP) B/10 CES</t>
  </si>
  <si>
    <t>Formetin</t>
  </si>
  <si>
    <t>Sustained-Release Tablet</t>
  </si>
  <si>
    <t>Metformin 1000 mg</t>
  </si>
  <si>
    <t>Type 2 diabetes (overweight patients); PCOS</t>
  </si>
  <si>
    <t>FORMETIN 850MG (METFORMINE) B/30CES</t>
  </si>
  <si>
    <t>Metformin 850 mg</t>
  </si>
  <si>
    <t>FORMETIN 500MG (METFORMINE) B/30CES</t>
  </si>
  <si>
    <t>Metformin 500 mg</t>
  </si>
  <si>
    <t>ZORYL M2 (GLIMIPRIDE 2MG/METFORMINE 500MG) B/30CES</t>
  </si>
  <si>
    <t>ZORYL</t>
  </si>
  <si>
    <t>Glimepiride 2 mg + Metformin 500 mg</t>
  </si>
  <si>
    <t>Type 2 diabetes (alone or in combination)</t>
  </si>
  <si>
    <t>ZORYL M1 (GLIMIPRIDE 1MG/METFORMINE 500MG) B/30CES</t>
  </si>
  <si>
    <t>Glimepiride 1 mg + Metformin 500 mg</t>
  </si>
  <si>
    <t>ZORYL 4 (GLIMEPRIDE) B/30CES</t>
  </si>
  <si>
    <t>Glimepiride 4 mg</t>
  </si>
  <si>
    <t>ZORYL 2MG (GLIMIPRIDE) B/30CES</t>
  </si>
  <si>
    <t>Glimepiride 2 mg</t>
  </si>
  <si>
    <t>ZORYL 1MG (GLIMIPRIDE) B/30CES</t>
  </si>
  <si>
    <t>Glimepiride 1 mg</t>
  </si>
  <si>
    <t>Type 2 diabetes (diet/exercise not adequate)</t>
  </si>
  <si>
    <t>HAEMACCEL GELINE INFUSION 500ML</t>
  </si>
  <si>
    <t>Haemaccel – IV</t>
  </si>
  <si>
    <t>Polygelin 3.5% + Electrolytes</t>
  </si>
  <si>
    <t>Plastic infusion bottle of 500 mL</t>
  </si>
  <si>
    <t>Plasma volume expander / Colloidal infusion</t>
  </si>
  <si>
    <t>VAGIKLIN FORTE (CLINDA.+CLOTRI.+METRO.) B/7 OVULES</t>
  </si>
  <si>
    <t>VAGIKLIN</t>
  </si>
  <si>
    <t>Vaginal Suppository</t>
  </si>
  <si>
    <t>Clindamycin 100 mg + Clotrimazole 200 mg + Metronidazole 100 mg</t>
  </si>
  <si>
    <t>Box of 7 ovules</t>
  </si>
  <si>
    <t>Bacterial vaginitis, vulvovaginal candidiasis, vaginal trichomoniasis, mixed vaginal dysfunction</t>
  </si>
  <si>
    <t>1 ovule nightly for 7 days</t>
  </si>
  <si>
    <t>NOMYCOSE 250MG (TERBINAFINE) B/10 CES</t>
  </si>
  <si>
    <t>Nomycose Tablets</t>
  </si>
  <si>
    <t>Terbinafine 250 mg</t>
  </si>
  <si>
    <t>Tinea corporis, tinea cruris, tinea pedis, onychomycosis (dermatophyte nail infections)</t>
  </si>
  <si>
    <t>Adults: 250 mg once daily for 2–6 weeks</t>
  </si>
  <si>
    <t>NOMYCOSE (TERBINAFINE) CREME T/15G</t>
  </si>
  <si>
    <t>Nomycose Cream</t>
  </si>
  <si>
    <t>Terbinafine HCl 10 mg/g (1%)</t>
  </si>
  <si>
    <t>Tube of 15 g</t>
  </si>
  <si>
    <t>Tinea pedis, tinea cruris, cutaneous candidiasis, pityriasis versicolor</t>
  </si>
  <si>
    <t>Apply 1–2 times daily for 1–2 weeks</t>
  </si>
  <si>
    <t>FLUQUE (FLUCONAZOLE) PERFUSION IV FL/100ML</t>
  </si>
  <si>
    <t>Fluque Infusion</t>
  </si>
  <si>
    <t>Fluconazole 2 mg/mL (200 mg per 100 mL)</t>
  </si>
  <si>
    <t>Plastic bag of 100 mL</t>
  </si>
  <si>
    <t>Cryptococcal meningitis, coccidioidomycosis, invasive/mucosal candidiasis</t>
  </si>
  <si>
    <t>As directed (based on infection severity)</t>
  </si>
  <si>
    <t>FLUQUE 200MG (FLUCONAZOLE) B/4CAPSULES</t>
  </si>
  <si>
    <t>Fluque 200</t>
  </si>
  <si>
    <t>Fluconazole 200 mg</t>
  </si>
  <si>
    <t>Box of 4 capsules</t>
  </si>
  <si>
    <t>Vaginal candidiasis, oropharyngeal/esophageal candidiasis, other candida infections</t>
  </si>
  <si>
    <t>Adults: 200 mg once daily</t>
  </si>
  <si>
    <t>FLUQUE-150MG (FLUCONAZOLE) B/ 1CES</t>
  </si>
  <si>
    <t>Fluque 150</t>
  </si>
  <si>
    <t>Fluconazole 150 mg</t>
  </si>
  <si>
    <t>Box of 1 tablet</t>
  </si>
  <si>
    <t>Adults: 150 mg once daily</t>
  </si>
  <si>
    <t>NISTA (NYSTATIN) SUSP. 30ML</t>
  </si>
  <si>
    <t>Nista Oral Suspension</t>
  </si>
  <si>
    <t>Nystatin 100,000 IU per mL</t>
  </si>
  <si>
    <t>Candida infections (diaper rash, thrush, esophageal candidiasis, vaginal yeast)</t>
  </si>
  <si>
    <t>Hold/swish in mouth, gargle &amp; swallow (as directed)</t>
  </si>
  <si>
    <t>NISTA (NYSTATINE) B/2 X8 CES</t>
  </si>
  <si>
    <t>Nista Tablets</t>
  </si>
  <si>
    <t>Nystatin 500,000 IU</t>
  </si>
  <si>
    <t>Box of 2×8 tablets</t>
  </si>
  <si>
    <t>Candida infections (diaper rash, thrush, esophageal candidiasis)</t>
  </si>
  <si>
    <t>3 times daily (or as directed)</t>
  </si>
  <si>
    <t>NISTA-V (NYSTA.) 14 OV. AVEC APPLICATE</t>
  </si>
  <si>
    <t>Nista-V</t>
  </si>
  <si>
    <t>Vaginal Tablet</t>
  </si>
  <si>
    <t>Nystatin 100,000 IU</t>
  </si>
  <si>
    <t>Box of 14 vaginal tablets</t>
  </si>
  <si>
    <t>Vaginal yeast infections</t>
  </si>
  <si>
    <t>1 tablet daily for 2 weeks</t>
  </si>
  <si>
    <t>CLAVIR (ACICLOVIR ) CREAM T/ 10 G</t>
  </si>
  <si>
    <t>Clavir Cream</t>
  </si>
  <si>
    <t>Aciclovir 50 mg/g (5%)</t>
  </si>
  <si>
    <t>Tube of 10 g</t>
  </si>
  <si>
    <t>Herpes simplex (cold sores) – lips &amp; face</t>
  </si>
  <si>
    <t>Apply 5 times daily (4-hourly), continue for 3 days after healing</t>
  </si>
  <si>
    <t>CLAVIR-400 (ACYCLOVIR) B/10CES</t>
  </si>
  <si>
    <t>Clavir 400 Tablets</t>
  </si>
  <si>
    <t>Aciclovir 400 mg</t>
  </si>
  <si>
    <t>Herpes simplex, chickenpox, shingles</t>
  </si>
  <si>
    <t>400 mg twice daily (space 6 hours apart)</t>
  </si>
  <si>
    <t>CLAVIR-200 (ACYCLOVIR) B/10CES</t>
  </si>
  <si>
    <t>Clavir 200 Tablets</t>
  </si>
  <si>
    <t>Aciclovir 200 mg</t>
  </si>
  <si>
    <t>200 mg four times daily (space 6 hours apart)</t>
  </si>
  <si>
    <t>QLINDA 600MG INJ.(CLINDAMYCINE) B/1 AMP</t>
  </si>
  <si>
    <t>Clindamycin 600 mg per 4 mL ampoule</t>
  </si>
  <si>
    <t>Box of 1 ampoule (4 mL)</t>
  </si>
  <si>
    <t>Bacterial infections (lungs, skin, blood, internal organs)</t>
  </si>
  <si>
    <t>Adults: 600 mg every 6–8 hours</t>
  </si>
  <si>
    <t>QLINDA 300MG INJ.(CLINDAMYCINE) B/1 AMP</t>
  </si>
  <si>
    <t>Clindamycin 300 mg per 2 mL ampoule</t>
  </si>
  <si>
    <t>Box of 1 ampoule (2 mL)</t>
  </si>
  <si>
    <t>Adults &amp; children &gt;12y: 300–600 mg every 8 hours</t>
  </si>
  <si>
    <t>QLINDA 150MG INJ.(CLINDAMYCINE) B/1 AMP</t>
  </si>
  <si>
    <t>Clindamycin 150 mg per mL ampoule</t>
  </si>
  <si>
    <t>Box of 1 ampoule (1 mL)</t>
  </si>
  <si>
    <t>Children: 5–10 mg/kg every 8 hours</t>
  </si>
  <si>
    <t>QLINDA 600MG (CLINDAMYCINE) B/ 10 CAPS</t>
  </si>
  <si>
    <t>Clindamycin 600 mg</t>
  </si>
  <si>
    <t>Adults: 300–600 mg every 8 hours (based on severity)</t>
  </si>
  <si>
    <t>QLINDA 300MG (CLINDAMYCINE) B/ 10 CAPS</t>
  </si>
  <si>
    <t>Clindamycin 300 mg</t>
  </si>
  <si>
    <t>Adults: 300–600 mg every 8 hours</t>
  </si>
  <si>
    <t>QLINDA 150MG (CLINDAMYCINE) B/ 10 CAPS</t>
  </si>
  <si>
    <t>Clindamycin 150 mg</t>
  </si>
  <si>
    <t>Children: 3–6 mg/kg every 6 hours</t>
  </si>
  <si>
    <t>TRIOKIT (AZITHRO.+FLUCO.+SECNI.) KIT DE 4 CES</t>
  </si>
  <si>
    <t>Triokit</t>
  </si>
  <si>
    <t>Kit (Tablets)</t>
  </si>
  <si>
    <t>Azithromycin 1g + Fluconazole 150 mg + Secnidazole 1g (×2)</t>
  </si>
  <si>
    <t>Box of 1 blister (4 tablets)</t>
  </si>
  <si>
    <t>Vaginal diseases &amp; STDs (combination therapy)</t>
  </si>
  <si>
    <t>Azithromycin (morning fasting), Fluconazole (after breakfast), Secnidazole (bedtime)</t>
  </si>
  <si>
    <t>UNITRIM-FORTE (COTRIMOXAZOLE) 960MG B\10CES</t>
  </si>
  <si>
    <t>Unitrim</t>
  </si>
  <si>
    <t>Trimethoprim 160 mg + Sulfamethoxazole 800 mg</t>
  </si>
  <si>
    <t>Prevention/treatment of Pneumocystis pneumonia (PCP)</t>
  </si>
  <si>
    <t>Twice daily</t>
  </si>
  <si>
    <t>UNITRIM 480MG (COTRIMOXAZOLE) B/10X10 CES</t>
  </si>
  <si>
    <t>Trimethoprim 80 mg + Sulfamethoxazole 400 mg</t>
  </si>
  <si>
    <t>Twice daily (up to 4 times for severe infections)</t>
  </si>
  <si>
    <t>VANCOLITE -1000MG (VANCOMYCIN) INJ. B/1 VIAL</t>
  </si>
  <si>
    <t>Vancolite 1000</t>
  </si>
  <si>
    <t>Vancomycin 1 g per vial</t>
  </si>
  <si>
    <t>MRSA, respiratory infections, osteitis, endocarditis, skin infections, meningitis</t>
  </si>
  <si>
    <t>Adults: 15–20 mg/kg every 8–12h; Children: 10–15 mg/kg every 6h</t>
  </si>
  <si>
    <t>VANCOLITE -500MG (VANCOMYCIN) INJ. B/1 VIAL</t>
  </si>
  <si>
    <t>Vancolite 500</t>
  </si>
  <si>
    <t>Vancomycin 500 mg per vial</t>
  </si>
  <si>
    <t>Q - CLAR 500MG (CLARITHROMYCIN) B / 10 CES</t>
  </si>
  <si>
    <t>Q-Clar 500</t>
  </si>
  <si>
    <t>Clarithromycin 500 mg</t>
  </si>
  <si>
    <t>Pharyngitis, pneumonia, sinusitis, bronchitis, skin/soft tissue infections, H. pylori</t>
  </si>
  <si>
    <t>250–500 mg twice daily (500 mg for severe)</t>
  </si>
  <si>
    <t>Q - CLAR 250MG (CLARITHROMYCIN) B/10 CES</t>
  </si>
  <si>
    <t>Q-Clar 250</t>
  </si>
  <si>
    <t>Clarithromycin 250 mg</t>
  </si>
  <si>
    <t>Pharyngitis, pneumonia, sinusitis, bronchitis, skin/soft tissue infections</t>
  </si>
  <si>
    <t>250–500 mg twice daily</t>
  </si>
  <si>
    <t>ZITHRO-PLUS 500MG (AZITHROMYCINE) B/3CES</t>
  </si>
  <si>
    <t>ZITHRO-PLUS</t>
  </si>
  <si>
    <t>Azithromycin 500 mg</t>
  </si>
  <si>
    <t>Box of 3 tablets</t>
  </si>
  <si>
    <t>Bronchitis, pneumonia, STDs, ear/sinus/skin/throat infections</t>
  </si>
  <si>
    <t>1 tablet daily for 3 days (1 hour before lunch)</t>
  </si>
  <si>
    <t>ZITHRO-PLUS 250MG (AZITHROMYCINE) B/6CES</t>
  </si>
  <si>
    <t>Azithromycin 250 mg</t>
  </si>
  <si>
    <t>Box of 6 tablets</t>
  </si>
  <si>
    <t>2 tabs Day 1; then 1 tab daily Days 2–5 (1 hour before lunch)</t>
  </si>
  <si>
    <t>ZITHRO-PLUS 200MG/5ML (AZITHROMYCINE) ORAL SUSP. 30ML</t>
  </si>
  <si>
    <t>Azithromycin 200 mg per 5 mL</t>
  </si>
  <si>
    <t>Bronchitis, pneumonia, STDs, ear/sinus/skin/throat infections (children)</t>
  </si>
  <si>
    <t>Children &gt;6m: 10 mg/kg/day for 3 days; or 10 mg/kg day 1, then 5 mg/kg days 2–5</t>
  </si>
  <si>
    <t>NEGRAM (UNIDIXIC) 500MG PLS/10 CES***</t>
  </si>
  <si>
    <t>Unidixic Tablet</t>
  </si>
  <si>
    <t>Nalidixic Acid 500 mg</t>
  </si>
  <si>
    <t>UTIs (E. coli, Enterobacter, Klebsiella, Proteus)</t>
  </si>
  <si>
    <t>Initial: 1g 4× daily (4g/day); Prolonged: reduce to 2g/day</t>
  </si>
  <si>
    <t>AMIQUE-500MG (AMIKACIN) INJ B/1 VIAL</t>
  </si>
  <si>
    <t>Amique</t>
  </si>
  <si>
    <t>Amikacin 500 mg per vial</t>
  </si>
  <si>
    <t>Bacterial infections (lungs, skin, abdomen, blood) – E.coli, Streptococci, Enterococci</t>
  </si>
  <si>
    <t>15 mg/kg/day divided into 2–3 doses (max 1.5g/day)</t>
  </si>
  <si>
    <t>AMIQUE-100MG (AMIKACIN) INJ B/1 VIAL</t>
  </si>
  <si>
    <t>Amikacin 100 mg per vial</t>
  </si>
  <si>
    <t>TOPGYL (METRONIDAZOL) 500 MG OVULE B\10</t>
  </si>
  <si>
    <t>Topgyl</t>
  </si>
  <si>
    <t>Metronidazole 500 mg</t>
  </si>
  <si>
    <t>Septicaemia, brain abscess, pelvic infections, peritonitis, wound infections</t>
  </si>
  <si>
    <t>Adults: 1g (2 supp) 8-hourly for 3 days, then 12-hourly; Children 5–10y: 500 mg 8-hourly</t>
  </si>
  <si>
    <t>TOPGYL (METRONIDAZOLE) 125MG/5ML SUSP 100ML</t>
  </si>
  <si>
    <t>Metronidazole 125 mg per 5 mL</t>
  </si>
  <si>
    <t>Bacterial infections (vaginal, stomach, skin, brain, respiratory)</t>
  </si>
  <si>
    <t>Adults: 500 mg TID; Children: 35–50 mg/kg/day divided into 3 doses</t>
  </si>
  <si>
    <t>TOPGYL 250MG (METRONIDAZOLE) B/10CES X 25PL</t>
  </si>
  <si>
    <t>Metronidazole 250 mg</t>
  </si>
  <si>
    <t>Bacterial infections (vaginal, stomach, intestines, skin, brain, heart, respiratory)</t>
  </si>
  <si>
    <t>TOPGYL 500MG (METRONIDAZOLE) B/10 CAPSULE</t>
  </si>
  <si>
    <t>Metronidazole 5 mg/mL (500 mg per 100 mL)</t>
  </si>
  <si>
    <t>Prophylaxis of postoperative anaerobic infections; severe intraabdominal &amp; gynaecological infections</t>
  </si>
  <si>
    <t>Adults: 1000–1500mg single dose pre-op OR 500mg 8-hourly; Children &lt;12y: 20–30 mg/kg 1–2 hrs pre-op</t>
  </si>
  <si>
    <t>NALIGYL (METRO + NORFLO) SUSP. 60ML</t>
  </si>
  <si>
    <t>Naligyl - Syrup</t>
  </si>
  <si>
    <t>Metronidazole 100 mg + Norfloxacin 100 mg per 5 mL</t>
  </si>
  <si>
    <t>Diarrhoea &amp; dysentery (amoebic, bacterial, or mixed origin)</t>
  </si>
  <si>
    <t>NALIGYL (METRO + NORFLO) B/10CES</t>
  </si>
  <si>
    <t>Naligyl - Tablets</t>
  </si>
  <si>
    <t>Metronidazole 500 mg + Norfloxacin 400 mg</t>
  </si>
  <si>
    <t>1 tablet twice daily for 5 days</t>
  </si>
  <si>
    <t>CIPROQUE TZ (CIPRO 500 MG + TINIDAZOLE 600 MG), B/1X10 CES</t>
  </si>
  <si>
    <t>Ciprofloxacin 500 mg</t>
  </si>
  <si>
    <t>Skin, bone/joint, intra-abdominal, respiratory, UTI, sinusitis, prostatitis, febrile neutropenia</t>
  </si>
  <si>
    <t>1 tablet twice daily for 7–14 days</t>
  </si>
  <si>
    <t>CIPROQUE (CIPROFLOXACIN) INJ 100ML</t>
  </si>
  <si>
    <t>Ciprofloxacin 200 mg per 100 mL</t>
  </si>
  <si>
    <t>1 infusion twice daily for 7–14 days</t>
  </si>
  <si>
    <t>LEVOQUE 750MG (LEVOFLOXACIN) B/ 10 CES</t>
  </si>
  <si>
    <t>Levoque 750</t>
  </si>
  <si>
    <t>Levofloxacin 750 mg</t>
  </si>
  <si>
    <t>Sinusitis, COPD exacerbation, pneumonia, skin/soft tissue, pyelonephritis, prostatitis</t>
  </si>
  <si>
    <t>Once or twice daily (based on severity)</t>
  </si>
  <si>
    <t>LEVOQUE 500MG (LEVOFLOXACIN) B / 10 CES</t>
  </si>
  <si>
    <t>Levoque 500</t>
  </si>
  <si>
    <t>Levofloxacin 500 mg</t>
  </si>
  <si>
    <t>LEVOQUE (LEVOFLOXACIN) PERFUSION (I.V.) FL/100ML</t>
  </si>
  <si>
    <t>Levoque IV</t>
  </si>
  <si>
    <t>Levofloxacin 500 mg per 100 mL</t>
  </si>
  <si>
    <t>500 mg once/twice daily for 7–14 days (28 weeks for prostatitis)</t>
  </si>
  <si>
    <t>OFLOQUE (OFLOXACIN) COLLYRE 10ML</t>
  </si>
  <si>
    <t>Ofloque - Collyre</t>
  </si>
  <si>
    <t>Ofloxacin 0.3% w/v</t>
  </si>
  <si>
    <t>Severe eye infections (conjunctivitis, keratitis, corneal ulcers)</t>
  </si>
  <si>
    <t>2 drops, 4 times daily in affected eye(s)</t>
  </si>
  <si>
    <t>OFLOQUE (OFLOXACINE) PERFUSION IV FL/100ML</t>
  </si>
  <si>
    <t>Ofloque - Infusion</t>
  </si>
  <si>
    <t>Ofloxacin 2 mg/mL (200 mg per 100 mL)</t>
  </si>
  <si>
    <t>Severe bacterial infections (systemic)</t>
  </si>
  <si>
    <t>As directed by physician (based on infection severity)</t>
  </si>
  <si>
    <t>OFLOQUE-OZ (OFLOXACINE+ORNIDA.) SUSPENSION 60ML</t>
  </si>
  <si>
    <t>Ofloque-Oz Suspension</t>
  </si>
  <si>
    <t>Ofloxacin 50 mg + Ornidazole 125 mg per 5 mL</t>
  </si>
  <si>
    <t>Mixed infections (amoebiasis, giardiasis, trichomoniasis, vaginosis, respiratory/GI infections)</t>
  </si>
  <si>
    <t>10–15 mg ofloxacin/kg/day twice daily; max 400 mg/day</t>
  </si>
  <si>
    <t>OFLOQUE-OZ (OFLOXACINE+ORNIDA.) B/10 CES</t>
  </si>
  <si>
    <t>Ofloque-Oz Tablets</t>
  </si>
  <si>
    <t>Ofloxacin 200 mg + Ornidazole 500 mg</t>
  </si>
  <si>
    <t>1 tablet twice daily for 5–7 days</t>
  </si>
  <si>
    <t>OFLOQ-OZ (OFLOXACIN + ORNID.) PERFUSION IV 100ML</t>
  </si>
  <si>
    <t>Ofloq-Oz Infusion</t>
  </si>
  <si>
    <t>Ofloxacin 200 mg + Ornidazole 500 mg per 100 mL</t>
  </si>
  <si>
    <t>Adults: 700 mg/day, 1–2 times/day for 3–7 days</t>
  </si>
  <si>
    <t>FLUX 500MG (FLUCLOXACILLINE) B/10 GELULES</t>
  </si>
  <si>
    <t>Flux 500</t>
  </si>
  <si>
    <t>Flucloxacillin 500 mg</t>
  </si>
  <si>
    <t>Skin/soft tissue infections, wound infections, bone/joint infections (Gram-positive)</t>
  </si>
  <si>
    <t>Adults: 1.5–3 g/day (3–4 divided doses); Children: 25–50 mg/kg/day (3–4 doses)</t>
  </si>
  <si>
    <t>FLUX 250MG (FLUCLOXACILLINE) SUSP. ORALE 100ML</t>
  </si>
  <si>
    <t>Flux 250 Suspension</t>
  </si>
  <si>
    <t>Flucloxacillin 250 mg per 5 mL</t>
  </si>
  <si>
    <t>Skin/soft tissue infections, wound infections, bone/joint infections</t>
  </si>
  <si>
    <t>Children: 25–50 mg/kg/day (3–4 doses); Adults: 1.5–3g/day</t>
  </si>
  <si>
    <t>FLUX 125MG (FLUCLOXACILLINE) SUSP.ORALE 100ML</t>
  </si>
  <si>
    <t>Flux 125 Suspension</t>
  </si>
  <si>
    <t>Flucloxacillin 125 mg per 5 mL</t>
  </si>
  <si>
    <t>UNICLAV 1125MG AD (AMOXICLAV) B/12 SACHETS ORALE</t>
  </si>
  <si>
    <t>Uniclav</t>
  </si>
  <si>
    <t>Powder for Suspension (Sachet)</t>
  </si>
  <si>
    <t>Amoxicillin 1000 mg + Clavulanic acid 125 mg</t>
  </si>
  <si>
    <t>Sachet (strawberry flavor)</t>
  </si>
  <si>
    <t>Respiratory, sinus, skin/soft tissue, UTI, bone/joint, dental infections</t>
  </si>
  <si>
    <t>Adults/≥40kg: 1000/125mg TID (or BID for mild infections)</t>
  </si>
  <si>
    <t>UNICLAV 562.5MG (AMOXICLAV) B/12 SACHETS ORALE</t>
  </si>
  <si>
    <t>Amoxicillin 500 mg + Clavulanic acid 62.5 mg</t>
  </si>
  <si>
    <t>Pediatric dosing as per body weight</t>
  </si>
  <si>
    <t>UNICLAV 600MG (AMOXICLAV) INJ. B/1 VIAL+EAU.</t>
  </si>
  <si>
    <t>Amoxicillin 500 mg + Clavulanic acid 100 mg per vial</t>
  </si>
  <si>
    <t>Combi pack: 1 vial + 10 mL sterile water</t>
  </si>
  <si>
    <t>As per weight-based dosing (40–80 mg/kg/day)</t>
  </si>
  <si>
    <t>UNICLAV 1.2G (AMOXICLAV) INJ. B/1 VIAL+EAU.</t>
  </si>
  <si>
    <t>Amoxicillin 1 g + Clavulanic acid 200 mg per vial</t>
  </si>
  <si>
    <t>Combi pack: 1 vial + 20 mL sterile water</t>
  </si>
  <si>
    <t>Adults/≥40kg: 1000/200mg TID</t>
  </si>
  <si>
    <t>UNICLAV DUO 1125MG (AMOXICLAV) B/16 CES</t>
  </si>
  <si>
    <t>Box of 16 tablets</t>
  </si>
  <si>
    <t>Adults/≥40kg: 1000/125mg TID (or BID for mild)</t>
  </si>
  <si>
    <t>UNICLAV DUO 562.5MG (AMOXICLAV) B/16 CES</t>
  </si>
  <si>
    <t>As per weight-based dosing</t>
  </si>
  <si>
    <t>UNICLAV ENFANT 562.5MG (AMOXICLAV) SUSP.60ML</t>
  </si>
  <si>
    <t>Amoxicillin 500 mg + Clavulanic acid 62.5 mg per 5 mL</t>
  </si>
  <si>
    <t>Children &lt;40kg: 40–80 mg/kg/day (amoxicillin) in 3 divided doses</t>
  </si>
  <si>
    <t>UNICLAV NORRISSON 281.25MG (AMOXICLAV) SUSP.60ML</t>
  </si>
  <si>
    <t>Amoxicillin 250 mg + Clavulanic acid 31.25 mg per 5 mL</t>
  </si>
  <si>
    <t>Infants/children &lt;40kg: weight-based dosing</t>
  </si>
  <si>
    <t>SUDROX-500MG (CEFADROXYL) B/12CAPS</t>
  </si>
  <si>
    <t>Sudrox 500</t>
  </si>
  <si>
    <t>Cefadroxil 500 mg</t>
  </si>
  <si>
    <t>Box of 12 capsules</t>
  </si>
  <si>
    <t>UTIs, skin/soft tissue infections, pharyngitis, tonsillitis, otitis, bronchitis, pneumonia</t>
  </si>
  <si>
    <t>Adults: 1–2g/day (divided doses); Children: 30 mg/kg/day</t>
  </si>
  <si>
    <t>SUDROX-1000MG (CEFADROXYL) DISP. B/10 CES SEC</t>
  </si>
  <si>
    <t>Sudrox 1000</t>
  </si>
  <si>
    <t>Dispersible Tablet</t>
  </si>
  <si>
    <t>Cefadroxil 1000 mg</t>
  </si>
  <si>
    <t>Box of 10 dispersible tablets</t>
  </si>
  <si>
    <t>SUDROX 250MG (CEFADROXYL) POUDRE POUR SUSP. 100ML</t>
  </si>
  <si>
    <t>Sudrox 250 Suspension</t>
  </si>
  <si>
    <t>Cefadroxil 250 mg per 5 mL</t>
  </si>
  <si>
    <t>Children: 30 mg/kg/day in divided doses every 12 hours</t>
  </si>
  <si>
    <t>CEFINIQUE 200MG (CEFIXIME) DISP. B/ 10 CES</t>
  </si>
  <si>
    <t>Cefinique</t>
  </si>
  <si>
    <t>Cefixime 200 mg</t>
  </si>
  <si>
    <t>Bacterial infections: acute/chronic bronchitis, pneumonia, sinusitis, otitis, pyelonephritis, UTIs, gonococcal urethritis</t>
  </si>
  <si>
    <t>Children 6–11 years: 1 tablet twice daily</t>
  </si>
  <si>
    <t>CEFINIQUE 100MG (CEFIXIME) DISP. B/ 10 CES</t>
  </si>
  <si>
    <t>Cefixime 100 mg</t>
  </si>
  <si>
    <t>CEFINIQUE 40MG/5ML (CEFIXIME) SUSP. ORALE 60ML</t>
  </si>
  <si>
    <t>Cefixime 40 mg per 5 mL</t>
  </si>
  <si>
    <t>Children &lt;6 months: 8 mg/kg/day in 2 divided doses for 7 days</t>
  </si>
  <si>
    <t>CEFALAQUE-500MG (CEPHALEXINE) B/2X10 CAPS</t>
  </si>
  <si>
    <t>Cefalaque 500 Capsule</t>
  </si>
  <si>
    <t>Cephalexin 500 mg</t>
  </si>
  <si>
    <t>Respiratory tract infections, otitis media, skin/soft tissue, bone/joint, genito-urinary (including prostatitis), dental</t>
  </si>
  <si>
    <t>Adults: 500 mg every 8 hours (1–4g/day); Severe: higher doses; UTI: 250 mg every 6 hours</t>
  </si>
  <si>
    <t>CEFALAQUE-250MG (CEPHALEXINE) ORALE SUSP. 60ML</t>
  </si>
  <si>
    <t>Cefalaque 250 Suspension</t>
  </si>
  <si>
    <t>Cephalexin 250 mg per 5 mL</t>
  </si>
  <si>
    <t>Respiratory tract infections, otitis media, skin/soft tissue, bone/joint, genito-urinary, dental</t>
  </si>
  <si>
    <t>Children: 25–50 mg/kg/day in divided doses</t>
  </si>
  <si>
    <t>CEFALAQUE-125MG (CEPHALEXINE) ORALE SUSP. 60ML</t>
  </si>
  <si>
    <t>Cefalaque 125 Suspension</t>
  </si>
  <si>
    <t>Cephalexin 125 mg per 5 mL</t>
  </si>
  <si>
    <t>CAR 4.5G (PIPERA.+TAZOBAC.) INJ.B/1 FLC</t>
  </si>
  <si>
    <t>Car 4.5</t>
  </si>
  <si>
    <t>Piperacillin 4 g + Tazobactam 500 mg</t>
  </si>
  <si>
    <t>Severe pneumonia, complicated UTIs, complicated intra-abdominal infections, complicated skin/soft tissue (including diabetic foot), febrile neutropenia</t>
  </si>
  <si>
    <t>100 mg/kg/prize (piperacillin) three times daily</t>
  </si>
  <si>
    <t>CAR 2.25G (PIPERA.+TAZOBAC.) INJ.B/1 FLC</t>
  </si>
  <si>
    <t>Car 2.25</t>
  </si>
  <si>
    <t>Piperacillin 2 g + Tazobactam 250 mg</t>
  </si>
  <si>
    <t>IMILAST (IMIP. 500 + CILAST. 500) INJ.B/ 1 FLACON</t>
  </si>
  <si>
    <t>Imilast</t>
  </si>
  <si>
    <t>Imipenem 500 mg + Cilastatin 500 mg</t>
  </si>
  <si>
    <t>Nosocomial pneumonia, sepsis, febrile neutropenia, UTIs, gynecological, intra-abdominal, bone/joint, respiratory infections</t>
  </si>
  <si>
    <t>1–2 g in 3–4 perfusions/day (max 4g/day); Children &lt;40kg: 60 mg/kg/day in 4 perfusions</t>
  </si>
  <si>
    <t>MEROP 1000MG (MEROPENEME) INJB/1VIAL+10 ML SOLVANT</t>
  </si>
  <si>
    <t>Merop 1000</t>
  </si>
  <si>
    <t>Meropenem 1000 mg (anhydrous) + Sodium carbonate 90.2 mg</t>
  </si>
  <si>
    <t>Combi pack: 1 vial + 20 mL water</t>
  </si>
  <si>
    <t>Nosocomial pneumonia, peritonitis, necrotizing pancreatitis, CF bronchopulmonary infections, febrile neutropenia, septicemia, meningitis</t>
  </si>
  <si>
    <t>500 mg – 2 g every 8 hours (based on infection severity)</t>
  </si>
  <si>
    <t>MEROP 500MG (MEROPENEME) INJ B/1VIAL+10 ML SOLVANT</t>
  </si>
  <si>
    <t>Merop 500</t>
  </si>
  <si>
    <t>Meropenem 500 mg (anhydrous) + Sodium carbonate 45.1 mg</t>
  </si>
  <si>
    <t>Combi pack: 1 vial + diluent</t>
  </si>
  <si>
    <t>OUICEF-S 1.5MG (CEFOTAXIME+SULB) INJ B/1VIAL+EAU</t>
  </si>
  <si>
    <t>Ouicef-S</t>
  </si>
  <si>
    <t>Cefotaxime 1 g + Sulbactam 500 mg</t>
  </si>
  <si>
    <t>Lower respiratory tract infections (pneumonia), genitourinary infections</t>
  </si>
  <si>
    <t>1/0.5 g to 2/1 g (cefotaxime/sulbactam) every 8–12 hours</t>
  </si>
  <si>
    <t>OUICEF 1000MG (CEFOTAXIME) INJ. B/1 VIAL + EAU</t>
  </si>
  <si>
    <t>Ouicef</t>
  </si>
  <si>
    <t>Cefotaxime 1000 mg</t>
  </si>
  <si>
    <t>1–2 g every 8–12 hours</t>
  </si>
  <si>
    <t>INSTACEF 1G (CEFEPIME) INJ. B/1 VIAL + EAU 10ML</t>
  </si>
  <si>
    <t>Instacef</t>
  </si>
  <si>
    <t>Cefepime 1000 mg</t>
  </si>
  <si>
    <t>Nosocomial pneumonia, MDR infections, febrile neutropenia, UTIs (including pyelonephritis), skin/soft tissue, intra-abdominal</t>
  </si>
  <si>
    <t>2–6 g daily, in 2–3 divided doses (based on infection type)</t>
  </si>
  <si>
    <t>TRIXON-T-1125 MG (CEFTRI.+TAZO.) INJ. B/1 VIAL</t>
  </si>
  <si>
    <t>Trixon</t>
  </si>
  <si>
    <t>Ceftriaxone 1000 mg + Tazobactam 125 mg</t>
  </si>
  <si>
    <t>Respiratory, otitis, skin, UTIs, pelvic inflammatory disease, meningitis, gonorrhea, surgical prophylaxis, septicemia, bone/joint, intra-abdominal</t>
  </si>
  <si>
    <t>1–6 vials once/twice daily; Children: 50–100 mg ceftriaxone/kg daily</t>
  </si>
  <si>
    <t>TRIXON-T-562.5 MG (CEFTRI.+TAZO) INJ. B/1 VIAL</t>
  </si>
  <si>
    <t>Ceftriaxone 500 mg + Tazobactam 62.5 mg</t>
  </si>
  <si>
    <t>Combi pack: 1 vial + 5 mL sterile water</t>
  </si>
  <si>
    <t>TRIXON-S-1500 MG (CEFTRI.+SULBAC) INJ. B/1 VIAL</t>
  </si>
  <si>
    <t>Ceftriaxone 1000 mg + Sulbactam 500 mg</t>
  </si>
  <si>
    <t>Lower respiratory, otitis, skin, UTIs, pelvic inflammatory disease, meningitis, STIs, surgical prophylaxis</t>
  </si>
  <si>
    <t>TRIXON-S-750MG (CEFTRI.+SULBAC.) INJ.B/1 VIAL</t>
  </si>
  <si>
    <t>Ceftriaxone 500 mg + Sulbactam 250 mg</t>
  </si>
  <si>
    <t>TRIXON-1G (CEFTRIAXONE) INJ. B/1 VIAL+EAU DIST.</t>
  </si>
  <si>
    <t>Ceftriaxone 1000 mg</t>
  </si>
  <si>
    <t>Bacterial meningitis, pneumonia, otitis, intra-abdominal, UTIs, bone/joint, skin/soft tissue, gonorrhea, syphilis</t>
  </si>
  <si>
    <t>Adults: 1–2g once daily (up to 4g); Children (15d-12y): 50–80 mg/kg once daily (up to 100 mg/kg)</t>
  </si>
  <si>
    <t>FALSIQUE(SUFADOXIME+PYRIME) 500MG+25MG PL/3CES</t>
  </si>
  <si>
    <t>Falsique - Tablets</t>
  </si>
  <si>
    <t>Sulfadoxine 500 mg + Pyrimethamine 25 mg</t>
  </si>
  <si>
    <t>Acute uncomplicated P. falciparum malaria (chloroquine-resistant); intermittent treatment in pregnant women</t>
  </si>
  <si>
    <t>LUTHER JUNIOR DISPERSIBLE B/6 CES</t>
  </si>
  <si>
    <t>Luther DP Dispersible</t>
  </si>
  <si>
    <t>Artemether 80 mg + Lumefantrine 480 mg</t>
  </si>
  <si>
    <t>Weight‑based BID for 3 days:5–15 kg: 1 tab; 15–25 kg: 2 tabs; 25–35 kg: 3 tabs; &gt;35 kg: 4 tabs.(D1: H0 + 8h; D2–D3: morning + evening)</t>
  </si>
  <si>
    <t>LUTHER FORTE (ARTEME.+LUMEFA.) B/12 CES SIMPLE</t>
  </si>
  <si>
    <t>Luther Forte Dispersible</t>
  </si>
  <si>
    <t>Artemether 40 mg + Lumefantrine 240 mg</t>
  </si>
  <si>
    <t>Weight‑based BID for 3 days:5–15 kg: ½ tab; 15–25 kg: 1 tab; 25–35 kg: 1½ tabs; &gt;35 kg: 2 tabs.(D1: H0 + 8–12h; D2–D3: morning + evening)</t>
  </si>
  <si>
    <t>LUTHER 20+120 MG (ARTE.+LUME.) B/ 24 CES SIMPLE</t>
  </si>
  <si>
    <t>Luther Junior Dispersible</t>
  </si>
  <si>
    <t>Artemether 20 mg + Lumefantrine 120 mg</t>
  </si>
  <si>
    <t>Weight‑based BID for 3 days:5–15 kg: 1 tab; 15–25 kg: 2 tabs; 25–35 kg: 3 tabs; &gt;35 kg: 4 tabs.(D1: H0 + 8–12h; D2–D3: morning + evening)</t>
  </si>
  <si>
    <t>LUTHER (ARTE.+LUME.) SUSPENSION FL/ 60ML</t>
  </si>
  <si>
    <t>Luther Suspension</t>
  </si>
  <si>
    <t>Oral Suspension (Powder for Reconstitution)</t>
  </si>
  <si>
    <t>Artemether 180 mg + Lumefantrine 1080 mg per 60 mL bottle</t>
  </si>
  <si>
    <t>Acute type of malaria (paediatric use)</t>
  </si>
  <si>
    <t>Weight‑based daily dose for 3 days:5 kg: 7 mL; 7.5 kg: 10 mL; 10 kg: 14 mL; 15 kg: 20 mL.Reconstitute with water to 60 mL; shake well; use within 2 weeks. Take with milk/fatty food.</t>
  </si>
  <si>
    <t>LUTHER 80MG (ARTEMETHER) INJ. B/6 AMP</t>
  </si>
  <si>
    <t>Luther 80/480MG Injectable</t>
  </si>
  <si>
    <t>Injectable (IM)</t>
  </si>
  <si>
    <t>Artemether 80 mg per ampoule (oil‑based)</t>
  </si>
  <si>
    <t>Box of 6 ampoules</t>
  </si>
  <si>
    <t>IM</t>
  </si>
  <si>
    <t>Day 1 (initial dose): 3.2 mg/kg (BID).Day 2–5 (maintenance): 1.6 mg/kg once daily.</t>
  </si>
  <si>
    <t>LUTHER 40MG (ARTEMETHER) INJ. B/6 AMP</t>
  </si>
  <si>
    <t>Luther 40/240MG Injectable</t>
  </si>
  <si>
    <t>Artemether 40 mg per ampoule (oil‑based)</t>
  </si>
  <si>
    <t>LUTHER 20MG (ARTEMETHER) INJ. B/6 AMP</t>
  </si>
  <si>
    <t>Luther 20/120MG Injectable</t>
  </si>
  <si>
    <t>Artemether 20 mg per ampoule (oil‑based)</t>
  </si>
  <si>
    <t>UNIDERM CREME 15GR</t>
  </si>
  <si>
    <t>GERMITTOL 100ML LIQUID</t>
  </si>
  <si>
    <t>FOREDERM ( BETAMETHASONE DIPROPIONATE) CREME 30G</t>
  </si>
  <si>
    <t>CEFINIQUE 400MG (CEFIXIME) DISP. B/10 CES</t>
  </si>
  <si>
    <t>Cefixime 400 mg</t>
  </si>
  <si>
    <t>CEFINIQUE 50MG/5ML (CEFIXIME) SUSP. ORALE 100ML</t>
  </si>
  <si>
    <t>Cefixime 50 mg per 5 mL</t>
  </si>
  <si>
    <t>CONVEX PRESERVATIF LISSE AVEC AROMATISEES B/3PCS</t>
  </si>
  <si>
    <t>CONVEX PRESERVATIF POINTILLEES ET AROMATISES 3 PCS</t>
  </si>
  <si>
    <t>CONVEX PRESERVATIF POUR PROLONGER LE PLAISIR 3PCS</t>
  </si>
  <si>
    <t>CONVEX PRESERVATIF ULTRA MINE B/3PCS</t>
  </si>
  <si>
    <t>LYCOTONE (LYCOPENE+MULTIVI+MINER) SUSP.FL/ 100ML</t>
  </si>
  <si>
    <t>IPRO - 200 (IBUPROFENE) MG BT/10X10CES</t>
  </si>
  <si>
    <t>Ipro-200</t>
  </si>
  <si>
    <t>Ibuprofen 200 mg</t>
  </si>
  <si>
    <t>FG00001</t>
  </si>
  <si>
    <t>*****CLIFA-600MG UPS B/20CES</t>
  </si>
  <si>
    <t>FG00003</t>
  </si>
  <si>
    <t>3FORT (VIT-B1.B6.B12) SIROP 100ML</t>
  </si>
  <si>
    <t>FG00004</t>
  </si>
  <si>
    <t>3FORT @@ Z @@@ B/30CES</t>
  </si>
  <si>
    <t>FG00005</t>
  </si>
  <si>
    <t>3FORT B/30CES</t>
  </si>
  <si>
    <t>FG00006</t>
  </si>
  <si>
    <t>3FORT-Z ( VIT B1+B6+B12) ZINC SIROP 100ML</t>
  </si>
  <si>
    <t>FG00007</t>
  </si>
  <si>
    <t>3VIT FORT 10AMP</t>
  </si>
  <si>
    <t>FG00009</t>
  </si>
  <si>
    <t>A-DEM CREME 15MG</t>
  </si>
  <si>
    <t>FG00010</t>
  </si>
  <si>
    <t>A-DEM CREME 30MG</t>
  </si>
  <si>
    <t>FG00011</t>
  </si>
  <si>
    <t>A-DEM FEMINA</t>
  </si>
  <si>
    <t>FG00012</t>
  </si>
  <si>
    <t>A-DEM POUDRE 100MG</t>
  </si>
  <si>
    <t>FG00013</t>
  </si>
  <si>
    <t>A-DEM SOAP 75MG</t>
  </si>
  <si>
    <t>FG00015</t>
  </si>
  <si>
    <t>ABAISSE LANGUE</t>
  </si>
  <si>
    <t>FG00016</t>
  </si>
  <si>
    <t>ABAISSE LANGUE EN BOIS B/100PCS</t>
  </si>
  <si>
    <t>FG00017</t>
  </si>
  <si>
    <t>ABC SKY 120 INJ</t>
  </si>
  <si>
    <t>ABC</t>
  </si>
  <si>
    <t>FG00018</t>
  </si>
  <si>
    <t>ABC SKY 150 INJ</t>
  </si>
  <si>
    <t>FG00019</t>
  </si>
  <si>
    <t>ABC SKY 180 INJ</t>
  </si>
  <si>
    <t>FG00020</t>
  </si>
  <si>
    <t>ABC SKY 30 INJ</t>
  </si>
  <si>
    <t>FG00021</t>
  </si>
  <si>
    <t>ABC SKY 60 INJ</t>
  </si>
  <si>
    <t>FG00022</t>
  </si>
  <si>
    <t>AC MOL INFUSION</t>
  </si>
  <si>
    <t>FG00029</t>
  </si>
  <si>
    <t>ACEM 500MG B/10CES</t>
  </si>
  <si>
    <t>FG00032</t>
  </si>
  <si>
    <t>ACICLOVIR 200MG B/10 CES</t>
  </si>
  <si>
    <t>FG00035</t>
  </si>
  <si>
    <t>ACIDE CHLORHYDRIQUE 0.1% N 1LTR</t>
  </si>
  <si>
    <t>FG00036</t>
  </si>
  <si>
    <t>ACIDE URIQUE</t>
  </si>
  <si>
    <t>FG00037</t>
  </si>
  <si>
    <t>ACIGEL SUSP 120ML</t>
  </si>
  <si>
    <t>FG00038</t>
  </si>
  <si>
    <t>ACILOC (RANITIDINE) INJ B/5AMP</t>
  </si>
  <si>
    <t>ACILOC</t>
  </si>
  <si>
    <t>FG00039</t>
  </si>
  <si>
    <t>ACILOC 150MG B/20CES</t>
  </si>
  <si>
    <t>FG00040</t>
  </si>
  <si>
    <t>ACILOC 300MG B/20CES</t>
  </si>
  <si>
    <t>FG00043</t>
  </si>
  <si>
    <t>ACTISKENAN 10MG B/14 GELULES</t>
  </si>
  <si>
    <t>FG00046</t>
  </si>
  <si>
    <t>ADAPTATEUR VACUTAINER</t>
  </si>
  <si>
    <t>FG00047</t>
  </si>
  <si>
    <t>ADRENALINE (STEROP) 1MG/1ML B/10AMPS</t>
  </si>
  <si>
    <t>FG00052</t>
  </si>
  <si>
    <t>AFER-Z 200ML SP</t>
  </si>
  <si>
    <t>FG00053</t>
  </si>
  <si>
    <t>AIGUILLE A PG G ADUIT G.19 B100PC</t>
  </si>
  <si>
    <t>FG00066</t>
  </si>
  <si>
    <t>AIGUILLE VACUTAINER G20</t>
  </si>
  <si>
    <t>FG00070</t>
  </si>
  <si>
    <t>AKROL (DESLORATADINE) 2.5/60ML SP</t>
  </si>
  <si>
    <t>AKROL</t>
  </si>
  <si>
    <t>FG00071</t>
  </si>
  <si>
    <t>AKROL (DESLORATADINE) 5MG B/20CES</t>
  </si>
  <si>
    <t>FG00072</t>
  </si>
  <si>
    <t>ALAIZE 15ML @@ 1 SHASET</t>
  </si>
  <si>
    <t>FG00073</t>
  </si>
  <si>
    <t>ALBART (ALPHA- ARTEETHER) 75MG B/3AMP</t>
  </si>
  <si>
    <t>FG00074</t>
  </si>
  <si>
    <t>ALBE-PLUS CES B/1</t>
  </si>
  <si>
    <t>FG00075</t>
  </si>
  <si>
    <t>ALBENDAZOL (A-ZOLE) CES B/1CES</t>
  </si>
  <si>
    <t>FG00076</t>
  </si>
  <si>
    <t>ALBENTEL (ALBENDAZOLE) 400MG PL/2CES</t>
  </si>
  <si>
    <t>FG00077</t>
  </si>
  <si>
    <t>ALBENTEL 200MG 10ML SUSP</t>
  </si>
  <si>
    <t>FG00079</t>
  </si>
  <si>
    <t>ALCEF (CEFOTAXIM) 1GR. INJ B/1AMP</t>
  </si>
  <si>
    <t>FG00080</t>
  </si>
  <si>
    <t>ALCOOL A BRULER 60 ML</t>
  </si>
  <si>
    <t>ALCOOL</t>
  </si>
  <si>
    <t>FG00083</t>
  </si>
  <si>
    <t>ALCOOL BORIQUE 15 ML</t>
  </si>
  <si>
    <t>FG00084</t>
  </si>
  <si>
    <t>ALCOOL BORIQUE 2% 15ML</t>
  </si>
  <si>
    <t>FG00085</t>
  </si>
  <si>
    <t>ALCOOL BORIQUE 3.5% 15 ML</t>
  </si>
  <si>
    <t>FG00086</t>
  </si>
  <si>
    <t>ALCOOL BORIQUE 5% 15 ML</t>
  </si>
  <si>
    <t>FG00087</t>
  </si>
  <si>
    <t>ALCOOL BORIQUE3% 15 ML</t>
  </si>
  <si>
    <t>FG00088</t>
  </si>
  <si>
    <t>ALCOOL DENATURE 2.5L</t>
  </si>
  <si>
    <t>FG00089</t>
  </si>
  <si>
    <t>ALCOOL DENATURE 60ML</t>
  </si>
  <si>
    <t>FG00090</t>
  </si>
  <si>
    <t>ALCOOL DENATURE FL/1LT</t>
  </si>
  <si>
    <t>FG00091</t>
  </si>
  <si>
    <t>ALCOOL DENATURE SPREY 150ML</t>
  </si>
  <si>
    <t>FG00092</t>
  </si>
  <si>
    <t>ALCOOL DINATURE 5L</t>
  </si>
  <si>
    <t>FG00093</t>
  </si>
  <si>
    <t>ALCOOL IODE 2.5L</t>
  </si>
  <si>
    <t>FG00094</t>
  </si>
  <si>
    <t>ALCOOL IODE 60ML</t>
  </si>
  <si>
    <t>FG00095</t>
  </si>
  <si>
    <t>ALCOOL SWAB B/100</t>
  </si>
  <si>
    <t>FG00139</t>
  </si>
  <si>
    <t>AMCAN 5 (AMLODIPINE) B/30 CES</t>
  </si>
  <si>
    <t>FG00140</t>
  </si>
  <si>
    <t>AMIDOL (PARACITAMOL) B/10CES X 25PL</t>
  </si>
  <si>
    <t>AMIDOL</t>
  </si>
  <si>
    <t>FG00141</t>
  </si>
  <si>
    <t>AMIDOL C ( PARACETAMOL + VITAMINE C) 100ML SIROP</t>
  </si>
  <si>
    <t>FG00142</t>
  </si>
  <si>
    <t>AMIDOL COLD &amp; FLU B/25CES</t>
  </si>
  <si>
    <t>FG00143</t>
  </si>
  <si>
    <t>AMIDOL COLD &amp; FLU SIROP 100ML</t>
  </si>
  <si>
    <t>FG00146</t>
  </si>
  <si>
    <t>AMIGYN (TINIDAZOLE) 500MG 12CES</t>
  </si>
  <si>
    <t>FG00147</t>
  </si>
  <si>
    <t>AMIKACIN 100MG B/1AMP (LOCAL)</t>
  </si>
  <si>
    <t>AMIKACIN</t>
  </si>
  <si>
    <t>FG00148</t>
  </si>
  <si>
    <t>AMIKACIN 500MG INJ (LOCAL)</t>
  </si>
  <si>
    <t>FG00150</t>
  </si>
  <si>
    <t>AMINOPHILLENE 100MG B/10X10CES</t>
  </si>
  <si>
    <t>AMINOPHILLENE</t>
  </si>
  <si>
    <t>FG00151</t>
  </si>
  <si>
    <t>AMINOPHILLINE 150MG B/5SUPPOS</t>
  </si>
  <si>
    <t>FG00152</t>
  </si>
  <si>
    <t>AMINOPHILLINE 300MG B/6SUPPOS</t>
  </si>
  <si>
    <t>FG00153</t>
  </si>
  <si>
    <t>AMINOPHILLINE 75MG B/10SUPPO</t>
  </si>
  <si>
    <t>FG00154</t>
  </si>
  <si>
    <t>AMINOWIN LIQUID 200ML</t>
  </si>
  <si>
    <t>FG00155</t>
  </si>
  <si>
    <t>AMITONE SIROP 200ML</t>
  </si>
  <si>
    <t>FG00162</t>
  </si>
  <si>
    <t>AMLOVIE (AMLODIPINE) 5MG B/30 CAP</t>
  </si>
  <si>
    <t>AMLOVIE</t>
  </si>
  <si>
    <t>FG00163</t>
  </si>
  <si>
    <t>AMLOVIE (AMLODIPINE)10MG B/30 CAP</t>
  </si>
  <si>
    <t>FG00164</t>
  </si>
  <si>
    <t>AMLOX 10MG B/30CES</t>
  </si>
  <si>
    <t>AMLOX</t>
  </si>
  <si>
    <t>FG00165</t>
  </si>
  <si>
    <t>AMLOX 5MG B/30CES</t>
  </si>
  <si>
    <t>FG00166</t>
  </si>
  <si>
    <t>AMLOZAAR (LOSARTAN AMLODIPINE) B/30CES</t>
  </si>
  <si>
    <t>AMLOZAAR</t>
  </si>
  <si>
    <t>FG00167</t>
  </si>
  <si>
    <t>AMLOZAAR H (AMLO+LOSAR+HYDRO) B/30CES</t>
  </si>
  <si>
    <t>FG00792</t>
  </si>
  <si>
    <t>CLOZIDERM (CLOTRIMAZOL) POUDRE 50MG</t>
  </si>
  <si>
    <t>FG01044</t>
  </si>
  <si>
    <t>DIALYZER - DORAB-14P</t>
  </si>
  <si>
    <t>FG01296</t>
  </si>
  <si>
    <t>EVONY ADULT DIAPER (LARGE) 8 X 6</t>
  </si>
  <si>
    <t>FG01869</t>
  </si>
  <si>
    <t>LYATER ENF (ARTEMETHER+LUMEFANTRINE) B/6 CES</t>
  </si>
  <si>
    <t>FG02008</t>
  </si>
  <si>
    <t>METHANOL 1 LITER</t>
  </si>
  <si>
    <t>FG02541</t>
  </si>
  <si>
    <t>PLASTICINE 1PCS</t>
  </si>
  <si>
    <t>FG02581</t>
  </si>
  <si>
    <t>POUDRE 22 DEGREE 100MG PM</t>
  </si>
  <si>
    <t>FG02582</t>
  </si>
  <si>
    <t>POUDRE 22 DEGREE 300MG GM</t>
  </si>
  <si>
    <t>FG02592</t>
  </si>
  <si>
    <t>PREDNABENE (PREDNISOLONE) 60ML SIROP</t>
  </si>
  <si>
    <t>FG03113</t>
  </si>
  <si>
    <t>STRYKER 1588 AIM LAPAROSCOPY SYSTEM</t>
  </si>
  <si>
    <t>FG03604</t>
  </si>
  <si>
    <t>ACTM 20 MG /120 MG B/24 CES</t>
  </si>
  <si>
    <t>FG03605</t>
  </si>
  <si>
    <t>ACTM 20 MG/120 MG B/18 CES</t>
  </si>
  <si>
    <t>FG03606</t>
  </si>
  <si>
    <t>ACTM 20 MG/120 MG DISP. B/ 6 CES</t>
  </si>
  <si>
    <t>FG03607</t>
  </si>
  <si>
    <t>ACTM 80 MG/480 MG ADULT B/ 6 CES</t>
  </si>
  <si>
    <t>FG03608</t>
  </si>
  <si>
    <t>ADENOZ 6MG (ADENOSIN) INJ B/1AMP</t>
  </si>
  <si>
    <t>FG03609</t>
  </si>
  <si>
    <t>ALDOMET 250MG PL/10CES***</t>
  </si>
  <si>
    <t>FG03612</t>
  </si>
  <si>
    <t>AMOXYCILLINE 1GR. INJ. 1 VIAL</t>
  </si>
  <si>
    <t>FG03613</t>
  </si>
  <si>
    <t>AMOXYCILLINE 250MG B/10X10CAPS</t>
  </si>
  <si>
    <t>FG03614</t>
  </si>
  <si>
    <t>AMOXYCILLINE 500MG B/10X10CAPS</t>
  </si>
  <si>
    <t>FG03615</t>
  </si>
  <si>
    <t>ARH-120MG (ARTESUNATE) INJECTABLE B/ 1 KIT</t>
  </si>
  <si>
    <t>ARH</t>
  </si>
  <si>
    <t>FG03616</t>
  </si>
  <si>
    <t>ARH-150MG (ARTESUNATE) INJECTABLE B/ 1 KIT</t>
  </si>
  <si>
    <t>FG03617</t>
  </si>
  <si>
    <t>ARH-180MG (ARTESUNATE) INJECTABLE B/ 1 KIT</t>
  </si>
  <si>
    <t>FG03618</t>
  </si>
  <si>
    <t>ARH-210MG (ARTESUNATE) INJECTABLE B/ 1 KIT</t>
  </si>
  <si>
    <t>FG03619</t>
  </si>
  <si>
    <t>ARH-30MG (ARTESUNATE) INJECTABLE B/ 1 KIT</t>
  </si>
  <si>
    <t>FG03620</t>
  </si>
  <si>
    <t>ARIUM 50MG/5ML ( ATRACURIUM) INJ B/1 AMP</t>
  </si>
  <si>
    <t>FG03621</t>
  </si>
  <si>
    <t>ARTEMETHER 80MG/ML INJ B/6AMP</t>
  </si>
  <si>
    <t>FG03622</t>
  </si>
  <si>
    <t>ATROPINE 0.5MG/ML INJ. B/10 AMP</t>
  </si>
  <si>
    <t>FG03623</t>
  </si>
  <si>
    <t>BONNE NUIT (SILDENAFIL 100MG) B/7 ORAL JELLY</t>
  </si>
  <si>
    <t>FG03626</t>
  </si>
  <si>
    <t>BUSCOPAN 10MG PLS/10CES (UNISPA)</t>
  </si>
  <si>
    <t>FG03627</t>
  </si>
  <si>
    <t>BUSCOPAN 20MG/2ML INJ. B/10AMP</t>
  </si>
  <si>
    <t>FG03628</t>
  </si>
  <si>
    <t>CALCIUM GLUCONATE 10ML INJ. 10AMP</t>
  </si>
  <si>
    <t>FG03633</t>
  </si>
  <si>
    <t>CEFINIQUE 100MG/5ML (CEFIXIME) SUSP. ORALE 100ML</t>
  </si>
  <si>
    <t>FG03634</t>
  </si>
  <si>
    <t>CEFIXIME 200MG B/10CES</t>
  </si>
  <si>
    <t>FG03635</t>
  </si>
  <si>
    <t>CEFOTAXIM + EAU DISTILLE INJ. B/1 VIAL</t>
  </si>
  <si>
    <t>CEFOTAXIM</t>
  </si>
  <si>
    <t>FG03636</t>
  </si>
  <si>
    <t>CEFOTAXIM 1GR. INJ. 1 VIAL</t>
  </si>
  <si>
    <t>FG03637</t>
  </si>
  <si>
    <t>CEFTRIAXONE + EAU DISTILE INJ. B/1 VIAL</t>
  </si>
  <si>
    <t>CEFTRIAXONE</t>
  </si>
  <si>
    <t>FG03638</t>
  </si>
  <si>
    <t>CEFTRIAXONE 1GR INJ. 1 VIAL</t>
  </si>
  <si>
    <t>FG03639</t>
  </si>
  <si>
    <t>CEFTRIAXONE 1GR INJ.B/1 VIAL (AVEC EMBALAGE)</t>
  </si>
  <si>
    <t>FG03640</t>
  </si>
  <si>
    <t>CELOVAN 1000MG (VANCOMYCIN) INJ. B/1 VIAL</t>
  </si>
  <si>
    <t>FG03641</t>
  </si>
  <si>
    <t>CENTRIFUGEUSE LABOTATOIRE-(6 X 15ML,12X10ML,7ML,1)</t>
  </si>
  <si>
    <t>FG03642</t>
  </si>
  <si>
    <t>CHLOPROMAZINE 50MG/2ML INJ. B/10AMP</t>
  </si>
  <si>
    <t>FG03643</t>
  </si>
  <si>
    <t>CHLORA POMMADE OPT. 4G</t>
  </si>
  <si>
    <t>FG03644</t>
  </si>
  <si>
    <t>CHLORAMPHENICOL 1GR. INJ. 1 VIAL</t>
  </si>
  <si>
    <t>FG03645</t>
  </si>
  <si>
    <t>CHLORAPHENERAMINE 4MG B/10X10CES</t>
  </si>
  <si>
    <t>FG03646</t>
  </si>
  <si>
    <t>CHYMOTRYPSINE 5000UI INJ.B/5AMP(CHYMAR)</t>
  </si>
  <si>
    <t>FG03647</t>
  </si>
  <si>
    <t>CIMETEDINE 200MG/2ML INJ. B/10AMP</t>
  </si>
  <si>
    <t>FG03648</t>
  </si>
  <si>
    <t>CIMETEDINE 400MG B/10X10CES</t>
  </si>
  <si>
    <t>FG03649</t>
  </si>
  <si>
    <t>CIPROFLOXACINE 500MG PLS/10CES***</t>
  </si>
  <si>
    <t>FG03651</t>
  </si>
  <si>
    <t>CLOTRISAN (CLOTRIMAZOLE) CREME T/30G</t>
  </si>
  <si>
    <t>FG03652</t>
  </si>
  <si>
    <t>CLOXACILINE 1G INJ. B/1 VIAL</t>
  </si>
  <si>
    <t>FG03653</t>
  </si>
  <si>
    <t>CLOXACILINE 500MG PLS/10 CAPS***</t>
  </si>
  <si>
    <t>FG03654</t>
  </si>
  <si>
    <t>CLOXACILLINE 250MG POUDRE POUR SUSP. 60ML</t>
  </si>
  <si>
    <t>FG03655</t>
  </si>
  <si>
    <t>CORTIDEX (DEXAMETHASONE) 0.5MG B/ 10X10CES</t>
  </si>
  <si>
    <t>FG03656</t>
  </si>
  <si>
    <t>CYPROPLEX PLUS (MULTIVITAMIN) B/30 CAPLETS</t>
  </si>
  <si>
    <t>FG03657</t>
  </si>
  <si>
    <t>CYPROPLEX-4 (CYPROHEPRADINE) B/20CES</t>
  </si>
  <si>
    <t>FG03658</t>
  </si>
  <si>
    <t>DAONIL (GLIBEN CLAMIDE) B/10X10CES (DAOMIDE)</t>
  </si>
  <si>
    <t>FG03659</t>
  </si>
  <si>
    <t>DOPAN 200MG/5ML (DOPAMIN) INJ. B/ 1AMP</t>
  </si>
  <si>
    <t>FG03660</t>
  </si>
  <si>
    <t>ENOXEL-60MG (ENOXAPRIN) B/1 SERINGUE PRÉREMPLIE</t>
  </si>
  <si>
    <t>FG03661</t>
  </si>
  <si>
    <t>FLAMINGO CERVICAL COLLAR HARD (EXTRA LARGE)</t>
  </si>
  <si>
    <t>FLAMINGO</t>
  </si>
  <si>
    <t>FG03662</t>
  </si>
  <si>
    <t>FLAMINGO CERVICAL COLLAR HARD (LARGE)</t>
  </si>
  <si>
    <t>FG03663</t>
  </si>
  <si>
    <t>FLAMINGO CERVICAL COLLAR HARD (MEDIUM)</t>
  </si>
  <si>
    <t>FG03664</t>
  </si>
  <si>
    <t>FLAMINGO CERVICAL COLLAR HARD (SMALL)</t>
  </si>
  <si>
    <t>FG03665</t>
  </si>
  <si>
    <t>FLAMINGO CHEST GUARD (EXTRA LARGE)</t>
  </si>
  <si>
    <t>FG03666</t>
  </si>
  <si>
    <t>FLAMINGO CHEST GUARD (LARGE)</t>
  </si>
  <si>
    <t>FG03667</t>
  </si>
  <si>
    <t>FLAMINGO CHEST GUARD (SMALL)</t>
  </si>
  <si>
    <t>FG03668</t>
  </si>
  <si>
    <t>FLAMINGO CLAVICAL BRACE (EXTRA LARGE)</t>
  </si>
  <si>
    <t>FG03669</t>
  </si>
  <si>
    <t>FLAMINGO CLAVICAL BRACE (MEDIUM)</t>
  </si>
  <si>
    <t>FG03670</t>
  </si>
  <si>
    <t>FLAMINGO HEEL CUSHION (MALE)</t>
  </si>
  <si>
    <t>FG03671</t>
  </si>
  <si>
    <t>FLAMINGO STERNAL SPLINT BELT (DOUBLE EXTRA LARGE)</t>
  </si>
  <si>
    <t>FG03672</t>
  </si>
  <si>
    <t>FLAMINGO STERNAL SPLINT BELT (EXTRA LARGE)</t>
  </si>
  <si>
    <t>FG03673</t>
  </si>
  <si>
    <t>FLAMINGO STOCKINGS ABOVE KNEE (EXTRA LARGE)</t>
  </si>
  <si>
    <t>FG03674</t>
  </si>
  <si>
    <t>FLAMINGO ABDOMINAL BELT (EXTRA LARGE) (20 CM)</t>
  </si>
  <si>
    <t>FG03675</t>
  </si>
  <si>
    <t>FLAMINGO ABDOMINAL BELT (LARGE) (20 CM)</t>
  </si>
  <si>
    <t>FG03676</t>
  </si>
  <si>
    <t>FLAMINGO ABDOMINAL BELT (MEDIUM) (20 CM)</t>
  </si>
  <si>
    <t>FG03677</t>
  </si>
  <si>
    <t>FLAMINGO ABDOMINAL BELT (DOUBLE EX LARGE) (20 CM)</t>
  </si>
  <si>
    <t>FG03678</t>
  </si>
  <si>
    <t>FLAMINGO ABDOMINAL BELT 14CM (EXTRA LARGE)</t>
  </si>
  <si>
    <t>FG03679</t>
  </si>
  <si>
    <t>FLAMINGO ABDOMINAL BELT 14CM (LARGE)</t>
  </si>
  <si>
    <t>FG03680</t>
  </si>
  <si>
    <t>FLAMINGO ABDOMINAL BELT 14CM (SMALL)</t>
  </si>
  <si>
    <t>FG03681</t>
  </si>
  <si>
    <t>FLAMINGO ABDOMINAL BELT(DOUBLE EXTRA LARGE) (20 CM</t>
  </si>
  <si>
    <t>FG03682</t>
  </si>
  <si>
    <t>FLAMINGO ANKLE BINDER (EXTRA LARGE)</t>
  </si>
  <si>
    <t>FG03683</t>
  </si>
  <si>
    <t>FLAMINGO ANKLE BINDER (SMALL)</t>
  </si>
  <si>
    <t>FG03684</t>
  </si>
  <si>
    <t>FLAMINGO ANKLE BINDER (XXL)</t>
  </si>
  <si>
    <t>FG03685</t>
  </si>
  <si>
    <t>FLAMINGO ANKLE BRACE (LARGE)</t>
  </si>
  <si>
    <t>FG03686</t>
  </si>
  <si>
    <t>FLAMINGO ANKLE BRACE (SMALL)</t>
  </si>
  <si>
    <t>FG03687</t>
  </si>
  <si>
    <t>FLAMINGO ANKLE GRIP (EXTRA LARGE)</t>
  </si>
  <si>
    <t>FG03688</t>
  </si>
  <si>
    <t>FLAMINGO ANKLE GRIP (SMALL)</t>
  </si>
  <si>
    <t>FG03689</t>
  </si>
  <si>
    <t>FLAMINGO ANKLE GRIP (XXL)</t>
  </si>
  <si>
    <t>FG03690</t>
  </si>
  <si>
    <t>FLAMINGO GEL KNEE CUSION (EXTRA LARGE)</t>
  </si>
  <si>
    <t>FG03691</t>
  </si>
  <si>
    <t>FLAMINGO GEL KNEE CUSION (LARGE)</t>
  </si>
  <si>
    <t>FG03692</t>
  </si>
  <si>
    <t>FLAMINGO GEL KNEE CUSION (SMALL)</t>
  </si>
  <si>
    <t>FG03693</t>
  </si>
  <si>
    <t>FLAMINGO GEL PATELLA KNEE CAP (EXTRA LARGE)</t>
  </si>
  <si>
    <t>FG03694</t>
  </si>
  <si>
    <t>FLAMINGO GEL PATELLA KNEE CAP (LARGE)</t>
  </si>
  <si>
    <t>FG03695</t>
  </si>
  <si>
    <t>FLAMINGO GEL PATELLA KNEE CAP (MEDIUM)</t>
  </si>
  <si>
    <t>FG03696</t>
  </si>
  <si>
    <t>FLAMINGO GEL PATELLA KNEE CAP (SMALL)</t>
  </si>
  <si>
    <t>FG03697</t>
  </si>
  <si>
    <t>FLAMINGO HEAT BELT (LARGE)</t>
  </si>
  <si>
    <t>FG03698</t>
  </si>
  <si>
    <t>FLAMINGO HEAT BELT (MINI)</t>
  </si>
  <si>
    <t>FG03699</t>
  </si>
  <si>
    <t>FLAMINGO HEAT BELT (REGULAR)</t>
  </si>
  <si>
    <t>FG03700</t>
  </si>
  <si>
    <t>FLAMINGO HEATING BELT PREMIUM (LARGE)</t>
  </si>
  <si>
    <t>FG03701</t>
  </si>
  <si>
    <t>FLAMINGO HEIGHT ADJUSTABLE HARD COLLAR (M)</t>
  </si>
  <si>
    <t>FG03702</t>
  </si>
  <si>
    <t>FLAMINGO HEIGHT ADJUSTABLE HARD COLLAR (XL)</t>
  </si>
  <si>
    <t>FG03703</t>
  </si>
  <si>
    <t>FLAMINGO HERNIA BELT (LARGE)</t>
  </si>
  <si>
    <t>FG03704</t>
  </si>
  <si>
    <t>FLAMINGO HERNIA BELT (MEDIUM)</t>
  </si>
  <si>
    <t>FG03705</t>
  </si>
  <si>
    <t>FLAMINGO HERNIA BELT (SMALL)</t>
  </si>
  <si>
    <t>FG03706</t>
  </si>
  <si>
    <t>FLAMINGO HINGED KNEE CAP (EXTRA LARGE)</t>
  </si>
  <si>
    <t>FG03707</t>
  </si>
  <si>
    <t>FLAMINGO HINGED KNEE CAP (MEDIUM)</t>
  </si>
  <si>
    <t>FG03708</t>
  </si>
  <si>
    <t>FLAMINGO HYPER EXTENSION BRACE</t>
  </si>
  <si>
    <t>FG03709</t>
  </si>
  <si>
    <t>FLAMINGO KNEE BRACE LIGHT (EXTRA LARGE)</t>
  </si>
  <si>
    <t>FG03710</t>
  </si>
  <si>
    <t>FLAMINGO KNEE BRACE LIGHT (MEDIUM)</t>
  </si>
  <si>
    <t>FG03711</t>
  </si>
  <si>
    <t>FLAMINGO KNEE BRACE LIGHT (XXL)</t>
  </si>
  <si>
    <t>FG03712</t>
  </si>
  <si>
    <t>FLAMINGO KNEE BRACE LONG (EXTRA LARGE)</t>
  </si>
  <si>
    <t>FG03713</t>
  </si>
  <si>
    <t>FLAMINGO KNEE BRACE LONG (SMALL)</t>
  </si>
  <si>
    <t>FG03714</t>
  </si>
  <si>
    <t>FLAMINGO KNEE BRACE R.O.M</t>
  </si>
  <si>
    <t>FG03715</t>
  </si>
  <si>
    <t>FLAMINGO KNEE BRACE SHORT (EXTRA LARGE)</t>
  </si>
  <si>
    <t>FG03716</t>
  </si>
  <si>
    <t>FLAMINGO KNEE BRACE SHORT (MEDIUM)</t>
  </si>
  <si>
    <t>FG03717</t>
  </si>
  <si>
    <t>FLAMINGO KNEE BRACE SHORT (SMALL)</t>
  </si>
  <si>
    <t>FG03718</t>
  </si>
  <si>
    <t>FLAMINGO KNEE BRACE SHORT (XXL)</t>
  </si>
  <si>
    <t>FG03719</t>
  </si>
  <si>
    <t>FLAMINGO KNEE CAP (EXTRA LARGE)</t>
  </si>
  <si>
    <t>FG03720</t>
  </si>
  <si>
    <t>FLAMINGO KNEE CAP (LARGE)</t>
  </si>
  <si>
    <t>FG03721</t>
  </si>
  <si>
    <t>FLAMINGO KNEE CAP (SMALL)</t>
  </si>
  <si>
    <t>FG03722</t>
  </si>
  <si>
    <t>FLAMINGO KNEE CAP (XXL)</t>
  </si>
  <si>
    <t>FG03723</t>
  </si>
  <si>
    <t>FLAMINGO KNEE CAP PREMIUM (EXTRA LARGE)</t>
  </si>
  <si>
    <t>FG03724</t>
  </si>
  <si>
    <t>FLAMINGO KNEE CAP PREMIUM (MEDIUM)</t>
  </si>
  <si>
    <t>FG03725</t>
  </si>
  <si>
    <t>FLAMINGO KNEE IMMOBILIZER (DOUBLE EXTRA LARGE)</t>
  </si>
  <si>
    <t>FG03726</t>
  </si>
  <si>
    <t>FLAMINGO KNEE IMMOBILIZER (LARGE)</t>
  </si>
  <si>
    <t>FG03727</t>
  </si>
  <si>
    <t>FLAMINGO KNEE IMMOBILIZER (MEDIUM)</t>
  </si>
  <si>
    <t>FG03728</t>
  </si>
  <si>
    <t>FLAMINGO KNEE IMMOBILIZER (SMALL)</t>
  </si>
  <si>
    <t>FG03729</t>
  </si>
  <si>
    <t>FLAMINGO KNEE STABILISER (EXTRA LARGE)</t>
  </si>
  <si>
    <t>FG03730</t>
  </si>
  <si>
    <t>FLAMINGO KNEE STABILISER (SMALL)</t>
  </si>
  <si>
    <t>FG03731</t>
  </si>
  <si>
    <t>FLAMINGO KNEE STABILISER (XXL)</t>
  </si>
  <si>
    <t>FG03732</t>
  </si>
  <si>
    <t>FLAMINGO KNEE STOCKING X X X L</t>
  </si>
  <si>
    <t>FG03733</t>
  </si>
  <si>
    <t>FLAMINGO LONG LEG SPLINT-U</t>
  </si>
  <si>
    <t>FG03734</t>
  </si>
  <si>
    <t>FLAMINGO LUMBAR CORSET BELT (EXTRA LARGE)</t>
  </si>
  <si>
    <t>FG03735</t>
  </si>
  <si>
    <t>FLAMINGO LUMBAR CORSET BELT (MEDIUM)</t>
  </si>
  <si>
    <t>FG03736</t>
  </si>
  <si>
    <t>FLAMINGO LUMBAR CORSET BELT (SMALL)</t>
  </si>
  <si>
    <t>FG03737</t>
  </si>
  <si>
    <t>FLAMINGO LUMBAR CORSET BELT (XXXL)</t>
  </si>
  <si>
    <t>FG03738</t>
  </si>
  <si>
    <t>FLAMINGO LUMBAR SACRO BELT X X L</t>
  </si>
  <si>
    <t>FG03739</t>
  </si>
  <si>
    <t>FLAMINGO LUMBAR SACRO BELT (EXTRA LARGE)</t>
  </si>
  <si>
    <t>FG03740</t>
  </si>
  <si>
    <t>FLAMINGO MATERNITY BELT (EXTRA LARGE)</t>
  </si>
  <si>
    <t>FG03741</t>
  </si>
  <si>
    <t>FLAMINGO MATERNITY BELT (MEDIUM)</t>
  </si>
  <si>
    <t>FG03742</t>
  </si>
  <si>
    <t>FLAMINGO MATERNITY BELT (LARGE)</t>
  </si>
  <si>
    <t>FG03743</t>
  </si>
  <si>
    <t>FLAMINGO MEDICAL ARCH SUPPORT UNIVERSAL</t>
  </si>
  <si>
    <t>FG03744</t>
  </si>
  <si>
    <t>FLAMINGO MEMORY FOAM BACK REST ( ADJUSTABLE STAND)</t>
  </si>
  <si>
    <t>FG03745</t>
  </si>
  <si>
    <t>FLAMINGO OPEN PATELLA KNEE CAP (EXTRA LARGE)</t>
  </si>
  <si>
    <t>FG03746</t>
  </si>
  <si>
    <t>FLAMINGO OPEN PATELLA KNEE CAP (LARGE)</t>
  </si>
  <si>
    <t>FG03747</t>
  </si>
  <si>
    <t>FLAMINGO OPEN PATELLA KNEE CAP (SMALL)</t>
  </si>
  <si>
    <t>FG03748</t>
  </si>
  <si>
    <t>FLAMINGO OPEN PATELLA KNEE CAP (XXL)</t>
  </si>
  <si>
    <t>FG03749</t>
  </si>
  <si>
    <t>FLAMINGO PALM BRACE ( EXTRA LARGE)</t>
  </si>
  <si>
    <t>FG03750</t>
  </si>
  <si>
    <t>FLAMINGO PALM BRACE (LARGE)</t>
  </si>
  <si>
    <t>FG03751</t>
  </si>
  <si>
    <t>FLAMINGO PALM BRACE (MEDIUM)</t>
  </si>
  <si>
    <t>FG03752</t>
  </si>
  <si>
    <t>FLAMINGO PALM BRACE (SMALL)</t>
  </si>
  <si>
    <t>FG03753</t>
  </si>
  <si>
    <t>FLAMINGO PEDIATRIC CLAVICLE BRACE (LARGE)</t>
  </si>
  <si>
    <t>FG03754</t>
  </si>
  <si>
    <t>FLAMINGO PEDIATRIC CLAVICLE BRACE (MEDIUM)</t>
  </si>
  <si>
    <t>FG03755</t>
  </si>
  <si>
    <t>FLAMINGO PELVIC BINDER (LARGE)</t>
  </si>
  <si>
    <t>FG03756</t>
  </si>
  <si>
    <t>FLAMINGO PELVIC BINDER (MEDIUM)</t>
  </si>
  <si>
    <t>FG03757</t>
  </si>
  <si>
    <t>FLAMINGO PELVIC BINDER (SMALL)</t>
  </si>
  <si>
    <t>FG03758</t>
  </si>
  <si>
    <t>FLAMINGO PELVIC TRACTION BELT (LARGE)</t>
  </si>
  <si>
    <t>FG03759</t>
  </si>
  <si>
    <t>FLAMINGO PELVIC TRACTION BELT (MEDIUM)</t>
  </si>
  <si>
    <t>FG03760</t>
  </si>
  <si>
    <t>FLAMINGO PELVIC TRACTION KIT (MEDIUM)</t>
  </si>
  <si>
    <t>FG03761</t>
  </si>
  <si>
    <t>FLAMINGO PELVIC TRACTION KIT (SMALL)</t>
  </si>
  <si>
    <t>FG03762</t>
  </si>
  <si>
    <t>FLAMINGO PILE CUSHION - U</t>
  </si>
  <si>
    <t>FG03763</t>
  </si>
  <si>
    <t>FLAMINGO PREMIUM ORTHOPA HEAT PAD (EXTRA LARGE)</t>
  </si>
  <si>
    <t>FG03764</t>
  </si>
  <si>
    <t>FLAMINGO PREMIUM ORTHOPAEDIC HEAT PAD (JUMBO)</t>
  </si>
  <si>
    <t>FG03765</t>
  </si>
  <si>
    <t>FLAMINGO PREMIUM ORTHOPAEDIC HEAT PAD (LARGE)</t>
  </si>
  <si>
    <t>FG03766</t>
  </si>
  <si>
    <t>FLAMINGO PREMIUM ORTHOPAEDIC HEAT PAD (REGULAR)</t>
  </si>
  <si>
    <t>FG03767</t>
  </si>
  <si>
    <t>FLAMINGO RIB BELT (EXTRA LARGE)</t>
  </si>
  <si>
    <t>FG03768</t>
  </si>
  <si>
    <t>FLAMINGO RIB BELT (SMALL)</t>
  </si>
  <si>
    <t>FG03769</t>
  </si>
  <si>
    <t>FLAMINGO RM SLING PEDIATRIC (SMALL)</t>
  </si>
  <si>
    <t>FG03770</t>
  </si>
  <si>
    <t>FLAMINGO SACRO LUMBAR PREMIUM (EXTRA LARGE) BELT</t>
  </si>
  <si>
    <t>FG03771</t>
  </si>
  <si>
    <t>FLAMINGO SACRO LUMBAR PREMIUM (LARGE) BELT</t>
  </si>
  <si>
    <t>FG03772</t>
  </si>
  <si>
    <t>FLAMINGO SACRO LUMBAR PREMIUM (LARGE) SUPPORT</t>
  </si>
  <si>
    <t>FG03773</t>
  </si>
  <si>
    <t>FLAMINGO SACRO LUMBAR PREMIUM (MEDIUM) SUPPORT</t>
  </si>
  <si>
    <t>FG03774</t>
  </si>
  <si>
    <t>FLAMINGO SAUNA BELT</t>
  </si>
  <si>
    <t>FG03775</t>
  </si>
  <si>
    <t>FLAMINGO SCROTAL SUPPORT (MEDIUM)</t>
  </si>
  <si>
    <t>FG03776</t>
  </si>
  <si>
    <t>FLAMINGO SHORT ARM SPLINT</t>
  </si>
  <si>
    <t>FG03777</t>
  </si>
  <si>
    <t>FLAMINGO SHOULDER SUPPORT ( EXTRA LARGE)</t>
  </si>
  <si>
    <t>FG03778</t>
  </si>
  <si>
    <t>FLAMINGO SHOULDER SUPPORT (MEDIUM)</t>
  </si>
  <si>
    <t>FG03779</t>
  </si>
  <si>
    <t>FLAMINGO SHOULDER SUPPORT (SMALL)</t>
  </si>
  <si>
    <t>FG03780</t>
  </si>
  <si>
    <t>FLAMINGO SILICONE FOOT INSOLE (EXTRA LARGE)</t>
  </si>
  <si>
    <t>FG03781</t>
  </si>
  <si>
    <t>FLAMINGO SILICONE FOOT INSOLE (LARGE)</t>
  </si>
  <si>
    <t>FG03782</t>
  </si>
  <si>
    <t>FLAMINGO SILICONE FOOT INSOLE (SMALL)</t>
  </si>
  <si>
    <t>FG03783</t>
  </si>
  <si>
    <t>FLAMINGO SKIN FOOT TRACTION KIT</t>
  </si>
  <si>
    <t>FG03784</t>
  </si>
  <si>
    <t>FLAMINGO SPORT ELBOW BAND</t>
  </si>
  <si>
    <t>FG03785</t>
  </si>
  <si>
    <t>FLAMINGO SPORT WRIST BAND</t>
  </si>
  <si>
    <t>FG03786</t>
  </si>
  <si>
    <t>FLAMINGO STERNAL SPLINT BELT (LARGE)</t>
  </si>
  <si>
    <t>FG03787</t>
  </si>
  <si>
    <t>FLAMINGO STERNAL SPLINT BELT (SMALL)</t>
  </si>
  <si>
    <t>FG03788</t>
  </si>
  <si>
    <t>FLAMINGO STOCKING BELOW KNEE ( XXL)</t>
  </si>
  <si>
    <t>FG03789</t>
  </si>
  <si>
    <t>FLAMINGO STOCKING BELOW KNEE ( XXXL)</t>
  </si>
  <si>
    <t>FG03790</t>
  </si>
  <si>
    <t>FLAMINGO STOCKING BELOW KNEE (MEDIUM)</t>
  </si>
  <si>
    <t>FG03791</t>
  </si>
  <si>
    <t>FLAMINGO STOCKING BELOW KNEE (SMALL)</t>
  </si>
  <si>
    <t>FG03792</t>
  </si>
  <si>
    <t>FLAMINGO STOCKING BELOW KNEE PREMIUM (SMALL)</t>
  </si>
  <si>
    <t>FG03793</t>
  </si>
  <si>
    <t>FLAMINGO STOCKING BELOW KNEE PREMIUM(EXTRALARGE)</t>
  </si>
  <si>
    <t>FG03794</t>
  </si>
  <si>
    <t>FLAMINGO STOCKINGS ABOVE KNEE (LARGE)</t>
  </si>
  <si>
    <t>FG03795</t>
  </si>
  <si>
    <t>FLAMINGO STIRRUP ANKLE BRACE (UNIVERSAL)</t>
  </si>
  <si>
    <t>FG03796</t>
  </si>
  <si>
    <t>FLAMINGO TENNIS ELBOW SUPPORT (LARGE)</t>
  </si>
  <si>
    <t>FG03797</t>
  </si>
  <si>
    <t>FLAMINGO THIGH SUPPORT (EXTRA LARGE)</t>
  </si>
  <si>
    <t>FG03798</t>
  </si>
  <si>
    <t>FLAMINGO THIGH SUPPORT (LARGE)</t>
  </si>
  <si>
    <t>FG03799</t>
  </si>
  <si>
    <t>FLAMINGO THIGH SUPPORT PREMIUM (EXTRA LARGE)</t>
  </si>
  <si>
    <t>FG03800</t>
  </si>
  <si>
    <t>FLAMINGO THIGH SUPPORT PREMIUM (LARGE)</t>
  </si>
  <si>
    <t>FG03801</t>
  </si>
  <si>
    <t>FLAMINGO THIGH SUPPORT PREMIUM (MEDIUM)</t>
  </si>
  <si>
    <t>FG03802</t>
  </si>
  <si>
    <t>FLAMINGO THIGH SUPPORT PREMIUM (SMALL)</t>
  </si>
  <si>
    <t>FG03803</t>
  </si>
  <si>
    <t>FLAMINGO THUMB SPICA (EXTRA LARGE )</t>
  </si>
  <si>
    <t>FG03804</t>
  </si>
  <si>
    <t>FLAMINGO THUMB SPICA (SMALL)</t>
  </si>
  <si>
    <t>FG03805</t>
  </si>
  <si>
    <t>FLAMINGO TOE SEPARATOR</t>
  </si>
  <si>
    <t>FG03806</t>
  </si>
  <si>
    <t>FLAMINGO TRI AXEL HINGED KNEE BRACE ( XXL )</t>
  </si>
  <si>
    <t>FG03807</t>
  </si>
  <si>
    <t>FLAMINGO TRI AXEL HINGED KNEE BRACE ( XXXL )</t>
  </si>
  <si>
    <t>FG03808</t>
  </si>
  <si>
    <t>FLAMINGO TRI AXEL HINGED KNEE BRACE (EXTRA LARGE)</t>
  </si>
  <si>
    <t>FG03809</t>
  </si>
  <si>
    <t>FLAMINGO TRI AXEL HINGED KNEE BRACE (LARGE)</t>
  </si>
  <si>
    <t>FG03810</t>
  </si>
  <si>
    <t>FLAMINGO TRI AXEL HINGED KNEE BRACE (MEDIUM)</t>
  </si>
  <si>
    <t>FG03811</t>
  </si>
  <si>
    <t>FLAMINGO TUBULAR SUPPORT BELOW KNEE (EXTRA LARGE)</t>
  </si>
  <si>
    <t>FG03812</t>
  </si>
  <si>
    <t>FLAMINGO TUBULAR SUPPORT BELOW KNEE (LARGE)</t>
  </si>
  <si>
    <t>FG03813</t>
  </si>
  <si>
    <t>FLAMINGO TUBULAR SUPPORT BELOW KNEE (MEDIUM)</t>
  </si>
  <si>
    <t>FG03814</t>
  </si>
  <si>
    <t>FLAMINGO TUBULAR SUPPORT BELOW KNEE (SMALL)</t>
  </si>
  <si>
    <t>FG03815</t>
  </si>
  <si>
    <t>FLAMINGO TUBULAR SUPPORT BELOW KNEE (X X L )</t>
  </si>
  <si>
    <t>FG03816</t>
  </si>
  <si>
    <t>FLAMINGO TUBULAR SUPPORT BELOW KNEE (X X X L )</t>
  </si>
  <si>
    <t>FG03817</t>
  </si>
  <si>
    <t>FLAMINGO UNDER ARM CRUTCHES (LARGE)</t>
  </si>
  <si>
    <t>FG03818</t>
  </si>
  <si>
    <t>FLAMINGO UNDER ARM CRUTCHES (SMALL)</t>
  </si>
  <si>
    <t>FG03819</t>
  </si>
  <si>
    <t>FLAMINGO UNI SHOULDER IMMOBILISER (EXTRA LARGE)</t>
  </si>
  <si>
    <t>FG03820</t>
  </si>
  <si>
    <t>FLAMINGO UNI SHOULDER IMMOBILISER (EXTRA SMALL)</t>
  </si>
  <si>
    <t>FG03821</t>
  </si>
  <si>
    <t>FLAMINGO UNI SHOULDER IMMOBILISER (MEDIUM)</t>
  </si>
  <si>
    <t>FG03822</t>
  </si>
  <si>
    <t>FLAMINGO UNI SHOULDER IMMOBILISER (XXL)</t>
  </si>
  <si>
    <t>FG03823</t>
  </si>
  <si>
    <t>FLAMINGO VERICOSE VEIN STOCKING ( EXTRA LARGE)</t>
  </si>
  <si>
    <t>FG03824</t>
  </si>
  <si>
    <t>FLAMINGO VERICOSE VEIN STOCKING (DO EX LAR)</t>
  </si>
  <si>
    <t>FG03825</t>
  </si>
  <si>
    <t>FLAMINGO VERICOSE VEIN STOCKING (LARGE)</t>
  </si>
  <si>
    <t>FG03826</t>
  </si>
  <si>
    <t>FLAMINGO VERICOSE VEIN STOCKING (SMALL)</t>
  </si>
  <si>
    <t>FG03827</t>
  </si>
  <si>
    <t>FLAMINGO VERICOSE VEIN STOCKING (XXXL)</t>
  </si>
  <si>
    <t>FG03828</t>
  </si>
  <si>
    <t>FLAMINGO VERICOSE VEIN STOCKING PREMIUM (XXL)</t>
  </si>
  <si>
    <t>FG03829</t>
  </si>
  <si>
    <t>FLAMINGO WAIST &amp; FOREARM SPLINT (LARGE)</t>
  </si>
  <si>
    <t>FG03830</t>
  </si>
  <si>
    <t>FLAMINGO WAIST &amp; FOREARM SPLINT (MEDIUM)</t>
  </si>
  <si>
    <t>FG03831</t>
  </si>
  <si>
    <t>FLAMINGO WAIST TRIMMER (DOUBLE EXTRA LARGE)</t>
  </si>
  <si>
    <t>FG03832</t>
  </si>
  <si>
    <t>FLAMINGO WAIST TRIMMER (SMALL)</t>
  </si>
  <si>
    <t>FG03833</t>
  </si>
  <si>
    <t>FLAMINGO WALKING STICK (QUTRIPOD)</t>
  </si>
  <si>
    <t>FG03834</t>
  </si>
  <si>
    <t>FLAMINGO WALKING STICK (TRIPOD)</t>
  </si>
  <si>
    <t>FG03835</t>
  </si>
  <si>
    <t>FLAMINGO WATER WEIGHT BAG</t>
  </si>
  <si>
    <t>FG03836</t>
  </si>
  <si>
    <t>FLAMINGO WRIST &amp; FOREARM SPLINT (SMALL)</t>
  </si>
  <si>
    <t>FG03837</t>
  </si>
  <si>
    <t>FLAMINGO WRIST WRAP</t>
  </si>
  <si>
    <t>FG03838</t>
  </si>
  <si>
    <t>FLAMINGOGEL METATARSAL PAD (FEMALE)</t>
  </si>
  <si>
    <t>FG03839</t>
  </si>
  <si>
    <t>FRAMINGO DORSO LUMBER SPINAL BELT ( M )</t>
  </si>
  <si>
    <t>FRAMINGO DORSO</t>
  </si>
  <si>
    <t>FG03840</t>
  </si>
  <si>
    <t>FRAMINGO DORSO LUMBER SPINAL BELT ( S )</t>
  </si>
  <si>
    <t>FG03841</t>
  </si>
  <si>
    <t>FRAMINGO DORSO LUMBER SPINAL BELT (LARGE )</t>
  </si>
  <si>
    <t>FG03842</t>
  </si>
  <si>
    <t>FRAMINGO DORSO LUMBER SPINAL BRACE (SMALL)</t>
  </si>
  <si>
    <t>FG03843</t>
  </si>
  <si>
    <t>I-72 (LEVONORGESTREL) 1.5MG B/1 CES</t>
  </si>
  <si>
    <t>FG03844</t>
  </si>
  <si>
    <t>INSTRUMENT TROLLEY TWO SHELVES ML-M049</t>
  </si>
  <si>
    <t>FG03845</t>
  </si>
  <si>
    <t>KETOFEN 100MG (KETOPROFENE) INJ B/1VIAL</t>
  </si>
  <si>
    <t>FG03846</t>
  </si>
  <si>
    <t>LABIL-100MG (LABETALOL) INJ. B/1 VIAL</t>
  </si>
  <si>
    <t>FG03847</t>
  </si>
  <si>
    <t>LABIL-20MG (LABETALOL) INJ. B/1AMP</t>
  </si>
  <si>
    <t>FG03848</t>
  </si>
  <si>
    <t>NACEL-200MG (ACETYLCYSTEINE) INJ. B/1AMP</t>
  </si>
  <si>
    <t>FG03849</t>
  </si>
  <si>
    <t>NACEL-400MG (ACETYLCYSTEINE) INJ.B/1AMP</t>
  </si>
  <si>
    <t>FG03850</t>
  </si>
  <si>
    <t>NORBIT-4MG (NOREPINEPHRINE) INJ. B/2AMP</t>
  </si>
  <si>
    <t>FG03851</t>
  </si>
  <si>
    <t>PROSTAL-500MCG/ML (ALPROSTADIL) INJ. B/1VIAL</t>
  </si>
  <si>
    <t>FG03852</t>
  </si>
  <si>
    <t>STIMIN- 0.5MG/ML (NEOSTIGMINE) B/1AMP</t>
  </si>
  <si>
    <t>FG03854</t>
  </si>
  <si>
    <t>VIBRO-10MG (VECURONIUM ) B/1AMP</t>
  </si>
  <si>
    <t>FG03855</t>
  </si>
  <si>
    <t>WALKING STICK PREMIUM</t>
  </si>
  <si>
    <t>FG03856</t>
  </si>
  <si>
    <t>WATER WEIGHT BAG</t>
  </si>
  <si>
    <t>FG03857</t>
  </si>
  <si>
    <t>BALANCE MECANIQUE SUSPENDUE A CADRAN ROND ML-D2002</t>
  </si>
  <si>
    <t>FG03858</t>
  </si>
  <si>
    <t>BALLON DE REANIMATION AMBU - ADULT ML-P6001</t>
  </si>
  <si>
    <t>FG03859</t>
  </si>
  <si>
    <t>BALLON DE REANIMATION AMBU - ENFANT ML-P6002</t>
  </si>
  <si>
    <t>FG03860</t>
  </si>
  <si>
    <t>BALLON DE REANIMATION AMBU - NOUVEAUX-NES ML-P6003</t>
  </si>
  <si>
    <t>FG03861</t>
  </si>
  <si>
    <t>BASSIN DE LIT AVEC COUVERCLE INOX ML-I4017</t>
  </si>
  <si>
    <t>FG03862</t>
  </si>
  <si>
    <t>BASSIN DE LIT AVEC COUVERCLE INOX - HOMME ML-I4018</t>
  </si>
  <si>
    <t>FG03863</t>
  </si>
  <si>
    <t>BASSIN RENIFORME 10 - INOX ML-I4020</t>
  </si>
  <si>
    <t>FG03864</t>
  </si>
  <si>
    <t>BASSIN RENIFORME 8 - INOX ML-I4019</t>
  </si>
  <si>
    <t>FG03865</t>
  </si>
  <si>
    <t>BASSINS DE LIT EN INOX</t>
  </si>
  <si>
    <t>FG03866</t>
  </si>
  <si>
    <t>BED PANS AMERICA TYPE</t>
  </si>
  <si>
    <t>FG03870</t>
  </si>
  <si>
    <t>DICLOFENAC 50MG B/10X10CES</t>
  </si>
  <si>
    <t>FG03871</t>
  </si>
  <si>
    <t>DICLOFENAC 75MG/3ML INJ. B/10AMP</t>
  </si>
  <si>
    <t>FG03872</t>
  </si>
  <si>
    <t>DICQUE (DICLOFENAC) GEL T/30MG</t>
  </si>
  <si>
    <t>FG03874</t>
  </si>
  <si>
    <t>DOXYCILLINE 100MG B/10X10CAPS</t>
  </si>
  <si>
    <t>FG03875</t>
  </si>
  <si>
    <t>DOZEM (TRAMADOL)50MG/1ML INJ B/5AMP</t>
  </si>
  <si>
    <t>Dozem</t>
  </si>
  <si>
    <t>FG03877</t>
  </si>
  <si>
    <t>ERINOCIN (ERYTROMYCINE ) 125MG 100ML</t>
  </si>
  <si>
    <t>FG03878</t>
  </si>
  <si>
    <t>ERYTHROMICIN 250MG PLS/10***(ERINOCIN)</t>
  </si>
  <si>
    <t>FG03879</t>
  </si>
  <si>
    <t>ERYTHROMYCINE 500MG PLS/10CES***(ERINOCIN)</t>
  </si>
  <si>
    <t>FG03880</t>
  </si>
  <si>
    <t>EXTANCILLINE PENI (BENZATHINE) INJ. 2.4MEGA 1 VIAL</t>
  </si>
  <si>
    <t>FG03882</t>
  </si>
  <si>
    <t>FLAMINGO ANKLET (EXTRA LARGE)</t>
  </si>
  <si>
    <t>FG03883</t>
  </si>
  <si>
    <t>FLAMINGO ANKLET (LARGE)</t>
  </si>
  <si>
    <t>FG03884</t>
  </si>
  <si>
    <t>FLAMINGO ANKLET (MEDIUM)</t>
  </si>
  <si>
    <t>FG03885</t>
  </si>
  <si>
    <t>FLAMINGO ANKLET (SMALL)</t>
  </si>
  <si>
    <t>FG03886</t>
  </si>
  <si>
    <t>FLAMINGO ANKLET PREMIUM (EXTRA LARGE)</t>
  </si>
  <si>
    <t>FG03887</t>
  </si>
  <si>
    <t>FLAMINGO ANKLET PREMIUM (LARGE)</t>
  </si>
  <si>
    <t>FG03888</t>
  </si>
  <si>
    <t>FLAMINGO ANKLET PREMIUM (SMALL)</t>
  </si>
  <si>
    <t>FG03889</t>
  </si>
  <si>
    <t>FLAMINGO ARM IMMOBILIZER (LARGE)</t>
  </si>
  <si>
    <t>FG03890</t>
  </si>
  <si>
    <t>FLAMINGO ARM IMMOBILIZER (MEDIUM)</t>
  </si>
  <si>
    <t>FG03891</t>
  </si>
  <si>
    <t>FLAMINGO ARM POUCH (EXTRA SMALL)</t>
  </si>
  <si>
    <t>FG03892</t>
  </si>
  <si>
    <t>FLAMINGO ARM POUCH (LARGE)</t>
  </si>
  <si>
    <t>FG03893</t>
  </si>
  <si>
    <t>FLAMINGO ARM POUCH (SMALL)</t>
  </si>
  <si>
    <t>FG03894</t>
  </si>
  <si>
    <t>FLAMINGO ARM SLING (EXTRA LARGE)</t>
  </si>
  <si>
    <t>FG03895</t>
  </si>
  <si>
    <t>FLAMINGO ARM SLING (EXTRA SMALL)</t>
  </si>
  <si>
    <t>FG03896</t>
  </si>
  <si>
    <t>FLAMINGO ARM SLING (LARGE)</t>
  </si>
  <si>
    <t>FG03897</t>
  </si>
  <si>
    <t>FLAMINGO ARM SLING (SMALL)</t>
  </si>
  <si>
    <t>FG03898</t>
  </si>
  <si>
    <t>FLAMINGO ARM SLING PEDIATRIC (LARGE)</t>
  </si>
  <si>
    <t>FG03899</t>
  </si>
  <si>
    <t>FLAMINGO ARM SLING PEDIATRIC (MEDIUM)</t>
  </si>
  <si>
    <t>FG03900</t>
  </si>
  <si>
    <t>FLAMINGO ARM SLING PEDIATRIC (SMALL)</t>
  </si>
  <si>
    <t>FG03901</t>
  </si>
  <si>
    <t>FLAMINGO ARM SLING STRAP</t>
  </si>
  <si>
    <t>FG03902</t>
  </si>
  <si>
    <t>FLAMINGO BACK REST (LARGE)</t>
  </si>
  <si>
    <t>FG03903</t>
  </si>
  <si>
    <t>FLAMINGO BACK REST (MEDIUM)</t>
  </si>
  <si>
    <t>FG03904</t>
  </si>
  <si>
    <t>FLAMINGO BACK REST FOAM TYPE (LARGE)</t>
  </si>
  <si>
    <t>FG03905</t>
  </si>
  <si>
    <t>FLAMINGO BI AXEL HINGED KNEE CAP (LARGE)</t>
  </si>
  <si>
    <t>FG03906</t>
  </si>
  <si>
    <t>FLAMINGO BI AXEL HINGED KNEE CAP (SMALL)</t>
  </si>
  <si>
    <t>FG03907</t>
  </si>
  <si>
    <t>FLAMINGO BOTOM POD FOR</t>
  </si>
  <si>
    <t>FG03908</t>
  </si>
  <si>
    <t>FLAMINGO CALF SUPPORT (LARGE)</t>
  </si>
  <si>
    <t>FG03909</t>
  </si>
  <si>
    <t>FLAMINGO CALF SUPPORT (MEDIUM)</t>
  </si>
  <si>
    <t>FG03910</t>
  </si>
  <si>
    <t>FLAMINGO CALF SUPPORT PREMIUM (MEDIUM)</t>
  </si>
  <si>
    <t>FG03911</t>
  </si>
  <si>
    <t>FLAMINGO CALF SUPPORT PREMIUM (SMALL)</t>
  </si>
  <si>
    <t>FG03912</t>
  </si>
  <si>
    <t>FLAMINGO CARPAL TUNNEL SPLINT</t>
  </si>
  <si>
    <t>FG03913</t>
  </si>
  <si>
    <t>FLAMINGO CAST SHOE (LARGE)</t>
  </si>
  <si>
    <t>FG03914</t>
  </si>
  <si>
    <t>FLAMINGO CAST SHOE (MEDIUM)</t>
  </si>
  <si>
    <t>FG03915</t>
  </si>
  <si>
    <t>FLAMINGO CAST SHOE (SMALL)</t>
  </si>
  <si>
    <t>FG03916</t>
  </si>
  <si>
    <t>FLAMINGO CERVICAL COLLAR WITH NECK SUPPORT (L)</t>
  </si>
  <si>
    <t>FG03917</t>
  </si>
  <si>
    <t>FLAMINGO CERVICAL COLLAR WITH NECK SUPPORT (M)</t>
  </si>
  <si>
    <t>FG03918</t>
  </si>
  <si>
    <t>FLAMINGO CERVICAL COLLAR (MEDIUM)</t>
  </si>
  <si>
    <t>FG03919</t>
  </si>
  <si>
    <t>FLAMINGO CERVICAL COLLAR (SMALL)</t>
  </si>
  <si>
    <t>FG03920</t>
  </si>
  <si>
    <t>FLAMINGO CERVICAL COLLAR SOFT (MEDIUM)</t>
  </si>
  <si>
    <t>FG03921</t>
  </si>
  <si>
    <t>FLAMINGO CERVICAL COLLAR SOFT (SMALL)</t>
  </si>
  <si>
    <t>FG03922</t>
  </si>
  <si>
    <t>FLAMINGO CERVICAL COLLAR SOFT (XXL)</t>
  </si>
  <si>
    <t>FG03923</t>
  </si>
  <si>
    <t>FLAMINGO CERVICAL COLLARE PEDIATRIQ (LARGE)</t>
  </si>
  <si>
    <t>FG03924</t>
  </si>
  <si>
    <t>FLAMINGO CERVICAL COLLARE PEDIATRIQ (MEDIUM))</t>
  </si>
  <si>
    <t>FG03925</t>
  </si>
  <si>
    <t>FLAMINGO CERVICAL IMMOBILIZER (SMALL)</t>
  </si>
  <si>
    <t>FG03926</t>
  </si>
  <si>
    <t>FLAMINGO CERVICAL IMMOBILIZER (XL)</t>
  </si>
  <si>
    <t>FG03927</t>
  </si>
  <si>
    <t>FLAMINGO CERVICAL ORTHOSIS (LARGE)</t>
  </si>
  <si>
    <t>FG03928</t>
  </si>
  <si>
    <t>FLAMINGO CERVICAL ORTHOSIS (SMALL)</t>
  </si>
  <si>
    <t>FG03929</t>
  </si>
  <si>
    <t>FLAMINGO CERVICAL PILLOW - REGULAR</t>
  </si>
  <si>
    <t>FG03930</t>
  </si>
  <si>
    <t>FLAMINGO CERVICAL TRACTION SITING KIT</t>
  </si>
  <si>
    <t>FG03931</t>
  </si>
  <si>
    <t>FLAMINGO CERVICAL TRACTION UNIVERSAL</t>
  </si>
  <si>
    <t>FG03932</t>
  </si>
  <si>
    <t>FLAMINGO COCK UP SPLINT ( EXTRA LARGE)</t>
  </si>
  <si>
    <t>FG03933</t>
  </si>
  <si>
    <t>FLAMINGO COCK UP SPLINT (LARGE)</t>
  </si>
  <si>
    <t>FG03934</t>
  </si>
  <si>
    <t>FLAMINGO COCK UP SPLINT (MEDIUM)</t>
  </si>
  <si>
    <t>FG03935</t>
  </si>
  <si>
    <t>FLAMINGO COCK UP SPLINT (SMALL)</t>
  </si>
  <si>
    <t>FG03936</t>
  </si>
  <si>
    <t>FLAMINGO COMPACT SPINAL BRACE (LARGE)</t>
  </si>
  <si>
    <t>FG03937</t>
  </si>
  <si>
    <t>FLAMINGO COMPACT SPINAL BRACE (MEDIUM)</t>
  </si>
  <si>
    <t>FG03938</t>
  </si>
  <si>
    <t>FLAMINGO COMPACT SPINAL BRACE (XXL)</t>
  </si>
  <si>
    <t>FG03939</t>
  </si>
  <si>
    <t>FLAMINGO CONTOURED L.S. BELT (EXTRA LARGE)</t>
  </si>
  <si>
    <t>FG03940</t>
  </si>
  <si>
    <t>FLAMINGO CONTOURED L.S. BELT (LARGE)</t>
  </si>
  <si>
    <t>FG03941</t>
  </si>
  <si>
    <t>FLAMINGO CONTOURED L.S. BELT (MEDIUM)</t>
  </si>
  <si>
    <t>FG03942</t>
  </si>
  <si>
    <t>FLAMINGO CONTOURED L.S. BELT (XXL)</t>
  </si>
  <si>
    <t>FG03943</t>
  </si>
  <si>
    <t>FLAMINGO CONTOURED L.S. BELT (XXXL)</t>
  </si>
  <si>
    <t>FG03944</t>
  </si>
  <si>
    <t>FLAMINGO CONTOURED L.S. SUPPORT (EXTRA LARGE)</t>
  </si>
  <si>
    <t>FG03945</t>
  </si>
  <si>
    <t>FLAMINGO CONTOURED L.S. SUPPORT (LARGE)</t>
  </si>
  <si>
    <t>FG03946</t>
  </si>
  <si>
    <t>FLAMINGO CONTOURED L.S. SUPPORT (MEDIUM)</t>
  </si>
  <si>
    <t>FG03947</t>
  </si>
  <si>
    <t>FLAMINGO CONTOURED L.S. SUPPORT (XXXL)</t>
  </si>
  <si>
    <t>FG03948</t>
  </si>
  <si>
    <t>FLAMINGO COOL EYES</t>
  </si>
  <si>
    <t>FG03949</t>
  </si>
  <si>
    <t>FLAMINGO COOL PACK (LARGE)</t>
  </si>
  <si>
    <t>FG03950</t>
  </si>
  <si>
    <t>FLAMINGO COT SPLINT (LARGE)</t>
  </si>
  <si>
    <t>FG03951</t>
  </si>
  <si>
    <t>FLAMINGO COT SPLINT (MEDIUM)</t>
  </si>
  <si>
    <t>FG03952</t>
  </si>
  <si>
    <t>FLAMINGO COT SPLINT (SMALL)</t>
  </si>
  <si>
    <t>FG03953</t>
  </si>
  <si>
    <t>FLAMINGO COT SPLINT (XL)</t>
  </si>
  <si>
    <t>FG03954</t>
  </si>
  <si>
    <t>FLAMINGO CUFF &amp; COLLAR SING</t>
  </si>
  <si>
    <t>FG03955</t>
  </si>
  <si>
    <t>FLAMINGO DIABETIC SOCKS - LIGHT BLUE</t>
  </si>
  <si>
    <t>FG03956</t>
  </si>
  <si>
    <t>FLAMINGO DORSO LUMBAR SPINAL BRACE PED (LARGE)</t>
  </si>
  <si>
    <t>FG03957</t>
  </si>
  <si>
    <t>FLAMINGO DORSO LUMBAR SPINAL BRACE PED (MEDIUM)</t>
  </si>
  <si>
    <t>FG03958</t>
  </si>
  <si>
    <t>FLAMINGO DORSO LUMBAR SPINAL BRACE ( EXTRA LARGE)</t>
  </si>
  <si>
    <t>FG03959</t>
  </si>
  <si>
    <t>FLAMINGO DORSO LUMBAR SPINAL BRACE (LARGE)</t>
  </si>
  <si>
    <t>FG03960</t>
  </si>
  <si>
    <t>FLAMINGO DORSO LUMBAR SPINAL BRACE (MEDIUM)</t>
  </si>
  <si>
    <t>FG03961</t>
  </si>
  <si>
    <t>FLAMINGO DORSO LUMBAR SPINAL BRACE (SMALL)</t>
  </si>
  <si>
    <t>FG03962</t>
  </si>
  <si>
    <t>FLAMINGO DORSO LUMBER SPINAL BRACE(XXXL)</t>
  </si>
  <si>
    <t>FG03963</t>
  </si>
  <si>
    <t>FLAMINGO DVT STOCKINGS ABOVE KNEE (XL)</t>
  </si>
  <si>
    <t>FG03964</t>
  </si>
  <si>
    <t>FLAMINGO DVT STOCKINGS ABOVE KNEE (XXL)</t>
  </si>
  <si>
    <t>FG03965</t>
  </si>
  <si>
    <t>FLAMINGO ECO FRAME BELT (EXTRA LARGE)</t>
  </si>
  <si>
    <t>FG03966</t>
  </si>
  <si>
    <t>FLAMINGO ECO FRAME BELT (MEDIUM)</t>
  </si>
  <si>
    <t>FG03967</t>
  </si>
  <si>
    <t>FLAMINGO ELASTIC KNEE SUPPORT (LARGE)</t>
  </si>
  <si>
    <t>FG03968</t>
  </si>
  <si>
    <t>FLAMINGO ELASTIC KNEE SUPPORT (MEDIUM)</t>
  </si>
  <si>
    <t>FG03969</t>
  </si>
  <si>
    <t>FLAMINGO ELASTIC KNEE SUPPORT (SMALL)</t>
  </si>
  <si>
    <t>FG03970</t>
  </si>
  <si>
    <t>FLAMINGO ELASTIC KNEE SUPPORT (XXL)</t>
  </si>
  <si>
    <t>FG03971</t>
  </si>
  <si>
    <t>FLAMINGO ELASTIC SHOULDER IMMOBILISER (EXTRA LARGE</t>
  </si>
  <si>
    <t>FG03972</t>
  </si>
  <si>
    <t>FLAMINGO ELASTIC SHOULDER IMMOBILISER (MEDIUM)</t>
  </si>
  <si>
    <t>FG03973</t>
  </si>
  <si>
    <t>FLAMINGO ELASTIC SHOULDER IMMOBILISER (SMALL)</t>
  </si>
  <si>
    <t>FG03974</t>
  </si>
  <si>
    <t>FLAMINGO ELASTIC WRIST SPLINT (MEDIUM)</t>
  </si>
  <si>
    <t>FG03975</t>
  </si>
  <si>
    <t>FLAMINGO ELASTIC WRIST SPLINT (SMALL)</t>
  </si>
  <si>
    <t>FG03976</t>
  </si>
  <si>
    <t>FLAMINGO ELBOW SUPPORT (EXTRA LARGE)</t>
  </si>
  <si>
    <t>FG03977</t>
  </si>
  <si>
    <t>FLAMINGO ELBOW SUPPORT (MEDIUM)</t>
  </si>
  <si>
    <t>FG03978</t>
  </si>
  <si>
    <t>FLAMINGO ELBOW SUPPORT (SMALL)</t>
  </si>
  <si>
    <t>FG03979</t>
  </si>
  <si>
    <t>FLAMINGO ELBOW SUPPORT PREMIUM ( EXTRA LARGE)</t>
  </si>
  <si>
    <t>FG03980</t>
  </si>
  <si>
    <t>FLAMINGO ELBOW SUPPORT PREMIUM (MEDIUM)</t>
  </si>
  <si>
    <t>FG03981</t>
  </si>
  <si>
    <t>FLAMINGO EXERCISE CYCLE (BLACK)</t>
  </si>
  <si>
    <t>FG03982</t>
  </si>
  <si>
    <t>FLAMINGO EXERCISE CYCLE (WHITE)</t>
  </si>
  <si>
    <t>FG03983</t>
  </si>
  <si>
    <t>FLAMINGO EXTENDED BASE BALL SPLINT (M)</t>
  </si>
  <si>
    <t>FG03984</t>
  </si>
  <si>
    <t>FLAMINGO EXTENDED BASE BALL SPLINT (S)</t>
  </si>
  <si>
    <t>FG03985</t>
  </si>
  <si>
    <t>FLAMINGO EXTENDED BASE BALL SPLINT (XL)</t>
  </si>
  <si>
    <t>FG03986</t>
  </si>
  <si>
    <t>FLAMINGO EXTENDED BASEBALL SPLINT (SMALL)</t>
  </si>
  <si>
    <t>FG03987</t>
  </si>
  <si>
    <t>FLAMINGO EXTENDED FOREARM BRACE ( EXTRA LARGE)</t>
  </si>
  <si>
    <t>FG03988</t>
  </si>
  <si>
    <t>FLAMINGO EXTENDED FOREARM BRACE ( XXL)</t>
  </si>
  <si>
    <t>FG03989</t>
  </si>
  <si>
    <t>FLAMINGO EXTENDED FOREARM BRACE (LARGE)</t>
  </si>
  <si>
    <t>FG03990</t>
  </si>
  <si>
    <t>FLAMINGO EXTENDED FOREARM BRACE (MEDIUM)</t>
  </si>
  <si>
    <t>FG03991</t>
  </si>
  <si>
    <t>FLAMINGO FIN BASE BALL SPLINT (LARGE)</t>
  </si>
  <si>
    <t>FG03992</t>
  </si>
  <si>
    <t>FLAMINGO FIN BASE BALL SPLINT (MEDIUM)</t>
  </si>
  <si>
    <t>FG03993</t>
  </si>
  <si>
    <t>FLAMINGO FIN BASE BALL SPLINT (SMALL)</t>
  </si>
  <si>
    <t>FG03994</t>
  </si>
  <si>
    <t>FLAMINGO FIN FROG SPLINT (LARGE)</t>
  </si>
  <si>
    <t>FG03995</t>
  </si>
  <si>
    <t>FLAMINGO FIN FROG SPLINT (MEDIUM)</t>
  </si>
  <si>
    <t>FG03996</t>
  </si>
  <si>
    <t>FLAMINGO FIN SPOON SPLINT (MEDIUM)</t>
  </si>
  <si>
    <t>FG03997</t>
  </si>
  <si>
    <t>FLAMINGO FIN SPOON SPLINT (SMALL)</t>
  </si>
  <si>
    <t>FG03998</t>
  </si>
  <si>
    <t>FLAMINGO FIN STAX MALLET (MEDIUM)</t>
  </si>
  <si>
    <t>FG03999</t>
  </si>
  <si>
    <t>FLAMINGO FIN STAX MALLET (SMALL)</t>
  </si>
  <si>
    <t>FG04000</t>
  </si>
  <si>
    <t>FLAMINGO FOOT DROP SPLINT LEFT (MEDIUM)</t>
  </si>
  <si>
    <t>FG04001</t>
  </si>
  <si>
    <t>FLAMINGO FOOT DROP SPLINT RIGHT (LARGE)</t>
  </si>
  <si>
    <t>FG04002</t>
  </si>
  <si>
    <t>FLAMINGO GEL BI AXLE HINGED KNEE CAP (XXL)</t>
  </si>
  <si>
    <t>FG04003</t>
  </si>
  <si>
    <t>FLAMINGO GEL BI-AXEL HIN KNEE BRACE ( XXL)</t>
  </si>
  <si>
    <t>FG04004</t>
  </si>
  <si>
    <t>FLAMINGO GEL BI-AXEL HIN KNEE BRACE (M)</t>
  </si>
  <si>
    <t>FG04005</t>
  </si>
  <si>
    <t>FLAMINGO GEL BI-AXEL HIN KNEE BRACE (XL)</t>
  </si>
  <si>
    <t>FG04006</t>
  </si>
  <si>
    <t>FLAMINGO GEL EXERCISE BALL</t>
  </si>
  <si>
    <t>FG04007</t>
  </si>
  <si>
    <t>FLAMINGO GEL HEEL PAD (FEMALE)</t>
  </si>
  <si>
    <t>FG04008</t>
  </si>
  <si>
    <t>FLUCONAZOL IV 200MG INJ. 100ML</t>
  </si>
  <si>
    <t>FG04011</t>
  </si>
  <si>
    <t>FOLDABLE EMERGENCY STRETCHER ML-M071B</t>
  </si>
  <si>
    <t>FG04012</t>
  </si>
  <si>
    <t>FRUSEMIDE 20MG/2ML INJ. B/10AMP</t>
  </si>
  <si>
    <t>FG04013</t>
  </si>
  <si>
    <t>FRUSEMIDE B/10X10CES</t>
  </si>
  <si>
    <t>FG04014</t>
  </si>
  <si>
    <t>G6PD QUALITATIVE 10 TESTS</t>
  </si>
  <si>
    <t>FG04015</t>
  </si>
  <si>
    <t>GAZELLE - ANALYZER DE ELECTROPHORESE HEMOGLOBIN</t>
  </si>
  <si>
    <t>FG04016</t>
  </si>
  <si>
    <t>GENTAMYCINE 80MG/2ML INJ. B/10AMP</t>
  </si>
  <si>
    <t>FG04018</t>
  </si>
  <si>
    <t>GLUCOSE GOD/POD 5 X 100 ML 5 X 100 ML</t>
  </si>
  <si>
    <t>FG04019</t>
  </si>
  <si>
    <t>GLUCOSE GOD/POD 9 X 50 ML</t>
  </si>
  <si>
    <t>FG04020</t>
  </si>
  <si>
    <t>GRISEOFULVINE 500MG 10CES PL (UNIQUE)</t>
  </si>
  <si>
    <t>FG04023</t>
  </si>
  <si>
    <t>HOSPITAL ABS SINGLE CRANK BED WITH TABLE ML-M017-T</t>
  </si>
  <si>
    <t>FG04024</t>
  </si>
  <si>
    <t>HOSPITAL ABS SINGLE CRANK BED WITH TABLE&amp;GUARDRAIL</t>
  </si>
  <si>
    <t>FG04025</t>
  </si>
  <si>
    <t>HOSPITAL BASIN STAND TWO BOWL STAINLESS STEEL</t>
  </si>
  <si>
    <t>FG04026</t>
  </si>
  <si>
    <t>HOSPITAL BASIN TWO BOWL STAINLESS STEEL ML-M056</t>
  </si>
  <si>
    <t>FG04027</t>
  </si>
  <si>
    <t>HOSPITAL BED ELECTRIC THREE FUNCTION WITHGUARDRAIL</t>
  </si>
  <si>
    <t>FG04028</t>
  </si>
  <si>
    <t>HOSPITAL BED ELECTRIC THREE FUNCTIONWITHGUARDRAIL</t>
  </si>
  <si>
    <t>FG04029</t>
  </si>
  <si>
    <t>HOSPITAL BED ELECTRIC THREEFUNCTION WITH GUARDRAIL</t>
  </si>
  <si>
    <t>FG04030</t>
  </si>
  <si>
    <t>HOSPITAL BED FIXED HEIGHT SEMI FOWLER BED ML-M009</t>
  </si>
  <si>
    <t>FG04031</t>
  </si>
  <si>
    <t>HOSPITAL BED MANUAL ABS ONE CRANK ML-M014-W</t>
  </si>
  <si>
    <t>FG04032</t>
  </si>
  <si>
    <t>HOSPITAL BED MANUAL ABS THREE FUNCTION ML-M015</t>
  </si>
  <si>
    <t>FG04033</t>
  </si>
  <si>
    <t>HOSPITAL BED ONE CRANK MANUAL ML-M010-W</t>
  </si>
  <si>
    <t>FG04034</t>
  </si>
  <si>
    <t>HOSPITAL BED ONE CRANK ML-M012-W</t>
  </si>
  <si>
    <t>FG04035</t>
  </si>
  <si>
    <t>HOSPITAL BED ONE CRANK ON CASTORS ML-M008-W</t>
  </si>
  <si>
    <t>FG04036</t>
  </si>
  <si>
    <t>HOSPITAL BED PLAIN ML-M005B</t>
  </si>
  <si>
    <t>FG04037</t>
  </si>
  <si>
    <t>HOSPITAL DRESSING TROLLEY ML-M051</t>
  </si>
  <si>
    <t>FG04038</t>
  </si>
  <si>
    <t>HOSPITAL DRESSING TROLLEY ML-M052</t>
  </si>
  <si>
    <t>FG04039</t>
  </si>
  <si>
    <t>HYDROCORTISINE 100MG INJ. 1 VIAL</t>
  </si>
  <si>
    <t>FG04041</t>
  </si>
  <si>
    <t>IBUNIQUE FORTE (PARA+IBU+CAF) PL/10 CAPS</t>
  </si>
  <si>
    <t>FG04042</t>
  </si>
  <si>
    <t>INDONIQUE (INDOMETHACINE) 100MG B/10SUPPOS</t>
  </si>
  <si>
    <t>FG04043</t>
  </si>
  <si>
    <t>INFERONE 5ML INJ. B/10AMP</t>
  </si>
  <si>
    <t>FG04045</t>
  </si>
  <si>
    <t>KETOMIZ (KETOCONAZOLE) 200MG B/10CES</t>
  </si>
  <si>
    <t>FG04046</t>
  </si>
  <si>
    <t>LINCONIC 500MG (LINCOMYCIN) B/10 CAP</t>
  </si>
  <si>
    <t>FG04047</t>
  </si>
  <si>
    <t>LINCOMYCINE 600MG INJ.B/1 VIAL</t>
  </si>
  <si>
    <t>FG04048</t>
  </si>
  <si>
    <t>LINCONIC (LINCOMYCINE) SIROP 60ML</t>
  </si>
  <si>
    <t>FG04050</t>
  </si>
  <si>
    <t>METOCLOPRAMIDE 10MG/2ML INJ. B/10AMP</t>
  </si>
  <si>
    <t>FG04054</t>
  </si>
  <si>
    <t>NEGRAM (UNIDIXC) 300MG/5ML SUSP 60ML</t>
  </si>
  <si>
    <t>FG04056</t>
  </si>
  <si>
    <t>NEO-DEXALIN (DEXA.+NEO.) COLLYRE/OTTIQUE 10ML</t>
  </si>
  <si>
    <t>FG04059</t>
  </si>
  <si>
    <t>NOCOLD INHALER 1 PC</t>
  </si>
  <si>
    <t>NOCOLD</t>
  </si>
  <si>
    <t>FG04060</t>
  </si>
  <si>
    <t>NOCOLD POCH/4CES</t>
  </si>
  <si>
    <t>FG04061</t>
  </si>
  <si>
    <t>NORFLOXACIN 400MG B/10X10CES</t>
  </si>
  <si>
    <t>FG04064</t>
  </si>
  <si>
    <t>PAPAVERINE 40MG/ML INJ. 10AMP</t>
  </si>
  <si>
    <t>FG04065</t>
  </si>
  <si>
    <t>PARACETAMOL-UNIQUE 500MG B/10X10CES</t>
  </si>
  <si>
    <t>FG04066</t>
  </si>
  <si>
    <t>PENI G 5MEGA. INJ. 1 VIAL</t>
  </si>
  <si>
    <t>FG04067</t>
  </si>
  <si>
    <t>PENI V.K.125MG POUDRE POUR SUSP.60ML</t>
  </si>
  <si>
    <t>FG04068</t>
  </si>
  <si>
    <t>PERFAC 750MG (PARACETAMOL) IV/IM BOITE DE 10AMP</t>
  </si>
  <si>
    <t>FG04069</t>
  </si>
  <si>
    <t>PERFAC (PARACETAMOL) 120MG/5ML SIROP 100ML</t>
  </si>
  <si>
    <t>FG04071</t>
  </si>
  <si>
    <t>PROCAINE PENICILLINE 4MEGA INJ. 1 VIAL</t>
  </si>
  <si>
    <t>FG04072</t>
  </si>
  <si>
    <t>PROGESTERONE 25MG/ML INJ. B/10AMP</t>
  </si>
  <si>
    <t>FG04073</t>
  </si>
  <si>
    <t>PROMETHAZINE 25MG B/10X10CES</t>
  </si>
  <si>
    <t>FG04074</t>
  </si>
  <si>
    <t>PROMETHAZINE 50MG/2ML INJ. B/10AMP</t>
  </si>
  <si>
    <t>FG04075</t>
  </si>
  <si>
    <t>QUININE 600MG/2ML INJ. B/10AMP (UNIQUE)</t>
  </si>
  <si>
    <t>FG04076</t>
  </si>
  <si>
    <t>RINGER LACTATE + TROUSE 1LITRE (UNIQUE)</t>
  </si>
  <si>
    <t>FG04077</t>
  </si>
  <si>
    <t>RINGER LACTATE SANS TROUSSE 500ML (UNIQUE)</t>
  </si>
  <si>
    <t>FG04078</t>
  </si>
  <si>
    <t>S.A.T. 1500IU/0.75ML (ANTI-TETANUES) INJ. B/10AMP</t>
  </si>
  <si>
    <t>FG04080</t>
  </si>
  <si>
    <t>SALBUTAMOL 0.25MG INJ. B/10AMP</t>
  </si>
  <si>
    <t>FG04083</t>
  </si>
  <si>
    <t>SERUM GLUCOSE 5% + TROUSE 1 LITRE (UNIQUE)</t>
  </si>
  <si>
    <t>FG04084</t>
  </si>
  <si>
    <t>SERUM GLUCOSE 5% SANS TROUSSE 500ML (UNIQUE)</t>
  </si>
  <si>
    <t>FG04085</t>
  </si>
  <si>
    <t>SERUM MIXTE + TROUSE 1 LITRE (UNIQUE)</t>
  </si>
  <si>
    <t>FG04086</t>
  </si>
  <si>
    <t>SERUM MIXTE SANS TROUSSE 500ML (UNIQUE)</t>
  </si>
  <si>
    <t>FG04087</t>
  </si>
  <si>
    <t>SERUM PHYSIO 0.9% + TROUSE 1 LITRE (UNIQUE)</t>
  </si>
  <si>
    <t>FG04088</t>
  </si>
  <si>
    <t>SERUM PHYSIO 0.9% SANS TROUSSE 500ML (UNIQUE)</t>
  </si>
  <si>
    <t>FG04091</t>
  </si>
  <si>
    <t>TESTOSTERONE 25MG/ML INJ. B/10AMP</t>
  </si>
  <si>
    <t>FG04092</t>
  </si>
  <si>
    <t>TETRACYCLINE 250MG B/10X10CAPS</t>
  </si>
  <si>
    <t>FG04093</t>
  </si>
  <si>
    <t>TOPGYL (METRONIDAZOLE) INJ. 100ML</t>
  </si>
  <si>
    <t>FG04099</t>
  </si>
  <si>
    <t>UNIMOL (PARA.+DIC.+CAF.) B/10 CES</t>
  </si>
  <si>
    <t>FG04100</t>
  </si>
  <si>
    <t>UNIPHENICOL-S (CHLORAMPHENICOL) 60ML SIROP</t>
  </si>
  <si>
    <t>FG04105</t>
  </si>
  <si>
    <t>VITAMINE B1 100MG/2ML INJ. B/10AMP</t>
  </si>
  <si>
    <t>FG04106</t>
  </si>
  <si>
    <t>ABG-I15 CARTOUCHE DE TEST BC4 B/25 CARTOUCHES</t>
  </si>
  <si>
    <t>FG04107</t>
  </si>
  <si>
    <t>ABG-I15 CARTOUCHE DE TEST BG8 B/25 CARTOUCHES</t>
  </si>
  <si>
    <t>FG04108</t>
  </si>
  <si>
    <t>ABG-I15 CONTROLE QUALITE NIVEAU 2 (5 AMPOULES)</t>
  </si>
  <si>
    <t>FG04109</t>
  </si>
  <si>
    <t>ABG-I15 CONTROLE QUALITE NIVEAU 3 (5 AMPOULES)</t>
  </si>
  <si>
    <t>FG04110</t>
  </si>
  <si>
    <t>ABG-I15 FLUIDE CALIBRANT B/50 TESTES</t>
  </si>
  <si>
    <t>FG04111</t>
  </si>
  <si>
    <t>ABS BEDSIDE TABLE ML-M026</t>
  </si>
  <si>
    <t>FG04112</t>
  </si>
  <si>
    <t>ABS BEDSIDE TABLE ON CASTORS ML-M026-W</t>
  </si>
  <si>
    <t>FG04113</t>
  </si>
  <si>
    <t>ACCOUPLEMENT RAPIDE HEXAGONAL - MANCHE T - 3.5 MM</t>
  </si>
  <si>
    <t>FG04114</t>
  </si>
  <si>
    <t>ADJUSTABLE MICROPIPETTE (VOL. 10-100)AUTOCLAVABLE</t>
  </si>
  <si>
    <t>FG04115</t>
  </si>
  <si>
    <t>ADJUSTABLE MICROPIPETTE (VOL. 5-50)AUTOCLAVABLE</t>
  </si>
  <si>
    <t>FG04116</t>
  </si>
  <si>
    <t>ADJUSTABLE MICROPIPETTE (VOL.100-1000)AUTOCLAVABLE</t>
  </si>
  <si>
    <t>FG04117</t>
  </si>
  <si>
    <t>ADJUSTABLE MICROPIPETTE (VOL.20-200) AUTOCLAVABLE</t>
  </si>
  <si>
    <t>FG04118</t>
  </si>
  <si>
    <t>ADJUSTABLE MICROPIPETTE (VOL1000-5000)AUTOCLAVABLE</t>
  </si>
  <si>
    <t>FG04119</t>
  </si>
  <si>
    <t>ALBUMIN BCG 1 X 100 ML</t>
  </si>
  <si>
    <t>FG04120</t>
  </si>
  <si>
    <t>ALKALINE PHOSPHATASE PNPP 10 X 5 ML</t>
  </si>
  <si>
    <t>FG04121</t>
  </si>
  <si>
    <t>AMYLASE CNPG3 1 X 10 ML</t>
  </si>
  <si>
    <t>FG04122</t>
  </si>
  <si>
    <t>ANALYSEUR DE BIOCHIMIE SEMI-AUTOMATIQUE - BC300</t>
  </si>
  <si>
    <t>FG04123</t>
  </si>
  <si>
    <t>ANALYSEUR DÉLECTROLYTE ET- AUTOMATE - EDAN I15</t>
  </si>
  <si>
    <t>FG04124</t>
  </si>
  <si>
    <t>ANTI- A1 LECTIN 5 ML</t>
  </si>
  <si>
    <t>FG04125</t>
  </si>
  <si>
    <t>ANTI DECUBITUS AIR PUMP AND BUBBLE MATTRESS</t>
  </si>
  <si>
    <t>FG04126</t>
  </si>
  <si>
    <t>ANTI-HUMAN GLOBULIN 10ML</t>
  </si>
  <si>
    <t>FG04127</t>
  </si>
  <si>
    <t>APPAREIL DECG 12 CANAUX</t>
  </si>
  <si>
    <t>FG04128</t>
  </si>
  <si>
    <t>APPAREIL DECG 6 CANAUX</t>
  </si>
  <si>
    <t>FG04129</t>
  </si>
  <si>
    <t>APPENDECTOMY-HERNIERRAPHY BOX 50PC</t>
  </si>
  <si>
    <t>FG04130</t>
  </si>
  <si>
    <t>ASO 20 TESTS</t>
  </si>
  <si>
    <t>FG04131</t>
  </si>
  <si>
    <t>AUTOCLAVE DE PAILLASSE (TABLE) 20L - AFFICHAGE</t>
  </si>
  <si>
    <t>FG04132</t>
  </si>
  <si>
    <t>AUTOCLAVE VERTICAL 35L-OUVERTURE ROUE-AFFICHAGE</t>
  </si>
  <si>
    <t>FG04133</t>
  </si>
  <si>
    <t>AUTOCLAVE VERTICAL 50L-OUVERTURE ROUE- AFFICHAGE</t>
  </si>
  <si>
    <t>FG04134</t>
  </si>
  <si>
    <t>BAIN-MARIE POUR LABORATOIRE AVEC 2 POT</t>
  </si>
  <si>
    <t>FG04135</t>
  </si>
  <si>
    <t>BALANCE DE PRECISION LABORATOIRE 200G - 0.001G</t>
  </si>
  <si>
    <t>FG04136</t>
  </si>
  <si>
    <t>BALANCE MECANIQUE BEBE ML-D2001</t>
  </si>
  <si>
    <t>FG04137</t>
  </si>
  <si>
    <t>BLOOD DONOR CHAIR ML-M063</t>
  </si>
  <si>
    <t>FG04138</t>
  </si>
  <si>
    <t>BLOODLINE TUBING</t>
  </si>
  <si>
    <t>FG04139</t>
  </si>
  <si>
    <t>BLOUSES ET PANTALONS CHIRURGIEN XL ML-TX0006</t>
  </si>
  <si>
    <t>FG04140</t>
  </si>
  <si>
    <t>BLOUSES ET PANTALONS CHIRURGIEN L ML-TX0005</t>
  </si>
  <si>
    <t>FG04141</t>
  </si>
  <si>
    <t>BOÎTE CHIRURGIE APPENDICECTOMIE HERNIORRAPHIE 50PC</t>
  </si>
  <si>
    <t>FG04142</t>
  </si>
  <si>
    <t>BOÎTE CHIRURGIE GÉNÉRALE ( BOITE COMPLÈTE ) 85PC</t>
  </si>
  <si>
    <t>FG04143</t>
  </si>
  <si>
    <t>BOÎTE CHIRURGIE ORDENAIR 62PC</t>
  </si>
  <si>
    <t>FG04144</t>
  </si>
  <si>
    <t>BOITE CHIRURGIE ORTHOPÉDIE 74PC</t>
  </si>
  <si>
    <t>FG04145</t>
  </si>
  <si>
    <t>BOITE D'INSTRUMENT POUR CURETAGE - CS</t>
  </si>
  <si>
    <t>FG04146</t>
  </si>
  <si>
    <t>BOITE D'INSTUMENTS DE CURETAGE - HGR</t>
  </si>
  <si>
    <t>FG04147</t>
  </si>
  <si>
    <t>BOITE DE CURETAGE</t>
  </si>
  <si>
    <t>FG04148</t>
  </si>
  <si>
    <t>BOITE DE STERILISATION - LARGE</t>
  </si>
  <si>
    <t>FG04149</t>
  </si>
  <si>
    <t>BOITE DE STERILISATION - MEDIUM</t>
  </si>
  <si>
    <t>FG04150</t>
  </si>
  <si>
    <t>BOITE ELEVATEUR DENTAIRE 10PC</t>
  </si>
  <si>
    <t>FG04151</t>
  </si>
  <si>
    <t>BOITE POUR EPISIOTOMIE</t>
  </si>
  <si>
    <t>FG04152</t>
  </si>
  <si>
    <t>BOITE PINCES A EXTRACTION DES DENTS 10PC</t>
  </si>
  <si>
    <t>FG04153</t>
  </si>
  <si>
    <t>BOITE POUR LA STERILISATION 150X100X50MM ML-I4022</t>
  </si>
  <si>
    <t>FG04154</t>
  </si>
  <si>
    <t>BOITE POUR LA STERILISATION 250X125X50MM ML-I4024</t>
  </si>
  <si>
    <t>FG04155</t>
  </si>
  <si>
    <t>BOITE POUR LA STERILISATION 275X150X50MM ML-I4025</t>
  </si>
  <si>
    <t>FG04156</t>
  </si>
  <si>
    <t>BOVINE ALBUMIN 22%</t>
  </si>
  <si>
    <t>FG04157</t>
  </si>
  <si>
    <t>BROSSE DE CYTOLOGIE JETABLE DIA-1.8MM, LONG-1600MM</t>
  </si>
  <si>
    <t>FG04158</t>
  </si>
  <si>
    <t>BROSSE NETTOYAGE JETABLE, DIA-1.8MM, LONG-1600MM</t>
  </si>
  <si>
    <t>FG04159</t>
  </si>
  <si>
    <t>BROSSE NETTOYAGE JETABLE, DIA-1.8MM, LONG-2300MM</t>
  </si>
  <si>
    <t>FG04160</t>
  </si>
  <si>
    <t>CALCIUM O.C.P.C 2 X 50 ML</t>
  </si>
  <si>
    <t>FG04161</t>
  </si>
  <si>
    <t>CANULE DE GUEDEL NO. 00 ML-P6004-00</t>
  </si>
  <si>
    <t>FG04162</t>
  </si>
  <si>
    <t>CANULE DE GUEDEL NO. 2 ML-P6004-2</t>
  </si>
  <si>
    <t>FG04163</t>
  </si>
  <si>
    <t>CANULE DE GUEDEL NO. 3 ML-P6004-3</t>
  </si>
  <si>
    <t>FG04164</t>
  </si>
  <si>
    <t>CASAQUE OPERATOIRE L ML-TX0007</t>
  </si>
  <si>
    <t>FG04165</t>
  </si>
  <si>
    <t>CASAQUE OPERATOIRE XL ML-TX0008</t>
  </si>
  <si>
    <t>FG04166</t>
  </si>
  <si>
    <t>CENTRIFUGEUSE A HEMATOCRITE (24 X CAPILLARY TUBES)</t>
  </si>
  <si>
    <t>FG04167</t>
  </si>
  <si>
    <t>CENTRIFUGEUSE LABOTATOIRE - 2ML/1.5ML X 12</t>
  </si>
  <si>
    <t>FG04168</t>
  </si>
  <si>
    <t>CENTRIFUGEUSE LABOTATOIRE MICRO - 2 ROTOR</t>
  </si>
  <si>
    <t>FG04169</t>
  </si>
  <si>
    <t>CENTRIFUGEUSE LABOTATOIRE-(8 X 15ML,12X10ML,7ML,1)</t>
  </si>
  <si>
    <t>FG04170</t>
  </si>
  <si>
    <t>CHAMP STERILE POUR L'OEIL</t>
  </si>
  <si>
    <t>FG04171</t>
  </si>
  <si>
    <t>CHARIOT BRANCARD FIXE</t>
  </si>
  <si>
    <t>FG04172</t>
  </si>
  <si>
    <t>CHOLESTEROL CHOD-PAP 2 X 50 ML</t>
  </si>
  <si>
    <t>FG04173</t>
  </si>
  <si>
    <t>CISEAUX COURBÉS MOUSSE/POINTU - 14,5 CM</t>
  </si>
  <si>
    <t>FG04174</t>
  </si>
  <si>
    <t>CISEAUX DAUPHIN DROITS 14 CM</t>
  </si>
  <si>
    <t>FG04175</t>
  </si>
  <si>
    <t>CISEAUX DE LISTER CROIX ROUGE 14 CM</t>
  </si>
  <si>
    <t>FG04176</t>
  </si>
  <si>
    <t>CISEAUX JESCO UNIVERSEL TYPE, INOX ET PLASTIQUE</t>
  </si>
  <si>
    <t>FG04177</t>
  </si>
  <si>
    <t>CONCENTRATEUR D OXYGENE - 10L</t>
  </si>
  <si>
    <t>FG04178</t>
  </si>
  <si>
    <t>CONCENTRATEUR D'OXYGENE - 10L</t>
  </si>
  <si>
    <t>FG04179</t>
  </si>
  <si>
    <t>CONCENTRATEUR D'OXYGENE - 5L</t>
  </si>
  <si>
    <t>FG04180</t>
  </si>
  <si>
    <t>CONTROLEUR DE PIPETTES - FILTRE LEVO</t>
  </si>
  <si>
    <t>FG04181</t>
  </si>
  <si>
    <t>COUVRE LIT ET DRAPS ML-TX0001</t>
  </si>
  <si>
    <t>FG04182</t>
  </si>
  <si>
    <t>CREATININE ALKALINE PICRATE 250 ML</t>
  </si>
  <si>
    <t>FG04183</t>
  </si>
  <si>
    <t>CREATININE JAFFES REACTION 2 X 125 ML</t>
  </si>
  <si>
    <t>FG04184</t>
  </si>
  <si>
    <t>CREATININE JAFFES REACTION 2 X 75 ML</t>
  </si>
  <si>
    <t>FG04185</t>
  </si>
  <si>
    <t>CRP C-REACTIVE PROTEIN 20 TESTS</t>
  </si>
  <si>
    <t>FG04186</t>
  </si>
  <si>
    <t>CRP C-REACTIVE PROTEIN TESTS</t>
  </si>
  <si>
    <t>FG04187</t>
  </si>
  <si>
    <t>CRYOTUBE 2ML, ROND FIL INT WASHER ROUGE B/250PCS</t>
  </si>
  <si>
    <t>FG04188</t>
  </si>
  <si>
    <t>CRYSTAL HBSAG (DEVICE) 25 TESTS</t>
  </si>
  <si>
    <t>FG04189</t>
  </si>
  <si>
    <t>CRYSTAL HIV 25 TEST</t>
  </si>
  <si>
    <t>FG04190</t>
  </si>
  <si>
    <t>CRYSTAL VC (DIPSTICK) 10 TESTS</t>
  </si>
  <si>
    <t>FG04191</t>
  </si>
  <si>
    <t>CULLOTTES BALANCE SUSPENDUE CADRAN ROND ML-D2002A</t>
  </si>
  <si>
    <t>FG04192</t>
  </si>
  <si>
    <t>CURETTAGE BOX AND UTERINE REVISION 12PC</t>
  </si>
  <si>
    <t>FG04193</t>
  </si>
  <si>
    <t>CUVETTE HARICOT EN INOX 250MM INOX-(KIDNEYTRAY)</t>
  </si>
  <si>
    <t>FG04194</t>
  </si>
  <si>
    <t>DIALYZER 1.6 HIGH FLUX</t>
  </si>
  <si>
    <t>FG04195</t>
  </si>
  <si>
    <t>DIASALE FILTER FRESENIUS</t>
  </si>
  <si>
    <t>FG04196</t>
  </si>
  <si>
    <t>DISQUES ANTIBIOTIQUES CEFIXIME</t>
  </si>
  <si>
    <t>FG04197</t>
  </si>
  <si>
    <t>DISQUES ANTIBIOTIQUES CEFOTAXIME</t>
  </si>
  <si>
    <t>FG04198</t>
  </si>
  <si>
    <t>DISTILLATEUR D'EAU LABORATOIRE 10L/H</t>
  </si>
  <si>
    <t>FG04199</t>
  </si>
  <si>
    <t>DOPPLER FOETAL</t>
  </si>
  <si>
    <t>FG04200</t>
  </si>
  <si>
    <t>DOUBLE LUMEN CATHETER CURVED 11.5 FR X 15 CM</t>
  </si>
  <si>
    <t>FG04201</t>
  </si>
  <si>
    <t>DRAIN TRORACIQUE N20</t>
  </si>
  <si>
    <t>FG04202</t>
  </si>
  <si>
    <t>DRESSING BOX 8PC</t>
  </si>
  <si>
    <t>FG04203</t>
  </si>
  <si>
    <t>ECHOGRAPHIE PORTABLE - ECO MODEL</t>
  </si>
  <si>
    <t>FG04204</t>
  </si>
  <si>
    <t>ELECTRIC OPERATION TABLE ML-M045A</t>
  </si>
  <si>
    <t>FG04205</t>
  </si>
  <si>
    <t>ELECTRIC OPERATION TABLE ML-M045B</t>
  </si>
  <si>
    <t>FG04206</t>
  </si>
  <si>
    <t>ELECTRIC OPERATION TABLE ML-M047</t>
  </si>
  <si>
    <t>FG04207</t>
  </si>
  <si>
    <t>EMBOUT BLEU 100 - 1000 UL B/1000</t>
  </si>
  <si>
    <t>FG04208</t>
  </si>
  <si>
    <t>EMBOUT JAUNE 5 - 200 UL B/1000</t>
  </si>
  <si>
    <t>FG04209</t>
  </si>
  <si>
    <t>ENDOSCOPY SYSTEM - GASTROSCOPY &amp; COLONOSCOPY</t>
  </si>
  <si>
    <t>FG04210</t>
  </si>
  <si>
    <t>EPISIOTOMY BOX 6PC</t>
  </si>
  <si>
    <t>FG04211</t>
  </si>
  <si>
    <t>EXAMINATION GYNECOLOGY COUCH MATERNITY BED ML-M041</t>
  </si>
  <si>
    <t>FG04212</t>
  </si>
  <si>
    <t>EXAMINATION GYNECOLOGY COUCH MATERNITY BED SS</t>
  </si>
  <si>
    <t>FG04213</t>
  </si>
  <si>
    <t>EXAMINATION GYNECOLOGY COUCH ML-M036</t>
  </si>
  <si>
    <t>FG04214</t>
  </si>
  <si>
    <t>EXAMINATION GYNECOLOGY TABLE ML-M040</t>
  </si>
  <si>
    <t>FG04215</t>
  </si>
  <si>
    <t>EXAMINATION LAMP LED ML-E1005A</t>
  </si>
  <si>
    <t>FG04216</t>
  </si>
  <si>
    <t>EXAMINATION TABLE ML-M002</t>
  </si>
  <si>
    <t>FG04217</t>
  </si>
  <si>
    <t>FRENIQUE (PHENYLEPHRINE) 10MG/ML 1 AMP</t>
  </si>
  <si>
    <t>FG04218</t>
  </si>
  <si>
    <t>GANTS DEXAIMAIN N.STER B/100 LARGE (UNIQUE)</t>
  </si>
  <si>
    <t>FG04219</t>
  </si>
  <si>
    <t>GANTS DEXAIMAIN N.STER B/100 MIDIUM (UNIQUE)</t>
  </si>
  <si>
    <t>FG04220</t>
  </si>
  <si>
    <t>ABA 225MG 3AMP</t>
  </si>
  <si>
    <t>FG04221</t>
  </si>
  <si>
    <t>ABITAR 150 MG AD B/3AMP</t>
  </si>
  <si>
    <t>FG04222</t>
  </si>
  <si>
    <t>ABITAR 225 MG FORTE B/3AMP</t>
  </si>
  <si>
    <t>FG04223</t>
  </si>
  <si>
    <t>ABITAR 75 MG JUNIOR B/3AMP</t>
  </si>
  <si>
    <t>FG04224</t>
  </si>
  <si>
    <t>ACYCLOVIR 500MG INJ 1 VIAL</t>
  </si>
  <si>
    <t>FG04225</t>
  </si>
  <si>
    <t>ADJUSTABLE MICROPIPETTE (VOL. 2-20)AUTOCLAVABLE</t>
  </si>
  <si>
    <t>FG04226</t>
  </si>
  <si>
    <t>ASPECAF 10CAP PL</t>
  </si>
  <si>
    <t>FG04227</t>
  </si>
  <si>
    <t>ASPIRINE **UPSA** 500MG 20CES EFF.</t>
  </si>
  <si>
    <t>FG04228</t>
  </si>
  <si>
    <t>ASTA 40MG (ATROVASTATINE) B/30</t>
  </si>
  <si>
    <t>FG04229</t>
  </si>
  <si>
    <t>APPAREIL DECHOGRAPHIE</t>
  </si>
  <si>
    <t>FG04230</t>
  </si>
  <si>
    <t>ARAUCLAV 600MG INJ</t>
  </si>
  <si>
    <t>FG04231</t>
  </si>
  <si>
    <t>ARMADOC ENFANT (ARTESU.+AMOD.) B/3+3CES</t>
  </si>
  <si>
    <t>FG04232</t>
  </si>
  <si>
    <t>ARTESIM 150MG 3AMP</t>
  </si>
  <si>
    <t>FG04233</t>
  </si>
  <si>
    <t>ASCORIL EXP. SP 100ML</t>
  </si>
  <si>
    <t>FG04234</t>
  </si>
  <si>
    <t>ASTIR (ARTESUNAT) 240MG ING</t>
  </si>
  <si>
    <t>FG04235</t>
  </si>
  <si>
    <t>ASTIR (ARTESUNAT) 30MG ING</t>
  </si>
  <si>
    <t>FG04236</t>
  </si>
  <si>
    <t>ASTIR (ARTESUNAT) 60MG ING</t>
  </si>
  <si>
    <t>FG04237</t>
  </si>
  <si>
    <t>ASU 90MG (ARTESUNATE 90MG) ING</t>
  </si>
  <si>
    <t>FG04238</t>
  </si>
  <si>
    <t>ATENOLOL BIOGARAN 50MG B/30 CES</t>
  </si>
  <si>
    <t>FG04239</t>
  </si>
  <si>
    <t>AVISTOR 20MG (ATROVASTATIN)B/30 CES</t>
  </si>
  <si>
    <t>FG04240</t>
  </si>
  <si>
    <t>BALLON DAMBU + MASQUE 00 OU 01</t>
  </si>
  <si>
    <t>FG04241</t>
  </si>
  <si>
    <t>BLUMOX-250MG DISP. B/20 TAB</t>
  </si>
  <si>
    <t>FG04242</t>
  </si>
  <si>
    <t>BOMBONNE DOXYGENE POUR REAMIMATION</t>
  </si>
  <si>
    <t>FG04243</t>
  </si>
  <si>
    <t>B-THER 150MG INJ B/3 AMP</t>
  </si>
  <si>
    <t>FG04244</t>
  </si>
  <si>
    <t>B-THER 225MG INJ B/3 AMP</t>
  </si>
  <si>
    <t>FG04245</t>
  </si>
  <si>
    <t>CADITOR (ATORVASTATIN) 20 MG B30/CES</t>
  </si>
  <si>
    <t>FG04246</t>
  </si>
  <si>
    <t>CAISTHER JUNIOR DISPERSIBLE B/6 CES</t>
  </si>
  <si>
    <t>FG04247</t>
  </si>
  <si>
    <t>CALCIUM +MAG BIOFAR CPR EFFV T/20</t>
  </si>
  <si>
    <t>FG04248</t>
  </si>
  <si>
    <t>CEFUNAT (CEFIXIME) 100MG DISP B/10 CES</t>
  </si>
  <si>
    <t>FG04249</t>
  </si>
  <si>
    <t>CEFUNAT (CEFIXIME) 200MG DISP B/10 CES</t>
  </si>
  <si>
    <t>FG04250</t>
  </si>
  <si>
    <t>CESACAL (CALCIUM,VITAMINE D3) B/ 2 X 15 CES</t>
  </si>
  <si>
    <t>FG04251</t>
  </si>
  <si>
    <t>CHROME COMPLEX BIOFAR CPR EFFV T/20</t>
  </si>
  <si>
    <t>FG04252</t>
  </si>
  <si>
    <t>CLOPIDO-75 (CLOPIDOGREL UPS 75MG) B/30CES</t>
  </si>
  <si>
    <t>FG04253</t>
  </si>
  <si>
    <t>CLOTEK LOTION 30ML</t>
  </si>
  <si>
    <t>FG04254</t>
  </si>
  <si>
    <t>CONCEF FORTE 1500MG ING</t>
  </si>
  <si>
    <t>FG04255</t>
  </si>
  <si>
    <t>CONCEF T-1125MG ING</t>
  </si>
  <si>
    <t>FG04256</t>
  </si>
  <si>
    <t>CONTROLEUR DE PIPETTES - LEVO</t>
  </si>
  <si>
    <t>FG04257</t>
  </si>
  <si>
    <t>CORTI-STENE(BETAMETA) 30ML GOUTE</t>
  </si>
  <si>
    <t>FG04258</t>
  </si>
  <si>
    <t>CRAYON NITRATE DARGENT (SALVA)</t>
  </si>
  <si>
    <t>FG04259</t>
  </si>
  <si>
    <t>DAVIMETHER-LF TAB B/12</t>
  </si>
  <si>
    <t>FG04260</t>
  </si>
  <si>
    <t>DECAPEPTYL 11.25MG B/1AMP</t>
  </si>
  <si>
    <t>FG04261</t>
  </si>
  <si>
    <t>DERMAZEMA 30G CREAM</t>
  </si>
  <si>
    <t>FG04262</t>
  </si>
  <si>
    <t>DESPAIN 30MG B/10 CES</t>
  </si>
  <si>
    <t>FG04263</t>
  </si>
  <si>
    <t>DETTOL 750ML LIQUIDE</t>
  </si>
  <si>
    <t>FG04264</t>
  </si>
  <si>
    <t>DIPIGERMINA (2 MILLIARDS D'UFC/5ML) INJ</t>
  </si>
  <si>
    <t>FG04265</t>
  </si>
  <si>
    <t>DREZ 100ML SOLUTION</t>
  </si>
  <si>
    <t>FG04266</t>
  </si>
  <si>
    <t>DYNAPETIT 100ML SP</t>
  </si>
  <si>
    <t>FG04267</t>
  </si>
  <si>
    <t>FER+AC FOLIQ BIOFAR CPR EFFV 20</t>
  </si>
  <si>
    <t>FG04268</t>
  </si>
  <si>
    <t>GANTS DEXAIMAIN N.STER B/100 SANS POUDRE</t>
  </si>
  <si>
    <t>FG04269</t>
  </si>
  <si>
    <t>AMPICILLINE 125MG SP 60ML ( PHATKIN)</t>
  </si>
  <si>
    <t>FG04270</t>
  </si>
  <si>
    <t>AMPICILLINE 250MG B/10X10CAPS</t>
  </si>
  <si>
    <t>FG04271</t>
  </si>
  <si>
    <t>AMPICILLINE 250MG SP 60ML</t>
  </si>
  <si>
    <t>FG04272</t>
  </si>
  <si>
    <t>AMPICILLINE 500MG B/10X10CAPS</t>
  </si>
  <si>
    <t>FG04273</t>
  </si>
  <si>
    <t>ANTIACID B/10X10CES (LOCAL)</t>
  </si>
  <si>
    <t>FG04274</t>
  </si>
  <si>
    <t>ANTOL BABY 75GM SOAP</t>
  </si>
  <si>
    <t>FG04275</t>
  </si>
  <si>
    <t>APRON USAGE UNIQUE ML-TX0009</t>
  </si>
  <si>
    <t>FG04276</t>
  </si>
  <si>
    <t>ARTES-90MG (ARTESUNATE) INJECTABLE B/1 KIT</t>
  </si>
  <si>
    <t>FG04277</t>
  </si>
  <si>
    <t>BLUMOX 250MG B/20CES</t>
  </si>
  <si>
    <t>FG04278</t>
  </si>
  <si>
    <t>BOX FOR MINOR SURGERY 11PC</t>
  </si>
  <si>
    <t>FG04279</t>
  </si>
  <si>
    <t>B-THER 75MG ING B/3 AMP</t>
  </si>
  <si>
    <t>FG04280</t>
  </si>
  <si>
    <t>CENTRIFUGEUSE DE LABORATOIRE 4K, 12X15ML</t>
  </si>
  <si>
    <t>FG04281</t>
  </si>
  <si>
    <t>CHLORAMPHENICOL 250MG B/10X10CAPS</t>
  </si>
  <si>
    <t>FG04283</t>
  </si>
  <si>
    <t>DIALYZER 1.8 HIGH FLUX</t>
  </si>
  <si>
    <t>FG04284</t>
  </si>
  <si>
    <t>ECHOGRAPHIE PORTABLE - ML-500</t>
  </si>
  <si>
    <t>FG04285</t>
  </si>
  <si>
    <t>EXAMINATION GYNECOLOGY COUCH ML-M037</t>
  </si>
  <si>
    <t>FG04286</t>
  </si>
  <si>
    <t>FLAMINGO CHEST GUARD (MEDIUM)</t>
  </si>
  <si>
    <t>FG04287</t>
  </si>
  <si>
    <t>FLAMINGO ABDOMINAL BELT (SMALL) (20 CM)</t>
  </si>
  <si>
    <t>FG04288</t>
  </si>
  <si>
    <t>FLAMINGO ARM POUCH (MEDIUM)</t>
  </si>
  <si>
    <t>FG04289</t>
  </si>
  <si>
    <t>FLAMINGO BI AXEL HINGED KNEE CAP (EXTRA LARGE)</t>
  </si>
  <si>
    <t>FG04290</t>
  </si>
  <si>
    <t>FLAMINGO CERVICAL COLLAR (LARGE)</t>
  </si>
  <si>
    <t>FG04291</t>
  </si>
  <si>
    <t>FLAMINGO COOL PACK REGULAR</t>
  </si>
  <si>
    <t>FG04292</t>
  </si>
  <si>
    <t>FLAMINGO DORSO LUMBER SPINAL BRACE(DOUBEXTRALARGE)</t>
  </si>
  <si>
    <t>FG04293</t>
  </si>
  <si>
    <t>FLAMINGO FOOT DROP SPLINT LEFT (LARGE)</t>
  </si>
  <si>
    <t>FG04294</t>
  </si>
  <si>
    <t>FLAMINGO HEIGHT ADJUSTABLE HARD COLLAR (L)</t>
  </si>
  <si>
    <t>FG04295</t>
  </si>
  <si>
    <t>FLAMINGO KNEE BRACE LONG (MEDIUM)</t>
  </si>
  <si>
    <t>FG04296</t>
  </si>
  <si>
    <t>FLAMINGO PEDIATRIC CLAVICLE BRACE (SMALL)</t>
  </si>
  <si>
    <t>FG04297</t>
  </si>
  <si>
    <t>FLAMINGO RIB BELT (LARGE)</t>
  </si>
  <si>
    <t>FG04298</t>
  </si>
  <si>
    <t>FLAMINGO STOCKING BELOW KNEE PREMIUM (MEDIUM)</t>
  </si>
  <si>
    <t>FG04299</t>
  </si>
  <si>
    <t>FLAMINGO THUMB SPICA (LARGE)</t>
  </si>
  <si>
    <t>FG04300</t>
  </si>
  <si>
    <t>FLAMINGO WAIST TRIMMER (EXTRA LARGE)</t>
  </si>
  <si>
    <t>FG04301</t>
  </si>
  <si>
    <t>GPT(ALT) IFCC-UV KINETIC 10 X 10 ML</t>
  </si>
  <si>
    <t>FG04302</t>
  </si>
  <si>
    <t>TRANSFUSION - BLOOD COLLECTION CHAIR MULTI PURPOSE ML-M062</t>
  </si>
  <si>
    <t>FG04303</t>
  </si>
  <si>
    <t>TRIGLYCERIDES GPO/TRINDER 2 X 50 ML</t>
  </si>
  <si>
    <t>FG04304</t>
  </si>
  <si>
    <t>TUBE DEXTENSION AVEC 3WAY ( 10CM )</t>
  </si>
  <si>
    <t>FG04305</t>
  </si>
  <si>
    <t>UREA/BUN DAM 125ML</t>
  </si>
  <si>
    <t>FG04306</t>
  </si>
  <si>
    <t>URINAL HOMME AVEC POIGNÉE INOX ML-I4003</t>
  </si>
  <si>
    <t>FG04307</t>
  </si>
  <si>
    <t>VERORAB VACCIN B/1</t>
  </si>
  <si>
    <t>FG04308</t>
  </si>
  <si>
    <t>VITAMINE K1 INJ INJ.B/10AMP</t>
  </si>
  <si>
    <t>FG04309</t>
  </si>
  <si>
    <t>WIDAL ANTIGEN SET (SLIDE) 2X2X5 ML</t>
  </si>
  <si>
    <t>FG04310</t>
  </si>
  <si>
    <t>Z-500 MG CES B/5 CES</t>
  </si>
  <si>
    <t>FG04311</t>
  </si>
  <si>
    <t>ABA 75MG 3AMP</t>
  </si>
  <si>
    <t>FG04312</t>
  </si>
  <si>
    <t>ACIDE FOLIC 10X10CES</t>
  </si>
  <si>
    <t>FG04313</t>
  </si>
  <si>
    <t>ALGOFENE (IBUPROFENE) 150ML SP</t>
  </si>
  <si>
    <t>FG04314</t>
  </si>
  <si>
    <t>ALUKON 4MG 14 SACHETS (FR)</t>
  </si>
  <si>
    <t>FG04315</t>
  </si>
  <si>
    <t>AMBILON 50MG (AMPHOTERICIN B) INJ B/1 VIAL</t>
  </si>
  <si>
    <t>FG04316</t>
  </si>
  <si>
    <t>AMINOPHILLINE 250MG/10ML B/10AMP</t>
  </si>
  <si>
    <t>FG04317</t>
  </si>
  <si>
    <t>ARMOIRE - ENDOSCOPES FLEXIBLES</t>
  </si>
  <si>
    <t>FG04318</t>
  </si>
  <si>
    <t>ARTESIM 75MG 3AMP</t>
  </si>
  <si>
    <t>FG04319</t>
  </si>
  <si>
    <t>ASTIR (ARTESUNAT) 120MG ING</t>
  </si>
  <si>
    <t>FG04320</t>
  </si>
  <si>
    <t>ASTIR (ARTESUNAT) 150MG ING</t>
  </si>
  <si>
    <t>FG04321</t>
  </si>
  <si>
    <t>BACTILIEF 30G CREME</t>
  </si>
  <si>
    <t>FG04322</t>
  </si>
  <si>
    <t>CANULE DE GUEDEL NO. 4 ML-P6004-4</t>
  </si>
  <si>
    <t>FG04324</t>
  </si>
  <si>
    <t>CEFIM (CEFIXIME) DS 60ML (NEW)</t>
  </si>
  <si>
    <t>FG04325</t>
  </si>
  <si>
    <t>CEFIM 200 (CEFIXIME) B/10CES</t>
  </si>
  <si>
    <t>FG04326</t>
  </si>
  <si>
    <t>CEFUNAT (CEFIXIME) 400MG DISP B/10 CES</t>
  </si>
  <si>
    <t>FG04327</t>
  </si>
  <si>
    <t>CESAPRIL 10MG CES</t>
  </si>
  <si>
    <t>FG04328</t>
  </si>
  <si>
    <t>CLOTRIL B.G. CREME 10GR</t>
  </si>
  <si>
    <t>FG04329</t>
  </si>
  <si>
    <t>CONCEF (CEFTRIAXONE+EAU DIST.) 1GR ING</t>
  </si>
  <si>
    <t>FG04330</t>
  </si>
  <si>
    <t>CONCEF PLUS 750MG ING</t>
  </si>
  <si>
    <t>FG04331</t>
  </si>
  <si>
    <t>CONTHER JUNIOR DISPERSIBLE B/6 CES</t>
  </si>
  <si>
    <t>FG04332</t>
  </si>
  <si>
    <t>CONTROLEUR DE PIPETTES - LEVO ME</t>
  </si>
  <si>
    <t>FG04333</t>
  </si>
  <si>
    <t>DESPAIN-P B/10 CES</t>
  </si>
  <si>
    <t>FG04334</t>
  </si>
  <si>
    <t>DISQUES ANTIBIOTIQUES AMOX + CLAV AUG</t>
  </si>
  <si>
    <t>FG04335</t>
  </si>
  <si>
    <t>DYNAPETIT 10 X 10 CES</t>
  </si>
  <si>
    <t>FG04336</t>
  </si>
  <si>
    <t>EXAMINATION BED SINGLE CRANK ML-M004</t>
  </si>
  <si>
    <t>FG04337</t>
  </si>
  <si>
    <t>FEMOCID DT-20MG B/10 CES</t>
  </si>
  <si>
    <t>FG04338</t>
  </si>
  <si>
    <t>FLAMINGO CLAVICAL BRACE (LARGE)</t>
  </si>
  <si>
    <t>FG04339</t>
  </si>
  <si>
    <t>FLAMINGO ANKLE BINDER (MEDIUM)</t>
  </si>
  <si>
    <t>FG04340</t>
  </si>
  <si>
    <t>FLAMINGO HEAT BELT PREMIUM (JUMBO)</t>
  </si>
  <si>
    <t>FG04341</t>
  </si>
  <si>
    <t>FLAMINGO KNEE BRACE LONG (XXL)</t>
  </si>
  <si>
    <t>FG04342</t>
  </si>
  <si>
    <t>FLAMINGO KNEE STABILISER (LARGE)</t>
  </si>
  <si>
    <t>FG04343</t>
  </si>
  <si>
    <t>FLAMINGO LUMBAR SACRO BELT (SMALL)</t>
  </si>
  <si>
    <t>FG04344</t>
  </si>
  <si>
    <t>FLAMINGO PELVIC BINDER (XXL)</t>
  </si>
  <si>
    <t>FG04345</t>
  </si>
  <si>
    <t>FLAMINGO SACRO LUMBAR PREMIUM (MEDIUM) BELT</t>
  </si>
  <si>
    <t>FG04346</t>
  </si>
  <si>
    <t>FLAMINGO SILICONE FOOT INSOLE (MEDIUM)</t>
  </si>
  <si>
    <t>FG04347</t>
  </si>
  <si>
    <t>FLAMINGO TENNIS ELBOW SUPPORT (EXTRA LARGE)</t>
  </si>
  <si>
    <t>FG04348</t>
  </si>
  <si>
    <t>FLAMINGO UNDER ARM CRUTCHES (MEDIUM)</t>
  </si>
  <si>
    <t>FG04349</t>
  </si>
  <si>
    <t>FLAMINGO WAIST TRIMMER (LARGE)</t>
  </si>
  <si>
    <t>FG04350</t>
  </si>
  <si>
    <t>HEMORCURE B/30CES (ANTI-HEMOROIDAL)</t>
  </si>
  <si>
    <t>FG04351</t>
  </si>
  <si>
    <t>HOSPITAL BED PLAIN WITH BACKREST ML-M003</t>
  </si>
  <si>
    <t>FG04352</t>
  </si>
  <si>
    <t>HOSPITAL EMERGENCY ABS TROLLEY ML-M070A</t>
  </si>
  <si>
    <t>FG04353</t>
  </si>
  <si>
    <t>HOSPITAL INFANT BABY BED CRIB ON CASTORS ML-M068</t>
  </si>
  <si>
    <t>FG04354</t>
  </si>
  <si>
    <t>HOSPITAL TWO STEP STOOL ANTI-SKID ML-M034</t>
  </si>
  <si>
    <t>FG04355</t>
  </si>
  <si>
    <t>HYDRAULIC C-ARM OPERATION TABLE ML-M043</t>
  </si>
  <si>
    <t>FG04356</t>
  </si>
  <si>
    <t>HYDRAULIC C-ARM OPERATION TABLE ML-M046</t>
  </si>
  <si>
    <t>FG04357</t>
  </si>
  <si>
    <t>HYDRAULIC OPERATION TABLE SIDE END CONTROL ML-M042</t>
  </si>
  <si>
    <t>FG04358</t>
  </si>
  <si>
    <t>ICU BED ELECTRIC THREE FUNCTION HEIGHT ADJUSTABLE</t>
  </si>
  <si>
    <t>FG04359</t>
  </si>
  <si>
    <t>IMN - 3IN1(CTNI/MYO/CK-MB)COMBO, B/25 CARTOUCHES</t>
  </si>
  <si>
    <t>FG04360</t>
  </si>
  <si>
    <t>IMN - AFP, B/25 CARTOUCHES</t>
  </si>
  <si>
    <t>FG04361</t>
  </si>
  <si>
    <t>IMN - AMH, B/25 CARTOUCHES</t>
  </si>
  <si>
    <t>FG04362</t>
  </si>
  <si>
    <t>IMN - ANALYSEUR DIMMUNOANALYSE</t>
  </si>
  <si>
    <t>FG04363</t>
  </si>
  <si>
    <t>IMN - BETA2-MG, B/25 CARTOUCHES</t>
  </si>
  <si>
    <t>FG04364</t>
  </si>
  <si>
    <t>IMN - BETA-HCG, B/25 CARTOUCHES</t>
  </si>
  <si>
    <t>FG04365</t>
  </si>
  <si>
    <t>IMN - BNP, B/25 CARTOUCHES</t>
  </si>
  <si>
    <t>FG04366</t>
  </si>
  <si>
    <t>IMN - CEA, B/25 CARTOUCHES</t>
  </si>
  <si>
    <t>FG04367</t>
  </si>
  <si>
    <t>IMN - CORTISOL, B/25 CARTOUCHES</t>
  </si>
  <si>
    <t>FG04368</t>
  </si>
  <si>
    <t>IMN - CRP, B/25 CARTOUCHES</t>
  </si>
  <si>
    <t>FG04369</t>
  </si>
  <si>
    <t>IMN - CRP+PCT, B/25 CARTOUCHES</t>
  </si>
  <si>
    <t>FG04370</t>
  </si>
  <si>
    <t>IMN - CTNI, B/25 CARTOUCHES</t>
  </si>
  <si>
    <t>FG04371</t>
  </si>
  <si>
    <t>IMN - CTNI/NT-PROBNP, B/25 CARTOUCHES</t>
  </si>
  <si>
    <t>FG04372</t>
  </si>
  <si>
    <t>IMN - CYSC, B/25 CARTOUCHES</t>
  </si>
  <si>
    <t>FG04373</t>
  </si>
  <si>
    <t>IMN - D-DIMER, B/25 CARTOUCHES</t>
  </si>
  <si>
    <t>FG04374</t>
  </si>
  <si>
    <t>IMN - FERRITIN, B/25 CARTOUCHES</t>
  </si>
  <si>
    <t>FG04375</t>
  </si>
  <si>
    <t>IMN - FPSA, B/25 CARTOUCHES</t>
  </si>
  <si>
    <t>FG04376</t>
  </si>
  <si>
    <t>IMN - FT3, B/25 CARTOUCHES</t>
  </si>
  <si>
    <t>FG04377</t>
  </si>
  <si>
    <t>IMN - FT4, B/25 CARTOUCHES</t>
  </si>
  <si>
    <t>FG04378</t>
  </si>
  <si>
    <t>IMN - HBA1C, B/25 CARTOUCHES</t>
  </si>
  <si>
    <t>FG04379</t>
  </si>
  <si>
    <t>IMN - H-FABP, B/25 CARTOUCHES</t>
  </si>
  <si>
    <t>FG04380</t>
  </si>
  <si>
    <t>IMN - LH, B/25 CARTOUCHES</t>
  </si>
  <si>
    <t>FG04381</t>
  </si>
  <si>
    <t>IMN - MAU, B/25 CARTOUCHES</t>
  </si>
  <si>
    <t>FG04382</t>
  </si>
  <si>
    <t>IMN - NGAL, B/25 CARTOUCHES</t>
  </si>
  <si>
    <t>FG04383</t>
  </si>
  <si>
    <t>IMN - NT-PROBN, B/25 CARTOUCHES</t>
  </si>
  <si>
    <t>FG04384</t>
  </si>
  <si>
    <t>IMN - PCT B/25, CARTOUCHES</t>
  </si>
  <si>
    <t>FG04385</t>
  </si>
  <si>
    <t>IMN - PSA, B/25 CARTOUCHES</t>
  </si>
  <si>
    <t>FG04386</t>
  </si>
  <si>
    <t>IMN - S100B, B/25 CARTOUCHES</t>
  </si>
  <si>
    <t>FG04387</t>
  </si>
  <si>
    <t>IMN - T3, B/25 CARTOUCHES</t>
  </si>
  <si>
    <t>FG04388</t>
  </si>
  <si>
    <t>IMN - T4, B/25 CARTOUCHES</t>
  </si>
  <si>
    <t>FG04389</t>
  </si>
  <si>
    <t>IMN - TESTOSTERONE, B/25 CARTOUCHES</t>
  </si>
  <si>
    <t>FG04390</t>
  </si>
  <si>
    <t>IMN - TSH, B/25 CARTOUCHES</t>
  </si>
  <si>
    <t>FG04391</t>
  </si>
  <si>
    <t>IMN - VIT D, B/25 CARTOUCHES</t>
  </si>
  <si>
    <t>FG04392</t>
  </si>
  <si>
    <t>IMPRIMANTE MEDICALE NUMERIQUE- N/B-SONY UP-X898MD</t>
  </si>
  <si>
    <t>FG04393</t>
  </si>
  <si>
    <t>INDOCIDE 25MG B/10X10 CAPS</t>
  </si>
  <si>
    <t>FG04394</t>
  </si>
  <si>
    <t>INSTRUMENT TROLLEY THREE SHELVES ML-M053</t>
  </si>
  <si>
    <t>FG04395</t>
  </si>
  <si>
    <t>INSTRUMENT TROLLEY TWO SHELVES ML-M050</t>
  </si>
  <si>
    <t>FG04396</t>
  </si>
  <si>
    <t>INSULINE NOVOMIX 30 1 STYLO 3ML</t>
  </si>
  <si>
    <t>FG04397</t>
  </si>
  <si>
    <t>JERSEY 10CMX25M</t>
  </si>
  <si>
    <t>FG04398</t>
  </si>
  <si>
    <t>JERSEY 15CMX25M</t>
  </si>
  <si>
    <t>FG04399</t>
  </si>
  <si>
    <t>KIMIA (ANTIACID) 5MG B/10 SACHETS</t>
  </si>
  <si>
    <t>FG04400</t>
  </si>
  <si>
    <t>KIT DE VALVES DENDOSCOPIE,JETABLES,4 PIÈCES/KIT</t>
  </si>
  <si>
    <t>FG04401</t>
  </si>
  <si>
    <t>KIT GROUPAGE - ANTI A B D (IGM), AB (MONOCLONAL)</t>
  </si>
  <si>
    <t>FG04402</t>
  </si>
  <si>
    <t>LAMEL COUVERE OBJECT 18X18 B/1000PCS</t>
  </si>
  <si>
    <t>FG04403</t>
  </si>
  <si>
    <t>LDH DGKC 5 X 5 ML</t>
  </si>
  <si>
    <t>FG04404</t>
  </si>
  <si>
    <t>MACROMAX 200MG/5ML SP 30ML</t>
  </si>
  <si>
    <t>FG04405</t>
  </si>
  <si>
    <t>MAILLET DE MARTEAU À FENTE SYNTHES</t>
  </si>
  <si>
    <t>FG04406</t>
  </si>
  <si>
    <t>MAJOR GENERAL SET 85PC</t>
  </si>
  <si>
    <t>FG04407</t>
  </si>
  <si>
    <t>MANCHE DE BISTOURI - SCALPET N°4</t>
  </si>
  <si>
    <t>FG04408</t>
  </si>
  <si>
    <t>MANUAL BED ONE CRANK ML-M011</t>
  </si>
  <si>
    <t>FG04409</t>
  </si>
  <si>
    <t>MANUAL BED ONE CRANK ML-M013-W</t>
  </si>
  <si>
    <t>FG04410</t>
  </si>
  <si>
    <t>MARTEAU AVEC POIGNÉE EN FIBRE</t>
  </si>
  <si>
    <t>FG04411</t>
  </si>
  <si>
    <t>MARTEAU AVEC POIGNÉE EN INOX</t>
  </si>
  <si>
    <t>FG04412</t>
  </si>
  <si>
    <t>MECTIZAN LVERMECTINE , MSD) 3 MG B/500CES</t>
  </si>
  <si>
    <t>FG04413</t>
  </si>
  <si>
    <t>MELANGEUR DE LABO A ROULEAUX TUBE DE SANG</t>
  </si>
  <si>
    <t>FG04414</t>
  </si>
  <si>
    <t>MELANGEUR VORTEX ( VITESSE REGLABLE) - APPAREIL</t>
  </si>
  <si>
    <t>FG04415</t>
  </si>
  <si>
    <t>METFORMINE BIOGARAN 500MG B/90 CES</t>
  </si>
  <si>
    <t>FG04416</t>
  </si>
  <si>
    <t>METFORMINE BIOGARAN 800MG B/90 CES</t>
  </si>
  <si>
    <t>FG04417</t>
  </si>
  <si>
    <t>METFORMINE BIOGARAN 850MG B/30 CES</t>
  </si>
  <si>
    <t>FG04418</t>
  </si>
  <si>
    <t>MICROSCOPE BINOCULAIRE EXPERT - MARQUE MILLENNIAL</t>
  </si>
  <si>
    <t>FG04419</t>
  </si>
  <si>
    <t>MICROSCOPE BINOCULAR OLYMPUS CX23</t>
  </si>
  <si>
    <t>FG04420</t>
  </si>
  <si>
    <t>MIDOTRIX (MIDAZOLAM) 1MG/1ML 5ML 1 AMP</t>
  </si>
  <si>
    <t>FG04421</t>
  </si>
  <si>
    <t>MINUTEUR LABORATOIRE - CHRONOMÈTRE ML-L7003</t>
  </si>
  <si>
    <t>FG04422</t>
  </si>
  <si>
    <t>MOBILE SHADOWLESS LED LIGHT WITH BATTERY ML-E1006B</t>
  </si>
  <si>
    <t>FG04423</t>
  </si>
  <si>
    <t>MONITEUR DE SURVEILLANCE MEDICALE MH8</t>
  </si>
  <si>
    <t>FG04424</t>
  </si>
  <si>
    <t>MONITEUR FOETAL - CARDIOTOCOGRAPHE GEMELLAIRE-C22</t>
  </si>
  <si>
    <t>FG04425</t>
  </si>
  <si>
    <t>MULTIVIT BIOFAR CPR EFFV T/20</t>
  </si>
  <si>
    <t>FG04426</t>
  </si>
  <si>
    <t>MULTIVIT KIDS BIOFAR CPR EFFV T/20</t>
  </si>
  <si>
    <t>FG04427</t>
  </si>
  <si>
    <t>MYOXERIL B/20 CES</t>
  </si>
  <si>
    <t>FG04429</t>
  </si>
  <si>
    <t>NEBIMEX 5MG CES</t>
  </si>
  <si>
    <t>FG04430</t>
  </si>
  <si>
    <t>NEBULISEUR - MODEL A</t>
  </si>
  <si>
    <t>FG04431</t>
  </si>
  <si>
    <t>NEBULISEUR - MODEL B</t>
  </si>
  <si>
    <t>FG04432</t>
  </si>
  <si>
    <t>NEGATOSCOPE ULTRA SLIM BRIGHT LED ONE SCREENML</t>
  </si>
  <si>
    <t>FG04433</t>
  </si>
  <si>
    <t>NEGATOSCOPE ULTRA SLIM BRIGHT LED TWO SCREEN ML</t>
  </si>
  <si>
    <t>FG04434</t>
  </si>
  <si>
    <t>NERVAR (VIT B1 100MG, VIT B6 200NG) B/2 X 10CES</t>
  </si>
  <si>
    <t>FG04435</t>
  </si>
  <si>
    <t>NIVESTIM 48MU/5,0ML INJ</t>
  </si>
  <si>
    <t>FG04436</t>
  </si>
  <si>
    <t>NURSE STOOL ML-M055</t>
  </si>
  <si>
    <t>FG04437</t>
  </si>
  <si>
    <t>ON AND OFF KIT</t>
  </si>
  <si>
    <t>FG04439</t>
  </si>
  <si>
    <t>OPERATION STOOL ML-M054</t>
  </si>
  <si>
    <t>FG04440</t>
  </si>
  <si>
    <t>ORDINARY SURGERY BOX 62PC</t>
  </si>
  <si>
    <t>FG04441</t>
  </si>
  <si>
    <t>ORTHOPEDIC BED WITH ABS PANELS ML-M023</t>
  </si>
  <si>
    <t>FG04442</t>
  </si>
  <si>
    <t>ORTHOPEDICS TRANCTION BED ML-M024</t>
  </si>
  <si>
    <t>FG04443</t>
  </si>
  <si>
    <t>OTOSCOPE ML-E1007</t>
  </si>
  <si>
    <t>FG04444</t>
  </si>
  <si>
    <t>OVER-BED TABLE ML-M058</t>
  </si>
  <si>
    <t>FG04445</t>
  </si>
  <si>
    <t>PANIER DE STERILISHTION POUR INSTRUMENTS - MEDIUM</t>
  </si>
  <si>
    <t>FG04446</t>
  </si>
  <si>
    <t>PANNE DE LIT ROND EN INOX - BEDPAN</t>
  </si>
  <si>
    <t>FG04447</t>
  </si>
  <si>
    <t>PANTALONS CHIRURGIEN L ML-TX0005A</t>
  </si>
  <si>
    <t>FG04448</t>
  </si>
  <si>
    <t>PANTALONS CHIRURGIEN XL ML-TX0006A</t>
  </si>
  <si>
    <t>FG04449</t>
  </si>
  <si>
    <t>PANTOCON (PANTAPRAZOL) 40MG B/30CES</t>
  </si>
  <si>
    <t>FG04450</t>
  </si>
  <si>
    <t>PAPIER ECG 210 X 290</t>
  </si>
  <si>
    <t>FG04451</t>
  </si>
  <si>
    <t>PAPIER ECHOGRAPHIQUE SONY UPP-110HG(TYPE 5)-ROU</t>
  </si>
  <si>
    <t>FG04452</t>
  </si>
  <si>
    <t>PAPIER ECHOGRAPHIQUE SONY UPP-110S - ROULEAUX</t>
  </si>
  <si>
    <t>FG04453</t>
  </si>
  <si>
    <t>PARAHIT - TOTAL (DEVICE) 25 TESTS</t>
  </si>
  <si>
    <t>FG04454</t>
  </si>
  <si>
    <t>PATIENT STRETCHER TROLLEY ML-M031</t>
  </si>
  <si>
    <t>FG04455</t>
  </si>
  <si>
    <t>PATIENT STRETCHER TROLLEY SIMPLE ML-M029</t>
  </si>
  <si>
    <t>FG04456</t>
  </si>
  <si>
    <t>PERMANENT CATHERTER STRAIGHT 15 FR X 42CM</t>
  </si>
  <si>
    <t>FG04457</t>
  </si>
  <si>
    <t>PHENYTOINE 250 MG/5ML B/1 AMP</t>
  </si>
  <si>
    <t>FG04458</t>
  </si>
  <si>
    <t>PINCE À BIOPSIE ENDUITE, DIA-2.3MM, LONG-1600MM</t>
  </si>
  <si>
    <t>FG04459</t>
  </si>
  <si>
    <t>PINCE À BIOPSIE ENDUITE, DIA-2.3MM, LONG-2300MM</t>
  </si>
  <si>
    <t>FG04460</t>
  </si>
  <si>
    <t>PINCE À BIOPSIE POINTE, DIA-2.3MM, LONG-16000MM</t>
  </si>
  <si>
    <t>FG04461</t>
  </si>
  <si>
    <t>PINCE À BIOPSIE POINTE, DIA-2.3MM, LONG-2300MM</t>
  </si>
  <si>
    <t>FG04462</t>
  </si>
  <si>
    <t>PINCE À BIOPSIE JETABLE DIIA-2.3MM, LONG-1600MM</t>
  </si>
  <si>
    <t>FG04463</t>
  </si>
  <si>
    <t>PINCE À DISSECTION AVEC GRIFFES 1X2 - 16 CM</t>
  </si>
  <si>
    <t>FG04464</t>
  </si>
  <si>
    <t>PINCE À DISSECTION STANDARD 16 CM</t>
  </si>
  <si>
    <t>FG04465</t>
  </si>
  <si>
    <t>PINCE DE KOCHER DROITE AVEC GRIFFE 14 CM</t>
  </si>
  <si>
    <t>FG04466</t>
  </si>
  <si>
    <t>PINCE DE KOCHER DROITE AVEC GRIFFE 18 CM</t>
  </si>
  <si>
    <t>FG04467</t>
  </si>
  <si>
    <t>PINCE DE PEAN 14 CM</t>
  </si>
  <si>
    <t>FG04468</t>
  </si>
  <si>
    <t>PINCE FORESTER - 25 CM</t>
  </si>
  <si>
    <t>FG04469</t>
  </si>
  <si>
    <t>PINCES HÉMOSTATIQUES COURBÉE - MOSQUITO</t>
  </si>
  <si>
    <t>FG04470</t>
  </si>
  <si>
    <t>PINCES HÉMOSTATIQUES DROITES - MOSQUITO</t>
  </si>
  <si>
    <t>FG04471</t>
  </si>
  <si>
    <t>PINCES HÉMOSTATIQUES DROITES 18 CM</t>
  </si>
  <si>
    <t>FG04472</t>
  </si>
  <si>
    <t>PIPETTE A REPETITION</t>
  </si>
  <si>
    <t>FG04473</t>
  </si>
  <si>
    <t>PIPETTE A REPETITION - SYRINGE - 0.50ML</t>
  </si>
  <si>
    <t>FG04474</t>
  </si>
  <si>
    <t>PIPETTE A REPETITION - SYRINGE - 1.25ML</t>
  </si>
  <si>
    <t>FG04475</t>
  </si>
  <si>
    <t>PIPETTE POMPE, 10ML, VERT</t>
  </si>
  <si>
    <t>FG04476</t>
  </si>
  <si>
    <t>PLATEAUX - INOX - PLATS - 275*175*25 ML-I4030</t>
  </si>
  <si>
    <t>FG04477</t>
  </si>
  <si>
    <t>PLATEAUX - INOX - PLATS - 300*200*30 ML-I4031</t>
  </si>
  <si>
    <t>FG04478</t>
  </si>
  <si>
    <t>PLATEAUX D’INSTRUMENTS INOX RONDS - 300*200*50</t>
  </si>
  <si>
    <t>FG04479</t>
  </si>
  <si>
    <t>PLATEAUX INOX - PLATS - 200*150*25 ML-I4029</t>
  </si>
  <si>
    <t>FG04480</t>
  </si>
  <si>
    <t>PLATEAUX INSTRUMENTS COUVERCLE 300*200*50 ML-I4007</t>
  </si>
  <si>
    <t>FG04481</t>
  </si>
  <si>
    <t>PLATEAUX INSTRUMENTS INOX RONDS 222*82*41 ML-I4026</t>
  </si>
  <si>
    <t>FG04482</t>
  </si>
  <si>
    <t>PORTE AIGUILLE DE MAYO HEGAR, 15 CM</t>
  </si>
  <si>
    <t>FG04483</t>
  </si>
  <si>
    <t>POTA+MAG BIOFAR CPR EFFV T/20</t>
  </si>
  <si>
    <t>FG04484</t>
  </si>
  <si>
    <t>POUPINEL - STERILISATEUR A CHALEUR 48L</t>
  </si>
  <si>
    <t>FG04485</t>
  </si>
  <si>
    <t>PYRAMAX PL/3 SACHETS</t>
  </si>
  <si>
    <t>FG04486</t>
  </si>
  <si>
    <t>REFRIGERATEUR DE LABORATOIRE 2 À 8 DEGRES - 260L</t>
  </si>
  <si>
    <t>FG04487</t>
  </si>
  <si>
    <t>RESPIMAX SIROP 100ML</t>
  </si>
  <si>
    <t>FG04488</t>
  </si>
  <si>
    <t>RHEUMATOID FACTOR (RF) 20 TESTS</t>
  </si>
  <si>
    <t>FG04489</t>
  </si>
  <si>
    <t>RX PAD</t>
  </si>
  <si>
    <t>FG04490</t>
  </si>
  <si>
    <t>SAC COLLECTEUR DURINE ADULTE 2000ML</t>
  </si>
  <si>
    <t>FG04491</t>
  </si>
  <si>
    <t>SAC COLLECTEUR DURINE PÉDIATRIQUE ( 100ML )***</t>
  </si>
  <si>
    <t>FG04493</t>
  </si>
  <si>
    <t>SCIE OSCILLANTE BATTERIE RECHARGEABLE ML-E1009</t>
  </si>
  <si>
    <t>FG04494</t>
  </si>
  <si>
    <t>SERUM PHYSIOLOGIQUE B/20PCS</t>
  </si>
  <si>
    <t>FG04495</t>
  </si>
  <si>
    <t>SICKLE SCAN B/20</t>
  </si>
  <si>
    <t>FG04496</t>
  </si>
  <si>
    <t>SIGNAL MF (FLOW THROUGH) 5 TESTS</t>
  </si>
  <si>
    <t>FG04497</t>
  </si>
  <si>
    <t>SOLUTION TURK</t>
  </si>
  <si>
    <t>FG04498</t>
  </si>
  <si>
    <t>SP TWIN TRINDER/ TETRAPHENYL BORON 2 X 45 ML</t>
  </si>
  <si>
    <t>FG04499</t>
  </si>
  <si>
    <t>SPECULUM GYNECOLOGIQUE GRAVES INOX LARGE ML-I4016</t>
  </si>
  <si>
    <t>FG04500</t>
  </si>
  <si>
    <t>SPECULUM GYNECOLOGIQUE DE CUSCO INBOX - LARGE</t>
  </si>
  <si>
    <t>FG04501</t>
  </si>
  <si>
    <t>SPECULUM GYNECOLOGIQUE DE CUSCO INBOX MEDIUM</t>
  </si>
  <si>
    <t>FG04502</t>
  </si>
  <si>
    <t>SPECULUM GYNECOLOGIQUE DE CUSCO INOX - XL ML-I4010</t>
  </si>
  <si>
    <t>FG04503</t>
  </si>
  <si>
    <t>SPINAL BOARD ML-M072</t>
  </si>
  <si>
    <t>FG04504</t>
  </si>
  <si>
    <t>STERILISATEUR AUTOCLAVE - 24L ( ELECTRIQUE)</t>
  </si>
  <si>
    <t>FG04505</t>
  </si>
  <si>
    <t>STERILISATEUR AUTOCLAVE - 24L (GPL/CHARBON)</t>
  </si>
  <si>
    <t>FG04506</t>
  </si>
  <si>
    <t>STETHOSCOPE FOETAL PINARD ML-D2003</t>
  </si>
  <si>
    <t>FG04507</t>
  </si>
  <si>
    <t>SUN (ARTESUNATE) 180MG INJ</t>
  </si>
  <si>
    <t>FG04508</t>
  </si>
  <si>
    <t>SUN (ARTESUNATE) 240MG INJ</t>
  </si>
  <si>
    <t>FG04509</t>
  </si>
  <si>
    <t>SUPPORT DE PIPETTE LINEAIRE UNIVERSEL</t>
  </si>
  <si>
    <t>FG04510</t>
  </si>
  <si>
    <t>SURGICAL KIT FOR LAPAROTOMY 16PC</t>
  </si>
  <si>
    <t>FG04511</t>
  </si>
  <si>
    <t>SWISS-CLAC (AMOXY,CLAVU) 562.5MG B/14CES</t>
  </si>
  <si>
    <t>FG04512</t>
  </si>
  <si>
    <t>SYPHILIS TRUST (WITH ACCESSORIES) 50 TESTS</t>
  </si>
  <si>
    <t>FG04513</t>
  </si>
  <si>
    <t>T &amp; D BILIRUBIN JENDRASSIK &amp; GROF 2 X 125 ML</t>
  </si>
  <si>
    <t>FG04514</t>
  </si>
  <si>
    <t>T V 22 INCH</t>
  </si>
  <si>
    <t>FG04515</t>
  </si>
  <si>
    <t>T V 24 INCH</t>
  </si>
  <si>
    <t>FG04516</t>
  </si>
  <si>
    <t>T V 32 INCH UNIQUE</t>
  </si>
  <si>
    <t>FG04517</t>
  </si>
  <si>
    <t>T V 32 INCH</t>
  </si>
  <si>
    <t>FG04518</t>
  </si>
  <si>
    <t>T V 40 INCH SAMSUNG</t>
  </si>
  <si>
    <t>FG04519</t>
  </si>
  <si>
    <t>T V 40 INCH</t>
  </si>
  <si>
    <t>FG04520</t>
  </si>
  <si>
    <t>T V 42 INCH</t>
  </si>
  <si>
    <t>FG04521</t>
  </si>
  <si>
    <t>T V 43 INCH</t>
  </si>
  <si>
    <t>FG04522</t>
  </si>
  <si>
    <t>T V 45 INCH</t>
  </si>
  <si>
    <t>FG04523</t>
  </si>
  <si>
    <t>T V 49 INCH</t>
  </si>
  <si>
    <t>FG04524</t>
  </si>
  <si>
    <t>T V 52 INCH</t>
  </si>
  <si>
    <t>FG04525</t>
  </si>
  <si>
    <t>T.V 26 INCH</t>
  </si>
  <si>
    <t>FG04526</t>
  </si>
  <si>
    <t>T.V 39</t>
  </si>
  <si>
    <t>FG04527</t>
  </si>
  <si>
    <t>TABLIERS MEDECIN APRON DOUBLE XL ML-TX0004</t>
  </si>
  <si>
    <t>FG04528</t>
  </si>
  <si>
    <t>TABLIERS MEDECIN APRON EXTRA LARGE ML-TX0003</t>
  </si>
  <si>
    <t>FG04529</t>
  </si>
  <si>
    <t>TABLIERS MEDECIN APRON LARGE ML-TX0002</t>
  </si>
  <si>
    <t>FG04530</t>
  </si>
  <si>
    <t>TAMBOUR ROND A STERILISER - 175 X 175 MM ML-I4032</t>
  </si>
  <si>
    <t>FG04531</t>
  </si>
  <si>
    <t>TAMBOUR ROND A STERILISER - 200 X 200 MM ML-I4033</t>
  </si>
  <si>
    <t>FG04532</t>
  </si>
  <si>
    <t>TAMBOUR ROND A STERILISER - 250 X 200 MM ML-I4034</t>
  </si>
  <si>
    <t>FG04533</t>
  </si>
  <si>
    <t>TAMBOUR ROND A STERILISER - 300 X 150 MM ML-I4036</t>
  </si>
  <si>
    <t>FG04534</t>
  </si>
  <si>
    <t>TAXOTER 80MG ING B/1AMP</t>
  </si>
  <si>
    <t>FG04535</t>
  </si>
  <si>
    <t>TB TUBERCULIN PPD 10 TU / 0.1 ML 5 ML</t>
  </si>
  <si>
    <t>FG04536</t>
  </si>
  <si>
    <t>TDR H PYLORI AG CASSETTE FECAL B/40 TEST</t>
  </si>
  <si>
    <t>FG04537</t>
  </si>
  <si>
    <t>TDR HCV BANDELETE -WB/S/P B/50 TETS</t>
  </si>
  <si>
    <t>FG04538</t>
  </si>
  <si>
    <t>TDR SYPHILIS B/50</t>
  </si>
  <si>
    <t>FG04541</t>
  </si>
  <si>
    <t>TOTAL PROTEIN BIURET 1 X 100 ML</t>
  </si>
  <si>
    <t>FG04542</t>
  </si>
  <si>
    <t>TOURNEVIS HEXAGONAL AVEC MANCHON 2,5 MM (EXCEL)</t>
  </si>
  <si>
    <t>FG04543</t>
  </si>
  <si>
    <t>TRIGLYCERIDES GPO/TRINDER 2 X 20 ML</t>
  </si>
  <si>
    <t>FG04544</t>
  </si>
  <si>
    <t>TUBE DE PRÉLÈVEMENT SANGUIN (BLEU) 3,2% B/100PCS</t>
  </si>
  <si>
    <t>FG04545</t>
  </si>
  <si>
    <t>UREA NED-DYE 2 X 125 ML</t>
  </si>
  <si>
    <t>FG04546</t>
  </si>
  <si>
    <t>URINAL FEMME AVEC POIGNÉE INOX</t>
  </si>
  <si>
    <t>FG04547</t>
  </si>
  <si>
    <t>VASCEL (VASOPRESSIN 20MG) B/1AMP</t>
  </si>
  <si>
    <t>FG04548</t>
  </si>
  <si>
    <t>VICRYL NO-3 PCS/1</t>
  </si>
  <si>
    <t>FG04549</t>
  </si>
  <si>
    <t>VIT C1000 BIOFAR CPR EFFV T/20</t>
  </si>
  <si>
    <t>FG04550</t>
  </si>
  <si>
    <t>VITAMINE B12 1000MCG/2ML INJ.B/10AMP</t>
  </si>
  <si>
    <t>FG04551</t>
  </si>
  <si>
    <t>VITAMINE B6 100MG/1ML INJ. B/10AMP</t>
  </si>
  <si>
    <t>FG04552</t>
  </si>
  <si>
    <t>VITAMINE K3 10MG/ML INJ.B/10AMP</t>
  </si>
  <si>
    <t>FG04553</t>
  </si>
  <si>
    <t>VME-2800 HD ENDOSCOPY SYSTEM</t>
  </si>
  <si>
    <t>FG04554</t>
  </si>
  <si>
    <t>WERMOQUE (MEBENDAZOL) 100MG CROQUER B/25X6</t>
  </si>
  <si>
    <t>Wermoque</t>
  </si>
  <si>
    <t>FG04555</t>
  </si>
  <si>
    <t>WORMINIX (ALBENDAZOLE) 200MG SUSP.10ML</t>
  </si>
  <si>
    <t>Worminix</t>
  </si>
  <si>
    <t>FG04556</t>
  </si>
  <si>
    <t>ZEECUF HERBAL COUGH REMEDY 100ML</t>
  </si>
  <si>
    <t>FG04558</t>
  </si>
  <si>
    <t>ZORA 20MG B/10 CES</t>
  </si>
  <si>
    <t>FG04559</t>
  </si>
  <si>
    <t>ZORA+D (RABEPRAZOLE+DOMPERIDONE) B/10 CAP</t>
  </si>
  <si>
    <t>FG04560</t>
  </si>
  <si>
    <t>ZWITSAL HUILE BEBE 200ML</t>
  </si>
  <si>
    <t>FG04562</t>
  </si>
  <si>
    <t>ABA 150MG INJ B/3AMP</t>
  </si>
  <si>
    <t>FG04563</t>
  </si>
  <si>
    <t>ABG-I15 CONTROLE QUALITE NIVEAU 1 (5 AMPOULES)</t>
  </si>
  <si>
    <t>FG04564</t>
  </si>
  <si>
    <t>ABG-I15 FLUIDE CALIBRANT B/100 TESTES</t>
  </si>
  <si>
    <t>FG04565</t>
  </si>
  <si>
    <t>ABS BEDSIDE TABLE ML-M027</t>
  </si>
  <si>
    <t>FG04566</t>
  </si>
  <si>
    <t>ACCOUPLEMENT RAPIDE HEXAGONAL-POIGNÉE EN FIBRE</t>
  </si>
  <si>
    <t>FG04567</t>
  </si>
  <si>
    <t>ACTM 20 MG/120 MG DISP. B/12 CES</t>
  </si>
  <si>
    <t>FG04568</t>
  </si>
  <si>
    <t>ADRIL 500MG (CEFADROXIL) B/20</t>
  </si>
  <si>
    <t>FG04569</t>
  </si>
  <si>
    <t>ALKALINE PHOSPHATASE KIND &amp; KING S 20 X 2 ML</t>
  </si>
  <si>
    <t>FG04570</t>
  </si>
  <si>
    <t>ALUKON 5MG 28 CES (FR)</t>
  </si>
  <si>
    <t>FG04571</t>
  </si>
  <si>
    <t>AMLOP-TH (AMLO10MG,TELMI 80MG,HYDRO 12.5MG) B30CES</t>
  </si>
  <si>
    <t>FG04572</t>
  </si>
  <si>
    <t>AMPICILLINE 125MG SP 60ML</t>
  </si>
  <si>
    <t>FG04573</t>
  </si>
  <si>
    <t>AMPICILLINE 1GR. INJ. 1 VIAL</t>
  </si>
  <si>
    <t>FG04574</t>
  </si>
  <si>
    <t>APETA FORTE 200ML SP</t>
  </si>
  <si>
    <t>FG04575</t>
  </si>
  <si>
    <t>ARBRE DE TOURNEVIS HEXAGONAL 1.5 / 2.0 / 2.5 / 3.0</t>
  </si>
  <si>
    <t>FG04576</t>
  </si>
  <si>
    <t>ARH-240MG (ARTESUNATE) INJECTABLE B/ 1 KIT</t>
  </si>
  <si>
    <t>FG04577</t>
  </si>
  <si>
    <t>ARH-60MG (ARTESUNATE) INJECTABLE B/ 1 KIT</t>
  </si>
  <si>
    <t>FG04578</t>
  </si>
  <si>
    <t>ARH-90MG (ARTESUNATE) INJECTABLE B/ 1 KIT</t>
  </si>
  <si>
    <t>FG04579</t>
  </si>
  <si>
    <t>ARIUM 25MG/2.5ML (ATRACURIUM) INJ. B/1 AMP</t>
  </si>
  <si>
    <t>FG04580</t>
  </si>
  <si>
    <t>ASPIRATEUR CHIRURGICAL 2 BOCAUX*2.5L - 40L/MIN</t>
  </si>
  <si>
    <t>FG04581</t>
  </si>
  <si>
    <t>ASPIRINE 500MG 10X10CES</t>
  </si>
  <si>
    <t>FG04582</t>
  </si>
  <si>
    <t>ASTA 20MG (ATROVASTATINE) B/30</t>
  </si>
  <si>
    <t>FG04583</t>
  </si>
  <si>
    <t>ASTRA COLD B/4 CES</t>
  </si>
  <si>
    <t>FG04584</t>
  </si>
  <si>
    <t>AUTOCLAVE DE PAILLASSE (TABLE) 20L - BASIC</t>
  </si>
  <si>
    <t>FG04585</t>
  </si>
  <si>
    <t>BAIN-MARIE POUR LABORATOIRE AVEC 4 POT</t>
  </si>
  <si>
    <t>FG04586</t>
  </si>
  <si>
    <t>BASSINS RÉNIFORME EN INOX</t>
  </si>
  <si>
    <t>FG04587</t>
  </si>
  <si>
    <t>BEDSIDE TABLE ML-M028</t>
  </si>
  <si>
    <t>FG04588</t>
  </si>
  <si>
    <t>BELCEF (CEFTRIAXON + SOLVENT) 1G UPS IM/IV B/1AMP</t>
  </si>
  <si>
    <t>FG04590</t>
  </si>
  <si>
    <t>BICARBONATE 1KG. SACHETS</t>
  </si>
  <si>
    <t>FG04591</t>
  </si>
  <si>
    <t>BICARBONATE SODIUM CARTRIDGE 720 GRAMS</t>
  </si>
  <si>
    <t>FG04592</t>
  </si>
  <si>
    <t>BLOODLINE TUBING FRESENIUS</t>
  </si>
  <si>
    <t>FG04593</t>
  </si>
  <si>
    <t>BOITE D'INSTRUMENTS A PANSEMENTS</t>
  </si>
  <si>
    <t>FG04594</t>
  </si>
  <si>
    <t>BOITE CESARIENNE</t>
  </si>
  <si>
    <t>FG04595</t>
  </si>
  <si>
    <t>BOITE D'INSTRUMENT POUR ACCOUCHEMENT - HGR</t>
  </si>
  <si>
    <t>FG04596</t>
  </si>
  <si>
    <t>BOÎTE DE PETITE CHIRURGIE 11PC</t>
  </si>
  <si>
    <t>FG04597</t>
  </si>
  <si>
    <t>BOÎTE LAPAROTOMIE 16PC</t>
  </si>
  <si>
    <t>FG04598</t>
  </si>
  <si>
    <t>BONE CHISEL STILLE TYPE - DROIT</t>
  </si>
  <si>
    <t>FG04599</t>
  </si>
  <si>
    <t>CADITOR (ATORVASTATIN) 10 MG B3 X 10/CES</t>
  </si>
  <si>
    <t>FG04600</t>
  </si>
  <si>
    <t>CALCIJOINT (CALCIUM,VD3,MAG,ZINC) B/30CES</t>
  </si>
  <si>
    <t>FG04601</t>
  </si>
  <si>
    <t>CALCIUM VIT D3 BIOFAR CPR EFFV T/20</t>
  </si>
  <si>
    <t>FG04602</t>
  </si>
  <si>
    <t>CANULE DE GUEDEL NO. 1 ML-P6004-1</t>
  </si>
  <si>
    <t>FG04603</t>
  </si>
  <si>
    <t>CEFIM 400MG (CEFIXIME) B/10CES</t>
  </si>
  <si>
    <t>FG04604</t>
  </si>
  <si>
    <t>CEFIXIME 100MG ORAL SIROP 60ML</t>
  </si>
  <si>
    <t>FG04605</t>
  </si>
  <si>
    <t>CEFOTAXIM 1GR. INJ.B/1 VIAL (AVEC EMBALAGE)</t>
  </si>
  <si>
    <t>FG04606</t>
  </si>
  <si>
    <t>CENTRIFUGEUSE DE LABORATOIRE 4K, 12X10ML</t>
  </si>
  <si>
    <t>FG04607</t>
  </si>
  <si>
    <t>CESAPRIL 5MG CES</t>
  </si>
  <si>
    <t>FG04608</t>
  </si>
  <si>
    <t>CETHER-L 150MG B/3 AMP</t>
  </si>
  <si>
    <t>FG04609</t>
  </si>
  <si>
    <t>CETHER-L 225MG ADULT INJ B/3 AMP</t>
  </si>
  <si>
    <t>FG04610</t>
  </si>
  <si>
    <t>CETHER-L 75MG ENFANT INJ B/3 AMP</t>
  </si>
  <si>
    <t>FG04611</t>
  </si>
  <si>
    <t>CHLORAMPHENICOL 0.5% COLLYRE 10ML</t>
  </si>
  <si>
    <t>FG04612</t>
  </si>
  <si>
    <t>CIMETEDINE 200MG B/10X10CES</t>
  </si>
  <si>
    <t>FG04613</t>
  </si>
  <si>
    <t>CISEAUX CHIRURGICAUX M/M DROITS - 14 CM</t>
  </si>
  <si>
    <t>FG04614</t>
  </si>
  <si>
    <t>CISEAUX CHIRURGICAUX M/P DROITS - 14 CM</t>
  </si>
  <si>
    <t>FG04616</t>
  </si>
  <si>
    <t>CONTHER 80/480 MG B/6 CES</t>
  </si>
  <si>
    <t>FG04618</t>
  </si>
  <si>
    <t>COVID-19 ANTIGEN TEST KIT B/20</t>
  </si>
  <si>
    <t>FG04619</t>
  </si>
  <si>
    <t>CURETTAGE BOX 12PC</t>
  </si>
  <si>
    <t>FG04620</t>
  </si>
  <si>
    <t>CUVETTE HARICOT INOX 20CM 475MLINOX(KIDNEY TRAY)</t>
  </si>
  <si>
    <t>FG04622</t>
  </si>
  <si>
    <t>DAVIMETHER-LDS B/6</t>
  </si>
  <si>
    <t>FG04623</t>
  </si>
  <si>
    <t>DELIVERY BOX 12PC</t>
  </si>
  <si>
    <t>FG04624</t>
  </si>
  <si>
    <t>DEXALIN (DEXAMETHAZONE) COLLYRE 10ML</t>
  </si>
  <si>
    <t>FG04625</t>
  </si>
  <si>
    <t>DEXAMETHAZONE 4MG/1ML INJ. B/10AMP</t>
  </si>
  <si>
    <t>FG04627</t>
  </si>
  <si>
    <t>DIRECT HDL-CHOLESTEROL 80 ML</t>
  </si>
  <si>
    <t>FG04628</t>
  </si>
  <si>
    <t>DISQUES ANTIBIOTIQUES ERYTHROMYCIN</t>
  </si>
  <si>
    <t>FG04629</t>
  </si>
  <si>
    <t>DOXYNIC 200MG (DOXYCYCLINE) B/8 CES</t>
  </si>
  <si>
    <t>FG04630</t>
  </si>
  <si>
    <t>DOZEM-50 (TRAMADOL) B/10CAPS</t>
  </si>
  <si>
    <t>FG04632</t>
  </si>
  <si>
    <t>EAU DISTILLEE B/50 PCS</t>
  </si>
  <si>
    <t>FG04633</t>
  </si>
  <si>
    <t>EFFORTIL ,,,,,,,,,B/50CES (E.O.)</t>
  </si>
  <si>
    <t>FG04634</t>
  </si>
  <si>
    <t>ELUDRIL PRO BAIN DE BOUCHE 55ML(FR)</t>
  </si>
  <si>
    <t>FG04635</t>
  </si>
  <si>
    <t>ENDOSCOPY TROLLEY ML-M035</t>
  </si>
  <si>
    <t>FG04636</t>
  </si>
  <si>
    <t>ERINOCIN (ERYTROMYCINE ) 250MG 100ML</t>
  </si>
  <si>
    <t>FG04637</t>
  </si>
  <si>
    <t>ERYTHROMICINE 1G B/1AMP</t>
  </si>
  <si>
    <t>FG04638</t>
  </si>
  <si>
    <t>EVAPORATEUR ANESTHESIQUE SEVOFLURANE</t>
  </si>
  <si>
    <t>FG04639</t>
  </si>
  <si>
    <t>EXAMINATION GYNECOLOGY COUCH ML-M039</t>
  </si>
  <si>
    <t>FG04640</t>
  </si>
  <si>
    <t>EXTRACTEUR À ONGLES RUSH - KUNTSCHER</t>
  </si>
  <si>
    <t>FG04641</t>
  </si>
  <si>
    <t>FEMOCID DT-40MG B/10 CES</t>
  </si>
  <si>
    <t>FG04642</t>
  </si>
  <si>
    <t>FLAMINGO CLAVICAL BRACE (SMALL)</t>
  </si>
  <si>
    <t>FG04643</t>
  </si>
  <si>
    <t>FLAMINGO HEEL CUSHION (FEMALE)</t>
  </si>
  <si>
    <t>FG04644</t>
  </si>
  <si>
    <t>FLAMINGO STOCKINGS ABOVE KNEE (XXL)</t>
  </si>
  <si>
    <t>FG04645</t>
  </si>
  <si>
    <t>FLAMINGO ABDOMINAL BELT 14CM (DOUBLE EXTRA LARGE)</t>
  </si>
  <si>
    <t>FG04646</t>
  </si>
  <si>
    <t>FLAMINGO ABDOMINAL BELT 14CM (MEDIUM)</t>
  </si>
  <si>
    <t>FG04647</t>
  </si>
  <si>
    <t>FLAMINGO ANKLE BRACE (MEDIUM)</t>
  </si>
  <si>
    <t>FG04648</t>
  </si>
  <si>
    <t>FLAMINGO ANKLE GRIP (MEDIUM)</t>
  </si>
  <si>
    <t>FG04649</t>
  </si>
  <si>
    <t>FLAMINGO ANKLET (XXL)</t>
  </si>
  <si>
    <t>FG04650</t>
  </si>
  <si>
    <t>FLAMINGO ANKLET PREMIUM (MEDIUM)</t>
  </si>
  <si>
    <t>FG04651</t>
  </si>
  <si>
    <t>FLAMINGO ARM IMMOBILIZER (EXTRA LARGE)</t>
  </si>
  <si>
    <t>FG04652</t>
  </si>
  <si>
    <t>FLAMINGO ARM SLING (MEDIUM)</t>
  </si>
  <si>
    <t>FG04653</t>
  </si>
  <si>
    <t>FLAMINGO BACK REST (SMALL)</t>
  </si>
  <si>
    <t>FG04654</t>
  </si>
  <si>
    <t>FLAMINGO BACK REST FOAM TYPE (SMALL)</t>
  </si>
  <si>
    <t>FG04655</t>
  </si>
  <si>
    <t>FLAMINGO BI AXEL HINGED KNEE CAP (XL)</t>
  </si>
  <si>
    <t>FG04656</t>
  </si>
  <si>
    <t>FLAMINGO CALF SUPPORT PREMIUM ( EXTRA LARGE)</t>
  </si>
  <si>
    <t>FG04657</t>
  </si>
  <si>
    <t>FLAMINGO CERVICAL COLLAR (EXTRA LARGE)</t>
  </si>
  <si>
    <t>FG04658</t>
  </si>
  <si>
    <t>FLAMINGO CERVICAL COLLAR SOFT (EXTRA LARGE)</t>
  </si>
  <si>
    <t>FG04659</t>
  </si>
  <si>
    <t>FLAMINGO CERVICAL COLLARE PEDIATRIQ (SMALL)</t>
  </si>
  <si>
    <t>FG04660</t>
  </si>
  <si>
    <t>FLAMINGO CERVICAL IMMOBILIZER (LARGE)</t>
  </si>
  <si>
    <t>FG04661</t>
  </si>
  <si>
    <t>FLAMINGO CERVICAL ORTHOSIS (EXTRA LARGE)</t>
  </si>
  <si>
    <t>FG04662</t>
  </si>
  <si>
    <t>FLAMINGO CERVICAL ORTHOSIS (MEDIUM)</t>
  </si>
  <si>
    <t>FG04663</t>
  </si>
  <si>
    <t>FLAMINGO CERVICAL TRACTION HOLDER SITTING KIT</t>
  </si>
  <si>
    <t>FG04664</t>
  </si>
  <si>
    <t>FLAMINGO CLASSIC FOLDING WALKING STICK</t>
  </si>
  <si>
    <t>FG04665</t>
  </si>
  <si>
    <t>FLAMINGO CONTOURED L.S. BELT (SMALL)</t>
  </si>
  <si>
    <t>FG04666</t>
  </si>
  <si>
    <t>FLAMINGO CONTOURED L.S. SUPPORT (XXL)</t>
  </si>
  <si>
    <t>FG04667</t>
  </si>
  <si>
    <t>FLAMINGO CONTOURED PILLOW</t>
  </si>
  <si>
    <t>FG04668</t>
  </si>
  <si>
    <t>FLAMINGO DORSO LUMBAR SPINAL BRACE (L)</t>
  </si>
  <si>
    <t>FG04669</t>
  </si>
  <si>
    <t>FLAMINGO DORSO LUMBAR SPINAL BRACE PED (SMALL)</t>
  </si>
  <si>
    <t>FG04670</t>
  </si>
  <si>
    <t>FLAMINGO DVT STOCKINGS ABOVE KNEE (L)</t>
  </si>
  <si>
    <t>FG04671</t>
  </si>
  <si>
    <t>FLAMINGO ECO FRAME BELT (LARGE)</t>
  </si>
  <si>
    <t>FG04672</t>
  </si>
  <si>
    <t>FLAMINGO ECO FRAME BELT (SMALL)</t>
  </si>
  <si>
    <t>FG04673</t>
  </si>
  <si>
    <t>FLAMINGO ELASTIC KNEE SUPPORT (EXTRA LARGE)</t>
  </si>
  <si>
    <t>FG04674</t>
  </si>
  <si>
    <t>FLAMINGO ELASTIC WRIST SPLINT (LARGE)</t>
  </si>
  <si>
    <t>FG04675</t>
  </si>
  <si>
    <t>FLAMINGO ELBOW SUPPORT (LARGE)</t>
  </si>
  <si>
    <t>FG04676</t>
  </si>
  <si>
    <t>FLAMINGO ELBOW SUPPORT PREMIUM (SMALL)</t>
  </si>
  <si>
    <t>FG04677</t>
  </si>
  <si>
    <t>FLAMINGO EXTENDED BASEBALL SPLINT (LARGE)</t>
  </si>
  <si>
    <t>FG04678</t>
  </si>
  <si>
    <t>FLAMINGO EXTENDED FOREARM BRACE (SMALL)</t>
  </si>
  <si>
    <t>FG04679</t>
  </si>
  <si>
    <t>FLAMINGO FIN FROG SPLINT (SMALL)</t>
  </si>
  <si>
    <t>FG04680</t>
  </si>
  <si>
    <t>FLAMINGO FIN SPOON SPLINT (LARGE)</t>
  </si>
  <si>
    <t>FG04681</t>
  </si>
  <si>
    <t>FLAMINGO FOOT DROP SPLINT RIGHT (MEDIUM)</t>
  </si>
  <si>
    <t>FG04682</t>
  </si>
  <si>
    <t>FLAMINGO GEL BI-AXEL HIN KNEE BRACE ( X X X L)</t>
  </si>
  <si>
    <t>FG04683</t>
  </si>
  <si>
    <t>FLAMINGO GEL HEEL PAD (MALE)</t>
  </si>
  <si>
    <t>FG04684</t>
  </si>
  <si>
    <t>FLAMINGO GEL KNEE CUSION (MEDIUM)</t>
  </si>
  <si>
    <t>FG04685</t>
  </si>
  <si>
    <t>FLAMINGO HEAT BELT (EXTRA LARGE)</t>
  </si>
  <si>
    <t>FG04686</t>
  </si>
  <si>
    <t>FLAMINGO HEAT BELT (FLORICAN)</t>
  </si>
  <si>
    <t>FG04687</t>
  </si>
  <si>
    <t>FLAMINGO HINGED KNEE CAP (SMALL)</t>
  </si>
  <si>
    <t>FG04688</t>
  </si>
  <si>
    <t>FLAMINGO KNEE BRACE LIGHT (LARGE)</t>
  </si>
  <si>
    <t>FG04689</t>
  </si>
  <si>
    <t>FLAMINGO KNEE BRACE LIGHT (SMALL)</t>
  </si>
  <si>
    <t>FG04690</t>
  </si>
  <si>
    <t>FLAMINGO KNEE BRACE LONG (LARGE)</t>
  </si>
  <si>
    <t>FG04691</t>
  </si>
  <si>
    <t>FLAMINGO KNEE BRACE SHORT (LARGE)</t>
  </si>
  <si>
    <t>FG04692</t>
  </si>
  <si>
    <t>FLAMINGO KNEE CAP PREMIUM (LARGE)</t>
  </si>
  <si>
    <t>FG04693</t>
  </si>
  <si>
    <t>FLAMINGO KNEE CAP PREMIUM (SMALL)</t>
  </si>
  <si>
    <t>FG04694</t>
  </si>
  <si>
    <t>FLAMINGO KNEE IMMOBILIZER (EXTRA LARGE)</t>
  </si>
  <si>
    <t>FG04695</t>
  </si>
  <si>
    <t>FLAMINGO LUMBAR CORSET BELT (LARGE)</t>
  </si>
  <si>
    <t>FG04696</t>
  </si>
  <si>
    <t>FLAMINGO LUMBAR CORSET BELT (X X L)</t>
  </si>
  <si>
    <t>FG04697</t>
  </si>
  <si>
    <t>FLAMINGO LUMBAR SACRO BELT X X X L</t>
  </si>
  <si>
    <t>FG04698</t>
  </si>
  <si>
    <t>FLAMINGO LUMBAR SACRO BELT (LARGE)</t>
  </si>
  <si>
    <t>FG04699</t>
  </si>
  <si>
    <t>FLAMINGO LUMBAR SACRO BELT (MEDIUM)</t>
  </si>
  <si>
    <t>FG04700</t>
  </si>
  <si>
    <t>FLAMINGO OPEN PATELLA KNEE CAP (MEDIUM)</t>
  </si>
  <si>
    <t>FG04701</t>
  </si>
  <si>
    <t>FLAMINGO PELVIC BINDER (XL)</t>
  </si>
  <si>
    <t>FG04702</t>
  </si>
  <si>
    <t>FLAMINGO PELVIC TRACTION BELT (EXTRA LARGE)</t>
  </si>
  <si>
    <t>FG04703</t>
  </si>
  <si>
    <t>FLAMINGO RIB BELT (MEDIUM)</t>
  </si>
  <si>
    <t>FG04704</t>
  </si>
  <si>
    <t>FLAMINGO SACRO LUMBAR PREMIUM (SMALL) BELT</t>
  </si>
  <si>
    <t>FG04705</t>
  </si>
  <si>
    <t>FLAMINGO SACRO LUMBAR PREMIUM (SMALL) SUPPORT</t>
  </si>
  <si>
    <t>FG04706</t>
  </si>
  <si>
    <t>FLAMINGO SCROTAL SUPPORT (LARGE)</t>
  </si>
  <si>
    <t>FG04707</t>
  </si>
  <si>
    <t>FLAMINGO SHORT LEG SPLINT-U</t>
  </si>
  <si>
    <t>FG04708</t>
  </si>
  <si>
    <t>FLAMINGO SHOULDER SUPPORT (LARGE)</t>
  </si>
  <si>
    <t>FG04709</t>
  </si>
  <si>
    <t>FLAMINGO SPORT HEAD BAND</t>
  </si>
  <si>
    <t>FG04710</t>
  </si>
  <si>
    <t>FLAMINGO STERNAL SPLINT BELT (MEDIUM)</t>
  </si>
  <si>
    <t>FG04711</t>
  </si>
  <si>
    <t>FLAMINGO STOCKING BELOW KNEE ( EXTRA LARGE)</t>
  </si>
  <si>
    <t>FG04712</t>
  </si>
  <si>
    <t>FLAMINGO STOCKING BELOW KNEE (LARGE)</t>
  </si>
  <si>
    <t>FG04713</t>
  </si>
  <si>
    <t>FLAMINGO STURRUP ANKLE BRACE (UNIVERSAL)</t>
  </si>
  <si>
    <t>FG04714</t>
  </si>
  <si>
    <t>FLAMINGO THIGH SUPPORT (MEDIUM)</t>
  </si>
  <si>
    <t>FG04715</t>
  </si>
  <si>
    <t>FLAMINGO THIGH SUPPORT (SMALL)</t>
  </si>
  <si>
    <t>FG04716</t>
  </si>
  <si>
    <t>FLAMINGO TRI AXEL HINGED KNEE BRACE (SMALL)</t>
  </si>
  <si>
    <t>FG04717</t>
  </si>
  <si>
    <t>FLAMINGO UNI SHOULDER IMMOBILISER (LARGE)</t>
  </si>
  <si>
    <t>FG04718</t>
  </si>
  <si>
    <t>FLAMINGO VERICOSE VEIN STOCKING (MEDIUM)</t>
  </si>
  <si>
    <t>FG04719</t>
  </si>
  <si>
    <t>FLAMINGO VERICOSE VEIN STOCKING PREMIUM (LARGE)</t>
  </si>
  <si>
    <t>FG04720</t>
  </si>
  <si>
    <t>FLAMINGO VERICOSE VEIN STOCKING PREMIUM (MEDIUM)</t>
  </si>
  <si>
    <t>FG04721</t>
  </si>
  <si>
    <t>FLAMINGO WAIST TRIMMER (MEDIUM)</t>
  </si>
  <si>
    <t>FG04722</t>
  </si>
  <si>
    <t>FLAMINGO WALKER FOLDING</t>
  </si>
  <si>
    <t>FG04723</t>
  </si>
  <si>
    <t>FLAMINGO WRIST BRACE</t>
  </si>
  <si>
    <t>FG04724</t>
  </si>
  <si>
    <t>FOLDABLE EMERGENCY STRETCHER ML-M071A</t>
  </si>
  <si>
    <t>FG04725</t>
  </si>
  <si>
    <t>FRAMINGO DORSO LUMBER SPINAL BELT (X L)</t>
  </si>
  <si>
    <t>FG04726</t>
  </si>
  <si>
    <t>GENTAC (GENTAMICIN) COLLYRE 10ML</t>
  </si>
  <si>
    <t>Gentac</t>
  </si>
  <si>
    <t>FG04727</t>
  </si>
  <si>
    <t>GENTAC (GENTAMYCINE) COLLYRE 10ML</t>
  </si>
  <si>
    <t>FG04729</t>
  </si>
  <si>
    <t>GOT(AST) IFCC-UV KINETIC 10 X10 ML</t>
  </si>
  <si>
    <t>FG04730</t>
  </si>
  <si>
    <t>HEMODIALYSIS CONCENTRATED POWDER ( PART A)</t>
  </si>
  <si>
    <t>FG04731</t>
  </si>
  <si>
    <t>HOSPITAL BED PLAIN ML-M005A</t>
  </si>
  <si>
    <t>FG04732</t>
  </si>
  <si>
    <t>HOSPITAL INFANT BABY BED CRIB ON CASTORS ML-M069</t>
  </si>
  <si>
    <t>FG04733</t>
  </si>
  <si>
    <t>HOSPITAL ONE STEP STOOL ANTI-SKID ML-M032</t>
  </si>
  <si>
    <t>FG04734</t>
  </si>
  <si>
    <t>HOSPITAL TWO STEP STOOL ANTI-SKID ML-M033</t>
  </si>
  <si>
    <t>FG04735</t>
  </si>
  <si>
    <t>HYDRAULIC OPERATION TABLE ML-M044</t>
  </si>
  <si>
    <t>FG04736</t>
  </si>
  <si>
    <t>I.V STAND FOR HOSPITAL BED ML-M065</t>
  </si>
  <si>
    <t>FG04737</t>
  </si>
  <si>
    <t>I.V STAND ON CASTORS ML-M066</t>
  </si>
  <si>
    <t>FG04738</t>
  </si>
  <si>
    <t>ICU BED MANUALTHREE FUNCTION ML-M021</t>
  </si>
  <si>
    <t>FG04739</t>
  </si>
  <si>
    <t>IMMERSION EN HUILE 30 ML</t>
  </si>
  <si>
    <t>FG04740</t>
  </si>
  <si>
    <t>IMN - FSH, B/25 CARTOUCHES</t>
  </si>
  <si>
    <t>FG04741</t>
  </si>
  <si>
    <t>IMN - IL6, B/25 CARTOUCHES</t>
  </si>
  <si>
    <t>FG04742</t>
  </si>
  <si>
    <t>IMN - LP-PLA2, B/25 CARTOUCHES</t>
  </si>
  <si>
    <t>FG04743</t>
  </si>
  <si>
    <t>IMN - MYO, B/25 CARTOUCHES</t>
  </si>
  <si>
    <t>FG04744</t>
  </si>
  <si>
    <t>IMN - PROGESTERONE, B/25 CARTOUCHES</t>
  </si>
  <si>
    <t>FG04745</t>
  </si>
  <si>
    <t>IMN - TNT, B/25 CARTOUCHES</t>
  </si>
  <si>
    <t>FG04746</t>
  </si>
  <si>
    <t>INSECTICIDES FLACON 1PCS</t>
  </si>
  <si>
    <t>FG04747</t>
  </si>
  <si>
    <t>INTAPLAT(ROMIPIOSTIM &amp; SOLVENT) 250 MCG B/1 VIAL</t>
  </si>
  <si>
    <t>FG04748</t>
  </si>
  <si>
    <t>JERSEY 20CMX25M</t>
  </si>
  <si>
    <t>FG04749</t>
  </si>
  <si>
    <t>KANAMYCINE 1G. INJ. 1 VIAL</t>
  </si>
  <si>
    <t>FG04750</t>
  </si>
  <si>
    <t>KIT DE VALVES DENDOSCOPIE, JETABLES, 3 PIÈCES/KIT</t>
  </si>
  <si>
    <t>FG04751</t>
  </si>
  <si>
    <t>LARYNGOSCOPE À FIBRES OPTIQUES, ADULT, 4 LAMES</t>
  </si>
  <si>
    <t>FG04752</t>
  </si>
  <si>
    <t>LARYNGOSCOPE, ADULT, 4 LAMES, NO 1-2-3-4</t>
  </si>
  <si>
    <t>FG04753</t>
  </si>
  <si>
    <t>LINZOX (LINEZOLIDE) 150ML SP</t>
  </si>
  <si>
    <t>FG04754</t>
  </si>
  <si>
    <t>LOPERIX 2MG(LOPERAMIDE) B/25 X 6CES</t>
  </si>
  <si>
    <t>FG04755</t>
  </si>
  <si>
    <t>MAGNESIUM VIT B6 BIOFAR CPR EFFV T/20</t>
  </si>
  <si>
    <t>FG04756</t>
  </si>
  <si>
    <t>MEDICINE CABINET ML-M067</t>
  </si>
  <si>
    <t>FG04757</t>
  </si>
  <si>
    <t>MELANGEUR VORTEX - PLAQUE ET PIED</t>
  </si>
  <si>
    <t>FG04759</t>
  </si>
  <si>
    <t>NACEL-1000MG (ACETYLCYSTEINE) INJ. B/1AMP</t>
  </si>
  <si>
    <t>FG04760</t>
  </si>
  <si>
    <t>NACEL-600MG (ACETYLCYSTEINE) PLT/10CES***</t>
  </si>
  <si>
    <t>FG04761</t>
  </si>
  <si>
    <t>NEGATOSCOPE ULTRA SLIM BRIGHT LED THREE SCREENML</t>
  </si>
  <si>
    <t>FG04762</t>
  </si>
  <si>
    <t>NOCIGEL (ANTI-ACIDE) B/10X10 CES</t>
  </si>
  <si>
    <t>FG04763</t>
  </si>
  <si>
    <t>NOCOLD SIROP 100ML</t>
  </si>
  <si>
    <t>FG04764</t>
  </si>
  <si>
    <t>NOTROFIT (PIRACETAM) 1G/5ML INJ B/10 AMP</t>
  </si>
  <si>
    <t>FG04765</t>
  </si>
  <si>
    <t>OSTÉOTOMES TYPE DÉTOILE - DROIT</t>
  </si>
  <si>
    <t>FG04766</t>
  </si>
  <si>
    <t>OTOSCOPE-OPHTALMOSCOPE TROUSSE COMBINÉE 01</t>
  </si>
  <si>
    <t>FG04767</t>
  </si>
  <si>
    <t>OTRINIQUE 0.05% (XYLOMETAZOLINE) GOUTTES 10ML</t>
  </si>
  <si>
    <t>FG04768</t>
  </si>
  <si>
    <t>OVERBED TABLE ML-M059</t>
  </si>
  <si>
    <t>FG04769</t>
  </si>
  <si>
    <t>OXYTOCINE 10UI/1ML INJ. B/10AMP</t>
  </si>
  <si>
    <t>FG04771</t>
  </si>
  <si>
    <t>PANIER DE STERILISHTION POUR INSTRUMENTS - LARGE</t>
  </si>
  <si>
    <t>FG04772</t>
  </si>
  <si>
    <t>PATE A L'EAU 35G</t>
  </si>
  <si>
    <t>FG04773</t>
  </si>
  <si>
    <t>PENICILLINE V.K. 250MG B/10 X 10CES</t>
  </si>
  <si>
    <t>FG04774</t>
  </si>
  <si>
    <t>PERCEUSE CHIRURGICAL BATT RECHARGEABLE ML-E1010</t>
  </si>
  <si>
    <t>FG04775</t>
  </si>
  <si>
    <t>PINCE À DISSECTION AVEC GRIFFES 1X2 - 14.5 CM</t>
  </si>
  <si>
    <t>FG04776</t>
  </si>
  <si>
    <t>PINCE À DISSECTION STANDARD 14.5 CM</t>
  </si>
  <si>
    <t>FG04777</t>
  </si>
  <si>
    <t>PIPETTE POMPE, 25ML, ROUGE</t>
  </si>
  <si>
    <t>FG04778</t>
  </si>
  <si>
    <t>PIPETTE POMPE, 2ML, BLEUE</t>
  </si>
  <si>
    <t>FG04779</t>
  </si>
  <si>
    <t>PLATEAUX D’INSTRUMENTS INOX RONDS AVEC COUVERCLE</t>
  </si>
  <si>
    <t>FG04780</t>
  </si>
  <si>
    <t>PLATEAUX INSTRUMENTS INOX 200*150*70 ML-I4006</t>
  </si>
  <si>
    <t>FG04781</t>
  </si>
  <si>
    <t>PLATEAUX INSTRUMENTS INOX RONDS225*150*48 ML-I4027</t>
  </si>
  <si>
    <t>FG04782</t>
  </si>
  <si>
    <t>POMMADE OXY DZINC 50GR.</t>
  </si>
  <si>
    <t>FG04783</t>
  </si>
  <si>
    <t>PREDNISOLONE 5MG B/10X10CES</t>
  </si>
  <si>
    <t>FG04784</t>
  </si>
  <si>
    <t>PROMETHAZINE SP 100 ML (PHATKIN)</t>
  </si>
  <si>
    <t>FG04785</t>
  </si>
  <si>
    <t>PROPOFOL 100MG/10ML INJ B/1VIAL</t>
  </si>
  <si>
    <t>FG04786</t>
  </si>
  <si>
    <t>QUININE 500MG/2ML INJ. B/10AMP (UNIQUE)</t>
  </si>
  <si>
    <t>FG04787</t>
  </si>
  <si>
    <t>REMDESIVIR 100MG INJ. B/1 VIAL</t>
  </si>
  <si>
    <t>FG04788</t>
  </si>
  <si>
    <t>SERUM GLUCOSE 10% + TROUSE 1 LITRE (UNIQUE)</t>
  </si>
  <si>
    <t>FG04789</t>
  </si>
  <si>
    <t>SYPHILIS RPR (WITH ACCESSORIES) 100 TEST</t>
  </si>
  <si>
    <t>FG04790</t>
  </si>
  <si>
    <t>SYPHILIS RPR (WITH ACCESSORIES) 50 TESTS</t>
  </si>
  <si>
    <t>FG04791</t>
  </si>
  <si>
    <t>T V 55 INCH</t>
  </si>
  <si>
    <t>FG04793</t>
  </si>
  <si>
    <t>TAMBOUR ROND A STERILISER - 275 X 225 MM ML-I4035</t>
  </si>
  <si>
    <t>FG04794</t>
  </si>
  <si>
    <t>TB TUBERCULIN PPD 5 TU / 0.1 ML 5 ML</t>
  </si>
  <si>
    <t>FG04796</t>
  </si>
  <si>
    <t>TOT HEMA PL/20AMP BUV.</t>
  </si>
  <si>
    <t>FG04797</t>
  </si>
  <si>
    <t>UNIFLAM (PARACETAMOL+IBUPROFEN) SUSPENSION 60ML</t>
  </si>
  <si>
    <t>FG04798</t>
  </si>
  <si>
    <t>UNITRIN (COTRIMOXAZOLE) SUSP. 100ML</t>
  </si>
  <si>
    <t>FG04799</t>
  </si>
  <si>
    <t>URIC ACID PHOSPHOTUNGSTAT 2 X 125 ML</t>
  </si>
  <si>
    <t>FG04800</t>
  </si>
  <si>
    <t>URIC ACID URICASE/TRINDER 2 X 25 ML</t>
  </si>
  <si>
    <t>FG04801</t>
  </si>
  <si>
    <t>URINAL FEMME AVEC POIGNÉE INOX ML-I4002</t>
  </si>
  <si>
    <t>FG04802</t>
  </si>
  <si>
    <t>VIT ACE SE ZN BIOFAR CPR EFF 20</t>
  </si>
  <si>
    <t>FG04803</t>
  </si>
  <si>
    <t>VIT C ACEROLA BIOFAR 500MG CPR EFFV T/20</t>
  </si>
  <si>
    <t>FG04804</t>
  </si>
  <si>
    <t>VITAMINE B1 100MG B/10X10CES</t>
  </si>
  <si>
    <t>FG04805</t>
  </si>
  <si>
    <t>VIVAGEST (VITAMIN B9,IODINE,VITAMIN D3) B/30 OVIL</t>
  </si>
  <si>
    <t>FG04806</t>
  </si>
  <si>
    <t>WALKING STICK(SINGLE)</t>
  </si>
  <si>
    <t>FG04807</t>
  </si>
  <si>
    <t>WERMOQUE (MEBENDAZOLE) 100MG 5ML SUSP.30ML</t>
  </si>
  <si>
    <t>FG04808</t>
  </si>
  <si>
    <t>WIDAL ANTIGEN SET (SLIDE) 4 X 5 ML</t>
  </si>
  <si>
    <t>FG04809</t>
  </si>
  <si>
    <t>WORMINIX 400 (ALBENDAZOLE) B/1X20 CES</t>
  </si>
  <si>
    <t>FG04810</t>
  </si>
  <si>
    <t>3 VIT FORT(VIT B1+B2+B6) SIROP 100ML</t>
  </si>
  <si>
    <t>FG04811</t>
  </si>
  <si>
    <t>ACIRAN ( RANITIDINE 300MG ) B/20CES</t>
  </si>
  <si>
    <t>FG04812</t>
  </si>
  <si>
    <t>ADIP 10 (AMLODIPINE) B/10CES</t>
  </si>
  <si>
    <t>FG04813</t>
  </si>
  <si>
    <t>ADIP 5 (AMLODIPINE) B/10CES</t>
  </si>
  <si>
    <t>FG04814</t>
  </si>
  <si>
    <t>ADJUSTABLE MICROPIPETTE (VOL. 0.1-2.5)AUTOCLAVABLE</t>
  </si>
  <si>
    <t>FG04815</t>
  </si>
  <si>
    <t>ADJUSTABLE MICROPIPETTE (VOL. 0.5-10 )AUTOCLAVABLE</t>
  </si>
  <si>
    <t>FG04816</t>
  </si>
  <si>
    <t>ADRENALINE 1MG/1ML INJ. B/10AMP</t>
  </si>
  <si>
    <t>FG04817</t>
  </si>
  <si>
    <t>ADRIL (CEFADROXIL) SP 60ML</t>
  </si>
  <si>
    <t>FG04818</t>
  </si>
  <si>
    <t>AIGUILLE FISTULE DIALYSE</t>
  </si>
  <si>
    <t>FG04819</t>
  </si>
  <si>
    <t>ANALYSEUR DE BIOCHIMIE SEMI-AUTOMATIQUE URIT-880</t>
  </si>
  <si>
    <t>FG04820</t>
  </si>
  <si>
    <t>ARTESIM 225MG 3AMP</t>
  </si>
  <si>
    <t>FG04821</t>
  </si>
  <si>
    <t>ARTEVIT INJECTION 5 X 3 ML</t>
  </si>
  <si>
    <t>FG04822</t>
  </si>
  <si>
    <t>ASTIR (ARTESUNAT) 180MG ING</t>
  </si>
  <si>
    <t>FG04823</t>
  </si>
  <si>
    <t>BASIC ORTHOPEDIC SET 74PC</t>
  </si>
  <si>
    <t>FG04824</t>
  </si>
  <si>
    <t>BASSIN RENIFORME 12 - INOX ML-I4021</t>
  </si>
  <si>
    <t>FG04825</t>
  </si>
  <si>
    <t>BOITE EXTRACTION DENTAIRE</t>
  </si>
  <si>
    <t>FG04826</t>
  </si>
  <si>
    <t>BOITE POUR LA STERILISATION 200X100X50MM ML-I4023</t>
  </si>
  <si>
    <t>FG04827</t>
  </si>
  <si>
    <t>BOITE POUR LA STERILISATION 350*250*63 ML-I4028</t>
  </si>
  <si>
    <t>FG04829</t>
  </si>
  <si>
    <t>CADITOR (ATORVASTATIN) 40 MG B30/CES</t>
  </si>
  <si>
    <t>FG04830</t>
  </si>
  <si>
    <t>CANULE DE GUEDEL NO. 0 ML-P6004-0</t>
  </si>
  <si>
    <t>FG04831</t>
  </si>
  <si>
    <t>CEFIM 100 (CEFIXIME) B/10CES (NEW)</t>
  </si>
  <si>
    <t>FG04832</t>
  </si>
  <si>
    <t>CELOVAN 500MG (VANCOMYCIN) INJ. B/1 VIAL</t>
  </si>
  <si>
    <t>FG04833</t>
  </si>
  <si>
    <t>CESAPRIL 20MG CES</t>
  </si>
  <si>
    <t>FG04834</t>
  </si>
  <si>
    <t>CESAREAN BOX 52PC</t>
  </si>
  <si>
    <t>FG04835</t>
  </si>
  <si>
    <t>CHLORAMPHENICOL OTTIQUE 5% 10ML</t>
  </si>
  <si>
    <t>FG04837</t>
  </si>
  <si>
    <t>COMPEX VIT B BIOFAR CPR EFFV T/20</t>
  </si>
  <si>
    <t>FG04838</t>
  </si>
  <si>
    <t>DAVIMETHER-L SP 60ML</t>
  </si>
  <si>
    <t>FG04839</t>
  </si>
  <si>
    <t>DESPAIN 25MG B/10 CES</t>
  </si>
  <si>
    <t>FG04840</t>
  </si>
  <si>
    <t>DETTOL 6 LINTER</t>
  </si>
  <si>
    <t>FG04841</t>
  </si>
  <si>
    <t>DIALYZER 1.4 HIGH FLUX</t>
  </si>
  <si>
    <t>FG04843</t>
  </si>
  <si>
    <t>ECARTEUR DE FARABEUF 15CM</t>
  </si>
  <si>
    <t>FG04844</t>
  </si>
  <si>
    <t>EFFERALGAN CODION SEC B/16CES****</t>
  </si>
  <si>
    <t>FG04845</t>
  </si>
  <si>
    <t>ESTRADIOL 5MG/ML INJ. B/10AMP</t>
  </si>
  <si>
    <t>FG04846</t>
  </si>
  <si>
    <t>EXAMINATION LAMP LED ML-E1005B</t>
  </si>
  <si>
    <t>FG04847</t>
  </si>
  <si>
    <t>EXAMINATION TABLE ML-M001</t>
  </si>
  <si>
    <t>FG04848</t>
  </si>
  <si>
    <t>FEMIFER SIROP 200ML</t>
  </si>
  <si>
    <t>FG04849</t>
  </si>
  <si>
    <t>FINOTRIP (TRYPSINE,BROMELEINE,TRITHYDRATE) B/10CES</t>
  </si>
  <si>
    <t>FG04850</t>
  </si>
  <si>
    <t>FLAMINGO TUBULAR SUPPORT GAUNTLET (MEDIUM)</t>
  </si>
  <si>
    <t>FG04851</t>
  </si>
  <si>
    <t>FLAMINGO ANKLE BINDER (LARGE)</t>
  </si>
  <si>
    <t>FG04852</t>
  </si>
  <si>
    <t>FLAMINGO ANKLE BRACE (EXTRA LARGE)</t>
  </si>
  <si>
    <t>FG04853</t>
  </si>
  <si>
    <t>FLAMINGO ANKLE GRIP (LARGE)</t>
  </si>
  <si>
    <t>FG04854</t>
  </si>
  <si>
    <t>FLAMINGO ARM IMMOBILIZER (SMALL)</t>
  </si>
  <si>
    <t>FG04855</t>
  </si>
  <si>
    <t>FLAMINGO ARM POUCH (EXTRA LARGE)</t>
  </si>
  <si>
    <t>FG04856</t>
  </si>
  <si>
    <t>FLAMINGO BI AXEL HINGED KNEE CAP (MEDIUM)</t>
  </si>
  <si>
    <t>FG04857</t>
  </si>
  <si>
    <t>FLAMINGO CALF SUPPORT (SMALL)</t>
  </si>
  <si>
    <t>FG04858</t>
  </si>
  <si>
    <t>FLAMINGO CALF SUPPORT PREMIUM (LARGE)</t>
  </si>
  <si>
    <t>FG04859</t>
  </si>
  <si>
    <t>FLAMINGO CERVICAL COLLAR (XXL)</t>
  </si>
  <si>
    <t>FG04860</t>
  </si>
  <si>
    <t>FLAMINGO CERVICAL COLLAR SOFT (LARGE)</t>
  </si>
  <si>
    <t>FG04861</t>
  </si>
  <si>
    <t>FLAMINGO CERVICAL IMMOBILIZER (MEDIUM)</t>
  </si>
  <si>
    <t>FG04862</t>
  </si>
  <si>
    <t>FLAMINGO COCCYX CUSHION SOFT</t>
  </si>
  <si>
    <t>FG04863</t>
  </si>
  <si>
    <t>FLAMINGO COMPACT SPINAL BRACE (EXTRA LARGE)</t>
  </si>
  <si>
    <t>FG04864</t>
  </si>
  <si>
    <t>FLAMINGO COMPACT SPINAL BRACE (SMALL)</t>
  </si>
  <si>
    <t>FG04865</t>
  </si>
  <si>
    <t>FLAMINGO CONTOURED L.S. SUPPORT (SMALL)</t>
  </si>
  <si>
    <t>FG04866</t>
  </si>
  <si>
    <t>FLAMINGO ELASTIC SHOULDER IMMOBILISER (LARGE)</t>
  </si>
  <si>
    <t>FG04867</t>
  </si>
  <si>
    <t>FLAMINGO ELASTIC SHOULDER IMMOBILISER (XXL)</t>
  </si>
  <si>
    <t>FG04868</t>
  </si>
  <si>
    <t>FLAMINGO ELBOW SUPPORT PREMIUM (LARGE)</t>
  </si>
  <si>
    <t>FG04869</t>
  </si>
  <si>
    <t>FLAMINGO EXTENDED BASE BALL SPLINT (L)</t>
  </si>
  <si>
    <t>FG04870</t>
  </si>
  <si>
    <t>FLAMINGO EXTENDED BASEBALL SPLINT (MEDIUM)</t>
  </si>
  <si>
    <t>FG04871</t>
  </si>
  <si>
    <t>FLAMINGO FIN STAX MALLET (LARGE)</t>
  </si>
  <si>
    <t>FG04872</t>
  </si>
  <si>
    <t>FLAMINGO GEL BI-AXEL HIN KNEE BRACE (L)</t>
  </si>
  <si>
    <t>FG04873</t>
  </si>
  <si>
    <t>FLAMINGO GEL METATARSAL PAD (MALE)</t>
  </si>
  <si>
    <t>FG04874</t>
  </si>
  <si>
    <t>FLAMINGO HERNIA BELT (EXTRA LARGE)</t>
  </si>
  <si>
    <t>FG04875</t>
  </si>
  <si>
    <t>FLAMINGO HINGED KNEE CAP (LARGE)</t>
  </si>
  <si>
    <t>FG04876</t>
  </si>
  <si>
    <t>FLAMINGO KNEE CAP (MEDIUM)</t>
  </si>
  <si>
    <t>FG04877</t>
  </si>
  <si>
    <t>FLAMINGO KNEE STABILISER (MEDIUM)</t>
  </si>
  <si>
    <t>FG04878</t>
  </si>
  <si>
    <t>FLAMINGO KNEE STABILISER (XXXL)</t>
  </si>
  <si>
    <t>FG04879</t>
  </si>
  <si>
    <t>FLAMINGO LONG ARM SPLINT</t>
  </si>
  <si>
    <t>FG04880</t>
  </si>
  <si>
    <t>FLAMINGO PELVIC BINDER (XXXL)</t>
  </si>
  <si>
    <t>FG04881</t>
  </si>
  <si>
    <t>FLAMINGO PELVIC TRACTION BELT (SMALL)</t>
  </si>
  <si>
    <t>FG04882</t>
  </si>
  <si>
    <t>FLAMINGO SACRO LUMBAR PREMIUM (EXTRA LARGE) SUPPORT</t>
  </si>
  <si>
    <t>FG04883</t>
  </si>
  <si>
    <t>FLAMINGO STOCKING BELOW KNEE PREMIUM (LARGE)</t>
  </si>
  <si>
    <t>FG04884</t>
  </si>
  <si>
    <t>FLAMINGO STIRRUP ANKLE BRACE (LARGE)</t>
  </si>
  <si>
    <t>FG04885</t>
  </si>
  <si>
    <t>FLAMINGO TENNIS ELBOW SUPPORT (MEDIUM)</t>
  </si>
  <si>
    <t>FG04886</t>
  </si>
  <si>
    <t>FLAMINGO TENNIS ELBOW SUPPORT (SMALL)</t>
  </si>
  <si>
    <t>FG04887</t>
  </si>
  <si>
    <t>FLAMINGO THUMB SPICA (MEDIUM)</t>
  </si>
  <si>
    <t>FG04888</t>
  </si>
  <si>
    <t>FLAMINGO UNI SHOULDER IMMOBILISER (SMALL)</t>
  </si>
  <si>
    <t>FG04889</t>
  </si>
  <si>
    <t>FLAMINGO VERICOSE VEIN STOCKING PREMIUM (SMALL)</t>
  </si>
  <si>
    <t>FG04890</t>
  </si>
  <si>
    <t>FLAMINGO VERICOSE VEIN STOCKING PREMIUM(EX LARGE)</t>
  </si>
  <si>
    <t>FG04891</t>
  </si>
  <si>
    <t>GAZELLE-HB/DRÉPANOCYTOSE-CARTOUCHE-B/25 TESTS</t>
  </si>
  <si>
    <t>FG04894</t>
  </si>
  <si>
    <t>HAEMRON SG(V12,ACIDE FLO,ZINC) B/30CES</t>
  </si>
  <si>
    <t>FG04895</t>
  </si>
  <si>
    <t>HOSPITAL BED PLAIN ML-M007</t>
  </si>
  <si>
    <t>FG04896</t>
  </si>
  <si>
    <t>HOSPITAL EMERGENCY ABS TROLLEY ML-M070B</t>
  </si>
  <si>
    <t>FG04897</t>
  </si>
  <si>
    <t>IMN - CK-MB, B/25 CARTOUCHES</t>
  </si>
  <si>
    <t>FG04898</t>
  </si>
  <si>
    <t>IMN - E2, B/25 CARTOUCHES</t>
  </si>
  <si>
    <t>FG04899</t>
  </si>
  <si>
    <t>IMN - PROLACTINE, B/25 CARTOUCHES</t>
  </si>
  <si>
    <t>FG04900</t>
  </si>
  <si>
    <t>IMN - SAA, B/25 CARTOUCHES</t>
  </si>
  <si>
    <t>FG04901</t>
  </si>
  <si>
    <t>INCUBATEUR DE LABORATOIRE 30L</t>
  </si>
  <si>
    <t>FG04903</t>
  </si>
  <si>
    <t>MANCHE DE BISTOURI - SCALPET N°3</t>
  </si>
  <si>
    <t>FG04904</t>
  </si>
  <si>
    <t>MELANGEUR VORTEX - COUSSIN</t>
  </si>
  <si>
    <t>FG04905</t>
  </si>
  <si>
    <t>METRONIDAZOLE 250MG B/10X10CES</t>
  </si>
  <si>
    <t>FG04906</t>
  </si>
  <si>
    <t>MULTIVIT 12 MINRX BIOFAR CPR EFFV T/20</t>
  </si>
  <si>
    <t>FG04907</t>
  </si>
  <si>
    <t>NEBIMEX 2.5MG CES</t>
  </si>
  <si>
    <t>FG04908</t>
  </si>
  <si>
    <t>NEOTONE BODY 100ML LOTION</t>
  </si>
  <si>
    <t>FG04909</t>
  </si>
  <si>
    <t>NURSE CHAIR ML-M060</t>
  </si>
  <si>
    <t>FG04910</t>
  </si>
  <si>
    <t>OMEXA (OMEGA3 FISH OIL &amp; VIT. E) B/30 CES</t>
  </si>
  <si>
    <t>FG04912</t>
  </si>
  <si>
    <t>OSTÉOTOMES AVEC POIGNÉE EN FIBRE - DROITE</t>
  </si>
  <si>
    <t>FG04913</t>
  </si>
  <si>
    <t>OTRINIQUE 0.1% (XYLOMETAZOLINE) GOUTTES 10ML</t>
  </si>
  <si>
    <t>FG04914</t>
  </si>
  <si>
    <t>PARAHIT F (DEVICE) 25 TEST</t>
  </si>
  <si>
    <t>FG04915</t>
  </si>
  <si>
    <t>PARAMED INFUSION (PARACETAMOL)</t>
  </si>
  <si>
    <t>FG04916</t>
  </si>
  <si>
    <t>PATIENT STRETCHER TROLLEY ML-M030</t>
  </si>
  <si>
    <t>FG04917</t>
  </si>
  <si>
    <t>PINCE À BIOPSIE JETABLE DIIA-2.3MM, LONG-2300MM</t>
  </si>
  <si>
    <t>FG04918</t>
  </si>
  <si>
    <t>PINCE A EPILATION</t>
  </si>
  <si>
    <t>FG04919</t>
  </si>
  <si>
    <t>PINCE DE SPENCER WELLS STÉRILE - DROITE - 14 CM</t>
  </si>
  <si>
    <t>FG04920</t>
  </si>
  <si>
    <t>PORTE AIGUILLE DE MAYO HEGAR, 18 CM</t>
  </si>
  <si>
    <t>FG04921</t>
  </si>
  <si>
    <t>PROMETHAZINE SP 100ML</t>
  </si>
  <si>
    <t>FG04922</t>
  </si>
  <si>
    <t>PYRAMAX PL/9 CP</t>
  </si>
  <si>
    <t>FG04923</t>
  </si>
  <si>
    <t>REFRIGERATEUR DE LABORATOIRE 2 A 8 DEGRES - 1500</t>
  </si>
  <si>
    <t>FG04924</t>
  </si>
  <si>
    <t>SOLUTION GIEMSA</t>
  </si>
  <si>
    <t>FG04925</t>
  </si>
  <si>
    <t>STERILISATEUR AUTOCLAVE - 18L (GPL/CHARBON )</t>
  </si>
  <si>
    <t>FG04926</t>
  </si>
  <si>
    <t>SWISS-CLAC (AMOXY,CLAVU) 1G B\1AMP</t>
  </si>
  <si>
    <t>FG04927</t>
  </si>
  <si>
    <t>TB TUBERCULIN PPD 1 TU / 0.1 ML 5 ML</t>
  </si>
  <si>
    <t>FG04928</t>
  </si>
  <si>
    <t>TETRACYCLINE POMMADE OPT, T/3G</t>
  </si>
  <si>
    <t>FG04929</t>
  </si>
  <si>
    <t>TOURNEVIS HEXAGONAL EMBOUT DE 3,5 MM</t>
  </si>
  <si>
    <t>FG04931</t>
  </si>
  <si>
    <t>UREA BERTHELOT 400 ML</t>
  </si>
  <si>
    <t>FG04932</t>
  </si>
  <si>
    <t>URINAL HOMME AVEC POIGNÉE INOX</t>
  </si>
  <si>
    <t>FG04933</t>
  </si>
  <si>
    <t>VIBRO-4MG (VECURONIUM) B/1AMP</t>
  </si>
  <si>
    <t>FG04934</t>
  </si>
  <si>
    <t>VITAMINE B.COMPLEXE 2ML INJ.B/10AMP</t>
  </si>
  <si>
    <t>FG04935</t>
  </si>
  <si>
    <t>VITAMINE C 500MG 5ML INJ. 10AMP</t>
  </si>
  <si>
    <t>FG05698</t>
  </si>
  <si>
    <t>ADALAT 20MG RETARD (EO) B/30 CES</t>
  </si>
  <si>
    <t>FG05699</t>
  </si>
  <si>
    <t>AA</t>
  </si>
  <si>
    <t>FG05700</t>
  </si>
  <si>
    <t>ADALATE LP 20MG 30CAP (FR)</t>
  </si>
  <si>
    <t>FG05701</t>
  </si>
  <si>
    <t>ALDACTONE 25MG B/20CES (GR)</t>
  </si>
  <si>
    <t>FG05702</t>
  </si>
  <si>
    <t>ALOPATE 45GR (FR)</t>
  </si>
  <si>
    <t>FG05703</t>
  </si>
  <si>
    <t>AMLOR 5MG B56CES (FR)</t>
  </si>
  <si>
    <t>FG05704</t>
  </si>
  <si>
    <t>ANDROTARDYL 250MG I.M. 1ML (FR)</t>
  </si>
  <si>
    <t>FG05705</t>
  </si>
  <si>
    <t>APAZIDE SUSP BUV 100MG 4% (EO)</t>
  </si>
  <si>
    <t>FG05706</t>
  </si>
  <si>
    <t>APPAREIL DECG</t>
  </si>
  <si>
    <t>FG05707</t>
  </si>
  <si>
    <t>ARTOTEC 50MG B/30CES (FR)</t>
  </si>
  <si>
    <t>FG05708</t>
  </si>
  <si>
    <t>ASPIRINE UPSA VIT C 330MG 2TX10" (FR)</t>
  </si>
  <si>
    <t>FG05709</t>
  </si>
  <si>
    <t>ATROVENT SOLUTION 0.03 15ML(FR)</t>
  </si>
  <si>
    <t>FG05710</t>
  </si>
  <si>
    <t>AUGMENTIN INJ. 500/50 B/1AMP (FR)</t>
  </si>
  <si>
    <t>FG05711</t>
  </si>
  <si>
    <t>AUREOMYCINE 3% MONOT 15GR(FR)</t>
  </si>
  <si>
    <t>FG05712</t>
  </si>
  <si>
    <t>AUREOMYCINE VALDA 1% OPHT 5G(FR)</t>
  </si>
  <si>
    <t>FG05713</t>
  </si>
  <si>
    <t>AVODART 0.5MG B/30CES (FR)</t>
  </si>
  <si>
    <t>FG05714</t>
  </si>
  <si>
    <t>AZANTAC 150MG EFF 30CES (FR)</t>
  </si>
  <si>
    <t>FG05715</t>
  </si>
  <si>
    <t>AZANTAC 300MG 14 CES EFF. (FR)</t>
  </si>
  <si>
    <t>FG05716</t>
  </si>
  <si>
    <t>AZANTAC 75MG EFF. 14CES (FR)</t>
  </si>
  <si>
    <t>FG05717</t>
  </si>
  <si>
    <t>AZIX 1500MG SUS 37.5ML (EO)</t>
  </si>
  <si>
    <t>FG05718</t>
  </si>
  <si>
    <t>AZYTER 15MG COLLYRE 6/UNIDOSES</t>
  </si>
  <si>
    <t>FG05719</t>
  </si>
  <si>
    <t>BACTIFLOX 500MG 10CES(FR)</t>
  </si>
  <si>
    <t>FG05720</t>
  </si>
  <si>
    <t>BACTOX 500MG PL DE 10 CAPS</t>
  </si>
  <si>
    <t>FG05721</t>
  </si>
  <si>
    <t>BALANCE PÈSE BÉBÉ MÉCANIQUE</t>
  </si>
  <si>
    <t>FG05722</t>
  </si>
  <si>
    <t>BECONASE 50 AEROSOL 200DOSES</t>
  </si>
  <si>
    <t>FG05723</t>
  </si>
  <si>
    <t>BECOTIDE 250 INHAL BUC 200DOS (EO)^^^</t>
  </si>
  <si>
    <t>FG05724</t>
  </si>
  <si>
    <t>BECOTIDE AER 50MCG (FR)</t>
  </si>
  <si>
    <t>FG05725</t>
  </si>
  <si>
    <t>BECOZYM 20CES (EO)</t>
  </si>
  <si>
    <t>FG05726</t>
  </si>
  <si>
    <t>BI PROFENID 100 MG 20CES (FR)</t>
  </si>
  <si>
    <t>FG05727</t>
  </si>
  <si>
    <t>BI PROFENID B/30CES 150MG</t>
  </si>
  <si>
    <t>FG05728</t>
  </si>
  <si>
    <t>BIAFINE EMULSION 93G (E.O.)</t>
  </si>
  <si>
    <t>FG05729</t>
  </si>
  <si>
    <t>BINOZYT 250MG 6 GELULES (FR)</t>
  </si>
  <si>
    <t>FG05730</t>
  </si>
  <si>
    <t>BIODROXYL 1000MG GELULES B/12 (FR)</t>
  </si>
  <si>
    <t>FG05731</t>
  </si>
  <si>
    <t>BIODROXYL 12GELULES 500MG (FR)</t>
  </si>
  <si>
    <t>FG05732</t>
  </si>
  <si>
    <t>BISOPROLOL 10MG B/28CES (FR) $$</t>
  </si>
  <si>
    <t>FG05733</t>
  </si>
  <si>
    <t>BOITE MATERNITÉ</t>
  </si>
  <si>
    <t>FG05734</t>
  </si>
  <si>
    <t>BOTTE POUR BLOC OPERATOIRE EN PVC</t>
  </si>
  <si>
    <t>FG05735</t>
  </si>
  <si>
    <t>BRIMO (BRIMONIDINE) 0.2% COLLYRE FL5ML</t>
  </si>
  <si>
    <t>FG05736</t>
  </si>
  <si>
    <t>BRUMED 400MG B/100CES(FR)</t>
  </si>
  <si>
    <t>FG05737</t>
  </si>
  <si>
    <t>CALCUIM ACTIVE DENK B/20CES</t>
  </si>
  <si>
    <t>FG05738</t>
  </si>
  <si>
    <t>CANDEREL B/100 SACHET ***</t>
  </si>
  <si>
    <t>FG05739</t>
  </si>
  <si>
    <t>CARDIO ASPIRIN 100MG 28CES(FR)</t>
  </si>
  <si>
    <t>FG05740</t>
  </si>
  <si>
    <t>CASSETTE + ÉCRAN RENFORÇATEUR STANDARD 35*43</t>
  </si>
  <si>
    <t>FG05741</t>
  </si>
  <si>
    <t>CEBESINE 0.4% COLLYRE 10ML (FR)</t>
  </si>
  <si>
    <t>FG05742</t>
  </si>
  <si>
    <t>CEFAXONE 1G IV B/1 (FR)</t>
  </si>
  <si>
    <t>FG05743</t>
  </si>
  <si>
    <t>CELESTAMINE 30CES (EO)</t>
  </si>
  <si>
    <t>FG05744</t>
  </si>
  <si>
    <t>CHAISES POUR SALLE D’ATTENTE</t>
  </si>
  <si>
    <t>FG05745</t>
  </si>
  <si>
    <t>CHLOREXIDINE 4% (CETRIMINE) 1LT</t>
  </si>
  <si>
    <t>FG05746</t>
  </si>
  <si>
    <t>CINABAC (CIPROFLOXACINE) @250MG@ 10CAPS GENPHARMA</t>
  </si>
  <si>
    <t>FG05747</t>
  </si>
  <si>
    <t>CLARITYNE SIROP 60ML (FR)</t>
  </si>
  <si>
    <t>FG05748</t>
  </si>
  <si>
    <t>CLOFAINS 10CES(FR)</t>
  </si>
  <si>
    <t>FG05749</t>
  </si>
  <si>
    <t>COARTEM 20/120MG ****CES/24CE**** (FR)</t>
  </si>
  <si>
    <t>FG05750</t>
  </si>
  <si>
    <t>CONCENTREUR DOXYGÈNES 5LITRE</t>
  </si>
  <si>
    <t>FG05751</t>
  </si>
  <si>
    <t>COVALSAR DENK 80/12.5 B/28 CES (FR)</t>
  </si>
  <si>
    <t>FG05752</t>
  </si>
  <si>
    <t>CYTOTEC PL 10CES @@@@</t>
  </si>
  <si>
    <t>FG05753</t>
  </si>
  <si>
    <t>DAFALGAN 500MG 32CES EFF. (FR)</t>
  </si>
  <si>
    <t>FG05754</t>
  </si>
  <si>
    <t>DALACIN 300MG/2ML INJ B/1AMP</t>
  </si>
  <si>
    <t>FG05755</t>
  </si>
  <si>
    <t>DICETEL 100MG 20CES (FR) $$</t>
  </si>
  <si>
    <t>FG05756</t>
  </si>
  <si>
    <t>DOLIPRANE 1G AD B/8SACH (FR)</t>
  </si>
  <si>
    <t>FG05757</t>
  </si>
  <si>
    <t>DOSTINEX 0.5MG B/2CES (FR)</t>
  </si>
  <si>
    <t>FG05758</t>
  </si>
  <si>
    <t>DRAPS DE LITS</t>
  </si>
  <si>
    <t>FG05759</t>
  </si>
  <si>
    <t>DULOXETINE SANDOZ 60MG B/28 CAP</t>
  </si>
  <si>
    <t>FG05760</t>
  </si>
  <si>
    <t>EFFORTIL 5MG 30CES (FR)</t>
  </si>
  <si>
    <t>FG05761</t>
  </si>
  <si>
    <t>EFFORTIL GOUTTE 30ML(FR)</t>
  </si>
  <si>
    <t>FG05762</t>
  </si>
  <si>
    <t>ELICA 0.1% POMMADE</t>
  </si>
  <si>
    <t>FG05763</t>
  </si>
  <si>
    <t>ELUDRIL COLUTOIRE 55ML(FR)</t>
  </si>
  <si>
    <t>FG05764</t>
  </si>
  <si>
    <t>EPICRANIAN 25G ORAN PCS/10</t>
  </si>
  <si>
    <t>FG05765</t>
  </si>
  <si>
    <t>EQOUTTOIR</t>
  </si>
  <si>
    <t>FG05766</t>
  </si>
  <si>
    <t>EURAX CREAM 60GR 10% (EO)</t>
  </si>
  <si>
    <t>FG05767</t>
  </si>
  <si>
    <t>EXACYL INJ B\6AMP @@@@@@</t>
  </si>
  <si>
    <t>FG05768</t>
  </si>
  <si>
    <t>EYES BLUE AZUR 15ML (EO)</t>
  </si>
  <si>
    <t>FG05769</t>
  </si>
  <si>
    <t>FECOND 100(PROGESTERONE 100MG) B/15 CAP</t>
  </si>
  <si>
    <t>FG05770</t>
  </si>
  <si>
    <t>FELDENE 10MG 20GELULES (FR)</t>
  </si>
  <si>
    <t>FG05771</t>
  </si>
  <si>
    <t>FIL A CORDON OMBILICAL, 3 MM X 15 CM</t>
  </si>
  <si>
    <t>FG05772</t>
  </si>
  <si>
    <t>FILM 35X43 B/100PCS</t>
  </si>
  <si>
    <t>FG05773</t>
  </si>
  <si>
    <t>FIXE CHAMPS</t>
  </si>
  <si>
    <t>FG05774</t>
  </si>
  <si>
    <t>FLOXAPEN 125MG SIROP 60ML (FR)</t>
  </si>
  <si>
    <t>FG05775</t>
  </si>
  <si>
    <t>FLUCANAZOL 150MG 1CAP(FR)</t>
  </si>
  <si>
    <t>FG05776</t>
  </si>
  <si>
    <t>FLUMINOC (ARTENETHER) 80MG+480MG B/6CES</t>
  </si>
  <si>
    <t>FG05777</t>
  </si>
  <si>
    <t>FURADANTINE 21CES(FR)</t>
  </si>
  <si>
    <t>FG05778</t>
  </si>
  <si>
    <t>GANT PLOMBIER</t>
  </si>
  <si>
    <t>FG05779</t>
  </si>
  <si>
    <t>GENTALLINE COLLYRE 5ML(EO)</t>
  </si>
  <si>
    <t>FG05780</t>
  </si>
  <si>
    <t>GLICERINE GILB 60ML(FR)</t>
  </si>
  <si>
    <t>FG05781</t>
  </si>
  <si>
    <t>GLYCERINE COOPER 100ML (EO)</t>
  </si>
  <si>
    <t>FG05782</t>
  </si>
  <si>
    <t>GRANDS CHAMPS OPÉRATOIRE</t>
  </si>
  <si>
    <t>FG05783</t>
  </si>
  <si>
    <t>GRISEOFULVINE 250MG 10CES (SPECI.)</t>
  </si>
  <si>
    <t>FG05784</t>
  </si>
  <si>
    <t>HEXOMEDINE SOLUTION 45ML</t>
  </si>
  <si>
    <t>FG05785</t>
  </si>
  <si>
    <t>HICONCIL 125MG SP 60ML</t>
  </si>
  <si>
    <t>FG05786</t>
  </si>
  <si>
    <t>HICONCIL 250MG SP 60ML</t>
  </si>
  <si>
    <t>FG05787</t>
  </si>
  <si>
    <t>HICONCIL 500MG BT/12CAPS</t>
  </si>
  <si>
    <t>FG05788</t>
  </si>
  <si>
    <t>IBUPROFEN LOGI 600MG B/20CES (EO)</t>
  </si>
  <si>
    <t>FG05789</t>
  </si>
  <si>
    <t>IBUPROFENE 400 MG 10X10 CES (GENERIC)</t>
  </si>
  <si>
    <t>FG05790</t>
  </si>
  <si>
    <t>IMMUNOPLEX N (INTERFERON ALPHA ) B/30CES (EO)</t>
  </si>
  <si>
    <t>FG05791</t>
  </si>
  <si>
    <t>INDERAL 40MG B/100CES (EO)</t>
  </si>
  <si>
    <t>FG05792</t>
  </si>
  <si>
    <t>INNOTEX LARGE PCS/3</t>
  </si>
  <si>
    <t>FG05793</t>
  </si>
  <si>
    <t>INSULINE INSULATARD 100UI 10ML (EO)</t>
  </si>
  <si>
    <t>FG05794</t>
  </si>
  <si>
    <t>KARDEGIC 300MG SACH B/30(FR)</t>
  </si>
  <si>
    <t>FG05795</t>
  </si>
  <si>
    <t>KARDEGIC 75MG SACH B/30(FR)</t>
  </si>
  <si>
    <t>FG05796</t>
  </si>
  <si>
    <t>KETUM 2.5% GEL 60G. (FR)</t>
  </si>
  <si>
    <t>FG05797</t>
  </si>
  <si>
    <t>KIT CVC - J TIP TRIPLE LUMEN 7FR 16CM</t>
  </si>
  <si>
    <t>FG05798</t>
  </si>
  <si>
    <t>KIT P.P.E</t>
  </si>
  <si>
    <t>FG05799</t>
  </si>
  <si>
    <t>LAMISIL 1% CREME 15GR (FR)</t>
  </si>
  <si>
    <t>FG05800</t>
  </si>
  <si>
    <t>LAMISIL 1% CREME 7.5GR (FR)</t>
  </si>
  <si>
    <t>FG05801</t>
  </si>
  <si>
    <t>LAMISIL 250MG 14CES</t>
  </si>
  <si>
    <t>FG05802</t>
  </si>
  <si>
    <t>LARGATIL 100MG PL 10CES (EO) &amp;&amp;&amp;</t>
  </si>
  <si>
    <t>FG05803</t>
  </si>
  <si>
    <t>LARIAM BOITE DE 8 CES (FR)</t>
  </si>
  <si>
    <t>FG05804</t>
  </si>
  <si>
    <t>LASILIX AMP INJ 20MG 2ML (EO)^^^</t>
  </si>
  <si>
    <t>FG05805</t>
  </si>
  <si>
    <t>LATANO (LATANOPROST) COLLYRE 0.005% FL/2.25L</t>
  </si>
  <si>
    <t>FG05806</t>
  </si>
  <si>
    <t>LATANOCOM CY FL/2.5ML</t>
  </si>
  <si>
    <t>FG05807</t>
  </si>
  <si>
    <t>LEMOCIN A SUCER 50CES (FR)</t>
  </si>
  <si>
    <t>FG05808</t>
  </si>
  <si>
    <t>LEUCODININE B POMMADE 30GR (FR)</t>
  </si>
  <si>
    <t>FG05809</t>
  </si>
  <si>
    <t>LIDOCAINE+ADRENALINE 2% FL/30ML</t>
  </si>
  <si>
    <t>FG05810</t>
  </si>
  <si>
    <t>LISINOPRIL 20MG B/20 CES</t>
  </si>
  <si>
    <t>FG05811</t>
  </si>
  <si>
    <t>LONGAMYCINE 200MG B/8CES (EO)</t>
  </si>
  <si>
    <t>FG05812</t>
  </si>
  <si>
    <t>LOSAR DENK 100 B/28CES</t>
  </si>
  <si>
    <t>FG05813</t>
  </si>
  <si>
    <t>LOSAR DENK 50 B/28 CES</t>
  </si>
  <si>
    <t>FG05814</t>
  </si>
  <si>
    <t>MAGNESPASMYL 100 CES</t>
  </si>
  <si>
    <t>FG05815</t>
  </si>
  <si>
    <t>MARIMER (STERIMAR) SPRAY NASAL 100ML (FR) $$</t>
  </si>
  <si>
    <t>FG05816</t>
  </si>
  <si>
    <t>MARIMER SPRAY NASAL 100ML (FR) $$</t>
  </si>
  <si>
    <t>FG05817</t>
  </si>
  <si>
    <t>MENOPUR 75UI 1AMP (FR)</t>
  </si>
  <si>
    <t>FG05818</t>
  </si>
  <si>
    <t>METHERGINE 10ML GOUTTE(ESP)</t>
  </si>
  <si>
    <t>FG05819</t>
  </si>
  <si>
    <t>METHOTREXATE 2.5MG 20CES (EO)###</t>
  </si>
  <si>
    <t>FG05820</t>
  </si>
  <si>
    <t>MICOZAL 2% CREME 15GR (FR)</t>
  </si>
  <si>
    <t>FG05821</t>
  </si>
  <si>
    <t>MICROPIPETTE 10 200UI</t>
  </si>
  <si>
    <t>FG05822</t>
  </si>
  <si>
    <t>MICROSCOPE ELECT. BINOCULAIRE</t>
  </si>
  <si>
    <t>FG05823</t>
  </si>
  <si>
    <t>MITOMYCINE 2MG 2ML B/1AMP(EO)</t>
  </si>
  <si>
    <t>FG05824</t>
  </si>
  <si>
    <t>MONITEUR DE SIGNES VITAUX</t>
  </si>
  <si>
    <t>FG05825</t>
  </si>
  <si>
    <t>MOPRAL 10MG 14CAPS (FR)</t>
  </si>
  <si>
    <t>FG05826</t>
  </si>
  <si>
    <t>MOPRAL 20MG 14CAPS (E.O.)</t>
  </si>
  <si>
    <t>FG05827</t>
  </si>
  <si>
    <t>MOTILIUM PED. SIROP 100ML(FR)</t>
  </si>
  <si>
    <t>FG05828</t>
  </si>
  <si>
    <t>NABYOL FORT B/50CES (EO)</t>
  </si>
  <si>
    <t>FG05829</t>
  </si>
  <si>
    <t>NAPROSYNE 1GR 8CES</t>
  </si>
  <si>
    <t>FG05830</t>
  </si>
  <si>
    <t>NEGATOSCOPE A 2 PLACES</t>
  </si>
  <si>
    <t>FG05831</t>
  </si>
  <si>
    <t>NOOTROPYL 30 AMPOULES BUVABLES (FR)</t>
  </si>
  <si>
    <t>FG05832</t>
  </si>
  <si>
    <t>NUCLEO CMP INJ 3AMP (FR)</t>
  </si>
  <si>
    <t>FG05833</t>
  </si>
  <si>
    <t>OESTROGEL 80GR (FR)</t>
  </si>
  <si>
    <t>FG05834</t>
  </si>
  <si>
    <t>OFLOCET 200MG/40ML I.V. B/1AMP (FR)</t>
  </si>
  <si>
    <t>FG05835</t>
  </si>
  <si>
    <t>OLFEN 100MG CAPS B/10</t>
  </si>
  <si>
    <t>FG05836</t>
  </si>
  <si>
    <t>OLFEN 75MG SR B/30CES (DICLOFENAC RET.)</t>
  </si>
  <si>
    <t>FG05837</t>
  </si>
  <si>
    <t>OLOPAT (OLOPATADINE) 0.1% COLLYRE FL /5ML</t>
  </si>
  <si>
    <t>FG05838</t>
  </si>
  <si>
    <t>OMNIPAQUE 350MG 100ML (FR)</t>
  </si>
  <si>
    <t>FG05839</t>
  </si>
  <si>
    <t>OPTICRON COOLYRE--10 UNIDOSES(FR)</t>
  </si>
  <si>
    <t>FG05840</t>
  </si>
  <si>
    <t>OPTIDEX T (TOBRE+DEXA) COLLYRE 5ML</t>
  </si>
  <si>
    <t>FG05841</t>
  </si>
  <si>
    <t>OSPAMOX 125MG/5ML SUSP. 60ML</t>
  </si>
  <si>
    <t>FG05842</t>
  </si>
  <si>
    <t>OTOCALMINE 8ML AURIC GTTE (FR)</t>
  </si>
  <si>
    <t>FG05843</t>
  </si>
  <si>
    <t>OXOLAMOL (DORZOLAMIDE + TIMOLO) COLLYRE 5ML</t>
  </si>
  <si>
    <t>FG05844</t>
  </si>
  <si>
    <t>PANADOL 20CES 500MG (FR)</t>
  </si>
  <si>
    <t>FG05845</t>
  </si>
  <si>
    <t>PERFALGAN 0.5GR 1AMP SOL PERF ENF</t>
  </si>
  <si>
    <t>FG05846</t>
  </si>
  <si>
    <t>PINCE ANATOMIE 14CM</t>
  </si>
  <si>
    <t>FG05847</t>
  </si>
  <si>
    <t>PINCE EN CŒUR</t>
  </si>
  <si>
    <t>FG05848</t>
  </si>
  <si>
    <t>PINCES ALICES</t>
  </si>
  <si>
    <t>FG05849</t>
  </si>
  <si>
    <t>PRAXILENE 100MG 20 GELULE (FR)</t>
  </si>
  <si>
    <t>FG05850</t>
  </si>
  <si>
    <t>PRIMPERAN 10MG B/40CES (FR)</t>
  </si>
  <si>
    <t>FG05851</t>
  </si>
  <si>
    <t>PROCTO-GLYVENOL 400 MG 10 SUPPO (FR)</t>
  </si>
  <si>
    <t>FG05852</t>
  </si>
  <si>
    <t>PROTAMINE 1000 5 ML 5 AMP (EO)^^^</t>
  </si>
  <si>
    <t>FG05853</t>
  </si>
  <si>
    <t>PROTEC PILL CP B/2</t>
  </si>
  <si>
    <t>FG05854</t>
  </si>
  <si>
    <t>RHUMAGRIP 16CES</t>
  </si>
  <si>
    <t>FG05855</t>
  </si>
  <si>
    <t>ROCEPHINE 500MG IV INJ B/1AMP (EO)</t>
  </si>
  <si>
    <t>FG05856</t>
  </si>
  <si>
    <t>RULID 150MG 10CES (FR)</t>
  </si>
  <si>
    <t>FG05857</t>
  </si>
  <si>
    <t>SARIDON 10CES (FR)</t>
  </si>
  <si>
    <t>FG05858</t>
  </si>
  <si>
    <t>SENSODYNE PRO BLANCHER 75ML</t>
  </si>
  <si>
    <t>FG05859</t>
  </si>
  <si>
    <t>SKILAX GOUTTES (EO)</t>
  </si>
  <si>
    <t>FG05860</t>
  </si>
  <si>
    <t>SOLUBACTER SOLUTION 150ML</t>
  </si>
  <si>
    <t>FG05861</t>
  </si>
  <si>
    <t>SOLUPRED 5MG EFF B/30CES(EO)^^^</t>
  </si>
  <si>
    <t>FG05862</t>
  </si>
  <si>
    <t>SORINZA MOUTH ULCER GEL 15G</t>
  </si>
  <si>
    <t>FG05863</t>
  </si>
  <si>
    <t>SPASFON 80MG 30CES (FR) OLD</t>
  </si>
  <si>
    <t>FG05864</t>
  </si>
  <si>
    <t>SPECTROPHOTOMETRE</t>
  </si>
  <si>
    <t>FG05865</t>
  </si>
  <si>
    <t>SPORILINE LOTION 25ML (FR)</t>
  </si>
  <si>
    <t>FG05866</t>
  </si>
  <si>
    <t>STERDEX POMMADE OPHT</t>
  </si>
  <si>
    <t>FG05867</t>
  </si>
  <si>
    <t>STERIMAR CUIVRE SPRAY 50ML(FR)</t>
  </si>
  <si>
    <t>FG05868</t>
  </si>
  <si>
    <t>STILNOX 10MG 20CES (FR)</t>
  </si>
  <si>
    <t>FG05869</t>
  </si>
  <si>
    <t>STREPSIL COOL MINT 36 PASTILES</t>
  </si>
  <si>
    <t>FG05870</t>
  </si>
  <si>
    <t>STREPSIL PAST ORANG +VITC B/24 (FR)</t>
  </si>
  <si>
    <t>FG05871</t>
  </si>
  <si>
    <t>STRIPS 0.1*8 LGT001</t>
  </si>
  <si>
    <t>FG05872</t>
  </si>
  <si>
    <t>SUPPORT POUR FILM RADIO 35*43 CM</t>
  </si>
  <si>
    <t>FG05873</t>
  </si>
  <si>
    <t>SUPPORT POUR FILM RADIO 24*30 CM</t>
  </si>
  <si>
    <t>FG05874</t>
  </si>
  <si>
    <t>SUPPORT POUR FILM RADIO 30*40 CM</t>
  </si>
  <si>
    <t>FG05875</t>
  </si>
  <si>
    <t>SURQUINA 250MG 6CES PL</t>
  </si>
  <si>
    <t>FG05876</t>
  </si>
  <si>
    <t>SYNTHOCINON 5.U.I. 1ML AMP B/3.......</t>
  </si>
  <si>
    <t>FG05877</t>
  </si>
  <si>
    <t>SYNTHOCINON 5UI INJ AMP B/10 (FR)</t>
  </si>
  <si>
    <t>FG05878</t>
  </si>
  <si>
    <t>TABLE D’ACCOUCHEMENT SIMPLE</t>
  </si>
  <si>
    <t>FG05879</t>
  </si>
  <si>
    <t>TABLES OPÉRATOIRES HYDRAULIQUES VARIANTE</t>
  </si>
  <si>
    <t>FG05880</t>
  </si>
  <si>
    <t>TAMBOURS 190*190</t>
  </si>
  <si>
    <t>FG05881</t>
  </si>
  <si>
    <t>TAMBOURS 240*240</t>
  </si>
  <si>
    <t>FG05882</t>
  </si>
  <si>
    <t>TAMBOURS GRAND FORMAT 150*150</t>
  </si>
  <si>
    <t>FG05883</t>
  </si>
  <si>
    <t>TAMBOURS GRAND FORMAT 240*240</t>
  </si>
  <si>
    <t>FG05884</t>
  </si>
  <si>
    <t>TANAKAN 40MG 90CAPS(FR)</t>
  </si>
  <si>
    <t>FG05885</t>
  </si>
  <si>
    <t>TELEBRIX HYSTERO SOL ING 20ML (FR)</t>
  </si>
  <si>
    <t>FG05886</t>
  </si>
  <si>
    <t>TERBINOL 1/100 @@ SPRAY 30ML (FR)</t>
  </si>
  <si>
    <t>FG05887</t>
  </si>
  <si>
    <t>TERRAMYCINE ONGT OPHT 3.5GR (EO)</t>
  </si>
  <si>
    <t>FG05888</t>
  </si>
  <si>
    <t>TIRLOR 10MG 10CES (FR)</t>
  </si>
  <si>
    <t>FG05889</t>
  </si>
  <si>
    <t>TOBRACORT 3M 5ML (FR)</t>
  </si>
  <si>
    <t>FG05890</t>
  </si>
  <si>
    <t>TOT HEMA PL/10 @@ AMP BUV.</t>
  </si>
  <si>
    <t>FG05891</t>
  </si>
  <si>
    <t>TRIPLIXAM 10/1.25/5MG B/30CES (FR)</t>
  </si>
  <si>
    <t>FG05892</t>
  </si>
  <si>
    <t>TRITAZIDE 28CES SECABLES 30MG (FR)***</t>
  </si>
  <si>
    <t>FG05893</t>
  </si>
  <si>
    <t>TROBIMON (SPECTINOMYCINE) 2GM INJ</t>
  </si>
  <si>
    <t>FG05894</t>
  </si>
  <si>
    <t>ULCAR SACHET BUV.1GR B/#1#SACHETS</t>
  </si>
  <si>
    <t>FG05895</t>
  </si>
  <si>
    <t>ULTRA LEVURE 50MG CAPS B/20 (FR)</t>
  </si>
  <si>
    <t>FG05896</t>
  </si>
  <si>
    <t>UTEPLEX 45AMP BUV (FR)</t>
  </si>
  <si>
    <t>FG05897</t>
  </si>
  <si>
    <t>VALSAR DENK 160 B/28CES (FR)</t>
  </si>
  <si>
    <t>FG05898</t>
  </si>
  <si>
    <t>VASELINE OFFIC. COOPER @@ 80G. (FR) @@</t>
  </si>
  <si>
    <t>FG05899</t>
  </si>
  <si>
    <t>VASELINE OFFIC. COOPER 20G. (FR) $$</t>
  </si>
  <si>
    <t>FG05900</t>
  </si>
  <si>
    <t>VENORUTON FORTE 500MG PLS DE 10CES (EO)</t>
  </si>
  <si>
    <t>FG05901</t>
  </si>
  <si>
    <t>VENOSMIL GEL 60GR(FR)</t>
  </si>
  <si>
    <t>FG05902</t>
  </si>
  <si>
    <t>VISCERALGINE 20MG 20SUPPOS (FR)</t>
  </si>
  <si>
    <t>FG05903</t>
  </si>
  <si>
    <t>VITASCORBOL 500MG 12CES SANS SUCRE VIT.C.</t>
  </si>
  <si>
    <t>FG05904</t>
  </si>
  <si>
    <t>WARIMAZOL 200MG 3CES VAG.(FR)</t>
  </si>
  <si>
    <t>FG05905</t>
  </si>
  <si>
    <t>XOLOMOL COLLYRE</t>
  </si>
  <si>
    <t>FG05906</t>
  </si>
  <si>
    <t>XYLOCAINE AVEC ADRENALINE 1% INJ B/1AMP</t>
  </si>
  <si>
    <t>FG05907</t>
  </si>
  <si>
    <t>ZAMOX 1000MG/125MG ........ 16 SACHETS (EO)</t>
  </si>
  <si>
    <t>FG05908</t>
  </si>
  <si>
    <t>ZENTEL SUSP BUV 10ML (FR)</t>
  </si>
  <si>
    <t>FG05909</t>
  </si>
  <si>
    <t>ZINNAT 250MG SUSP 100ML (FR)</t>
  </si>
  <si>
    <t>FG05910</t>
  </si>
  <si>
    <t>ZITHROMAX 200MG/5ML 22.5ML</t>
  </si>
  <si>
    <t>FG05911</t>
  </si>
  <si>
    <t>ZOVIRAX CREME 10GR (FR) 5%</t>
  </si>
  <si>
    <t>FG05912</t>
  </si>
  <si>
    <t>ZOVIRAX PDE OPHT 3% TB/4.5G (FR)</t>
  </si>
  <si>
    <t>FG05913</t>
  </si>
  <si>
    <t>ZWITSAL BAIN MOUSSANT SANS SAVON 200ML SOF PH</t>
  </si>
  <si>
    <t>FG05914</t>
  </si>
  <si>
    <t>ZWITSAL BAIN MOUSSANT SANS SAVON 500ML</t>
  </si>
  <si>
    <t>FG05915</t>
  </si>
  <si>
    <t>ZWITSAL CONDITIONER APRES SHAMPOOING 200ML</t>
  </si>
  <si>
    <t>FG05916</t>
  </si>
  <si>
    <t>ZWITSAL CREME DOUCE TUBE 100ML</t>
  </si>
  <si>
    <t>FG05917</t>
  </si>
  <si>
    <t>ZWITSAL CREME LAVANTE SANS SAVON 400ML</t>
  </si>
  <si>
    <t>FG05918</t>
  </si>
  <si>
    <t>ZWITSAL GEL BAIN&amp;DOUCHE EUCALYPTUS 400ML</t>
  </si>
  <si>
    <t>FG05919</t>
  </si>
  <si>
    <t>ZWITSAL GEL CAPILLAIRE TUBE 100ML</t>
  </si>
  <si>
    <t>FG05920</t>
  </si>
  <si>
    <t>ZWITSAL GEL LAVANT SANS SAVON 200ML</t>
  </si>
  <si>
    <t>FG05921</t>
  </si>
  <si>
    <t>ZWITSAL GEL LAVANTE SANS SAVON 500ML</t>
  </si>
  <si>
    <t>FG05922</t>
  </si>
  <si>
    <t>ZWITSAL GEL LAVANTE SANS SAVON 75ML</t>
  </si>
  <si>
    <t>FG05923</t>
  </si>
  <si>
    <t>ZWITSAL HUILE BEBE 400ML</t>
  </si>
  <si>
    <t>FG05924</t>
  </si>
  <si>
    <t>ZWITSAL KIDS SHAMPOOING ANTI NOEUDS 400ML-FILLE</t>
  </si>
  <si>
    <t>FG05925</t>
  </si>
  <si>
    <t>ZWITSAL LINGETTES DOUCES PEAU TRES SENS 50PIC</t>
  </si>
  <si>
    <t>FG05926</t>
  </si>
  <si>
    <t>ZWITSAL LINGETTES MAXI B/52</t>
  </si>
  <si>
    <t>FG05927</t>
  </si>
  <si>
    <t>ZWITSAL LOTION CAPILAIRE 200ML</t>
  </si>
  <si>
    <t>FG05928</t>
  </si>
  <si>
    <t>ZWITSAL MAMA BAUME PR LE VENTRE TUBE 150ML</t>
  </si>
  <si>
    <t>FG05929</t>
  </si>
  <si>
    <t>ZWITSAL MOUSSE A LAVER 200ML</t>
  </si>
  <si>
    <t>FG05930</t>
  </si>
  <si>
    <t>ZWITSAL NATURAL EAU MICELLAIRE 200ML</t>
  </si>
  <si>
    <t>FG05931</t>
  </si>
  <si>
    <t>ZWITSAL ONGUENT OXYDE DE ZINC POT 150ML</t>
  </si>
  <si>
    <t>FG05932</t>
  </si>
  <si>
    <t>ZWITSAL POUDRE 100GR-SACHET</t>
  </si>
  <si>
    <t>FG05933</t>
  </si>
  <si>
    <t>ZWITSAL SAVON 4 X 90 GR</t>
  </si>
  <si>
    <t>FG05934</t>
  </si>
  <si>
    <t>ZWITSAL SAVON CREME 250ML.</t>
  </si>
  <si>
    <t>FG05935</t>
  </si>
  <si>
    <t>ZWITSAL SHAMPOOING 200ML</t>
  </si>
  <si>
    <t>FG05936</t>
  </si>
  <si>
    <t>ZWITSAL SHAMPOOING 400ML</t>
  </si>
  <si>
    <t>FG05937</t>
  </si>
  <si>
    <t>ZWITSAL SHAMPOOING 500ML</t>
  </si>
  <si>
    <t>FG05938</t>
  </si>
  <si>
    <t>ZWITSAL SHAMPOOING ANTI NOEUDS 200ML</t>
  </si>
  <si>
    <t>FG05939</t>
  </si>
  <si>
    <t>ZWITSAL SHAPOOING 400ML</t>
  </si>
  <si>
    <t>FG05940</t>
  </si>
  <si>
    <t>ZWITSAL SHP &amp; GEL DOUCHE 2EN1 PTR SES 200ML</t>
  </si>
  <si>
    <t>FG05941</t>
  </si>
  <si>
    <t>ZYRTEC 10MG B/7CES (FR)</t>
  </si>
  <si>
    <t>FG05942</t>
  </si>
  <si>
    <t>ZYRTEC GOUTTES 20ML (NEW) (FR)</t>
  </si>
  <si>
    <t>FG05943</t>
  </si>
  <si>
    <t>ACUILIX 20MG B/28CES (FR)</t>
  </si>
  <si>
    <t>FG05944</t>
  </si>
  <si>
    <t>ADALATE 30CAPS 10MG (FR)</t>
  </si>
  <si>
    <t>FG05945</t>
  </si>
  <si>
    <t>AF</t>
  </si>
  <si>
    <t>FG05946</t>
  </si>
  <si>
    <t>AJ</t>
  </si>
  <si>
    <t>FG05947</t>
  </si>
  <si>
    <t>ALESE PLASTIQUE, ENVIRON 100 X 100 CM</t>
  </si>
  <si>
    <t>FG05948</t>
  </si>
  <si>
    <t>ALOPLASTINE SIMPLE POM T/90G (FR)</t>
  </si>
  <si>
    <t>FG05949</t>
  </si>
  <si>
    <t>ANDROCUR 10MG 3 X 15CES(FR)</t>
  </si>
  <si>
    <t>FG05950</t>
  </si>
  <si>
    <t>APROVASC 300MG /5MG B/28CES (EO)</t>
  </si>
  <si>
    <t>FG05951</t>
  </si>
  <si>
    <t>APROVEL 150MG B/28 CES (FR)</t>
  </si>
  <si>
    <t>FG05952</t>
  </si>
  <si>
    <t>ARMOIRE MÉTALLIQUE</t>
  </si>
  <si>
    <t>FG05953</t>
  </si>
  <si>
    <t>ARMOIRES EN VITRE</t>
  </si>
  <si>
    <t>FG05954</t>
  </si>
  <si>
    <t>ARTEQUIN 600/750 AD 6CES (EO)</t>
  </si>
  <si>
    <t>FG05955</t>
  </si>
  <si>
    <t>ARTHOTEC 50MG B/30CES (EO)</t>
  </si>
  <si>
    <t>FG05956</t>
  </si>
  <si>
    <t>ARTOTEC 75MG B/20CES (FR)</t>
  </si>
  <si>
    <t>FG05957</t>
  </si>
  <si>
    <t>ASPIRINE BAYER +VIT CB/20 EFF</t>
  </si>
  <si>
    <t>FG05958</t>
  </si>
  <si>
    <t>ATARAX 100MG 30CES(FR)</t>
  </si>
  <si>
    <t>FG05959</t>
  </si>
  <si>
    <t>ATRICAN 250MG BT/8CAPS (FR)</t>
  </si>
  <si>
    <t>FG05960</t>
  </si>
  <si>
    <t>AUGMENTIN 1GR/200MG IV 1AMP (FR)</t>
  </si>
  <si>
    <t>FG05961</t>
  </si>
  <si>
    <t>AZANTAC 50MG INJ AMP+SOL B/5 (FR)</t>
  </si>
  <si>
    <t>FG05962</t>
  </si>
  <si>
    <t>BAC DE COLORATION</t>
  </si>
  <si>
    <t>FG05963</t>
  </si>
  <si>
    <t>BACTIFLOX 750MG 10CES (FR)</t>
  </si>
  <si>
    <t>FG05964</t>
  </si>
  <si>
    <t>BAE DE DÉVELOPPEMENT MANUEL</t>
  </si>
  <si>
    <t>FG05965</t>
  </si>
  <si>
    <t>BAUME EHRLICH 75ML (FR)</t>
  </si>
  <si>
    <t>FG05966</t>
  </si>
  <si>
    <t>BEDELIX 3GM 30SACHET(FR)</t>
  </si>
  <si>
    <t>FG05967</t>
  </si>
  <si>
    <t>BETNEVAL CREM T/30G (FR)</t>
  </si>
  <si>
    <t>FG05968</t>
  </si>
  <si>
    <t>BILTRICIDE 600MG BT/4CES (FR) ***</t>
  </si>
  <si>
    <t>FG05969</t>
  </si>
  <si>
    <t>BISOLVON 250 ML SIROP ****</t>
  </si>
  <si>
    <t>FG05970</t>
  </si>
  <si>
    <t>BOITE POUR HERNIORAPHIE</t>
  </si>
  <si>
    <t>FG05971</t>
  </si>
  <si>
    <t>BRANCARD PLIANT SIMPLE</t>
  </si>
  <si>
    <t>FG05972</t>
  </si>
  <si>
    <t>BRISTOPEN 1GM INJ IM/IV B/1AMP (FR)</t>
  </si>
  <si>
    <t>FG05973</t>
  </si>
  <si>
    <t>BRUMED 200MG 100CAPS(FR)</t>
  </si>
  <si>
    <t>FG05974</t>
  </si>
  <si>
    <t>BUSCOPAN 6SUPPOS 10MG (FR)</t>
  </si>
  <si>
    <t>FG05975</t>
  </si>
  <si>
    <t>CALCIUM SANDOZ 500MG 30SACHET(FR)</t>
  </si>
  <si>
    <t>FG05976</t>
  </si>
  <si>
    <t>CANDEREL B/100SACHET(FR)</t>
  </si>
  <si>
    <t>FG05977</t>
  </si>
  <si>
    <t>CAPOTEN 50MG 30CES</t>
  </si>
  <si>
    <t>FG05978</t>
  </si>
  <si>
    <t>CAPTOPRIL HCTD DENK50/25 PL/(10)CES</t>
  </si>
  <si>
    <t>FG05979</t>
  </si>
  <si>
    <t>CASAQUE-PANTALON COMPLETE</t>
  </si>
  <si>
    <t>FG05980</t>
  </si>
  <si>
    <t>CASSETTE + ÉCRAN RENFORÇATEUR STANDARD 18*24</t>
  </si>
  <si>
    <t>FG05981</t>
  </si>
  <si>
    <t>CASSETTE + ÉCRAN RENFORÇATEUR STANDARD 24*30</t>
  </si>
  <si>
    <t>FG05982</t>
  </si>
  <si>
    <t>CASSETTE + ÉCRAN RENFORÇATEUR STANDARD 35*35</t>
  </si>
  <si>
    <t>FG05983</t>
  </si>
  <si>
    <t>CELLULE DE NEWBAWER</t>
  </si>
  <si>
    <t>FG05984</t>
  </si>
  <si>
    <t>CETAFOR 1G I.M. B/1AMP (E.O.)</t>
  </si>
  <si>
    <t>FG05985</t>
  </si>
  <si>
    <t>CETAFOR 500MG I.M. B/1AMP (E.O.)</t>
  </si>
  <si>
    <t>FG05986</t>
  </si>
  <si>
    <t>CHAISES DE BUREAU</t>
  </si>
  <si>
    <t>FG05987</t>
  </si>
  <si>
    <t>CHAISES POUR SALLE DE RÉUNION</t>
  </si>
  <si>
    <t>FG05988</t>
  </si>
  <si>
    <t>CHARIOT DE SOINS</t>
  </si>
  <si>
    <t>FG05989</t>
  </si>
  <si>
    <t>CICATRYL POM 14SACH. (FR)</t>
  </si>
  <si>
    <t>FG05990</t>
  </si>
  <si>
    <t>CIPRO 0.3%5ML COLLYRE (FR)</t>
  </si>
  <si>
    <t>FG05991</t>
  </si>
  <si>
    <t>CLAMOXYL IV/IM 1GR.1AMP(EO)</t>
  </si>
  <si>
    <t>FG05992</t>
  </si>
  <si>
    <t>COARTEM 20/120MG ***18***CES DISPERSIBLE</t>
  </si>
  <si>
    <t>FG05993</t>
  </si>
  <si>
    <t>COLLU HEXRIL 0.2% 40ML (EO) ****</t>
  </si>
  <si>
    <t>FG05994</t>
  </si>
  <si>
    <t>COMPTEUR À UNE TOUCHE</t>
  </si>
  <si>
    <t>FG05995</t>
  </si>
  <si>
    <t>CORVASAL 2MG 30CES (FR)</t>
  </si>
  <si>
    <t>FG05996</t>
  </si>
  <si>
    <t>COTIPRED 20MG EFF. B/20CES(FR)</t>
  </si>
  <si>
    <t>FG05997</t>
  </si>
  <si>
    <t>COVALSAR DENK 160/12.5 B/28 CES (FR)</t>
  </si>
  <si>
    <t>FG05998</t>
  </si>
  <si>
    <t>COZAAR 50MG 28CES</t>
  </si>
  <si>
    <t>FG05999</t>
  </si>
  <si>
    <t>CURAM FORTE SIROP 250MG/62.5MG 60ML(EO)</t>
  </si>
  <si>
    <t>FG06000</t>
  </si>
  <si>
    <t>CURTEC 10MG B/15CES (EO)</t>
  </si>
  <si>
    <t>FG06001</t>
  </si>
  <si>
    <t>CURTEC SUSP BUV 60ML (EO)</t>
  </si>
  <si>
    <t>FG06002</t>
  </si>
  <si>
    <t>DAKTARINE CREME 15GR (FR)</t>
  </si>
  <si>
    <t>FG06003</t>
  </si>
  <si>
    <t>DALACINE C SIROP 80ML 75MG/5ML</t>
  </si>
  <si>
    <t>FG06004</t>
  </si>
  <si>
    <t>D-ARTEPP 40MG/320MG B/9 CES</t>
  </si>
  <si>
    <t>FG06005</t>
  </si>
  <si>
    <t>DENT ELGYDIUM 150GM DENTIFICE(FR)</t>
  </si>
  <si>
    <t>FG06006</t>
  </si>
  <si>
    <t>DENT ELGYDIUM DENT BLANCHEUR T/75ML (FR)</t>
  </si>
  <si>
    <t>FG06007</t>
  </si>
  <si>
    <t>DENT ELGYDIUM DENTS SENSISBLES 75ML</t>
  </si>
  <si>
    <t>FG06008</t>
  </si>
  <si>
    <t>DENT ELGYDIUM JUNIOR 7 A 12 ANS BUBBLE 50ML (FR)</t>
  </si>
  <si>
    <t>FG06009</t>
  </si>
  <si>
    <t>DENT ELGYDIUM PLAQUE DENTAIRE 100GR (FR)</t>
  </si>
  <si>
    <t>FG06010</t>
  </si>
  <si>
    <t>DEPO PROVERA 150MG + SERINGUE 1ML (FR)</t>
  </si>
  <si>
    <t>FG06011</t>
  </si>
  <si>
    <t>DERMOVATE CREME 30GR (EO)</t>
  </si>
  <si>
    <t>FG06012</t>
  </si>
  <si>
    <t>DIABLE VERT POUDRE</t>
  </si>
  <si>
    <t>FG06013</t>
  </si>
  <si>
    <t>DICLOWAL 50MG 20CES (FR)</t>
  </si>
  <si>
    <t>FG06014</t>
  </si>
  <si>
    <t>DISPOSABLE VIRUS SAMPLING TUBE 3ML</t>
  </si>
  <si>
    <t>FG06015</t>
  </si>
  <si>
    <t>DOBUTAMINE PAN 250MG/20ML B/1 AMP</t>
  </si>
  <si>
    <t>FG06016</t>
  </si>
  <si>
    <t>DONTOMYCINE (SPIRAMYCIN) 3 M.U.I B/16CES</t>
  </si>
  <si>
    <t>FG06017</t>
  </si>
  <si>
    <t>DUO-COTECXIN 40/320 MG B/9 CES</t>
  </si>
  <si>
    <t>FG06018</t>
  </si>
  <si>
    <t>EMCONCOR 2.5 MG 28CES (FR)</t>
  </si>
  <si>
    <t>FG06019</t>
  </si>
  <si>
    <t>EMCONCOR 5MG 56CES (EO)</t>
  </si>
  <si>
    <t>FG06020</t>
  </si>
  <si>
    <t>EPI KIT - KIT D ANESTHESIE PERIDURALE</t>
  </si>
  <si>
    <t>FG06021</t>
  </si>
  <si>
    <t>ERCEFURYL 200MG 28 GELS (FR)</t>
  </si>
  <si>
    <t>FG06022</t>
  </si>
  <si>
    <t>ETAGÈRES</t>
  </si>
  <si>
    <t>FG06023</t>
  </si>
  <si>
    <t>FASIGYN 500MG 12CES (FR)</t>
  </si>
  <si>
    <t>FG06024</t>
  </si>
  <si>
    <t>FEBRILEX POCH/4CES (EO)</t>
  </si>
  <si>
    <t>FG06025</t>
  </si>
  <si>
    <t>FEFOL B/30CAP (LOCAL)</t>
  </si>
  <si>
    <t>FG06026</t>
  </si>
  <si>
    <t>FELDENE 20MG B/30 GULULES</t>
  </si>
  <si>
    <t>FG06027</t>
  </si>
  <si>
    <t>FERLIX B12SUSP BUV 200ML (FR)</t>
  </si>
  <si>
    <t>FG06028</t>
  </si>
  <si>
    <t>FERROSTRANE 0.68% ***200ML*** SIROP(FR)</t>
  </si>
  <si>
    <t>FG06029</t>
  </si>
  <si>
    <t>FLOXAPEN SIROP 250MG 100ML (FR)</t>
  </si>
  <si>
    <t>FG06030</t>
  </si>
  <si>
    <t>FUCIDIN 2% CREME DERMQ TB 15GR (FR)</t>
  </si>
  <si>
    <t>FG06031</t>
  </si>
  <si>
    <t>GANFORT COLLYRE 30MCG 3ML (EO)</t>
  </si>
  <si>
    <t>FG06032</t>
  </si>
  <si>
    <t>GARDENAL 80CES 10MG (FR)</t>
  </si>
  <si>
    <t>FG06033</t>
  </si>
  <si>
    <t>GASTROPULGITE PDRE 30 SACHETS</t>
  </si>
  <si>
    <t>FG06034</t>
  </si>
  <si>
    <t>GAZ HYDROPHILLES G.F. (XTRA CARE)</t>
  </si>
  <si>
    <t>FG06035</t>
  </si>
  <si>
    <t>GAZ HYDROPHYLLE P.F. PCS/1 (AFRICANO)</t>
  </si>
  <si>
    <t>FG06036</t>
  </si>
  <si>
    <t>GENTASOL COLLYRE(FR)</t>
  </si>
  <si>
    <t>FG06037</t>
  </si>
  <si>
    <t>GENTEAL COLLYRE 10ML(FR)</t>
  </si>
  <si>
    <t>FG06038</t>
  </si>
  <si>
    <t>GLYCERINE ENF B/10SUPPOS (FR)</t>
  </si>
  <si>
    <t>FG06039</t>
  </si>
  <si>
    <t>GRILLE ANTI DIFFUSANTE MOBILE</t>
  </si>
  <si>
    <t>FG06040</t>
  </si>
  <si>
    <t>GRISEOFULVINE 500MG PL DE 10CES(FR)</t>
  </si>
  <si>
    <t>FG06041</t>
  </si>
  <si>
    <t>GYNO-DAKTARIN 200MG 7OVULES (FR)</t>
  </si>
  <si>
    <t>FG06042</t>
  </si>
  <si>
    <t>GYNO-DAKTARINE 400MG B/3 GYNECO. (FR)</t>
  </si>
  <si>
    <t>FG06043</t>
  </si>
  <si>
    <t>HEXOMEDINE COLLUTOIRE 30GR</t>
  </si>
  <si>
    <t>FG06044</t>
  </si>
  <si>
    <t>HISTADIUS 5MG B/10CES (FR)</t>
  </si>
  <si>
    <t>FG06045</t>
  </si>
  <si>
    <t>HISTADIUS SIROP (FR)</t>
  </si>
  <si>
    <t>FG06046</t>
  </si>
  <si>
    <t>HUMEX SIROP ENFANT</t>
  </si>
  <si>
    <t>FG06047</t>
  </si>
  <si>
    <t>IMPRIMANTE</t>
  </si>
  <si>
    <t>FG06048</t>
  </si>
  <si>
    <t>INTETRIX GELULES B/20 (FR)</t>
  </si>
  <si>
    <t>FG06049</t>
  </si>
  <si>
    <t>JANUMET 50/500MG B/56CES (FR)</t>
  </si>
  <si>
    <t>FG06050</t>
  </si>
  <si>
    <t>JUVAMINE FIZZ VIT C + CALCIUM EFF B/30CES</t>
  </si>
  <si>
    <t>FG06051</t>
  </si>
  <si>
    <t>KINAZOL SHAMPOO 2/100 100ML (FR)</t>
  </si>
  <si>
    <t>FG06052</t>
  </si>
  <si>
    <t>KREDEX 12.5 MG B/14CES (FR)</t>
  </si>
  <si>
    <t>FG06053</t>
  </si>
  <si>
    <t>LACTACYD ***200ML*** SOIN INTIME (FR)</t>
  </si>
  <si>
    <t>FG06054</t>
  </si>
  <si>
    <t>LACTACYD FEMINA PLUS LOT FL/200***</t>
  </si>
  <si>
    <t>FG06055</t>
  </si>
  <si>
    <t>LAMPE INACTINAIRE</t>
  </si>
  <si>
    <t>FG06056</t>
  </si>
  <si>
    <t>LASIX 40MG 12CES (GR)</t>
  </si>
  <si>
    <t>FG06057</t>
  </si>
  <si>
    <t>LINCOCINE 500MG B/12CAP(EO)</t>
  </si>
  <si>
    <t>FG06058</t>
  </si>
  <si>
    <t>LINCOMCIN 500MG B/16CAPS (FR)</t>
  </si>
  <si>
    <t>FG06059</t>
  </si>
  <si>
    <t>LIT DEXAMEN DE RADIO (HERIZON)</t>
  </si>
  <si>
    <t>FG06060</t>
  </si>
  <si>
    <t>LOCAPRED CREME DERMA 15GR</t>
  </si>
  <si>
    <t>FG06061</t>
  </si>
  <si>
    <t>LOSAR DENK 25MG /28 CES</t>
  </si>
  <si>
    <t>FG06062</t>
  </si>
  <si>
    <t>LUDIOMIL 75MG 28CES(FR)</t>
  </si>
  <si>
    <t>FG06063</t>
  </si>
  <si>
    <t>LYRICA 150MG B56CES(FR)</t>
  </si>
  <si>
    <t>FG06064</t>
  </si>
  <si>
    <t>MELADININE FORTE 0.75% SOL FL/24ML</t>
  </si>
  <si>
    <t>FG06065</t>
  </si>
  <si>
    <t>MICOFLU 30G CREME</t>
  </si>
  <si>
    <t>FG06066</t>
  </si>
  <si>
    <t>MIGRALGINE 12 GELULES -FR-</t>
  </si>
  <si>
    <t>FG06067</t>
  </si>
  <si>
    <t>MITOSYL PDE 65GR(FR)|</t>
  </si>
  <si>
    <t>FG06068</t>
  </si>
  <si>
    <t>MUCOMYST 100MG PDRE SUSP.100ML</t>
  </si>
  <si>
    <t>FG06069</t>
  </si>
  <si>
    <t>ADALATE OROS BAYER 30MG 28CES (FR)</t>
  </si>
  <si>
    <t>FG06070</t>
  </si>
  <si>
    <t>AMLOR 30 GELULES(AMLODIPIN) 5MG (FR)</t>
  </si>
  <si>
    <t>FG06071</t>
  </si>
  <si>
    <t>BANK DE SANG SOLAIRE KIT COMPLET</t>
  </si>
  <si>
    <t>FG06072</t>
  </si>
  <si>
    <t>BOUILLOTE 21</t>
  </si>
  <si>
    <t>FG06073</t>
  </si>
  <si>
    <t>BRUMED SUSP 100MG/5ML(FR)</t>
  </si>
  <si>
    <t>FG06074</t>
  </si>
  <si>
    <t>CAPOTEN 25MG 60CES</t>
  </si>
  <si>
    <t>FG06075</t>
  </si>
  <si>
    <t>CASSETTE + ÉCRAN RENFORÇATEUR STANDARD 30*40</t>
  </si>
  <si>
    <t>FG06076</t>
  </si>
  <si>
    <t>CEDOCARD-10 B/100CES (FR)</t>
  </si>
  <si>
    <t>FG06077</t>
  </si>
  <si>
    <t>COARTEM WALLET 20/120 MG 1 X 24 CES</t>
  </si>
  <si>
    <t>FG06078</t>
  </si>
  <si>
    <t>CORVASAL 4MG 30CES</t>
  </si>
  <si>
    <t>FG06079</t>
  </si>
  <si>
    <t>CROSSCAL (CALCIUM AND VIT D3) 500MG 500UI</t>
  </si>
  <si>
    <t>FG06080</t>
  </si>
  <si>
    <t>CYCLOCUR PLS DE 21DRG (EO)</t>
  </si>
  <si>
    <t>FG06081</t>
  </si>
  <si>
    <t>DENT ELGYDIUM DENTIFRICE 100GR(FR)</t>
  </si>
  <si>
    <t>FG06082</t>
  </si>
  <si>
    <t>DENT ELGYDIUM PROTECTION CRIES 75ML (FR)</t>
  </si>
  <si>
    <t>FG06083</t>
  </si>
  <si>
    <t>DICLOMAX (DICLOFENAC) LP 100MG 10CES. GENPHARMA</t>
  </si>
  <si>
    <t>FG06084</t>
  </si>
  <si>
    <t>DONTOMYCINE (SPIRAMYCIN) 1.5M.U.I B/16CES</t>
  </si>
  <si>
    <t>FG06085</t>
  </si>
  <si>
    <t>ELICASAL POMMADE</t>
  </si>
  <si>
    <t>FG06086</t>
  </si>
  <si>
    <t>ERCEFURYL SUSP ORAL 90ML (EO)</t>
  </si>
  <si>
    <t>FG06087</t>
  </si>
  <si>
    <t>FECOND 200 (PROGESTERONE 200MG) B/15 CAP</t>
  </si>
  <si>
    <t>FG06088</t>
  </si>
  <si>
    <t>FELDENE 10MG 30GELULES (FR)</t>
  </si>
  <si>
    <t>FG06089</t>
  </si>
  <si>
    <t>FILM 24X30 B/100PCS</t>
  </si>
  <si>
    <t>FG06090</t>
  </si>
  <si>
    <t>FLAGYL 500MG B/30 CAPS (E.O.)</t>
  </si>
  <si>
    <t>FG06091</t>
  </si>
  <si>
    <t>FLUOROURACIL UPS 500MG/10ML B/1AMP</t>
  </si>
  <si>
    <t>FG06092</t>
  </si>
  <si>
    <t>FURADERM (NITROFURAL) 50G CREAM</t>
  </si>
  <si>
    <t>FG06093</t>
  </si>
  <si>
    <t>GENTA EYE COLLYRE 10ML FR</t>
  </si>
  <si>
    <t>FG06094</t>
  </si>
  <si>
    <t>GLYCERINE ADULT B/10SUPPOS (FR)</t>
  </si>
  <si>
    <t>FG06095</t>
  </si>
  <si>
    <t>INDOCID 100MG 10SUPPO(FR)</t>
  </si>
  <si>
    <t>FG06096</t>
  </si>
  <si>
    <t>INNOTEX NUTUREL B/3PCS</t>
  </si>
  <si>
    <t>FG06097</t>
  </si>
  <si>
    <t>JUVAMINE VIT C 1GR EFF B/30CES</t>
  </si>
  <si>
    <t>FG06098</t>
  </si>
  <si>
    <t>KARDEGIC 160MG SACH /30(FR)</t>
  </si>
  <si>
    <t>FG06099</t>
  </si>
  <si>
    <t>LAMELLE SPÉCIAL BOITE DE 10</t>
  </si>
  <si>
    <t>FG06100</t>
  </si>
  <si>
    <t>LAMPE SCIALYTIQUE AVEC BATTERIE INTÉGRÉE LED</t>
  </si>
  <si>
    <t>FG06101</t>
  </si>
  <si>
    <t>LUDIOMIL 50MG 30CES(FR)</t>
  </si>
  <si>
    <t>FG06102</t>
  </si>
  <si>
    <t>MARIMER HYGIENE NASAL 100ML</t>
  </si>
  <si>
    <t>FG06103</t>
  </si>
  <si>
    <t>MODURETIC 5MG 30CES(FR)</t>
  </si>
  <si>
    <t>FG06104</t>
  </si>
  <si>
    <t>NEO CODION ENF SIROP 125ML</t>
  </si>
  <si>
    <t>FG06105</t>
  </si>
  <si>
    <t>NEO CUTIGENOL POMMADE 50GR (EO)</t>
  </si>
  <si>
    <t>FG06106</t>
  </si>
  <si>
    <t>NEO MEDROL LOTION 25ML DERMIQUE</t>
  </si>
  <si>
    <t>FG06107</t>
  </si>
  <si>
    <t>NIDAZOL 250MG B/20CES (FR)</t>
  </si>
  <si>
    <t>FG06108</t>
  </si>
  <si>
    <t>NIZORAL CREME 15GR. (FR)</t>
  </si>
  <si>
    <t>FG06109</t>
  </si>
  <si>
    <t>NOOTROPYL 400MG B/60CAPS</t>
  </si>
  <si>
    <t>FG06110</t>
  </si>
  <si>
    <t>NORMOPTIC COLLTRE 0.5% 5ML (FR)</t>
  </si>
  <si>
    <t>FG06111</t>
  </si>
  <si>
    <t>OLFEN 100MG 5SUPPOS (FR)</t>
  </si>
  <si>
    <t>FG06112</t>
  </si>
  <si>
    <t>OMEGEN (OMEPRAZOLE) 20MG 28CAPS GEN PHARMA</t>
  </si>
  <si>
    <t>FG06113</t>
  </si>
  <si>
    <t>OMNIBIONTA INTEGRAL 30CAPS (EO)</t>
  </si>
  <si>
    <t>FG06114</t>
  </si>
  <si>
    <t>OMNIPAQUE 300MG 50ML (EO)</t>
  </si>
  <si>
    <t>FG06115</t>
  </si>
  <si>
    <t>OPTICIN 0.3 (CIPROFLOXACINE) COLLYRE 5ML</t>
  </si>
  <si>
    <t>FG06116</t>
  </si>
  <si>
    <t>OPTIFLOX (OFLOXECINE) COLLYRE 5ML</t>
  </si>
  <si>
    <t>FG06117</t>
  </si>
  <si>
    <t>ORACEFAL 125 MG PDRE SP FL/60ML</t>
  </si>
  <si>
    <t>FG06118</t>
  </si>
  <si>
    <t>ORACEFAL 250 MG PDRE SP FL/60ML</t>
  </si>
  <si>
    <t>FG06119</t>
  </si>
  <si>
    <t>ORACEFAL 500 MG GELULE B/12 (FR)</t>
  </si>
  <si>
    <t>FG06120</t>
  </si>
  <si>
    <t>OSPAMOX *** DISP **** 1000MG 12CES</t>
  </si>
  <si>
    <t>FG06121</t>
  </si>
  <si>
    <t>OSPEN 1.000.000 UI 12CES (FR)</t>
  </si>
  <si>
    <t>FG06122</t>
  </si>
  <si>
    <t>PAIRES DE CISEAUX</t>
  </si>
  <si>
    <t>FG06123</t>
  </si>
  <si>
    <t>PANADOL PLUS 500MG B/20CES (FR)</t>
  </si>
  <si>
    <t>FG06124</t>
  </si>
  <si>
    <t>PANADOL RHUME+GRIPPE 16CPS</t>
  </si>
  <si>
    <t>FG06125</t>
  </si>
  <si>
    <t>PARAFLAM 400MG 10CES(FR)</t>
  </si>
  <si>
    <t>FG06126</t>
  </si>
  <si>
    <t>PARAVENT PLOMBIER</t>
  </si>
  <si>
    <t>FG06127</t>
  </si>
  <si>
    <t>PEGLEC (GASTRONTESTIN) B/1SACHET</t>
  </si>
  <si>
    <t>FG06128</t>
  </si>
  <si>
    <t>PERIACTINE 50CES 4MG (EO)</t>
  </si>
  <si>
    <t>FG06129</t>
  </si>
  <si>
    <t>PERSANTINE 75MG 30DRG (FR)</t>
  </si>
  <si>
    <t>FG06130</t>
  </si>
  <si>
    <t>PETIT CHAMPS OPÉRATOIRE</t>
  </si>
  <si>
    <t>FG06131</t>
  </si>
  <si>
    <t>PEVARYL SOLUTION SPRAY 30GR</t>
  </si>
  <si>
    <t>FG06132</t>
  </si>
  <si>
    <t>PHOSPHALUGEL SUSP BUV 250GR</t>
  </si>
  <si>
    <t>FG06133</t>
  </si>
  <si>
    <t>PINCE DE MICHEL</t>
  </si>
  <si>
    <t>FG06134</t>
  </si>
  <si>
    <t>PINCE INTERMÉDIAIRE 20CM</t>
  </si>
  <si>
    <t>FG06135</t>
  </si>
  <si>
    <t>PINCE MOSQUITO 13CM</t>
  </si>
  <si>
    <t>FG06136</t>
  </si>
  <si>
    <t>PINCES HÉMOSTATIQUES 15CM</t>
  </si>
  <si>
    <t>FG06137</t>
  </si>
  <si>
    <t>PIPRAM FORT 400MG 10CES (FR)</t>
  </si>
  <si>
    <t>FG06138</t>
  </si>
  <si>
    <t>PLATEAUX GRAND FORMAT</t>
  </si>
  <si>
    <t>FG06139</t>
  </si>
  <si>
    <t>PLATEAUX PETITS FORMAT</t>
  </si>
  <si>
    <t>FG06140</t>
  </si>
  <si>
    <t>PRAXILENE 200MG @ B/20CES (FR)</t>
  </si>
  <si>
    <t>FG06141</t>
  </si>
  <si>
    <t>PREGNYL 5000UI 3AMP (FR)</t>
  </si>
  <si>
    <t>FG06142</t>
  </si>
  <si>
    <t>PRIADEL 400MG TAB (FR)</t>
  </si>
  <si>
    <t>FG06143</t>
  </si>
  <si>
    <t>PRIMPERAN 10 SUPPO 10MG (EO)</t>
  </si>
  <si>
    <t>FG06144</t>
  </si>
  <si>
    <t>PRODOLAN 200MG BT/10SUPPOS ENF</t>
  </si>
  <si>
    <t>FG06145</t>
  </si>
  <si>
    <t>PROFENID 150ML SIROP (EO)</t>
  </si>
  <si>
    <t>FG06146</t>
  </si>
  <si>
    <t>PROFENID AMP/1 (FR)</t>
  </si>
  <si>
    <t>FG06147</t>
  </si>
  <si>
    <t>PROFENID GEL 2.5% TUBE 60GR(FR)</t>
  </si>
  <si>
    <t>FG06148</t>
  </si>
  <si>
    <t>PROLOPA 250MG 30CES (FR)</t>
  </si>
  <si>
    <t>FG06149</t>
  </si>
  <si>
    <t>PROPOFOL LIPURO 1% 10MG/ML INJ B/1AMP (FR)</t>
  </si>
  <si>
    <t>FG06150</t>
  </si>
  <si>
    <t>PRORHYNEL 10AMP + PIPTT NASALES (EO)</t>
  </si>
  <si>
    <t>FG06151</t>
  </si>
  <si>
    <t>PROVIRON BT/50 CES 25MG (FR)</t>
  </si>
  <si>
    <t>FG06152</t>
  </si>
  <si>
    <t>RALAXON 250 GEL</t>
  </si>
  <si>
    <t>FG06153</t>
  </si>
  <si>
    <t>RECHARGE ACTIVE DENK B/12 SCH(FR)</t>
  </si>
  <si>
    <t>FG06154</t>
  </si>
  <si>
    <t>RISPERDAL 1 MG B/60CES (FR)</t>
  </si>
  <si>
    <t>FG06155</t>
  </si>
  <si>
    <t>ROCEPHINE 250MG...IM...INJ B/1AMP (FR)</t>
  </si>
  <si>
    <t>FG06156</t>
  </si>
  <si>
    <t>ROCEPHINE 250MG...IV...INJ B/1AMP (FR)</t>
  </si>
  <si>
    <t>FG06157</t>
  </si>
  <si>
    <t>ROCEPHINE 500MG...IM...INJ B/1AMP (FR)</t>
  </si>
  <si>
    <t>FG06158</t>
  </si>
  <si>
    <t>SAVON PETIT MARS HUILE ARGAN 2X100GR(FR)</t>
  </si>
  <si>
    <t>FG06159</t>
  </si>
  <si>
    <t>SAVON PETIT MARSEILLAIS CITRON 200GR</t>
  </si>
  <si>
    <t>FG06160</t>
  </si>
  <si>
    <t>SAVON PETIT MARSEILLAIS LAIT 200GR</t>
  </si>
  <si>
    <t>FG06161</t>
  </si>
  <si>
    <t>SCHERIPROCT 12 SUPPOS (FR)</t>
  </si>
  <si>
    <t>FG06162</t>
  </si>
  <si>
    <t>SERVIFLOX 250MG 10CES (EO)</t>
  </si>
  <si>
    <t>FG06163</t>
  </si>
  <si>
    <t>SERVIFLOX 500MG 10CES (EO)</t>
  </si>
  <si>
    <t>FG06164</t>
  </si>
  <si>
    <t>SERVIFLOX 750MG 10CES (FR)</t>
  </si>
  <si>
    <t>FG06165</t>
  </si>
  <si>
    <t>SOLUPRED 20MG B/20CES (EO)</t>
  </si>
  <si>
    <t>FG06166</t>
  </si>
  <si>
    <t>SOLUTION DE BÉNÉDICTE</t>
  </si>
  <si>
    <t>FG06167</t>
  </si>
  <si>
    <t>SORBITOL 20 SACHETS (FR)</t>
  </si>
  <si>
    <t>FG06168</t>
  </si>
  <si>
    <t>SPASMED 4ML B/6 (FR)</t>
  </si>
  <si>
    <t>FG06169</t>
  </si>
  <si>
    <t>STERILISATEUR POUPINEL 120L</t>
  </si>
  <si>
    <t>FG06170</t>
  </si>
  <si>
    <t>STÉRILISATEUR POUPINEL 60L</t>
  </si>
  <si>
    <t>FG06171</t>
  </si>
  <si>
    <t>SULFOBACTIN 250 MG B/16 CES (FR)</t>
  </si>
  <si>
    <t>FG06172</t>
  </si>
  <si>
    <t>SUPPORT POUR FILM RADIO 18*24 CM</t>
  </si>
  <si>
    <t>FG06173</t>
  </si>
  <si>
    <t>SUPPORT POUR FILM RADIO 35*35 CM</t>
  </si>
  <si>
    <t>FG06174</t>
  </si>
  <si>
    <t>TABLE D’ACCOUCHEMENT IMPORTÉE</t>
  </si>
  <si>
    <t>FG06175</t>
  </si>
  <si>
    <t>TABLE DE TRAVAIL RECOUVERT DE PLOMB</t>
  </si>
  <si>
    <t>FG06176</t>
  </si>
  <si>
    <t>TABLE OPÉRATOIRE UNIVERSELLE</t>
  </si>
  <si>
    <t>FG06177</t>
  </si>
  <si>
    <t>TABLES DE BUREAU</t>
  </si>
  <si>
    <t>FG06178</t>
  </si>
  <si>
    <t>TABLIER PLOMBIER</t>
  </si>
  <si>
    <t>FG06179</t>
  </si>
  <si>
    <t>TAHOR 40MG CES B/28 (FR)</t>
  </si>
  <si>
    <t>FG06180</t>
  </si>
  <si>
    <t>TAMBOURS 150*150</t>
  </si>
  <si>
    <t>FG06181</t>
  </si>
  <si>
    <t>TAMBOURS GRAND FORMAT 190*190</t>
  </si>
  <si>
    <t>FG06182</t>
  </si>
  <si>
    <t>TANAKAN GOUTTE BUV. 40MG 30ML</t>
  </si>
  <si>
    <t>FG06183</t>
  </si>
  <si>
    <t>TARDYTERON 80MG 30CES (EO)</t>
  </si>
  <si>
    <t>FG06184</t>
  </si>
  <si>
    <t>TEMESTA 2.5MG 30CES (EO)</t>
  </si>
  <si>
    <t>FG06185</t>
  </si>
  <si>
    <t>TINIDAZOLE 500MG B/4 CES (GENERIQUE)</t>
  </si>
  <si>
    <t>FG06186</t>
  </si>
  <si>
    <t>TOPICREM HYDRA CREME VISAGE RICHE FL/75ML</t>
  </si>
  <si>
    <t>FG06187</t>
  </si>
  <si>
    <t>TRABAR 100MG 5AMP</t>
  </si>
  <si>
    <t>FG06188</t>
  </si>
  <si>
    <t>TRABAR 50MG 10GELULE (FR)</t>
  </si>
  <si>
    <t>FG06189</t>
  </si>
  <si>
    <t>TUBES CAPILLAIRES POUR HB 301</t>
  </si>
  <si>
    <t>FG06190</t>
  </si>
  <si>
    <t>UCEMINE PP 50CES 100MG (FR)</t>
  </si>
  <si>
    <t>FG06191</t>
  </si>
  <si>
    <t>UNICROM 2% 3M (FR)</t>
  </si>
  <si>
    <t>FG06192</t>
  </si>
  <si>
    <t>URALYT-U GRANULES 28MG (FR)</t>
  </si>
  <si>
    <t>FG06193</t>
  </si>
  <si>
    <t>VALIUM 10MG B/30CES(E.O.)</t>
  </si>
  <si>
    <t>FG06194</t>
  </si>
  <si>
    <t>VALSAR DENK 320 B/28CES (FR)</t>
  </si>
  <si>
    <t>FG06195</t>
  </si>
  <si>
    <t>VALSAR DENK 40MG B/28CES</t>
  </si>
  <si>
    <t>FG06196</t>
  </si>
  <si>
    <t>VENORUTON FORT 500MG $$ 60CES $$ ( FR)</t>
  </si>
  <si>
    <t>FG06197</t>
  </si>
  <si>
    <t>VENTOLINE SIROP 150ML (FR)</t>
  </si>
  <si>
    <t>FG06198</t>
  </si>
  <si>
    <t>VIAGRA B/4CES****50MG(PFIZER)</t>
  </si>
  <si>
    <t>FG06199</t>
  </si>
  <si>
    <t>VIBRA 100MG @@@ B/10 CES SEC (FR)</t>
  </si>
  <si>
    <t>FG06200</t>
  </si>
  <si>
    <t>VICKS INHALER (FR)</t>
  </si>
  <si>
    <t>FG06201</t>
  </si>
  <si>
    <t>VISCERALGINE 50MG 30CES (FR)</t>
  </si>
  <si>
    <t>FG06202</t>
  </si>
  <si>
    <t>VISCERALGINE 5MG/2ML 10AMP (FR)</t>
  </si>
  <si>
    <t>FG06203</t>
  </si>
  <si>
    <t>VISINE COLLYRE 15ML (FR)</t>
  </si>
  <si>
    <t>FG06204</t>
  </si>
  <si>
    <t>VIT A POM.OPHT T/10GR (FR)</t>
  </si>
  <si>
    <t>FG06205</t>
  </si>
  <si>
    <t>VOLTARENE EMULGEL 1% @100GR@ (FR)</t>
  </si>
  <si>
    <t>FG06206</t>
  </si>
  <si>
    <t>WARIMAZOL DERMIQUE 20GR **(FR)**</t>
  </si>
  <si>
    <t>FG06207</t>
  </si>
  <si>
    <t>XANAX 0.5MG 50CES (EO)</t>
  </si>
  <si>
    <t>FG06208</t>
  </si>
  <si>
    <t>XARELTO 15MG B/14CES (FR)</t>
  </si>
  <si>
    <t>FG06209</t>
  </si>
  <si>
    <t>XATRAL LP 5MG 56CES (EO)</t>
  </si>
  <si>
    <t>FG06210</t>
  </si>
  <si>
    <t>XYLO MEPHA 0.05% 10ML (EO)</t>
  </si>
  <si>
    <t>FG06211</t>
  </si>
  <si>
    <t>XYLO MEPHA 0.1% 10ML (EO)</t>
  </si>
  <si>
    <t>FG06212</t>
  </si>
  <si>
    <t>XYLOCAINE +ADRENALINE 2% 20ML (FR)</t>
  </si>
  <si>
    <t>FG06213</t>
  </si>
  <si>
    <t>YENDOL 10 SACHETS(FR)</t>
  </si>
  <si>
    <t>FG06214</t>
  </si>
  <si>
    <t>ZAMO 1000MG/125MG 12SACHETS (EO)</t>
  </si>
  <si>
    <t>FG06215</t>
  </si>
  <si>
    <t>ZAMOX 500MG/62.5MG 12SACHETS (EO)</t>
  </si>
  <si>
    <t>FG06216</t>
  </si>
  <si>
    <t>ZAMOX SUSP BUV 60MK 100MG/12.5MG (EO)</t>
  </si>
  <si>
    <t>FG06217</t>
  </si>
  <si>
    <t>ZEBEN 400MG/20ML SUSP 20ML</t>
  </si>
  <si>
    <t>FG06218</t>
  </si>
  <si>
    <t>ZEBU PLUS (PARACETAMOL) SUSPENSION ORALE</t>
  </si>
  <si>
    <t>FG06219</t>
  </si>
  <si>
    <t>ZESTRIL 20MG 28CES</t>
  </si>
  <si>
    <t>FG06220</t>
  </si>
  <si>
    <t>ZINNAT 80ML 125MG SUSP (FR)</t>
  </si>
  <si>
    <t>FG06221</t>
  </si>
  <si>
    <t>ZOCOR 20MG 28CES (FR)</t>
  </si>
  <si>
    <t>FG06222</t>
  </si>
  <si>
    <t>ZWITSAL BADOLIE HUILE BE BAIN 200ML</t>
  </si>
  <si>
    <t>FG06223</t>
  </si>
  <si>
    <t>ZWITSAL BAIN MOUSSANT SANS SAVON 200ML</t>
  </si>
  <si>
    <t>FG06224</t>
  </si>
  <si>
    <t>ZWITSAL BAIN MOUSSANT SANS SAVON 400ML</t>
  </si>
  <si>
    <t>FG06225</t>
  </si>
  <si>
    <t>ZWITSAL BAIN MOUSSANT SANS SAVON 700ML</t>
  </si>
  <si>
    <t>FG06226</t>
  </si>
  <si>
    <t>ZWITSAL CREME DOUCE POT 200ML</t>
  </si>
  <si>
    <t>FG06227</t>
  </si>
  <si>
    <t>ZWITSAL CREME LAVANTE SANS SAVON 200ML</t>
  </si>
  <si>
    <t>FG06228</t>
  </si>
  <si>
    <t>ZWITSAL CREME LAVANTE SANS SAVON 500ML</t>
  </si>
  <si>
    <t>FG06229</t>
  </si>
  <si>
    <t>ZWITSAL DEODORANT ORIGINAL 100ML</t>
  </si>
  <si>
    <t>FG06230</t>
  </si>
  <si>
    <t>ZWITSAL DEODORANT POUDRE DOUCE 100ML (ZACHT)</t>
  </si>
  <si>
    <t>FG06231</t>
  </si>
  <si>
    <t>ZWITSAL EAU DE ZWITSAL (EAU DE TOILETE) 95ML</t>
  </si>
  <si>
    <t>FG06232</t>
  </si>
  <si>
    <t>ZWITSAL FACIAL CREME SUR LES JOUES 100ML</t>
  </si>
  <si>
    <t>FG06233</t>
  </si>
  <si>
    <t>ZWITSAL GEL BAIN &amp; DOUCHE 400ML (LAVENDE)</t>
  </si>
  <si>
    <t>FG06234</t>
  </si>
  <si>
    <t>ZWITSAL GEL LAVANTE SANS SAVON 700ML</t>
  </si>
  <si>
    <t>FG06235</t>
  </si>
  <si>
    <t>ZWITSAL KIDS SHOMPOOING 400ML -GARCON</t>
  </si>
  <si>
    <t>FG06236</t>
  </si>
  <si>
    <t>ZWITSAL LAIT DE TOILETTE 200ML (LOTION CORPORELLE)</t>
  </si>
  <si>
    <t>FG06237</t>
  </si>
  <si>
    <t>ZWITSAL LINGETTES A BASE DE LOTION 72 PIECES</t>
  </si>
  <si>
    <t>FG06238</t>
  </si>
  <si>
    <t>ZWITSAL LINGETTES DEBARBOUILLETTETTES 40 PIC</t>
  </si>
  <si>
    <t>FG06239</t>
  </si>
  <si>
    <t>ZWITSAL LINGETTES HUMIDES SENSITIVE B/57</t>
  </si>
  <si>
    <t>FG06240</t>
  </si>
  <si>
    <t>ZWITSAL LINGETTES LOTION 40PIECES</t>
  </si>
  <si>
    <t>FG06241</t>
  </si>
  <si>
    <t>ZWITSAL LINGETTES LOTION 65PIECES</t>
  </si>
  <si>
    <t>FG06242</t>
  </si>
  <si>
    <t>ZWITSAL LINGETTES SENSITIVE 57 PIECES</t>
  </si>
  <si>
    <t>FG06243</t>
  </si>
  <si>
    <t>ZWITSAL LOTION CORPORELLE 75ML</t>
  </si>
  <si>
    <t>FG06244</t>
  </si>
  <si>
    <t>ZWITSAL LOTION CREME TUBE 150ML (LAVENDE)</t>
  </si>
  <si>
    <t>FG06245</t>
  </si>
  <si>
    <t>ZWITSAL MOUCHOIRS HUMIDES B/20 EUCALYPTUS</t>
  </si>
  <si>
    <t>FG06246</t>
  </si>
  <si>
    <t>ZWITSAL NATURAL CREME LAVANTE ET BAIN 250ML</t>
  </si>
  <si>
    <t>FG06247</t>
  </si>
  <si>
    <t>ZWITSAL NATURAL SHP ET GEL DOUCHE 250ML</t>
  </si>
  <si>
    <t>FG06248</t>
  </si>
  <si>
    <t>ZWITSAL NATURALS CREME PR LE TUBE 100ML</t>
  </si>
  <si>
    <t>FG06249</t>
  </si>
  <si>
    <t>ZWITSAL ONGUENT OXYDE DE ZINC TUBE 100ML</t>
  </si>
  <si>
    <t>FG06250</t>
  </si>
  <si>
    <t>ZWITSAL SHAMPOOING 700ML</t>
  </si>
  <si>
    <t>FG06251</t>
  </si>
  <si>
    <t>ZWITSAL SHAMPOOING 75ML</t>
  </si>
  <si>
    <t>FG06252</t>
  </si>
  <si>
    <t>ZYRTEC PED BUV 60ML(FR)</t>
  </si>
  <si>
    <t>FG06254</t>
  </si>
  <si>
    <t>ABG PT1000 -CARTOUCHE PT-10, B/60 TESTS</t>
  </si>
  <si>
    <t>FG06255</t>
  </si>
  <si>
    <t>ABG PT1000-CONTROLE QUALITE NIVEAU 1-2-3 (3 AMP)</t>
  </si>
  <si>
    <t>FG06256</t>
  </si>
  <si>
    <t>AGITATEUR ORBITAL LABORATOIRE</t>
  </si>
  <si>
    <t>FG06257</t>
  </si>
  <si>
    <t>ALAIZE 200ML SUSPENSION</t>
  </si>
  <si>
    <t>FG06258</t>
  </si>
  <si>
    <t>ALCOHOL PAD 6 X 3CM B/100 PCS</t>
  </si>
  <si>
    <t>FG06259</t>
  </si>
  <si>
    <t>ALSHEA 250G CREME</t>
  </si>
  <si>
    <t>FG06260</t>
  </si>
  <si>
    <t>ANALYSEUR D'HEMOGLOBINE (HEMOGLOBINOMETRE)</t>
  </si>
  <si>
    <t>FG06261</t>
  </si>
  <si>
    <t>APPAREIL D'ANESTHESIE - 2 EVAPORATEURS, AGSS</t>
  </si>
  <si>
    <t>FG06262</t>
  </si>
  <si>
    <t>APPAREIL DE PHOTOTHERAPIE NEONATALE</t>
  </si>
  <si>
    <t>FG06263</t>
  </si>
  <si>
    <t>APPAREIL D'ECG 3 CANAUX</t>
  </si>
  <si>
    <t>FG06264</t>
  </si>
  <si>
    <t>APPAREILS DE DISTILLATION LAUDA PURIDEST PD 12 R M</t>
  </si>
  <si>
    <t>FG06265</t>
  </si>
  <si>
    <t>APPETITBON 100ML SP</t>
  </si>
  <si>
    <t>FG06266</t>
  </si>
  <si>
    <t>AROBACTER SOLUTION 125ML</t>
  </si>
  <si>
    <t>FG06267</t>
  </si>
  <si>
    <t>ASPIRATEUR CHIRURGICAL PORTABLE - ELECTRIQUE 7E-G</t>
  </si>
  <si>
    <t>FG06268</t>
  </si>
  <si>
    <t>AV FISTULA NEEDLE 16G</t>
  </si>
  <si>
    <t>FG06269</t>
  </si>
  <si>
    <t>BANDELETTES - HEMOGLOBINOMETRE B/50</t>
  </si>
  <si>
    <t>FG06270</t>
  </si>
  <si>
    <t>BEKRACINE 100MG/5ML (CEFIXIME) SUSP. ORALE 60ML</t>
  </si>
  <si>
    <t>FG06271</t>
  </si>
  <si>
    <t>BIOCHIMIE S - ACIDE URIQUE 2X125 ML</t>
  </si>
  <si>
    <t>FG06272</t>
  </si>
  <si>
    <t>BIOCHIMIE S - ALBUMINE 4X100 ML</t>
  </si>
  <si>
    <t>FG06273</t>
  </si>
  <si>
    <t>BIOCHIMIE S - BILIRUBINE TOTALE/DIRECTE 2X125 ML</t>
  </si>
  <si>
    <t>FG06274</t>
  </si>
  <si>
    <t>BIOCHIMIE S - CHLORURE 2X100 ML</t>
  </si>
  <si>
    <t>FG06275</t>
  </si>
  <si>
    <t>BIOCHIMIE S - CHOLESTEROL TOTAL ET HDL 2X50 ML</t>
  </si>
  <si>
    <t>FG06276</t>
  </si>
  <si>
    <t>BIOCHIMIE S - LDH 5X5 ML</t>
  </si>
  <si>
    <t>FG06277</t>
  </si>
  <si>
    <t>BIOCHIMIE S - PROTEINES TOTALES 1X100 ML</t>
  </si>
  <si>
    <t>FG06278</t>
  </si>
  <si>
    <t>BIOCHIMIE S - TRIGLYCERIDES 2X50 ML</t>
  </si>
  <si>
    <t>FG06279</t>
  </si>
  <si>
    <t>BLOC DE 20 PUITS POUR DBS</t>
  </si>
  <si>
    <t>FG06280</t>
  </si>
  <si>
    <t>BLOCS CHAUFFANTS A SEC NUMERIQUES</t>
  </si>
  <si>
    <t>FG06281</t>
  </si>
  <si>
    <t>BOITE A CATARACTE</t>
  </si>
  <si>
    <t>FG06282</t>
  </si>
  <si>
    <t>BOITE A GLAUCOME</t>
  </si>
  <si>
    <t>FG06283</t>
  </si>
  <si>
    <t>BOITE A PETITE INCISION</t>
  </si>
  <si>
    <t>FG06284</t>
  </si>
  <si>
    <t>BOITE CHIRURGIE ENDOSCOPIQUE DES SINUS DU FESSIER</t>
  </si>
  <si>
    <t>FG06285</t>
  </si>
  <si>
    <t>BOITE CHIRURGIE OCULAIRE</t>
  </si>
  <si>
    <t>FG06286</t>
  </si>
  <si>
    <t>BOITE D'INSTRUMENT POUR ACCOUCHEMENT - CS</t>
  </si>
  <si>
    <t>FG06287</t>
  </si>
  <si>
    <t>BOITE DE PETITE CHIRURGIE</t>
  </si>
  <si>
    <t>FG06288</t>
  </si>
  <si>
    <t>BOITE DE SUTURE</t>
  </si>
  <si>
    <t>FG06289</t>
  </si>
  <si>
    <t>BOITE D'EXTRACTION INTRACAPSULAIRE CATARACTE</t>
  </si>
  <si>
    <t>FG06290</t>
  </si>
  <si>
    <t>BOITE LAPAROTOMIE</t>
  </si>
  <si>
    <t>FG06291</t>
  </si>
  <si>
    <t>BOITE PETRI VERRE BOROSILICATE 3.3 50X17MM Ø60 MM</t>
  </si>
  <si>
    <t>FG06292</t>
  </si>
  <si>
    <t>BOITE POUR CHIRURGIE PLASTIQUE MAXILLO-FACIA</t>
  </si>
  <si>
    <t>FG06293</t>
  </si>
  <si>
    <t>BROSSE CERVICALE STERILE B/50</t>
  </si>
  <si>
    <t>FG06294</t>
  </si>
  <si>
    <t>CALENDER TABLE</t>
  </si>
  <si>
    <t>FG06295</t>
  </si>
  <si>
    <t>CALENDER WALL</t>
  </si>
  <si>
    <t>FG06296</t>
  </si>
  <si>
    <t>CARDULAR 4MG 20TAB (FR)</t>
  </si>
  <si>
    <t>FG06297</t>
  </si>
  <si>
    <t>CATHETER DIALYSE DOUBLE-LUMIERE PERM14.5FRX24CM1PC</t>
  </si>
  <si>
    <t>FG06298</t>
  </si>
  <si>
    <t>CELLULES DE NEUBAUER IMPROVED (AMELIORE) 1 PCS</t>
  </si>
  <si>
    <t>FG06299</t>
  </si>
  <si>
    <t>CELOFEN-100 (CELECOXIB) B/20 CAP</t>
  </si>
  <si>
    <t>FG06300</t>
  </si>
  <si>
    <t>CELOFEN-200 (CELECOXIB) B/10 CAP</t>
  </si>
  <si>
    <t>FG06301</t>
  </si>
  <si>
    <t>CENTRIFUGEUSE - MANUEL</t>
  </si>
  <si>
    <t>FG06302</t>
  </si>
  <si>
    <t>CESAMOL (PARACETAMOL) 1000MG EFF. B/12 CES</t>
  </si>
  <si>
    <t>FG06303</t>
  </si>
  <si>
    <t>CESAMOL (PARACETAMOL) 500MG EFF. B/16 CES</t>
  </si>
  <si>
    <t>FG06304</t>
  </si>
  <si>
    <t>CISEAUX CHIRURGICAUX M/M COURBE - 16.5 CM</t>
  </si>
  <si>
    <t>FG06305</t>
  </si>
  <si>
    <t>CISEAUX CHIRURGICAUX M/M COURBE - 18.5 CM</t>
  </si>
  <si>
    <t>FG06306</t>
  </si>
  <si>
    <t>CISEAUX CHIRURGICAUX M/M DROITS - 14.5 CM</t>
  </si>
  <si>
    <t>FG06307</t>
  </si>
  <si>
    <t>CISEAUX CHIRURGICAUX M/M DROITS - 16.5 CM</t>
  </si>
  <si>
    <t>FG06308</t>
  </si>
  <si>
    <t>CISEAUX CHIRURGICAUX M/M DROITS - 18.5 CM</t>
  </si>
  <si>
    <t>FG06309</t>
  </si>
  <si>
    <t>CISEAUX CHIRURGICAUX M/P COURBE - 14.5 CM</t>
  </si>
  <si>
    <t>FG06310</t>
  </si>
  <si>
    <t>CISEAUX CHIRURGICAUX M/P COURBE - 16.5 CM</t>
  </si>
  <si>
    <t>FG06311</t>
  </si>
  <si>
    <t>CISEAUX CHIRURGICAUX M/P DROITS - 16.5 CM</t>
  </si>
  <si>
    <t>FG06312</t>
  </si>
  <si>
    <t>CLOMIFEX (CITRATE DE CLOMIFENE 50MG) B/10 CES</t>
  </si>
  <si>
    <t>FG06313</t>
  </si>
  <si>
    <t>COLD SPAN POCH/4CES</t>
  </si>
  <si>
    <t>FG06314</t>
  </si>
  <si>
    <t>COLD STERILIANT - DIALYZER REPROCESS - 5 LITER</t>
  </si>
  <si>
    <t>FG06315</t>
  </si>
  <si>
    <t>COMBO-PAIN (PAIN RELIEF) B/10CES</t>
  </si>
  <si>
    <t>FG06316</t>
  </si>
  <si>
    <t>COMFREY DIAPERS L 10PC</t>
  </si>
  <si>
    <t>FG06317</t>
  </si>
  <si>
    <t>CONGILATEUR 160 LTR</t>
  </si>
  <si>
    <t>FG06318</t>
  </si>
  <si>
    <t>CONGILATEUR 300 LTR</t>
  </si>
  <si>
    <t>FG06319</t>
  </si>
  <si>
    <t>CONGILATEUR 500 LTR</t>
  </si>
  <si>
    <t>FG06320</t>
  </si>
  <si>
    <t>CONTROLES HEMATOLOGIE 3ML*1 (H) DH-3D</t>
  </si>
  <si>
    <t>FG06321</t>
  </si>
  <si>
    <t>COREFLAM (IBUPROFENE.+PARA) 10X10 CES</t>
  </si>
  <si>
    <t>FG06322</t>
  </si>
  <si>
    <t>CROMFIX EYE DROPS 5ML</t>
  </si>
  <si>
    <t>FG06323</t>
  </si>
  <si>
    <t>CRP C-REACTIVE PROTEIN - LATEX B/20 TESTS</t>
  </si>
  <si>
    <t>FG06324</t>
  </si>
  <si>
    <t>CRUTCH FS937L</t>
  </si>
  <si>
    <t>FG06325</t>
  </si>
  <si>
    <t>CYPRESS MAGNESIUM 2X125ML</t>
  </si>
  <si>
    <t>FG06326</t>
  </si>
  <si>
    <t>CYPRESS POTASSIUM PREC 2X50ML</t>
  </si>
  <si>
    <t>FG06327</t>
  </si>
  <si>
    <t>CYPRESS SODIUM PREC 60ML</t>
  </si>
  <si>
    <t>FG06328</t>
  </si>
  <si>
    <t>CYPROPLEX (CYPROHEPTADINE) SIROP 100ML</t>
  </si>
  <si>
    <t>FG06329</t>
  </si>
  <si>
    <t>DAPAZIN 5-M PLUS B/30 TAB</t>
  </si>
  <si>
    <t>FG06330</t>
  </si>
  <si>
    <t>DAPZIN 10-M PLUS B/30 TAB</t>
  </si>
  <si>
    <t>FG06331</t>
  </si>
  <si>
    <t>DAVIGRA (SILDENAFIL 100MG) B/12 ORAL JELLY</t>
  </si>
  <si>
    <t>FG06332</t>
  </si>
  <si>
    <t>DEFIBRILLATEUR</t>
  </si>
  <si>
    <t>FG06333</t>
  </si>
  <si>
    <t>DIALYSIS KIT</t>
  </si>
  <si>
    <t>FG06334</t>
  </si>
  <si>
    <t>DIARY</t>
  </si>
  <si>
    <t>FG06335</t>
  </si>
  <si>
    <t>DICQUE-VISION (DICLOFENAC ) COLLYRE 10ML</t>
  </si>
  <si>
    <t>Dicque Collyre</t>
  </si>
  <si>
    <t>Diclofenac Sodium 1 mg per mL</t>
  </si>
  <si>
    <t>Post-cataract swelling/pain; corneal refractive surgery pain</t>
  </si>
  <si>
    <t>1 drop 5 times daily</t>
  </si>
  <si>
    <t>FG06336</t>
  </si>
  <si>
    <t>DIMUPROST 05MG/0.4MG B/30 CES</t>
  </si>
  <si>
    <t>FG06337</t>
  </si>
  <si>
    <t>DISQUES ANTIBIOGRAMMES - AMIKACINE BT/50</t>
  </si>
  <si>
    <t>FG06338</t>
  </si>
  <si>
    <t>DISQUES ANTIBIOGRAMMES - CEFADROXIL BT/50</t>
  </si>
  <si>
    <t>FG06339</t>
  </si>
  <si>
    <t>DISQUES ANTIBIOGRAMMES - CEFOPERAZONE BT/50</t>
  </si>
  <si>
    <t>FG06340</t>
  </si>
  <si>
    <t>DISQUES ANTIBIOGRAMMES - CLARITHROMYCINE BT/50</t>
  </si>
  <si>
    <t>FG06341</t>
  </si>
  <si>
    <t>DISQUES ANTIBIOGRAMMES - CLINDAMYCINE BT/50</t>
  </si>
  <si>
    <t>FG06342</t>
  </si>
  <si>
    <t>DISQUES ANTIBIOGRAMMES - IMIPENEM BT/100</t>
  </si>
  <si>
    <t>FG06343</t>
  </si>
  <si>
    <t>DISQUES ANTIBIOGRAMMES - LEVOFLOXACINE BT/50</t>
  </si>
  <si>
    <t>FG06344</t>
  </si>
  <si>
    <t>DISQUES ANTIBIOGRAMMES - NORFLOXACINE BT/50</t>
  </si>
  <si>
    <t>FG06345</t>
  </si>
  <si>
    <t>DISQUES ANTIBIOGRAMMES - VANCOMYCINE BT/50</t>
  </si>
  <si>
    <t>FG06346</t>
  </si>
  <si>
    <t>DISQUES ANTIBIOGRAMMES-PIPERACILLINEBT/50</t>
  </si>
  <si>
    <t>FG06347</t>
  </si>
  <si>
    <t>DISQUES ANTIBIOGRAMMES-TETRACYCLINE BT/50</t>
  </si>
  <si>
    <t>FG06348</t>
  </si>
  <si>
    <t>DIVA SUPER 10PADS</t>
  </si>
  <si>
    <t>FG06349</t>
  </si>
  <si>
    <t>DOVERIN 20MG INJECTION</t>
  </si>
  <si>
    <t>FG06350</t>
  </si>
  <si>
    <t>ELECTRIC MOSQUITO ZAPPER WITH LAMP</t>
  </si>
  <si>
    <t>FG06351</t>
  </si>
  <si>
    <t>ELECTRIC MOSQUITO ZAPPER WITH LAMP ITEM</t>
  </si>
  <si>
    <t>FG06352</t>
  </si>
  <si>
    <t>EMBOUTS BLUE AVEC FILTRE B/100</t>
  </si>
  <si>
    <t>FG06353</t>
  </si>
  <si>
    <t>ENOXA 4000UI 2 SERINGUES (FR)</t>
  </si>
  <si>
    <t>FG06354</t>
  </si>
  <si>
    <t>ENTIZOL B/6 OVL (METRONIDAZOLE)</t>
  </si>
  <si>
    <t>FG06355</t>
  </si>
  <si>
    <t>EPIZAP 0.5MG (CLONAZEPAM) B/10CES</t>
  </si>
  <si>
    <t>FG06356</t>
  </si>
  <si>
    <t>EPIZAP 2MG (CLONAZEPAM) B/10CES</t>
  </si>
  <si>
    <t>FG06357</t>
  </si>
  <si>
    <t>ESTOCOOL 200ML SP</t>
  </si>
  <si>
    <t>FG06358</t>
  </si>
  <si>
    <t>EUPHON 50 PASTILLES (FR)</t>
  </si>
  <si>
    <t>FG06359</t>
  </si>
  <si>
    <t>FER A REPASSER (IRON)</t>
  </si>
  <si>
    <t>FG06360</t>
  </si>
  <si>
    <t>FLAMINGO CLAVICAL BRACE (XXL)</t>
  </si>
  <si>
    <t>FG06361</t>
  </si>
  <si>
    <t>FLAMINGO TUBULAR SUPPORT GAUNTLET (L)</t>
  </si>
  <si>
    <t>FG06362</t>
  </si>
  <si>
    <t>FLAMINGO ABDOMINAL BINDER (L)</t>
  </si>
  <si>
    <t>FG06363</t>
  </si>
  <si>
    <t>FLAMINGO ABDOMINAL BINDER (M)</t>
  </si>
  <si>
    <t>FG06364</t>
  </si>
  <si>
    <t>FLAMINGO ABDOMINAL BINDER (S)</t>
  </si>
  <si>
    <t>FG06365</t>
  </si>
  <si>
    <t>FLAMINGO ABDOMINAL BINDER (XL)</t>
  </si>
  <si>
    <t>FG06366</t>
  </si>
  <si>
    <t>FLAMINGO ABDOMINAL BINDER (XXL)</t>
  </si>
  <si>
    <t>FG06367</t>
  </si>
  <si>
    <t>FLAMINGO ABDOMINAL BINDER (XXXL)</t>
  </si>
  <si>
    <t>FG06368</t>
  </si>
  <si>
    <t>FLAMINGO ANKLE BINDER (XXXL)</t>
  </si>
  <si>
    <t>FG06369</t>
  </si>
  <si>
    <t>FLAMINGO ANKLE BRACE (XXL)</t>
  </si>
  <si>
    <t>FG06370</t>
  </si>
  <si>
    <t>FLAMINGO ANKLE GRIP (XXXL)</t>
  </si>
  <si>
    <t>FG06371</t>
  </si>
  <si>
    <t>FLAMINGO ANKLET (XXXL)</t>
  </si>
  <si>
    <t>FG06372</t>
  </si>
  <si>
    <t>FLAMINGO ARM POUCH (XXL)</t>
  </si>
  <si>
    <t>FG06373</t>
  </si>
  <si>
    <t>FLAMINGO ARM SLING (XXL)</t>
  </si>
  <si>
    <t>FG06374</t>
  </si>
  <si>
    <t>FLAMINGO ARM SLING (XXXL)</t>
  </si>
  <si>
    <t>FG06375</t>
  </si>
  <si>
    <t>FLAMINGO BI AXEL HINGED KNEE CAP (XXL)</t>
  </si>
  <si>
    <t>FG06376</t>
  </si>
  <si>
    <t>FLAMINGO CERVICAL COLLAR WITH NECK SUPPORT (S)</t>
  </si>
  <si>
    <t>FG06377</t>
  </si>
  <si>
    <t>FLAMINGO CERVICAL COLLAR WITH NECK SUPPORT (XL)</t>
  </si>
  <si>
    <t>FG06378</t>
  </si>
  <si>
    <t>FLAMINGO COMPACT SPINAL BRACE (XXXL)</t>
  </si>
  <si>
    <t>FG06379</t>
  </si>
  <si>
    <t>FLAMINGO DORSO LUMBER SPINAL BRACE (XXL)</t>
  </si>
  <si>
    <t>FG06380</t>
  </si>
  <si>
    <t>FLAMINGO DORSO LUMBER SPINAL BRACE (XXXL)</t>
  </si>
  <si>
    <t>FG06381</t>
  </si>
  <si>
    <t>FLAMINGO ELASTIC KNEE SUPPORT (XXXL)</t>
  </si>
  <si>
    <t>FG06382</t>
  </si>
  <si>
    <t>FLAMINGO GEL BI-AXEL HIN KNEE BRACE (S)</t>
  </si>
  <si>
    <t>FG06383</t>
  </si>
  <si>
    <t>FLAMINGO HEIGHT ADJUSTABLE HARD COLLAR (S)</t>
  </si>
  <si>
    <t>FG06384</t>
  </si>
  <si>
    <t>FLAMINGO KNEE BRACE LONG (XXXL)</t>
  </si>
  <si>
    <t>FG06385</t>
  </si>
  <si>
    <t>FLAMINGO KNEE BRACE SHORT (XXXL)</t>
  </si>
  <si>
    <t>FG06386</t>
  </si>
  <si>
    <t>FLAMINGO KNEE CAP (XXXL)</t>
  </si>
  <si>
    <t>FG06387</t>
  </si>
  <si>
    <t>FLAMINGO KNEE IMMOBILIZER (XXXL)</t>
  </si>
  <si>
    <t>FG06388</t>
  </si>
  <si>
    <t>FLAMINGO LONG ARM SPLINT-U</t>
  </si>
  <si>
    <t>FG06389</t>
  </si>
  <si>
    <t>FLAMINGO LUMBAR CORSET BELT (XXX L)</t>
  </si>
  <si>
    <t>FG06390</t>
  </si>
  <si>
    <t>FLAMINGO LUMBAR SACRO BELT (XXL)</t>
  </si>
  <si>
    <t>FG06391</t>
  </si>
  <si>
    <t>FLAMINGO MEDICAL COMPRES STOCKINGS ABOVE KNEE (XXL)</t>
  </si>
  <si>
    <t>FG06392</t>
  </si>
  <si>
    <t>FLAMINGO MEDICAL COMPRES STOCKINGS ABOVE KNEE (L)</t>
  </si>
  <si>
    <t>FG06393</t>
  </si>
  <si>
    <t>FLAMINGO MEDICAL COMPRES STOCKINGS ABOVE KNEE (M)</t>
  </si>
  <si>
    <t>FG06394</t>
  </si>
  <si>
    <t>FLAMINGO PALM BRACE (XXL)</t>
  </si>
  <si>
    <t>FG06395</t>
  </si>
  <si>
    <t>FLAMINGO PELVIC TRACTION KIT WITH WATER BAG (L)</t>
  </si>
  <si>
    <t>FG06396</t>
  </si>
  <si>
    <t>FLAMINGO PELVIC TRACTION KIT WITH WATER BAG (XXL)</t>
  </si>
  <si>
    <t>FG06397</t>
  </si>
  <si>
    <t>FLAMINGO PREMIUM SILICONE PED MED ARCH INSOLE (L)</t>
  </si>
  <si>
    <t>FG06398</t>
  </si>
  <si>
    <t>FLAMINGO PREMIUM SILICONE PED MED ARCH INSOLE (M)</t>
  </si>
  <si>
    <t>FG06399</t>
  </si>
  <si>
    <t>FLAMINGO PREMIUM SILICONE PED MED ARCH INSOLE (S)</t>
  </si>
  <si>
    <t>FG06400</t>
  </si>
  <si>
    <t>FLAMINGO SCROTAL SUPPORT (XXXL)</t>
  </si>
  <si>
    <t>FG06401</t>
  </si>
  <si>
    <t>FLAMINGO SOFT COLLAR (L)</t>
  </si>
  <si>
    <t>FG06402</t>
  </si>
  <si>
    <t>FLAMINGO SOFT COLLAR (M)</t>
  </si>
  <si>
    <t>FG06403</t>
  </si>
  <si>
    <t>FLAMINGO SOFT COLLAR (XXL)</t>
  </si>
  <si>
    <t>FG06404</t>
  </si>
  <si>
    <t>FLAMINGO WAIST &amp; FOREARM SPLINT (XL)</t>
  </si>
  <si>
    <t>FG06405</t>
  </si>
  <si>
    <t>FORMIMET SR 850MG ( METFORMIN LP) B/30 CES</t>
  </si>
  <si>
    <t>FG06406</t>
  </si>
  <si>
    <t>FRIGO 140LTR</t>
  </si>
  <si>
    <t>FG06407</t>
  </si>
  <si>
    <t>FRIGO 200LTR</t>
  </si>
  <si>
    <t>FG06408</t>
  </si>
  <si>
    <t>FRIGO 300LTR</t>
  </si>
  <si>
    <t>FG06409</t>
  </si>
  <si>
    <t>FRIGO 400LTR</t>
  </si>
  <si>
    <t>FG06410</t>
  </si>
  <si>
    <t>GALVUS 50MG 2 X 14 CES (FR)</t>
  </si>
  <si>
    <t>FG06411</t>
  </si>
  <si>
    <t>GAZELLE - COVID - CARTOUCHE - B/25 TESTS</t>
  </si>
  <si>
    <t>FG06412</t>
  </si>
  <si>
    <t>GEL POUR ECHOGRAPHIE FL 2.5L</t>
  </si>
  <si>
    <t>FG06413</t>
  </si>
  <si>
    <t>GODET 1 PC</t>
  </si>
  <si>
    <t>FG06414</t>
  </si>
  <si>
    <t>HAEMODIALYSIS BICARBONATE BI BAG 650GM (FRESENIUS)</t>
  </si>
  <si>
    <t>FG06415</t>
  </si>
  <si>
    <t>HEMODIALYSIS BLOOD TUBING SET</t>
  </si>
  <si>
    <t>FG06416</t>
  </si>
  <si>
    <t>HEXAXIM 1SER SSA+2AIG (FR)</t>
  </si>
  <si>
    <t>FG06417</t>
  </si>
  <si>
    <t>HOILOW FIBER DIALYZER B -16 P</t>
  </si>
  <si>
    <t>FG06418</t>
  </si>
  <si>
    <t>HOILOW FIBER DIALYZER B -18 P</t>
  </si>
  <si>
    <t>FG06419</t>
  </si>
  <si>
    <t>HOME CINEMA 5.1</t>
  </si>
  <si>
    <t>FG06420</t>
  </si>
  <si>
    <t>IMN - IGE TOTAL, B/25 CARTOUCHES</t>
  </si>
  <si>
    <t>FG06421</t>
  </si>
  <si>
    <t>INCUBATEUR - COUVEUSE NEONATALE</t>
  </si>
  <si>
    <t>FG06422</t>
  </si>
  <si>
    <t>IV FLOW REGULATOR WITH 45CM TUBE WITH Y TUBE</t>
  </si>
  <si>
    <t>FG06423</t>
  </si>
  <si>
    <t>JUTE SHOPPING BAG</t>
  </si>
  <si>
    <t>FG06424</t>
  </si>
  <si>
    <t>KIT EXTRACTION DNA/RNA B/48 TESTS</t>
  </si>
  <si>
    <t>FG06425</t>
  </si>
  <si>
    <t>KIT UNIGOLD HIV</t>
  </si>
  <si>
    <t>FG06426</t>
  </si>
  <si>
    <t>LAMELLE COUVRE OBJET 18 X18MM B/100</t>
  </si>
  <si>
    <t>FG06427</t>
  </si>
  <si>
    <t>LAMELLE COUVRE OBJET 22X22MM B/100</t>
  </si>
  <si>
    <t>FG06428</t>
  </si>
  <si>
    <t>LAMPE FORNTALE</t>
  </si>
  <si>
    <t>FG06429</t>
  </si>
  <si>
    <t>LDPE APRONE 70X140CM, 70G100/PCS</t>
  </si>
  <si>
    <t>FG06430</t>
  </si>
  <si>
    <t>LENTILLE 20D VOLK (TRANSPARENTE/REVETUE AU LASER)</t>
  </si>
  <si>
    <t>FG06431</t>
  </si>
  <si>
    <t>LUTHER JUN 20+120 (ARTE.+LUME.) B/ 24 CES SIMPLE</t>
  </si>
  <si>
    <t>FG06432</t>
  </si>
  <si>
    <t>MACHINE SILAI</t>
  </si>
  <si>
    <t>FG06433</t>
  </si>
  <si>
    <t>MANIX CONTACT (PRESERVATIF) B/12</t>
  </si>
  <si>
    <t>FG06434</t>
  </si>
  <si>
    <t>MANIX CONTACT (PRESERVATIF) B/3CES</t>
  </si>
  <si>
    <t>FG06435</t>
  </si>
  <si>
    <t>MC - CHLORURE DE MAGNESIUM HEXAHY, PURI 500G</t>
  </si>
  <si>
    <t>FG06436</t>
  </si>
  <si>
    <t>MC - CLED AVEC INDICATEUR D'ANDRADE (GELOSE) 500G</t>
  </si>
  <si>
    <t>FG06437</t>
  </si>
  <si>
    <t>MC - GELOSE EMB (EOSIN METHYLENE BLUE) 100G</t>
  </si>
  <si>
    <t>FG06438</t>
  </si>
  <si>
    <t>MC - GELOSE EMB (EOSIN METHYLENE BLUE) 25G</t>
  </si>
  <si>
    <t>FG06439</t>
  </si>
  <si>
    <t>MC - GELOSE EMB (EOSIN METHYLENE BLUE) 500G</t>
  </si>
  <si>
    <t>FG06440</t>
  </si>
  <si>
    <t>MC - GELOSE MAC CONKEY 500G</t>
  </si>
  <si>
    <t>FG06441</t>
  </si>
  <si>
    <t>MC - GELOSE MUELLER HINTON 500G</t>
  </si>
  <si>
    <t>FG06442</t>
  </si>
  <si>
    <t>MC - GELOSE SABOURAUD CHLORAMPHENICOL 500G</t>
  </si>
  <si>
    <t>FG06443</t>
  </si>
  <si>
    <t>MC - GELOSE XLD (XYLOSE-LYSINE-DESOXYCHOLATE) 500G</t>
  </si>
  <si>
    <t>FG06444</t>
  </si>
  <si>
    <t>MC - MSA GELOSE DE CHAPMAN (SEL DE MANNITOL) 500G</t>
  </si>
  <si>
    <t>FG06445</t>
  </si>
  <si>
    <t>MC - TAMPON TRIS 500G</t>
  </si>
  <si>
    <t>FG06446</t>
  </si>
  <si>
    <t>MC-BASE DE GELOSE AU SANG (GELOSE D'INFUSION) 500G</t>
  </si>
  <si>
    <t>FG06447</t>
  </si>
  <si>
    <t>MC-BOUILLON-SELENITE- BOUILLON (DOUBLE) 500G</t>
  </si>
  <si>
    <t>FG06448</t>
  </si>
  <si>
    <t>MC-CRISTAL VIOLET (VIOL DE GENT) EN POU-PURI 100G</t>
  </si>
  <si>
    <t>FG06449</t>
  </si>
  <si>
    <t>MC-VRBL (LACTOSEE BILIEE-CRISTAL VIOL- ROU) 500G</t>
  </si>
  <si>
    <t>FG06450</t>
  </si>
  <si>
    <t>MEDLYTE-L ORANGE 1LTR</t>
  </si>
  <si>
    <t>FG06451</t>
  </si>
  <si>
    <t>MELOMINE CREME 30G</t>
  </si>
  <si>
    <t>FG06452</t>
  </si>
  <si>
    <t>MICROTUBE EPPENDORF 1,5ML B/500</t>
  </si>
  <si>
    <t>FG06453</t>
  </si>
  <si>
    <t>NEBILONG AM B/30 CES</t>
  </si>
  <si>
    <t>FG06454</t>
  </si>
  <si>
    <t>ONDASKY 4MG (ONDASETRON) B/4 CES</t>
  </si>
  <si>
    <t>FG06455</t>
  </si>
  <si>
    <t>OPHTALMOSCOPE INDIRECT ALL PUPIL II SUR BANDEAU</t>
  </si>
  <si>
    <t>FG06456</t>
  </si>
  <si>
    <t>PANOTAC-40 (PANTOPRAZOLE) 40MG INJ</t>
  </si>
  <si>
    <t>FG06457</t>
  </si>
  <si>
    <t>PARACETA-M (PARACETAMOL) PERFUSION I.V.FL/100ML</t>
  </si>
  <si>
    <t>FG06458</t>
  </si>
  <si>
    <t>PARACETA-M 500MG/50ML INJ B/1</t>
  </si>
  <si>
    <t>FG06459</t>
  </si>
  <si>
    <t>PERFEN (PARACETAMOL+VIT.C EFF.) B/18 CES</t>
  </si>
  <si>
    <t>FG06460</t>
  </si>
  <si>
    <t>PIPETTE PASTEUR 3ML SAC/500</t>
  </si>
  <si>
    <t>FG06461</t>
  </si>
  <si>
    <t>PIPETTE REPETITIVE HANDYSTEP 1UNITE</t>
  </si>
  <si>
    <t>FG06462</t>
  </si>
  <si>
    <t>PLAN B PILULE (LEVONORGESTREL) B/1CES</t>
  </si>
  <si>
    <t>FG06463</t>
  </si>
  <si>
    <t>POCKET BOOKS</t>
  </si>
  <si>
    <t>FG06464</t>
  </si>
  <si>
    <t>POSTE DE SECURITE MICROBIOLOGIQUE-1300 CLASSEIIA2</t>
  </si>
  <si>
    <t>FG06465</t>
  </si>
  <si>
    <t>PREGA-75 (PREGABALIN) B/30 CAPSULE</t>
  </si>
  <si>
    <t>FG06466</t>
  </si>
  <si>
    <t>RANICER (RANITIDINE 300MG) B/20 CES</t>
  </si>
  <si>
    <t>FG06467</t>
  </si>
  <si>
    <t>REFRIGERATEUR BANQUE DE SANG +4°C -160L</t>
  </si>
  <si>
    <t>FG06468</t>
  </si>
  <si>
    <t>RHUMALGAN GEL 30G</t>
  </si>
  <si>
    <t>FG06469</t>
  </si>
  <si>
    <t>ROYAL OMEGA-3 120ML SP</t>
  </si>
  <si>
    <t>FG06470</t>
  </si>
  <si>
    <t>ROZALIN INTIME LIQUIDE DE LAVAGE 100ML</t>
  </si>
  <si>
    <t>FG06471</t>
  </si>
  <si>
    <t>ROZALIN PLUS INTIME LIQUIDE DE LAVAGE 100ML</t>
  </si>
  <si>
    <t>FG06472</t>
  </si>
  <si>
    <t>SAFORELLE SOIN LAV DOUX 250ML FL</t>
  </si>
  <si>
    <t>FG06473</t>
  </si>
  <si>
    <t>SECOURS (ANTI-MOSQUITO) POMMADE 10GR</t>
  </si>
  <si>
    <t>FG06474</t>
  </si>
  <si>
    <t>SECOURS (ANTI-MOSQUITO) LIQUID 3.5ML</t>
  </si>
  <si>
    <t>FG06475</t>
  </si>
  <si>
    <t>SENSODYNE DENTISTES 2MM</t>
  </si>
  <si>
    <t>FG06476</t>
  </si>
  <si>
    <t>SENSODYNE MENTHE FRAICHE (BAIN DE BOUCHE) 500ML</t>
  </si>
  <si>
    <t>FG06477</t>
  </si>
  <si>
    <t>SENSODYNE SOIN COMPLET 75ML</t>
  </si>
  <si>
    <t>FG06478</t>
  </si>
  <si>
    <t>STATINOR 10MG (ROSUVASTATIN) B/30 CES</t>
  </si>
  <si>
    <t>FG06479</t>
  </si>
  <si>
    <t>STERIXONE-S-750MG (CEFTRI.+SULBAC.) INJ.B/1 VIAL</t>
  </si>
  <si>
    <t>FG06480</t>
  </si>
  <si>
    <t>T V 19 INCH</t>
  </si>
  <si>
    <t>FG06481</t>
  </si>
  <si>
    <t>TABLE GYNÉCOLOGIE ET OBSTÉTRIQUE SEMI</t>
  </si>
  <si>
    <t>FG06482</t>
  </si>
  <si>
    <t>TALOHEAL (ADOUCISSANTE LES PIEDS) 60G CREME</t>
  </si>
  <si>
    <t>FG06483</t>
  </si>
  <si>
    <t>TENSIOMETRE ANEROIDE DE TYPE PALME</t>
  </si>
  <si>
    <t>FG06484</t>
  </si>
  <si>
    <t>TERBFINE (TERBINAFINE) 250MG B/14 CES</t>
  </si>
  <si>
    <t>FG06485</t>
  </si>
  <si>
    <t>TEST ANTI /A</t>
  </si>
  <si>
    <t>FG06486</t>
  </si>
  <si>
    <t>TRANSDUCER PROTECTOR</t>
  </si>
  <si>
    <t>FG06487</t>
  </si>
  <si>
    <t>TRODEZ (TETRACAINE) 10ML COLLYRE</t>
  </si>
  <si>
    <t>FG06488</t>
  </si>
  <si>
    <t>TUBE CAPILLAIRE (BLEU) - NON HEPARINES, FIOLE/100</t>
  </si>
  <si>
    <t>FG06489</t>
  </si>
  <si>
    <t>TUBE ESSAI VERRE VIS ALUMINIUM-PLAT-25ML</t>
  </si>
  <si>
    <t>FG06490</t>
  </si>
  <si>
    <t>TV (BLEU) EDTA K2/K3-PET 13*75-4ML-B/100PCS</t>
  </si>
  <si>
    <t>FG06491</t>
  </si>
  <si>
    <t>TV (ROUGE) ACTIV-COA VERRE 13*75-4ML-B/100PCS</t>
  </si>
  <si>
    <t>FG06492</t>
  </si>
  <si>
    <t>TV (VERT) HEPARINE-LITHIUM-PET 13*75-4ML-B/100PCS</t>
  </si>
  <si>
    <t>FG06493</t>
  </si>
  <si>
    <t>TV (VERT) HEPARINE-SODIUM-PET 13*75-4ML-B/100PCS</t>
  </si>
  <si>
    <t>FG06494</t>
  </si>
  <si>
    <t>TV MICRO (ROUGE) PET 10*45-0.5ML-B/100PCS</t>
  </si>
  <si>
    <t>FG06496</t>
  </si>
  <si>
    <t>ULTRASONIC MOSQUITO REPELLENT MICRO USB</t>
  </si>
  <si>
    <t>FG06497</t>
  </si>
  <si>
    <t>VAGINAL SPECULUM WITH SIDE SCREW (SIZE: L/M/S)</t>
  </si>
  <si>
    <t>FG06498</t>
  </si>
  <si>
    <t>VEGEBAUME BAUME 100GR(FR)</t>
  </si>
  <si>
    <t>FG06499</t>
  </si>
  <si>
    <t>VITA PLANET (SANS SUCRE) 200ML SP</t>
  </si>
  <si>
    <t>FG06500</t>
  </si>
  <si>
    <t>WATER TREATMENT PLANT 500 ITR ACCESSORIES</t>
  </si>
  <si>
    <t>FG06501</t>
  </si>
  <si>
    <t>WATER TREATMENT PLANT 500 LTR</t>
  </si>
  <si>
    <t>FG06502</t>
  </si>
  <si>
    <t>ABG PT1000-ANALYSEUR D'ELECTROLYTE ET GAZ SANGUINE</t>
  </si>
  <si>
    <t>FG06503</t>
  </si>
  <si>
    <t>ADALATE LA 30MG B/30 CES (FR)</t>
  </si>
  <si>
    <t>FG06504</t>
  </si>
  <si>
    <t>ALINTO (LEVOSALBUTAMOL) INHALER</t>
  </si>
  <si>
    <t>FG06505</t>
  </si>
  <si>
    <t>ARTES 210MG INJ B/1 AMP</t>
  </si>
  <si>
    <t>FG06506</t>
  </si>
  <si>
    <t>ASPIRATEUR CHIRURGICAL PORTABLE - ELECTRIQUE 7E-C</t>
  </si>
  <si>
    <t>FG06507</t>
  </si>
  <si>
    <t>ASPIRATEUR CHIRURGICAL PORTABLE - MANUEL</t>
  </si>
  <si>
    <t>FG06508</t>
  </si>
  <si>
    <t>AUTOCLAVE VERTICAL 100L-OUVERTURE ROUE-AFFICHAGE</t>
  </si>
  <si>
    <t>FG06509</t>
  </si>
  <si>
    <t>AUTOCLAVE VERTICAL 150L-OUVERTURE ROUE-AFFICHAGE</t>
  </si>
  <si>
    <t>FG06510</t>
  </si>
  <si>
    <t>BAC DE COLORATION INOX 60 LAMES</t>
  </si>
  <si>
    <t>FG06511</t>
  </si>
  <si>
    <t>BAC DE COLORATION PLASTIQUE 50 LAMES</t>
  </si>
  <si>
    <t>FG06512</t>
  </si>
  <si>
    <t>BEKRACINE (CEFIXIME 200MG) B/10 CES</t>
  </si>
  <si>
    <t>FG06513</t>
  </si>
  <si>
    <t>BICARBONATE MIXTER 100 ITR</t>
  </si>
  <si>
    <t>FG06514</t>
  </si>
  <si>
    <t>BIEN MANGER PLUS (CYPR.&amp;LUS.ET VIT.) 200ML SIROP</t>
  </si>
  <si>
    <t>FG06515</t>
  </si>
  <si>
    <t>BIOCHIMIE S - CALCIUM 2X50 ML</t>
  </si>
  <si>
    <t>FG06516</t>
  </si>
  <si>
    <t>BIOCHIMIE S - CREATININE 2X125 ML</t>
  </si>
  <si>
    <t>FG06517</t>
  </si>
  <si>
    <t>BIOCHIMIE S - GOT(AST) 10X10 ML</t>
  </si>
  <si>
    <t>FG06518</t>
  </si>
  <si>
    <t>BIOCHIMIE S - GPT(ALT) 10X10 ML</t>
  </si>
  <si>
    <t>FG06519</t>
  </si>
  <si>
    <t>BIOCHIMIE S - MAGNESIUM 2X100 ML</t>
  </si>
  <si>
    <t>FG06520</t>
  </si>
  <si>
    <t>BIOCHIMIE S - PHOSPHATASE ALCALINE 10X5 ML</t>
  </si>
  <si>
    <t>FG06521</t>
  </si>
  <si>
    <t>BIOCHIMIE S - SODIUM ET POTASSIUM 2X45 ML</t>
  </si>
  <si>
    <t>FG06522</t>
  </si>
  <si>
    <t>BIOCHIMIE S - UREE 2X125 ML</t>
  </si>
  <si>
    <t>FG06523</t>
  </si>
  <si>
    <t>BOITE A PANSEMENTS</t>
  </si>
  <si>
    <t>FG06524</t>
  </si>
  <si>
    <t>BOITE CATARACTE A PETITE INCISION</t>
  </si>
  <si>
    <t>FG06525</t>
  </si>
  <si>
    <t>BOITE DE CHIRURGIE POUR UROLOGIE</t>
  </si>
  <si>
    <t>FG06526</t>
  </si>
  <si>
    <t>BOITE EPISIOTOMIE</t>
  </si>
  <si>
    <t>FG06527</t>
  </si>
  <si>
    <t>BOITE TRACHEOTOMIE</t>
  </si>
  <si>
    <t>FG06528</t>
  </si>
  <si>
    <t>BOITE TRACHOME</t>
  </si>
  <si>
    <t>FG06529</t>
  </si>
  <si>
    <t>CAISTHER PLUS 60ML SP</t>
  </si>
  <si>
    <t>FG06530</t>
  </si>
  <si>
    <t>CALVI-D 200ML SP</t>
  </si>
  <si>
    <t>FG06531</t>
  </si>
  <si>
    <t>CAPECITABINE BIOGARAN 500MG 120 CES</t>
  </si>
  <si>
    <t>FG06532</t>
  </si>
  <si>
    <t>CATHETER DIALYSE DOUBLE-LUMIERE PERM14.5FRX28CM1PC</t>
  </si>
  <si>
    <t>FG06533</t>
  </si>
  <si>
    <t>CATHETER DIALYSE, DOUBLE-LUMIERE TAMP 12FRX16CM1PC</t>
  </si>
  <si>
    <t>FG06534</t>
  </si>
  <si>
    <t>CATHETER DIALYSE, DOUBLE-LUMIERE TEMP 12FRX20CM1PC</t>
  </si>
  <si>
    <t>FG06535</t>
  </si>
  <si>
    <t>CHLORE POUR EAU PORTABLE</t>
  </si>
  <si>
    <t>FG06536</t>
  </si>
  <si>
    <t>CISEAUX CHIRURGICAUX M/M COURBE - 14.5 CM</t>
  </si>
  <si>
    <t>FG06537</t>
  </si>
  <si>
    <t>CISEAUX CHIRURGICAUX M/P COURBE - 18.5 CM</t>
  </si>
  <si>
    <t>FG06538</t>
  </si>
  <si>
    <t>CISEAUX CHIRURGICAUX M/P DROITS - 14.5 CM</t>
  </si>
  <si>
    <t>FG06539</t>
  </si>
  <si>
    <t>CISEAUX CHIRURGICAUX M/P DROITS - 18.5 CM</t>
  </si>
  <si>
    <t>FG06540</t>
  </si>
  <si>
    <t>CONGILATEUR 220 LTR</t>
  </si>
  <si>
    <t>FG06541</t>
  </si>
  <si>
    <t>CONGILATEUR 350 LTR</t>
  </si>
  <si>
    <t>FG06542</t>
  </si>
  <si>
    <t>CONTAX (CEFOTAXIME) 1G INJ</t>
  </si>
  <si>
    <t>FG06543</t>
  </si>
  <si>
    <t>CONTROLES HEMATOLOGIE 3ML*1 (L) DH-3D</t>
  </si>
  <si>
    <t>FG06544</t>
  </si>
  <si>
    <t>CPE GOWN 40G/PCS BLUE</t>
  </si>
  <si>
    <t>FG06545</t>
  </si>
  <si>
    <t>DAPZIN (DAPAGLIFLOZIN) 10MG B/30 CES</t>
  </si>
  <si>
    <t>FG06546</t>
  </si>
  <si>
    <t>DAPZIN (DAPAGLIFLOZIN) 5MG B/30 CES</t>
  </si>
  <si>
    <t>FG06547</t>
  </si>
  <si>
    <t>DBS PUNCHER 1UNITE</t>
  </si>
  <si>
    <t>FG06548</t>
  </si>
  <si>
    <t>DEBRIDAT 100 MG 10 SUPPOS</t>
  </si>
  <si>
    <t>FG06549</t>
  </si>
  <si>
    <t>DESPAIN 50MG INJ</t>
  </si>
  <si>
    <t>FG06550</t>
  </si>
  <si>
    <t>DEXAMETHASONE (DEXALINE ) COLLYRE/OTTIQUE 10ML</t>
  </si>
  <si>
    <t>FG06551</t>
  </si>
  <si>
    <t>DIALYSIS CHAIR - ACCESSORIES</t>
  </si>
  <si>
    <t>FG06552</t>
  </si>
  <si>
    <t>DIAYSIS CHAIR</t>
  </si>
  <si>
    <t>FG06553</t>
  </si>
  <si>
    <t>DICLOFENC GEL CREAM 30GR....GENERIQUE</t>
  </si>
  <si>
    <t>FG06554</t>
  </si>
  <si>
    <t>DISQUES ANTIBIOGRAMMES - AMOXICILLINE BT/50</t>
  </si>
  <si>
    <t>FG06555</t>
  </si>
  <si>
    <t>DISQUES ANTIBIOGRAMMES - AZITHROMYCINE BT/50</t>
  </si>
  <si>
    <t>FG06556</t>
  </si>
  <si>
    <t>DISQUES ANTIBIOGRAMMES - CEFTRIAXONE BT/50</t>
  </si>
  <si>
    <t>FG06557</t>
  </si>
  <si>
    <t>DISQUES ANTIBIOGRAMMES - DOXYCYCLINE HCL BT/50</t>
  </si>
  <si>
    <t>FG06558</t>
  </si>
  <si>
    <t>DISQUES ANTIBIOGRAMMES - MEROPENEME BT/100</t>
  </si>
  <si>
    <t>FG06559</t>
  </si>
  <si>
    <t>DISQUES ANTIBIOGRAMMES - OFLOXACINE BT/50</t>
  </si>
  <si>
    <t>FG06560</t>
  </si>
  <si>
    <t>DISQUES ANTIBIOGRAMMES - PIPERACILLINE BT/50</t>
  </si>
  <si>
    <t>FG06561</t>
  </si>
  <si>
    <t>DIVA PRINCESSE 10PADS</t>
  </si>
  <si>
    <t>FG06562</t>
  </si>
  <si>
    <t>DIVA REGULAR 10PADS</t>
  </si>
  <si>
    <t>FG06563</t>
  </si>
  <si>
    <t>ECHOGRAPHIE CHARIOT COULEUR CBIT10-4 SONDE</t>
  </si>
  <si>
    <t>FG06564</t>
  </si>
  <si>
    <t>ECHOGRAPHIE CHARIOT COULEUR CBIT8-4 SONDE</t>
  </si>
  <si>
    <t>FG06565</t>
  </si>
  <si>
    <t>ECHOGRAPHIE PORTABLE - ECO 6 CONVEX</t>
  </si>
  <si>
    <t>FG06566</t>
  </si>
  <si>
    <t>ECOUVILLON COTON STERILE SACHET/100</t>
  </si>
  <si>
    <t>FG06567</t>
  </si>
  <si>
    <t>ELETRIPTAN MYLAN 40MG B/10 CES (FR)</t>
  </si>
  <si>
    <t>FG06568</t>
  </si>
  <si>
    <t>EMBOUT JAUNE AVEC FILTRE B/96</t>
  </si>
  <si>
    <t>FG06569</t>
  </si>
  <si>
    <t>EVALINA INTIME LIQUIDE 50ML</t>
  </si>
  <si>
    <t>FG06570</t>
  </si>
  <si>
    <t>FEET AID 15G CREAM</t>
  </si>
  <si>
    <t>FG06571</t>
  </si>
  <si>
    <t>FLAMINGO TUBULAR SUPPORT GAUNTLET (SMALL)</t>
  </si>
  <si>
    <t>FG06572</t>
  </si>
  <si>
    <t>FLAMINGO TUBULAR SUPPORT GAUNTLET (XL)</t>
  </si>
  <si>
    <t>FG06573</t>
  </si>
  <si>
    <t>FLAMINGO TUBULAR SUPPORT GAUNTLET (XXL)</t>
  </si>
  <si>
    <t>FG06574</t>
  </si>
  <si>
    <t>FLAMINGO ABDOMINAL BELT (XXXL) (20 CM)</t>
  </si>
  <si>
    <t>FG06575</t>
  </si>
  <si>
    <t>FLAMINGO BI AXEL HINGED KNEE CAP (XXXL)</t>
  </si>
  <si>
    <t>FG06576</t>
  </si>
  <si>
    <t>FLAMINGO BUNION SPLINT-U</t>
  </si>
  <si>
    <t>FG06577</t>
  </si>
  <si>
    <t>FLAMINGO CERVICAL COLLAR WITH NECK SUPPORT (XXL)</t>
  </si>
  <si>
    <t>FG06578</t>
  </si>
  <si>
    <t>FLAMINGO CERVICAL TRACTION KIT WITH WATER BAG-SLEE</t>
  </si>
  <si>
    <t>FG06579</t>
  </si>
  <si>
    <t>FLAMINGO HEIGHT ADJUSTABLE HARD COLLAR (XXL)</t>
  </si>
  <si>
    <t>FG06580</t>
  </si>
  <si>
    <t>FLAMINGO HERNIA BELT (XXL)</t>
  </si>
  <si>
    <t>FG06581</t>
  </si>
  <si>
    <t>FLAMINGO HERNIA BELT (XXXL)</t>
  </si>
  <si>
    <t>FG06582</t>
  </si>
  <si>
    <t>FLAMINGO LUMBAR SACRO BELT (XXXL)</t>
  </si>
  <si>
    <t>FG06583</t>
  </si>
  <si>
    <t>FLAMINGO MEDICAL COMPRES STOCKINGS ABOVE KNEE (XL)</t>
  </si>
  <si>
    <t>FG06584</t>
  </si>
  <si>
    <t>FLAMINGO OPEN PATELLA KNEE CAP (XXXL)</t>
  </si>
  <si>
    <t>FG06585</t>
  </si>
  <si>
    <t>FLAMINGO PELVIC TRACTION KIT WITH WATER BAG (M)</t>
  </si>
  <si>
    <t>FG06586</t>
  </si>
  <si>
    <t>FLAMINGO PELVIC TRACTION KIT WITH WATER BAG (XL)</t>
  </si>
  <si>
    <t>FG06587</t>
  </si>
  <si>
    <t>FLAMINGO PREMIUM SILICONE PED MED ARCH INSOLE (XL)</t>
  </si>
  <si>
    <t>FG06588</t>
  </si>
  <si>
    <t>FLAMINGO SCROTAL SUPPORT (SMALL)</t>
  </si>
  <si>
    <t>FG06589</t>
  </si>
  <si>
    <t>FLAMINGO SCROTAL SUPPORT (XL)</t>
  </si>
  <si>
    <t>FG06590</t>
  </si>
  <si>
    <t>FLAMINGO SCROTAL SUPPORT (XXL)</t>
  </si>
  <si>
    <t>FG06591</t>
  </si>
  <si>
    <t>FLAMINGO SHOULDER SUPPORT (XXL)</t>
  </si>
  <si>
    <t>FG06592</t>
  </si>
  <si>
    <t>FLAMINGO SOFT COLLAR (SMALL)</t>
  </si>
  <si>
    <t>FG06593</t>
  </si>
  <si>
    <t>FLAMINGO SOFT COLLAR (XL)</t>
  </si>
  <si>
    <t>FG06594</t>
  </si>
  <si>
    <t>FLAMINGO UNI SHOULDER IMMOBILISER (XXXL)</t>
  </si>
  <si>
    <t>FG06595</t>
  </si>
  <si>
    <t>GASOGEL B/25 SACHAT</t>
  </si>
  <si>
    <t>FG06596</t>
  </si>
  <si>
    <t>GLICLAMIN-M(GLICLAZIDE80MG+METFORMIN500MG)B/30CES</t>
  </si>
  <si>
    <t>FG06597</t>
  </si>
  <si>
    <t>GLUCOBAY 50MG B/30 (FR)</t>
  </si>
  <si>
    <t>FG06598</t>
  </si>
  <si>
    <t>GLUCOPHAGE RETARD PLS 15CES 850MG</t>
  </si>
  <si>
    <t>FG06599</t>
  </si>
  <si>
    <t>GROUP 1.1 KV</t>
  </si>
  <si>
    <t>FG06600</t>
  </si>
  <si>
    <t>GROUP 3.5 KV</t>
  </si>
  <si>
    <t>FG06601</t>
  </si>
  <si>
    <t>HEMODIALYSIS ACID CONCENTRATE PART A</t>
  </si>
  <si>
    <t>FG06602</t>
  </si>
  <si>
    <t>IBUPAR BT/20CES</t>
  </si>
  <si>
    <t>FG06603</t>
  </si>
  <si>
    <t>IMODIUM B/20CAPS INSTANT (FR)</t>
  </si>
  <si>
    <t>FG06604</t>
  </si>
  <si>
    <t>IMPRIMANTE MEDICALE NUMERIQUE - COULEUR - UPD25MD</t>
  </si>
  <si>
    <t>FG06605</t>
  </si>
  <si>
    <t>INDACEFT-1G (CEFTRIAXONE) INJ. B/1 VIAL+EAU DIST.</t>
  </si>
  <si>
    <t>FG06606</t>
  </si>
  <si>
    <t>INDACEFT-S-1500 MG (CEFTRI.+SULBAC) INJ. B/1 VIAL</t>
  </si>
  <si>
    <t>FG06607</t>
  </si>
  <si>
    <t>KEPRA 250MG 50TAB (FR)</t>
  </si>
  <si>
    <t>FG06608</t>
  </si>
  <si>
    <t>KEPRA 500MG 50TAB (FR)</t>
  </si>
  <si>
    <t>FG06609</t>
  </si>
  <si>
    <t>LAME P.O.DEPOLIES-BORDS BISEAUTES A45°-B/72</t>
  </si>
  <si>
    <t>FG06610</t>
  </si>
  <si>
    <t>LAMELLE COUVRE OBJET 24X50MM B/100</t>
  </si>
  <si>
    <t>FG06611</t>
  </si>
  <si>
    <t>MAIGRIX 60 (ORLISTAT 60MG) B/10 CES</t>
  </si>
  <si>
    <t>FG06612</t>
  </si>
  <si>
    <t>MC - BASE DE GELOSE AU SANG COLUMBIA 500G</t>
  </si>
  <si>
    <t>FG06613</t>
  </si>
  <si>
    <t>MC - GELOSE AU CITRATE DE SIMMONS 500G</t>
  </si>
  <si>
    <t>FG06614</t>
  </si>
  <si>
    <t>MC - GELOSE AU FER DE KLIGLER 500G</t>
  </si>
  <si>
    <t>FG06615</t>
  </si>
  <si>
    <t>MC - GELOSE DE SABOURAUD AU DEXTROSE 500G</t>
  </si>
  <si>
    <t>FG06616</t>
  </si>
  <si>
    <t>MC - GELOSE LYSINE FER 500G</t>
  </si>
  <si>
    <t>FG06617</t>
  </si>
  <si>
    <t>MC - GELOSE SS (SALMONELLA SHIGELLA) MODIFIEE 500G</t>
  </si>
  <si>
    <t>FG06618</t>
  </si>
  <si>
    <t>MC - GLYCINE (ACIDE AMINE ACETIQUE) 500G</t>
  </si>
  <si>
    <t>FG06619</t>
  </si>
  <si>
    <t>MC - SMA PHOSPHATE DE DIHYDROG DE POTAS, PURI 500G</t>
  </si>
  <si>
    <t>FG06620</t>
  </si>
  <si>
    <t>MC-BHIB BOUILLON INFUSION DE COEUR-CERVELLE 500G</t>
  </si>
  <si>
    <t>FG06621</t>
  </si>
  <si>
    <t>MC-CRISTAL VIOLET (VIOL DE GENT) EN POU-PURI 500G</t>
  </si>
  <si>
    <t>FG06622</t>
  </si>
  <si>
    <t>MONOMETRE 1PC</t>
  </si>
  <si>
    <t>FG06623</t>
  </si>
  <si>
    <t>MOSQUITO KILLER LAMP WITH SOLAR</t>
  </si>
  <si>
    <t>FG06624</t>
  </si>
  <si>
    <t>MOSQUITO REPELLENT BRACELET 1PC/COLOR BOX</t>
  </si>
  <si>
    <t>FG06625</t>
  </si>
  <si>
    <t>MUSTEL PN HYDRA CROPS 500ML</t>
  </si>
  <si>
    <t>FG06626</t>
  </si>
  <si>
    <t>NETTOYANT DE SURFACES BIDON 5L</t>
  </si>
  <si>
    <t>FG06627</t>
  </si>
  <si>
    <t>NETTOYANT ET DESINFECTANT INSTRUMENTS BIDON 5L</t>
  </si>
  <si>
    <t>FG06628</t>
  </si>
  <si>
    <t>OPHTALMOSCOPE KEELER AVEC BATTERIE INTEGREE</t>
  </si>
  <si>
    <t>FG06629</t>
  </si>
  <si>
    <t>PACOD-PLUS (PARA+COD+CAF) B/3 X10 CES</t>
  </si>
  <si>
    <t>FG06630</t>
  </si>
  <si>
    <t>PANOTAC-D (PANTOPRAZOLE+DOMPERI.) B/ 10 GELULES</t>
  </si>
  <si>
    <t>FG06631</t>
  </si>
  <si>
    <t>PANTIN 40MG B/30 CES</t>
  </si>
  <si>
    <t>FG06632</t>
  </si>
  <si>
    <t>PERFEN (PARACETAMOL+VIT.C EFF.) AD B/10 SACHATS</t>
  </si>
  <si>
    <t>FG06633</t>
  </si>
  <si>
    <t>PERFEN IV 100ML</t>
  </si>
  <si>
    <t>FG06634</t>
  </si>
  <si>
    <t>POMPE A PERFUSION</t>
  </si>
  <si>
    <t>FG06635</t>
  </si>
  <si>
    <t>PORTOIRE TUBE A ESSAI INOX</t>
  </si>
  <si>
    <t>FG06636</t>
  </si>
  <si>
    <t>POSTER</t>
  </si>
  <si>
    <t>FG06637</t>
  </si>
  <si>
    <t>POUSSE SERINGUE ELECTRIQUE</t>
  </si>
  <si>
    <t>FG06638</t>
  </si>
  <si>
    <t>PROOPRANOLOL EG (INDERAL)40MG B/100 CES</t>
  </si>
  <si>
    <t>FG06639</t>
  </si>
  <si>
    <t>PROTAX 1G (CEFOTAXIME) INJ. B/1 VIAL + EAU</t>
  </si>
  <si>
    <t>FG06640</t>
  </si>
  <si>
    <t>QUICK 210 (ARTESU) IM/IV B/1AMP</t>
  </si>
  <si>
    <t>FG06641</t>
  </si>
  <si>
    <t>RANICER (RANITIDINE 150MG) B/20 CES</t>
  </si>
  <si>
    <t>FG06642</t>
  </si>
  <si>
    <t>REFRIGERATEUR DE LABORATOIRE-2À 8DEGRES-160L</t>
  </si>
  <si>
    <t>FG06643</t>
  </si>
  <si>
    <t>SAFORELLE SOIN LAV DOUX 500ML FL</t>
  </si>
  <si>
    <t>FG06644</t>
  </si>
  <si>
    <t>SARS-COV-2 FLUORESCENT PCR,96 TESTS/KITS</t>
  </si>
  <si>
    <t>FG06645</t>
  </si>
  <si>
    <t>SECOURS (PAIN RELIEF) SPRAY 75ML</t>
  </si>
  <si>
    <t>FG06646</t>
  </si>
  <si>
    <t>SOLAR LIGHT ITEL</t>
  </si>
  <si>
    <t>FG06647</t>
  </si>
  <si>
    <t>SPASDOL (DICYCLOMINE HYDO.+PARACETAMOL) B/10 TAB</t>
  </si>
  <si>
    <t>FG06648</t>
  </si>
  <si>
    <t>STATINOR 20MG (ROSUVASTATIN) B/30 CES</t>
  </si>
  <si>
    <t>FG06649</t>
  </si>
  <si>
    <t>STORAGE DRUM 100LTR</t>
  </si>
  <si>
    <t>FG06650</t>
  </si>
  <si>
    <t>SURLIEN (ANTITUSSIF) 100ML SIROP</t>
  </si>
  <si>
    <t>FG06651</t>
  </si>
  <si>
    <t>T V 60"</t>
  </si>
  <si>
    <t>FG06652</t>
  </si>
  <si>
    <t>T V STAND</t>
  </si>
  <si>
    <t>FG06653</t>
  </si>
  <si>
    <t>TABLE DE REANIMATION NEONATALE RECHAUFFEUR RADIANT</t>
  </si>
  <si>
    <t>FG06654</t>
  </si>
  <si>
    <t>TANO (ITRACONAZOLE 100MG) B/10 GELULES</t>
  </si>
  <si>
    <t>FG06655</t>
  </si>
  <si>
    <t>TEST ANTI /B</t>
  </si>
  <si>
    <t>FG06656</t>
  </si>
  <si>
    <t>TONOMETRE SCHIOTZ, PLAQUE OR (RIESTER, ALLEMAGNE)</t>
  </si>
  <si>
    <t>FG06657</t>
  </si>
  <si>
    <t>TORCH 1 PC</t>
  </si>
  <si>
    <t>FG06658</t>
  </si>
  <si>
    <t>TOURNIQUET</t>
  </si>
  <si>
    <t>FG06659</t>
  </si>
  <si>
    <t>TUBE CAPILLAIRE (ROUGE) - HEPARINES, FIOLE/100</t>
  </si>
  <si>
    <t>FG06660</t>
  </si>
  <si>
    <t>TUBE WESTERGREN 300MM 0-180CM-PC</t>
  </si>
  <si>
    <t>FG06661</t>
  </si>
  <si>
    <t>TUBES CRYOGENIQUES 2ML SAC/500 PCS</t>
  </si>
  <si>
    <t>FG06662</t>
  </si>
  <si>
    <t>TV (BLEU)-SODIUM CITRATE VER-13*75-4.5ML-B/100PCS</t>
  </si>
  <si>
    <t>FG06663</t>
  </si>
  <si>
    <t>TV (GRIS) GLUCOSE-FLUORURE-PET 13*75-4ML-B/100PCS</t>
  </si>
  <si>
    <t>FG06664</t>
  </si>
  <si>
    <t>TV (JAUNE) GEL/ACTIV-COA VERRE13*75-3.5ML-B/100PCS</t>
  </si>
  <si>
    <t>FG06665</t>
  </si>
  <si>
    <t>TV (NOIR) PET 13*75-2.4ML-B/100PCS</t>
  </si>
  <si>
    <t>FG06666</t>
  </si>
  <si>
    <t>TV (ROUGE) SEC VERRE 16*100, 10ML-B/100PCS</t>
  </si>
  <si>
    <t>FG06667</t>
  </si>
  <si>
    <t>TV MICRO(BLEU)K2/K3 EDTA PET-10*45-0.5ML-B/100PCS</t>
  </si>
  <si>
    <t>FG06668</t>
  </si>
  <si>
    <t>URAPIDIL 60MG B/30 CES</t>
  </si>
  <si>
    <t>FG06669</t>
  </si>
  <si>
    <t>VENTILATEUR DE REANIMATION</t>
  </si>
  <si>
    <t>FG06670</t>
  </si>
  <si>
    <t>ZEBU PLUS 35G/50ML SPRAY</t>
  </si>
  <si>
    <t>FG08830</t>
  </si>
  <si>
    <t>MOX 400MG (MOXIFLOXACIN) PERFUSION 100M</t>
  </si>
  <si>
    <t>FG04969</t>
  </si>
  <si>
    <t>INSULINE INSULATARD 100UI 10ML ( EO)</t>
  </si>
  <si>
    <t>FG04970</t>
  </si>
  <si>
    <t>APROVASAC 150MG/5MG B/28CES ) EO)</t>
  </si>
  <si>
    <t>FG04971</t>
  </si>
  <si>
    <t>OFLOCET 200MG 10CES(EO)</t>
  </si>
  <si>
    <t>FG04972</t>
  </si>
  <si>
    <t>TAMSULOSINE SDZ LAP,4MG 30 GELULS ( FR)</t>
  </si>
  <si>
    <t>FG04973</t>
  </si>
  <si>
    <t>TOBREX COOLYRE(FR)</t>
  </si>
  <si>
    <t>FG04974</t>
  </si>
  <si>
    <t>ZINNAT 80ML 125MG SUSP (FR) INACTIVE</t>
  </si>
  <si>
    <t>FG04975</t>
  </si>
  <si>
    <t>TEGRETOL 200MG 50CES (EO)</t>
  </si>
  <si>
    <t>FG04985</t>
  </si>
  <si>
    <t>APROVASC 300MG /5MG B/28CES ( EO)</t>
  </si>
  <si>
    <t>FG04988</t>
  </si>
  <si>
    <t>EFLAVYL 200UI B/50 GGELULES</t>
  </si>
  <si>
    <t>FG04989</t>
  </si>
  <si>
    <t>INSULINE MIXTARD 100UI ( FR) $$</t>
  </si>
  <si>
    <t>FG04992</t>
  </si>
  <si>
    <t>MICARDIS PLUS 80MG/25MG B/30CPR INACTIVE</t>
  </si>
  <si>
    <t>FG04993</t>
  </si>
  <si>
    <t>SPASFON 80MG 30CES ( FR)</t>
  </si>
  <si>
    <t>FG04994</t>
  </si>
  <si>
    <t>CLAMOXYL PDRE SUSP.BUVABLE 500MG INACTIVE</t>
  </si>
  <si>
    <t>FG04995</t>
  </si>
  <si>
    <t>APPAREIL HEMOTOCRIT</t>
  </si>
  <si>
    <t>FG04996</t>
  </si>
  <si>
    <t>TEST RAPIDE HBS</t>
  </si>
  <si>
    <t>FG04997</t>
  </si>
  <si>
    <t>BOITE CHIRURGICALE ABOMINALE</t>
  </si>
  <si>
    <t>FG05001</t>
  </si>
  <si>
    <t>COVERAM 10/10***CES B/30***</t>
  </si>
  <si>
    <t>FG05002</t>
  </si>
  <si>
    <t>OCUGUARD GELLULES B/20 CES</t>
  </si>
  <si>
    <t>FG05003</t>
  </si>
  <si>
    <t>PENTASA ( MESALAZINE 500MG) B/100TAB ( FR)</t>
  </si>
  <si>
    <t>FG05004</t>
  </si>
  <si>
    <t>PROFENID 100MG ING 2AMP IM (EO)</t>
  </si>
  <si>
    <t>FG05005</t>
  </si>
  <si>
    <t>PRIADEL 400MG TAB ( FR)</t>
  </si>
  <si>
    <t>FG05006</t>
  </si>
  <si>
    <t>CAHIER 48Q DZ</t>
  </si>
  <si>
    <t>FG05007</t>
  </si>
  <si>
    <t>COMPASS</t>
  </si>
  <si>
    <t>FG05008</t>
  </si>
  <si>
    <t>LUNCH BOX &amp; WATER BAG</t>
  </si>
  <si>
    <t>FG05009</t>
  </si>
  <si>
    <t>PEN B/10</t>
  </si>
  <si>
    <t>FG05010</t>
  </si>
  <si>
    <t>SAC MEDIUM</t>
  </si>
  <si>
    <t>FG05011</t>
  </si>
  <si>
    <t>FUCIDIN 2% CREME DERMQ TB 15GR ( FR)</t>
  </si>
  <si>
    <t>FG05012</t>
  </si>
  <si>
    <t>ANALYSEUR D'HEMATOLOGIE A DIFFE EN 3 PARTIES</t>
  </si>
  <si>
    <t>FG05013</t>
  </si>
  <si>
    <t>HEMATOLOGIE 5 PARTIES DIL-C ( 20L) - DILUENT</t>
  </si>
  <si>
    <t>FG05014</t>
  </si>
  <si>
    <t>ALUPHO 10.5G B/20 SACHET (FR)</t>
  </si>
  <si>
    <t>FG05015</t>
  </si>
  <si>
    <t>HEMATOLOGIE 5 PARTIES LYC-1 (200ML) - LYSE 1</t>
  </si>
  <si>
    <t>FG05016</t>
  </si>
  <si>
    <t>HEMATOLOGIE 5 PARTIES LYC-2 (500ML) - LYSE 2</t>
  </si>
  <si>
    <t>FG05017</t>
  </si>
  <si>
    <t>LOXEN 10MG 10ML 5AMP (FR)</t>
  </si>
  <si>
    <t>FG05018</t>
  </si>
  <si>
    <t>LIPANTHYL 200MG 30GELULES (FR)</t>
  </si>
  <si>
    <t>FG05019</t>
  </si>
  <si>
    <t>ULCAR SACHET BUV.1GR 30SACHETS</t>
  </si>
  <si>
    <t>FG05020</t>
  </si>
  <si>
    <t>AUGMENTIN 100MG SP NOUR 30ML (FR)</t>
  </si>
  <si>
    <t>FG05021</t>
  </si>
  <si>
    <t>HITZINE (CITRIZINE) 10MG B/10 CES</t>
  </si>
  <si>
    <t>FG05022</t>
  </si>
  <si>
    <t>ALPHAGAN COLLY 0.2% FL/5ML ^^^</t>
  </si>
  <si>
    <t>FG05023</t>
  </si>
  <si>
    <t>ARTANE 5MG 20CES (FR)</t>
  </si>
  <si>
    <t>FG05024</t>
  </si>
  <si>
    <t>RHINATHIOL ENFANTS SIROP 125ML</t>
  </si>
  <si>
    <t>FG05025</t>
  </si>
  <si>
    <t>AERIUS 5MG ***BT/15 CES ***( FR )</t>
  </si>
  <si>
    <t>FG05026</t>
  </si>
  <si>
    <t>BETASERC 100CES 8MG (FR)</t>
  </si>
  <si>
    <t>FG05027</t>
  </si>
  <si>
    <t>SPASFON LYOC SOLUBLE B/10CES (FR)</t>
  </si>
  <si>
    <t>FG05028</t>
  </si>
  <si>
    <t>ACLAV 100MG/12.5MG 30ML (FR)</t>
  </si>
  <si>
    <t>FG05029</t>
  </si>
  <si>
    <t>ANALYSEUR D'HÉMATOLOGIE À DIFFÉ EN 5 PARTIES</t>
  </si>
  <si>
    <t>FG05030</t>
  </si>
  <si>
    <t>HEMATOLOGIE 3 PARTIES DIL-E (20L) - DILUENT</t>
  </si>
  <si>
    <t>FG05031</t>
  </si>
  <si>
    <t>ANALYSEUR DE BIOCHIMIE SEMI (INCUBATEUR)</t>
  </si>
  <si>
    <t>FG05032</t>
  </si>
  <si>
    <t>HEMATOLOGIE CLE-P (50ML) - CLEANSER</t>
  </si>
  <si>
    <t>FG05033</t>
  </si>
  <si>
    <t>ALDACTONE 25MG PLS DE 5 CES (EO)</t>
  </si>
  <si>
    <t>FG05034</t>
  </si>
  <si>
    <t>ASCABIOL LOTION US EXT 125ML (FR)</t>
  </si>
  <si>
    <t>FG05035</t>
  </si>
  <si>
    <t>ASTAPH 500MG GEL B/12 (FR)</t>
  </si>
  <si>
    <t>FG05036</t>
  </si>
  <si>
    <t>COVERAM 10/5MG @@@ 30 GELULES(FR) @@@@</t>
  </si>
  <si>
    <t>FG05037</t>
  </si>
  <si>
    <t>CUTACNYL 10 GEL DERM 40GR (FR)</t>
  </si>
  <si>
    <t>FG05038</t>
  </si>
  <si>
    <t>DIFLUCAN 150 MG B/1GELULE</t>
  </si>
  <si>
    <t>FG05039</t>
  </si>
  <si>
    <t>CELESTENE CHRONO INJ AMP B/1 ***</t>
  </si>
  <si>
    <t>FG05040</t>
  </si>
  <si>
    <t>CONTOUR NEXT APPAREIL</t>
  </si>
  <si>
    <t>FG05041</t>
  </si>
  <si>
    <t>RINOMICINE 10MG B/10SACH (FR)</t>
  </si>
  <si>
    <t>FG05042</t>
  </si>
  <si>
    <t>ASPEGIC 1000MG 20 SACHET (FR)</t>
  </si>
  <si>
    <t>FG05043</t>
  </si>
  <si>
    <t>ACLAV 1G/125MG SACH B/12 (FR)</t>
  </si>
  <si>
    <t>FG05045</t>
  </si>
  <si>
    <t>AMAREL 4MG 30CES (FR)</t>
  </si>
  <si>
    <t>FG05048</t>
  </si>
  <si>
    <t>COVERAM 5/10MG 30 GELULES(FR)</t>
  </si>
  <si>
    <t>FG05049</t>
  </si>
  <si>
    <t>APRANAX 550MG 30CES (E.O.)</t>
  </si>
  <si>
    <t>FG05050</t>
  </si>
  <si>
    <t>ASAFLOW 80MG 56CES (FR)</t>
  </si>
  <si>
    <t>FG05051</t>
  </si>
  <si>
    <t>DEPO MEDROL 40MG INJ B/1AMP (FR)</t>
  </si>
  <si>
    <t>FG05052</t>
  </si>
  <si>
    <t>SENSODYNE REPAIR &amp; PROTECT 75ML</t>
  </si>
  <si>
    <t>FG05053</t>
  </si>
  <si>
    <t>QUINIMAX 500MG B/9CES (FR)</t>
  </si>
  <si>
    <t>FG05066</t>
  </si>
  <si>
    <t>BETADINE 250MG 8CES GYN€O</t>
  </si>
  <si>
    <t>FG05095</t>
  </si>
  <si>
    <t>EMBOU BLEU B/500</t>
  </si>
  <si>
    <t>FG05160</t>
  </si>
  <si>
    <t>ROACCUTANE 10MG 30GELS</t>
  </si>
  <si>
    <t>FG05173</t>
  </si>
  <si>
    <t>FORXIGA 10MG B/28 CES</t>
  </si>
  <si>
    <t>FG05174</t>
  </si>
  <si>
    <t>ARAUCID-OM 100ML SUSPENSION</t>
  </si>
  <si>
    <t>FG05175</t>
  </si>
  <si>
    <t>AROTRO 0.5MG 1X1 CES</t>
  </si>
  <si>
    <t>FG05176</t>
  </si>
  <si>
    <t>BACILEX 100MG 1X10 CAP</t>
  </si>
  <si>
    <t>FG05177</t>
  </si>
  <si>
    <t>BUTHOL 100ML SIROP</t>
  </si>
  <si>
    <t>FG05178</t>
  </si>
  <si>
    <t>DEXRON 30MG 1X10 CAP</t>
  </si>
  <si>
    <t>FG05179</t>
  </si>
  <si>
    <t>FEMROZ 2.5MG 1X10 CES</t>
  </si>
  <si>
    <t>FG05180</t>
  </si>
  <si>
    <t>FEZORA 2X30 CAP</t>
  </si>
  <si>
    <t>FG05181</t>
  </si>
  <si>
    <t>MELTON 7.5MG 1X10 CES</t>
  </si>
  <si>
    <t>FG05182</t>
  </si>
  <si>
    <t>MELTON 7.5MG SUPPO</t>
  </si>
  <si>
    <t>FG05183</t>
  </si>
  <si>
    <t>RIZATON 5MG 1X4 CES</t>
  </si>
  <si>
    <t>FG05184</t>
  </si>
  <si>
    <t>SETZOL 15GM CREAM</t>
  </si>
  <si>
    <t>FG05185</t>
  </si>
  <si>
    <t>TANO 100MG 1X10 CAP</t>
  </si>
  <si>
    <t>FG05186</t>
  </si>
  <si>
    <t>ARAUCLAV NOURRISON 281.25MG SACHET</t>
  </si>
  <si>
    <t>FG05187</t>
  </si>
  <si>
    <t>ARAUCLAV ENF 562.5MG SACHAT</t>
  </si>
  <si>
    <t>FG05188</t>
  </si>
  <si>
    <t>ARAUCLAV DUO 1125MG SACHET</t>
  </si>
  <si>
    <t>FG05189</t>
  </si>
  <si>
    <t>D-CLAIR 0.005% 15GM CREME</t>
  </si>
  <si>
    <t>FG05190</t>
  </si>
  <si>
    <t>D-CLAIR 0.025% 15GM CREME</t>
  </si>
  <si>
    <t>FG05191</t>
  </si>
  <si>
    <t>D-CLAIR PLUS 15GM CREME</t>
  </si>
  <si>
    <t>FG05192</t>
  </si>
  <si>
    <t>NATISPRAY 0.30MG 200DOSES (EO)</t>
  </si>
  <si>
    <t>FG05193</t>
  </si>
  <si>
    <t>RIFOCINE 500MG 2AMP IV (FR)</t>
  </si>
  <si>
    <t>FG05197</t>
  </si>
  <si>
    <t>PRED FORTE 1% COLLYRE 5ML (FR)</t>
  </si>
  <si>
    <t>FG05403</t>
  </si>
  <si>
    <t>NEGATOSCOPE ULTRA SLIM BRIGHT LED TWO SCREENML</t>
  </si>
  <si>
    <t>FG05404</t>
  </si>
  <si>
    <t>PARODONTAX GEL FLUOR 75ML (FR)</t>
  </si>
  <si>
    <t>FG05405</t>
  </si>
  <si>
    <t>PHENOBARBITAL *** 200MG *** B/10AMP (STEROP)</t>
  </si>
  <si>
    <t>FG05406</t>
  </si>
  <si>
    <t>PILOCARPINE 4% 15ML (GR)</t>
  </si>
  <si>
    <t>FG05407</t>
  </si>
  <si>
    <t>SENSODYNE MULTICARE 75ML</t>
  </si>
  <si>
    <t>FG05408</t>
  </si>
  <si>
    <t>SENSODYNE SOIN BLANC DENT.##</t>
  </si>
  <si>
    <t>FG05409</t>
  </si>
  <si>
    <t>SOPHTHL 0.1% COLLYRE 10ML (FR)</t>
  </si>
  <si>
    <t>FG05410</t>
  </si>
  <si>
    <t>TAMSULOSINE SDZ LP0,4MG 30 GELULS(FR)</t>
  </si>
  <si>
    <t>FG05411</t>
  </si>
  <si>
    <t>TENSIOMETRE A MERCURE B/1PCS G.F.</t>
  </si>
  <si>
    <t>FG05412</t>
  </si>
  <si>
    <t>VENTOLINE 2.5MG/2.5ML B/60 UNIDOSES</t>
  </si>
  <si>
    <t>FG05413</t>
  </si>
  <si>
    <t>VENTOLINE 5MG/2.5ML B/60 UNIDOSES</t>
  </si>
  <si>
    <t>FG05416</t>
  </si>
  <si>
    <t>ZWITSAL POUDRE DE TALC FLACON 100GR</t>
  </si>
  <si>
    <t>FG05417</t>
  </si>
  <si>
    <t>ZWITSAL 90G SAVON</t>
  </si>
  <si>
    <t>FG05422</t>
  </si>
  <si>
    <t>ZOVIRAX CREME DERM T/2G (FR)</t>
  </si>
  <si>
    <t>FG05563</t>
  </si>
  <si>
    <t>ZOVIRAX 5% CREAME DERMIQUE 2GR (FR)</t>
  </si>
  <si>
    <t>FG05567</t>
  </si>
  <si>
    <t>ZOLMITRIPTAN BIOGRAN 2.5MG B/6 CES</t>
  </si>
  <si>
    <t>FG05574</t>
  </si>
  <si>
    <t>ZOLEDRO DENK 4MG/5ML B/1AMP</t>
  </si>
  <si>
    <t>FG05578</t>
  </si>
  <si>
    <t>ZOCOR 40MG 28CES (FR)</t>
  </si>
  <si>
    <t>FG05645</t>
  </si>
  <si>
    <t>ZESTORETIC 28CES (FR)</t>
  </si>
  <si>
    <t>FG05663</t>
  </si>
  <si>
    <t>YASMINE 1X21CES(FR)</t>
  </si>
  <si>
    <t>FG05664</t>
  </si>
  <si>
    <t>XYLOCAINE 1% 20CC INJ B/1AMP (FR)</t>
  </si>
  <si>
    <t>FG05665</t>
  </si>
  <si>
    <t>XARELTO 10MG B/10 TAB</t>
  </si>
  <si>
    <t>FG05668</t>
  </si>
  <si>
    <t>XOLA (DORZOLAMIDE) COLLYRE 5ML</t>
  </si>
  <si>
    <t>FG05673</t>
  </si>
  <si>
    <t>XATRAL 2.5MG 30 CES</t>
  </si>
  <si>
    <t>FG06253</t>
  </si>
  <si>
    <t>KLOBAM 10MG (CLOBAZAM) B/10CES</t>
  </si>
  <si>
    <t>FG06673</t>
  </si>
  <si>
    <t>ZITA (AZITHROMYCINE 500MG) B/5 CES</t>
  </si>
  <si>
    <t>FG06679</t>
  </si>
  <si>
    <t>BISOPROLOL 5MG B/30CES</t>
  </si>
  <si>
    <t>FG06680</t>
  </si>
  <si>
    <t>ELECTRODOC ORANGE S.R.O 200ML</t>
  </si>
  <si>
    <t>FG06681</t>
  </si>
  <si>
    <t>SPASCOL (DROTAVERINE HYDR. &amp; PARA.) B/20 CES</t>
  </si>
  <si>
    <t>FG06682</t>
  </si>
  <si>
    <t>T V 17"</t>
  </si>
  <si>
    <t>FG06736</t>
  </si>
  <si>
    <t>ARAUCIP 10ML COLLYRE</t>
  </si>
  <si>
    <t>FG06756</t>
  </si>
  <si>
    <t>TRIKOF EXPECTORANT-ANTITUSSIF 200ML SIROP</t>
  </si>
  <si>
    <t>FG06757</t>
  </si>
  <si>
    <t>KIT D'ASPIRATION MANUELLE INTRA UTÉRINE (AMIU)</t>
  </si>
  <si>
    <t>FG06760</t>
  </si>
  <si>
    <t>INVERTER</t>
  </si>
  <si>
    <t>FG06764</t>
  </si>
  <si>
    <t>A-DEM SOAP 125MG</t>
  </si>
  <si>
    <t>FG06768</t>
  </si>
  <si>
    <t>BACTERI - URIN SYSTEM CHROM 20 TESTS</t>
  </si>
  <si>
    <t>FG06769</t>
  </si>
  <si>
    <t>BACTERI - PATHOGENIC SYSTEM AST 20 TESTS</t>
  </si>
  <si>
    <t>FG06770</t>
  </si>
  <si>
    <t>BACTERI - AF GENITAL SYSTEM 20 TESTS</t>
  </si>
  <si>
    <t>FG06771</t>
  </si>
  <si>
    <t>BACTERI - VASELINE OIL 4*50 ML</t>
  </si>
  <si>
    <t>FG06772</t>
  </si>
  <si>
    <t>BACTERI - VP NAOH REAGENT 100 TESTS</t>
  </si>
  <si>
    <t>FG06773</t>
  </si>
  <si>
    <t>BACTERI - KOVAC'S REAGENT 4*25 ML</t>
  </si>
  <si>
    <t>FG06774</t>
  </si>
  <si>
    <t>KANDATE 5MG CES</t>
  </si>
  <si>
    <t>FG06775</t>
  </si>
  <si>
    <t>CROSSCAL (CALCIUM AND VIT D3) 250MG 250UI 200ML</t>
  </si>
  <si>
    <t>FG06795</t>
  </si>
  <si>
    <t>LAMOTRIGINE RELONCHEM 100MG B/56 TAB</t>
  </si>
  <si>
    <t>FG06796</t>
  </si>
  <si>
    <t>KOZIC 75GM SAVON</t>
  </si>
  <si>
    <t>FG06797</t>
  </si>
  <si>
    <t>MELOMINE 30GM CREAM</t>
  </si>
  <si>
    <t>FG06798</t>
  </si>
  <si>
    <t>TALOHEAL 60GM CREAM</t>
  </si>
  <si>
    <t>FG06799</t>
  </si>
  <si>
    <t>EREGRA FORTE (SILDENAFIL &amp; DAPOXETINE) B/4 CES</t>
  </si>
  <si>
    <t>FG06813</t>
  </si>
  <si>
    <t>STOPTOUX PASTILLES B/50 PL</t>
  </si>
  <si>
    <t>FG06814</t>
  </si>
  <si>
    <t>OFCINE (OFLOXACINE 200MG/100ML) 100ML INF</t>
  </si>
  <si>
    <t>FG06837</t>
  </si>
  <si>
    <t>KIFARU FROCE (SILDENAFIL + DAPOX.) 100/60 B/4CES</t>
  </si>
  <si>
    <t>FG06838</t>
  </si>
  <si>
    <t>KIFARU FROCE (SILDENAFIL + DAPOXE.) 50/30 B/4CES</t>
  </si>
  <si>
    <t>FG06839</t>
  </si>
  <si>
    <t>CAMERA</t>
  </si>
  <si>
    <t>FG06890</t>
  </si>
  <si>
    <t>APEXIME 500MG B/3CES (FR)</t>
  </si>
  <si>
    <t>FG06891</t>
  </si>
  <si>
    <t>APEXIME 15ML SUSP (FR)</t>
  </si>
  <si>
    <t>FG06895</t>
  </si>
  <si>
    <t>PARACATO (PARACETAMOL 100ML INFUSION)</t>
  </si>
  <si>
    <t>FG06896</t>
  </si>
  <si>
    <t>SCOTCH RUBAN ADHÉSIF</t>
  </si>
  <si>
    <t>FG06897</t>
  </si>
  <si>
    <t>ENVELOPPE A4 - P/50 PC</t>
  </si>
  <si>
    <t>FG06898</t>
  </si>
  <si>
    <t>MARQUEUR INDELEBILE</t>
  </si>
  <si>
    <t>FG06941</t>
  </si>
  <si>
    <t>PRIMALAN SIROP 125ML (FR)</t>
  </si>
  <si>
    <t>FG06942</t>
  </si>
  <si>
    <t>UNADOL COLD &amp; FLU DAY B/24 CES</t>
  </si>
  <si>
    <t>FG06943</t>
  </si>
  <si>
    <t>UNADOL EXTRA B/24 CES</t>
  </si>
  <si>
    <t>FG06944</t>
  </si>
  <si>
    <t>UNADOL ALL IN ONE B/20 GELULES</t>
  </si>
  <si>
    <t>FG06945</t>
  </si>
  <si>
    <t>UNADOL JOINT B/20 CES</t>
  </si>
  <si>
    <t>FG06955</t>
  </si>
  <si>
    <t>CHLOROMBYL GEL 20G</t>
  </si>
  <si>
    <t>FG06966</t>
  </si>
  <si>
    <t>PERINAM DENK 4/10 MG B/30 CES</t>
  </si>
  <si>
    <t>FG06973</t>
  </si>
  <si>
    <t>ENDROIDE (ANTI-HEMORROIDAIRE) CREME 20G</t>
  </si>
  <si>
    <t>FG06974</t>
  </si>
  <si>
    <t>PIVIDOC-ER B/10 CES</t>
  </si>
  <si>
    <t>FG06980</t>
  </si>
  <si>
    <t>ALCAEX (CITRATE D'HYDROGENE DISODIQUE) 200ML SIROP</t>
  </si>
  <si>
    <t>FG06983</t>
  </si>
  <si>
    <t>FOSCIN (FOSFOMYCNIE TROMETAMOL) B/1X8G SACHETS</t>
  </si>
  <si>
    <t>FG06996</t>
  </si>
  <si>
    <t>LECITZIN DT 5MG B/10 CES</t>
  </si>
  <si>
    <t>FG06999</t>
  </si>
  <si>
    <t>LECITZIN - M B/10 CES</t>
  </si>
  <si>
    <t>FG07000</t>
  </si>
  <si>
    <t>ROX-C (CEFUROXIME) 750MG I.M/I.V INJ</t>
  </si>
  <si>
    <t>FG07001</t>
  </si>
  <si>
    <t>TAMSULEX-D B/30 CES</t>
  </si>
  <si>
    <t>FG07002</t>
  </si>
  <si>
    <t>TAMSULEX (TAMSULOSINE 0.4MG) B/30 CES</t>
  </si>
  <si>
    <t>FG07005</t>
  </si>
  <si>
    <t>MEBENDA (MEBENDAZOEL) 500MG B/1CES</t>
  </si>
  <si>
    <t>FG07006</t>
  </si>
  <si>
    <t>MISSPRO (MISOPTOL 200MCG) B/4 CES</t>
  </si>
  <si>
    <t>FG07009</t>
  </si>
  <si>
    <t>SCOTCH 1 CT</t>
  </si>
  <si>
    <t>FG07010</t>
  </si>
  <si>
    <t>ALPRAZOLAM BIOGARAN 0.50MG B/30 CES (FR)</t>
  </si>
  <si>
    <t>FG07011</t>
  </si>
  <si>
    <t>CEFINIR 300GM B/10CES</t>
  </si>
  <si>
    <t>FG07012</t>
  </si>
  <si>
    <t>FEMOCID 20MG INJ</t>
  </si>
  <si>
    <t>FG07014</t>
  </si>
  <si>
    <t>ZINNAT 500MG 20CES (FR)</t>
  </si>
  <si>
    <t>FG07052</t>
  </si>
  <si>
    <t>DAKIKA TATU B/100 CES</t>
  </si>
  <si>
    <t>FG07138</t>
  </si>
  <si>
    <t>A4 SIZE PAPER 1CT</t>
  </si>
  <si>
    <t>FG07139</t>
  </si>
  <si>
    <t>ANSE DE PLATINE PC</t>
  </si>
  <si>
    <t>FG07142</t>
  </si>
  <si>
    <t>BACTOL SAVON 200GM</t>
  </si>
  <si>
    <t>FG07143</t>
  </si>
  <si>
    <t>BACTOL SAVON 80GM</t>
  </si>
  <si>
    <t>FG07149</t>
  </si>
  <si>
    <t>SUMAMOUSSE DETERGENT MULTI-USAGES 5L</t>
  </si>
  <si>
    <t>FG07165</t>
  </si>
  <si>
    <t>VIM</t>
  </si>
  <si>
    <t>FG07188</t>
  </si>
  <si>
    <t>TRAMADOL B/10AMP</t>
  </si>
  <si>
    <t>FG07189</t>
  </si>
  <si>
    <t>PERINAM DENK 8/10MG B/30 CES</t>
  </si>
  <si>
    <t>FG07190</t>
  </si>
  <si>
    <t>VILDA DENK 50 B/28 CES</t>
  </si>
  <si>
    <t>FG07200</t>
  </si>
  <si>
    <t>TRIBEM (VITAMINE B1+B6+B12 ) B/30 CES</t>
  </si>
  <si>
    <t>FG07204</t>
  </si>
  <si>
    <t>ARAUCOF-N SIROP 100ML SIROP</t>
  </si>
  <si>
    <t>FG07205</t>
  </si>
  <si>
    <t>ARAUCOF-E SIROP 100ML SIROP</t>
  </si>
  <si>
    <t>FG07206</t>
  </si>
  <si>
    <t>HAEMBANK 200ML SIROP</t>
  </si>
  <si>
    <t>FG07252</t>
  </si>
  <si>
    <t>OMIX LP 0.4MG 30 GELULES (FR)</t>
  </si>
  <si>
    <t>FG07264</t>
  </si>
  <si>
    <t>NOTROFIT (PIRACETAM) 1G/5ML INJ B/12 AMP***</t>
  </si>
  <si>
    <t>FG07366</t>
  </si>
  <si>
    <t>PROMILASE SP 150ML</t>
  </si>
  <si>
    <t>FG07380</t>
  </si>
  <si>
    <t>FRANCE LAIT 0-6MOIS</t>
  </si>
  <si>
    <t>FG07381</t>
  </si>
  <si>
    <t>FRANCE LAIT PRE 400G</t>
  </si>
  <si>
    <t>FG07385</t>
  </si>
  <si>
    <t>CALCULATOR</t>
  </si>
  <si>
    <t>FG07388</t>
  </si>
  <si>
    <t>NORADRENALINE B/1 AMP</t>
  </si>
  <si>
    <t>FG07389</t>
  </si>
  <si>
    <t>TOISE MURAL</t>
  </si>
  <si>
    <t>FG07390</t>
  </si>
  <si>
    <t>MOTRIVIT (VITAMIN B1+B6+B12) 100ML SP</t>
  </si>
  <si>
    <t>FG07396</t>
  </si>
  <si>
    <t>FLOSEIN 0.05% 3 ML GOUTTE</t>
  </si>
  <si>
    <t>FG07408</t>
  </si>
  <si>
    <t>MENGA (HERBACEE 5% DE L'EXTRAIT) 200MG SP</t>
  </si>
  <si>
    <t>FG07434</t>
  </si>
  <si>
    <t>ECLAMPINE 10ML-B/5AMP</t>
  </si>
  <si>
    <t>FG07435</t>
  </si>
  <si>
    <t>ALCOOL DENATURE 100ML</t>
  </si>
  <si>
    <t>FG07436</t>
  </si>
  <si>
    <t>ALCOOL DINATURE BIDON DE 5 LITRE</t>
  </si>
  <si>
    <t>FG07437</t>
  </si>
  <si>
    <t>ALCOOL IODE BIDON DE 5 LITRE</t>
  </si>
  <si>
    <t>FG07438</t>
  </si>
  <si>
    <t>ALCOOL SPRAY 100ML</t>
  </si>
  <si>
    <t>FG07439</t>
  </si>
  <si>
    <t>ALSHEA 250GM CREAM</t>
  </si>
  <si>
    <t>FG07440</t>
  </si>
  <si>
    <t>ALUGEL PLUS (ANTIACID) 200ML SIROP</t>
  </si>
  <si>
    <t>FG07441</t>
  </si>
  <si>
    <t>ALVEONEM 1GM INJ</t>
  </si>
  <si>
    <t>FG07442</t>
  </si>
  <si>
    <t>ALVITYL 30CES EFF (FR)</t>
  </si>
  <si>
    <t>FG07443</t>
  </si>
  <si>
    <t>AMIDOL FEMME TAB 500/20MG 1X10T</t>
  </si>
  <si>
    <t>FG07444</t>
  </si>
  <si>
    <t>AMIDOL GRIP SACHET 1X8</t>
  </si>
  <si>
    <t>FG07445</t>
  </si>
  <si>
    <t>AMIDOL RHUME &amp; GRIPE B/25CES</t>
  </si>
  <si>
    <t>FG07446</t>
  </si>
  <si>
    <t>AMLOTEN -- 10MG -- B/30 CAP 1BT</t>
  </si>
  <si>
    <t>FG07447</t>
  </si>
  <si>
    <t>AMLOTEN -- 5MG-- B/30 CAP 1BT</t>
  </si>
  <si>
    <t>FG07448</t>
  </si>
  <si>
    <t>AMOXICILLINE BIOGARAN 125MG PDR SUSP</t>
  </si>
  <si>
    <t>FG07449</t>
  </si>
  <si>
    <t>AMOXICILLINE BIOGARAN 1GR 14CES DISP</t>
  </si>
  <si>
    <t>FG07450</t>
  </si>
  <si>
    <t>AMOXICILLINE BIOGARAN 250MG PDR SUSP</t>
  </si>
  <si>
    <t>FG07451</t>
  </si>
  <si>
    <t>AMVA DENK 5MG/160MG CES B/28 ( FR )</t>
  </si>
  <si>
    <t>FG07452</t>
  </si>
  <si>
    <t>ANESTHESIE DENATAIRE B/50 AMP</t>
  </si>
  <si>
    <t>FG07453</t>
  </si>
  <si>
    <t>ANT 30GM CREME</t>
  </si>
  <si>
    <t>FG07454</t>
  </si>
  <si>
    <t>ANTI - RABBIES FREEZE DRIED VACCINES</t>
  </si>
  <si>
    <t>FG07455</t>
  </si>
  <si>
    <t>ANTI-B KIT 1BT</t>
  </si>
  <si>
    <t>FG07456</t>
  </si>
  <si>
    <t>ANUSOL 18 SUPPOS (IMPORTE)</t>
  </si>
  <si>
    <t>FG07457</t>
  </si>
  <si>
    <t>ARAUCOLD 100L SP</t>
  </si>
  <si>
    <t>FG07458</t>
  </si>
  <si>
    <t>ARO BB POMMADE 40GM</t>
  </si>
  <si>
    <t>FG07459</t>
  </si>
  <si>
    <t>ARODERME SAVON BEBE 75GM</t>
  </si>
  <si>
    <t>FG07460</t>
  </si>
  <si>
    <t>AROXIM OX B/10 CES 1BT</t>
  </si>
  <si>
    <t>FG07461</t>
  </si>
  <si>
    <t>ARTANE 5MG 50CES(FR)</t>
  </si>
  <si>
    <t>FG07462</t>
  </si>
  <si>
    <t>ARTEMED 150MG INJ</t>
  </si>
  <si>
    <t>FG07463</t>
  </si>
  <si>
    <t>ARTE--PED ADULTE B/6 CES 1BT</t>
  </si>
  <si>
    <t>FG07464</t>
  </si>
  <si>
    <t>ARTESET AD BT/4CES 1BT</t>
  </si>
  <si>
    <t>FG07465</t>
  </si>
  <si>
    <t>ARTE-TAB CES B/6</t>
  </si>
  <si>
    <t>FG07466</t>
  </si>
  <si>
    <t>ARTHRO ACTIVE DENK .. BTE/14SACH</t>
  </si>
  <si>
    <t>FG07467</t>
  </si>
  <si>
    <t>AUGMACILLINE 200/28.5MG SUSP</t>
  </si>
  <si>
    <t>FG07468</t>
  </si>
  <si>
    <t>AUGMENTIN 875MG 10CES</t>
  </si>
  <si>
    <t>FG07469</t>
  </si>
  <si>
    <t>AUVAX 10MG B/20CES</t>
  </si>
  <si>
    <t>FG07470</t>
  </si>
  <si>
    <t>AZIRAM 100 MG SUSP 30</t>
  </si>
  <si>
    <t>FG07471</t>
  </si>
  <si>
    <t>AZISIF ( AZITHROMYCINE ) 30ML SP</t>
  </si>
  <si>
    <t>FG07472</t>
  </si>
  <si>
    <t>AZISIF 500MG B/3 CES 1BT</t>
  </si>
  <si>
    <t>FG07473</t>
  </si>
  <si>
    <t>AZITHRO-DENK 250MG B/6CES</t>
  </si>
  <si>
    <t>FG07474</t>
  </si>
  <si>
    <t>AZITHRO-DENK 250MG B/6CES *****</t>
  </si>
  <si>
    <t>FG07475</t>
  </si>
  <si>
    <t>AZITHRO-DENK 500 B/ 3 CES</t>
  </si>
  <si>
    <t>FG07476</t>
  </si>
  <si>
    <t>BACILUS PREBIOTIC &amp; PROBIOTIC SCH B/10</t>
  </si>
  <si>
    <t>FG07477</t>
  </si>
  <si>
    <t>BACTRIM 480MG 5ML ING AMP B/1 (FR)</t>
  </si>
  <si>
    <t>FG07478</t>
  </si>
  <si>
    <t>BANDELET ACCU CHEK ACTIVE B/50 PS</t>
  </si>
  <si>
    <t>FG07479</t>
  </si>
  <si>
    <t>BANDELET GLUCO PLUS B/50 STRIPS</t>
  </si>
  <si>
    <t>FG07480</t>
  </si>
  <si>
    <t>BANDELET ONE TOOUCH SELECT PLUS B/50 STRIPS</t>
  </si>
  <si>
    <t>FG07481</t>
  </si>
  <si>
    <t>BANDELETTE CONTOUR PLUS B/50</t>
  </si>
  <si>
    <t>FG07482</t>
  </si>
  <si>
    <t>BAUME DE NERF 38GM PETIT</t>
  </si>
  <si>
    <t>FG07483</t>
  </si>
  <si>
    <t>BECODERM POUDRE 100GR</t>
  </si>
  <si>
    <t>FG07484</t>
  </si>
  <si>
    <t>BEFACT 5MG 30DRG</t>
  </si>
  <si>
    <t>FG07485</t>
  </si>
  <si>
    <t>BEPANTHEN CREAME 50ML (FR)</t>
  </si>
  <si>
    <t>FG07486</t>
  </si>
  <si>
    <t>BEPANTHENE. CREME 30GR</t>
  </si>
  <si>
    <t>FG07487</t>
  </si>
  <si>
    <t>BI PROFENID 150MG B/30 CES</t>
  </si>
  <si>
    <t>FG07488</t>
  </si>
  <si>
    <t>BURINEX 5MG 20CES</t>
  </si>
  <si>
    <t>FG07489</t>
  </si>
  <si>
    <t>BURNOX CREME 30GR</t>
  </si>
  <si>
    <t>FG07490</t>
  </si>
  <si>
    <t>BUSCOPAN B/10 X10 CES</t>
  </si>
  <si>
    <t>FG07491</t>
  </si>
  <si>
    <t>CABLINE 0.5MG B/8 CES</t>
  </si>
  <si>
    <t>FG07492</t>
  </si>
  <si>
    <t>CALBON 15 CES 1BT</t>
  </si>
  <si>
    <t>FG07493</t>
  </si>
  <si>
    <t>CALVID SP</t>
  </si>
  <si>
    <t>FG07494</t>
  </si>
  <si>
    <t>CANESTENE 6CES VAG.100MG (FR)</t>
  </si>
  <si>
    <t>FG07495</t>
  </si>
  <si>
    <t>CANESTENE CREME 15GR(FR)</t>
  </si>
  <si>
    <t>FG07496</t>
  </si>
  <si>
    <t>CAPTOPRIL DENK 25MG B/10 X 10 CES</t>
  </si>
  <si>
    <t>FG07497</t>
  </si>
  <si>
    <t>CARVEDILOL 25MG 56CES</t>
  </si>
  <si>
    <t>FG07498</t>
  </si>
  <si>
    <t>CEFALEXIN 125MG SP 1FL</t>
  </si>
  <si>
    <t>FG07499</t>
  </si>
  <si>
    <t>CEFALEXIN 250 MG SP 1FL</t>
  </si>
  <si>
    <t>FG07500</t>
  </si>
  <si>
    <t>CEFALEXIN 500MG B/10 X 10 CAPS</t>
  </si>
  <si>
    <t>FG07501</t>
  </si>
  <si>
    <t>CEFEX 1GR INJ</t>
  </si>
  <si>
    <t>FG07502</t>
  </si>
  <si>
    <t>CEFIXIME BIOGARAN 200MG CES</t>
  </si>
  <si>
    <t>FG07503</t>
  </si>
  <si>
    <t>CEFPQUE 100MG/5ML ( CEFPODOXIME) SUSP. ORALE 100ML</t>
  </si>
  <si>
    <t>FG07504</t>
  </si>
  <si>
    <t>CELEXON GOUTE 30ML 1FL</t>
  </si>
  <si>
    <t>FG07505</t>
  </si>
  <si>
    <t>CEPRA-S PLUS 0.50MG</t>
  </si>
  <si>
    <t>FG07506</t>
  </si>
  <si>
    <t>CEPSHAL DS SUSP 125MG 60ML</t>
  </si>
  <si>
    <t>FG07507</t>
  </si>
  <si>
    <t>CESACAL EFFE B/20</t>
  </si>
  <si>
    <t>FG07508</t>
  </si>
  <si>
    <t>CESAVERT 16MG 1X10 CES</t>
  </si>
  <si>
    <t>FG07509</t>
  </si>
  <si>
    <t>CESAVERT 24MG 1X10 CES</t>
  </si>
  <si>
    <t>FG07510</t>
  </si>
  <si>
    <t>CHONDROGEN CES B/20</t>
  </si>
  <si>
    <t>FG07511</t>
  </si>
  <si>
    <t>CICATRYL POM SACH 2G B/14 (FR)</t>
  </si>
  <si>
    <t>FG07512</t>
  </si>
  <si>
    <t>CLIPIMOR 10MG B/30CES</t>
  </si>
  <si>
    <t>FG07513</t>
  </si>
  <si>
    <t>CLOGREL - 75MG B/30 CES 1BT</t>
  </si>
  <si>
    <t>FG07514</t>
  </si>
  <si>
    <t>CLOTSFINE 30GM CREME</t>
  </si>
  <si>
    <t>FG07515</t>
  </si>
  <si>
    <t>CLOZIDERM LOTION 30ML</t>
  </si>
  <si>
    <t>FG07516</t>
  </si>
  <si>
    <t>COLDRIL 100ML SP</t>
  </si>
  <si>
    <t>FG07517</t>
  </si>
  <si>
    <t>COLDRIL CAPS B/20</t>
  </si>
  <si>
    <t>FG07518</t>
  </si>
  <si>
    <t>CONCOR 10MG 28CES( FR)</t>
  </si>
  <si>
    <t>FG07519</t>
  </si>
  <si>
    <t>CONCOR 5MG 28CES (EO)</t>
  </si>
  <si>
    <t>FG07520</t>
  </si>
  <si>
    <t>CONTOUR PLUS APPAREL</t>
  </si>
  <si>
    <t>FG07521</t>
  </si>
  <si>
    <t>CONTOUR TS</t>
  </si>
  <si>
    <t>FG07522</t>
  </si>
  <si>
    <t>CONTRA 1.5MG B/1 CES</t>
  </si>
  <si>
    <t>FG07523</t>
  </si>
  <si>
    <t>CONTRAMAL IM-IV 10AMP 100MG 2ML (EO)</t>
  </si>
  <si>
    <t>FG07524</t>
  </si>
  <si>
    <t>CORSODYL BAIN DE BOUCHE 200ML</t>
  </si>
  <si>
    <t>FG07525</t>
  </si>
  <si>
    <t>COXIPAIN 90MG (1X10 CES)</t>
  </si>
  <si>
    <t>FG07526</t>
  </si>
  <si>
    <t>CYPLA -4 10X10 CES 1BT</t>
  </si>
  <si>
    <t>FG07527</t>
  </si>
  <si>
    <t>CYPLA- 4 SP 100ML 1FL</t>
  </si>
  <si>
    <t>FG07528</t>
  </si>
  <si>
    <t>CYPRO TZ B/10CES</t>
  </si>
  <si>
    <t>FG07529</t>
  </si>
  <si>
    <t>CYSTONE B/30CES</t>
  </si>
  <si>
    <t>FG07530</t>
  </si>
  <si>
    <t>D3 ACTIVE DENK B/100CES</t>
  </si>
  <si>
    <t>FG07531</t>
  </si>
  <si>
    <t>DAFALGAN FORTE 1GR EFF B/40CES(FR)</t>
  </si>
  <si>
    <t>FG07532</t>
  </si>
  <si>
    <t>DAWAKOF 100ML SP 1FL</t>
  </si>
  <si>
    <t>FG07533</t>
  </si>
  <si>
    <t>DECAVITYL 200 ML SIROP</t>
  </si>
  <si>
    <t>FG07534</t>
  </si>
  <si>
    <t>DETTOL LIQUID 250ML</t>
  </si>
  <si>
    <t>FG07535</t>
  </si>
  <si>
    <t>DETTOL LIQUIDE 750 ML</t>
  </si>
  <si>
    <t>FG07536</t>
  </si>
  <si>
    <t>DEZOLIN 0.5MG/ML ORAL SOLU</t>
  </si>
  <si>
    <t>FG07537</t>
  </si>
  <si>
    <t>DEZOLIN 5MG B/10 TAB</t>
  </si>
  <si>
    <t>FG07538</t>
  </si>
  <si>
    <t>DICLO DENK 50MG B/ 10 X 10 CES</t>
  </si>
  <si>
    <t>FG07539</t>
  </si>
  <si>
    <t>DICLO PHARMA 75MG/3ML INJ 6AMP</t>
  </si>
  <si>
    <t>FG07540</t>
  </si>
  <si>
    <t>DICLO PHARMA5 100MG 10SUPPOS</t>
  </si>
  <si>
    <t>FG07541</t>
  </si>
  <si>
    <t>DIMESULID B/10CES</t>
  </si>
  <si>
    <t>FG07542</t>
  </si>
  <si>
    <t>DOLAREN PLUS** GEL CREME 30GR**</t>
  </si>
  <si>
    <t>FG07543</t>
  </si>
  <si>
    <t>DOLASIF 30GR CREAM</t>
  </si>
  <si>
    <t>FG07544</t>
  </si>
  <si>
    <t>DOPAMINE 200MG INJ B/1AMP ***</t>
  </si>
  <si>
    <t>FG07545</t>
  </si>
  <si>
    <t>DOXY ***** DENK 200 B/8 CES ******</t>
  </si>
  <si>
    <t>FG07546</t>
  </si>
  <si>
    <t>DUFAGEL 15ML SACHET B/20</t>
  </si>
  <si>
    <t>FG07547</t>
  </si>
  <si>
    <t>EMLA CREME 5% TB 5GR (EO)</t>
  </si>
  <si>
    <t>FG07548</t>
  </si>
  <si>
    <t>ERYTHROMYCINE 250MG 10 X 10 CES</t>
  </si>
  <si>
    <t>FG07549</t>
  </si>
  <si>
    <t>ESMODOM (OMEPRAZOLE) B/10CAPS</t>
  </si>
  <si>
    <t>FG07550</t>
  </si>
  <si>
    <t>ESTOMAGEL ( ANTI ACID ) 150ML</t>
  </si>
  <si>
    <t>FG07551</t>
  </si>
  <si>
    <t>EXOFEN POUDRE SILICONEE T/160GR MEDICAL</t>
  </si>
  <si>
    <t>FG07552</t>
  </si>
  <si>
    <t>EXOZOL -- PLUS 30GM CREME</t>
  </si>
  <si>
    <t>FG07553</t>
  </si>
  <si>
    <t>EXOZOL CREME 30GR</t>
  </si>
  <si>
    <t>FG07554</t>
  </si>
  <si>
    <t>EXOZOL PLUS 50GM TUBE</t>
  </si>
  <si>
    <t>FG07555</t>
  </si>
  <si>
    <t>EXOZOL POUDRE 75GR</t>
  </si>
  <si>
    <t>FG07556</t>
  </si>
  <si>
    <t>EXOZOL SAVON 100GM</t>
  </si>
  <si>
    <t>FG07557</t>
  </si>
  <si>
    <t>FENISTIL GEL T/30G (FR)</t>
  </si>
  <si>
    <t>FG07558</t>
  </si>
  <si>
    <t>FENTANYL 0.05MG/2ML B/10 AMP (EO)</t>
  </si>
  <si>
    <t>FG07559</t>
  </si>
  <si>
    <t>FERROMIX ORALE SP FL/120ML</t>
  </si>
  <si>
    <t>FG07560</t>
  </si>
  <si>
    <t>FERTILO FORTE CAPS B/60</t>
  </si>
  <si>
    <t>FG07561</t>
  </si>
  <si>
    <t>FETON 200ML SP 1FL</t>
  </si>
  <si>
    <t>FG07562</t>
  </si>
  <si>
    <t>FETON B/30 CAP 1BT</t>
  </si>
  <si>
    <t>FG07563</t>
  </si>
  <si>
    <t>FIMAZOL SPARY 10ML</t>
  </si>
  <si>
    <t>FG07564</t>
  </si>
  <si>
    <t>FINOTRIP B/10CES</t>
  </si>
  <si>
    <t>FG07565</t>
  </si>
  <si>
    <t>FIXALEN (CEFIXIME) 60ML SUSP</t>
  </si>
  <si>
    <t>FG07566</t>
  </si>
  <si>
    <t>FORXIGA 10MG B/28 CES (E.O)</t>
  </si>
  <si>
    <t>FG07567</t>
  </si>
  <si>
    <t>FOSCIN 3G SACHET</t>
  </si>
  <si>
    <t>FG07568</t>
  </si>
  <si>
    <t>FULL FORCE 100MG 4CES</t>
  </si>
  <si>
    <t>FG07569</t>
  </si>
  <si>
    <t>FULL FORCE 100MG GEL</t>
  </si>
  <si>
    <t>FG07570</t>
  </si>
  <si>
    <t>FULL FORCE 50MG 4CES</t>
  </si>
  <si>
    <t>FG07571</t>
  </si>
  <si>
    <t>GANVIR ( GANCICLOVIR 0.15% ) COLLYRE /GEL 10GM</t>
  </si>
  <si>
    <t>FG07572</t>
  </si>
  <si>
    <t>GERMOL LIQUID 250 ML</t>
  </si>
  <si>
    <t>FG07573</t>
  </si>
  <si>
    <t>GERMOL LIQUID 500ML</t>
  </si>
  <si>
    <t>FG07574</t>
  </si>
  <si>
    <t>GERMOL LIQUID FL/1000ML</t>
  </si>
  <si>
    <t>FG07575</t>
  </si>
  <si>
    <t>GERMOL SAVON 75GR.(PF)</t>
  </si>
  <si>
    <t>FG07576</t>
  </si>
  <si>
    <t>GLUCOMET FORTE B/30CES</t>
  </si>
  <si>
    <t>FG07577</t>
  </si>
  <si>
    <t>GLUCONIL -G B/30CES 1BT</t>
  </si>
  <si>
    <t>FG07578</t>
  </si>
  <si>
    <t>GOOD MORNIG CES 1BT</t>
  </si>
  <si>
    <t>FG07579</t>
  </si>
  <si>
    <t>GOOD MORNIG SIROP 50ML</t>
  </si>
  <si>
    <t>FG07580</t>
  </si>
  <si>
    <t>GUAFLEX SP</t>
  </si>
  <si>
    <t>FG07581</t>
  </si>
  <si>
    <t>HEMOPLA CAP B/60</t>
  </si>
  <si>
    <t>FG07582</t>
  </si>
  <si>
    <t>HEMOPLA TUBE 30GM 1PCS</t>
  </si>
  <si>
    <t>FG07583</t>
  </si>
  <si>
    <t>HEMOREX PLUS 30G CREAM</t>
  </si>
  <si>
    <t>FG07584</t>
  </si>
  <si>
    <t>HYDRALIN GYN SOLUTION VAG.SOL FL/200ML ( F.R )</t>
  </si>
  <si>
    <t>FG07585</t>
  </si>
  <si>
    <t>HYSTEN 0.3% 10ML COLLYER</t>
  </si>
  <si>
    <t>FG07586</t>
  </si>
  <si>
    <t>IBUCAP FORT 10 X 10CAPS</t>
  </si>
  <si>
    <t>FG07587</t>
  </si>
  <si>
    <t>IBUPROFEN DENK 400MG B/ 10 X 10 CES</t>
  </si>
  <si>
    <t>FG07588</t>
  </si>
  <si>
    <t>IMMUN-DENK ACTIVE B/20 SACHET</t>
  </si>
  <si>
    <t>FG07589</t>
  </si>
  <si>
    <t>IMMUNE PLANET EFF. B/10</t>
  </si>
  <si>
    <t>FG07590</t>
  </si>
  <si>
    <t>IMODIUM INSTANT (FR)</t>
  </si>
  <si>
    <t>FG07591</t>
  </si>
  <si>
    <t>INDOCID 100MG SUPPO B/10 (FR)</t>
  </si>
  <si>
    <t>FG07592</t>
  </si>
  <si>
    <t>INDONIQUE B/10SUPPOS (UNIQUE)</t>
  </si>
  <si>
    <t>FG07593</t>
  </si>
  <si>
    <t>KETAZOLE LOTION 30 ML</t>
  </si>
  <si>
    <t>FG07594</t>
  </si>
  <si>
    <t>KIPTAR KIT (1 X 4 CES )</t>
  </si>
  <si>
    <t>FG07595</t>
  </si>
  <si>
    <t>KLAMOBAC 125MG/5ML</t>
  </si>
  <si>
    <t>FG07596</t>
  </si>
  <si>
    <t>KLAMOBAC 250MG / 5ML</t>
  </si>
  <si>
    <t>FG07597</t>
  </si>
  <si>
    <t>KOFFGO 100ML SP 1FL</t>
  </si>
  <si>
    <t>FG07598</t>
  </si>
  <si>
    <t>KOFLYN 100ML SP ***</t>
  </si>
  <si>
    <t>FG07599</t>
  </si>
  <si>
    <t>KOFSIL 100ML SP 1FL</t>
  </si>
  <si>
    <t>FG07600</t>
  </si>
  <si>
    <t>KOFSIL PASTILS B/20X6 1BT</t>
  </si>
  <si>
    <t>FG07601</t>
  </si>
  <si>
    <t>KOPAZIL 150ML SP</t>
  </si>
  <si>
    <t>FG07602</t>
  </si>
  <si>
    <t>L ACTIVE DENK B/100 CES ( EUP )</t>
  </si>
  <si>
    <t>FG07603</t>
  </si>
  <si>
    <t>LACTACYD SOIN INTIME 400ML</t>
  </si>
  <si>
    <t>FG07604</t>
  </si>
  <si>
    <t>LACTOLASE LIQUIED 100ML</t>
  </si>
  <si>
    <t>FG07605</t>
  </si>
  <si>
    <t>LANTUS SOLOSTAR 100UI/ML 1STYLOS (FR)</t>
  </si>
  <si>
    <t>FG07606</t>
  </si>
  <si>
    <t>LARGACTIL 25MG INJ BT/10AMP ( FR )</t>
  </si>
  <si>
    <t>FG07607</t>
  </si>
  <si>
    <t>L-CARNITINE PLUS 1000MG/50MG CES B/20</t>
  </si>
  <si>
    <t>FG07608</t>
  </si>
  <si>
    <t>LEMONTIN B/10CES ( MONTELUKAST &amp; LEVOCETRIZINE )</t>
  </si>
  <si>
    <t>FG07609</t>
  </si>
  <si>
    <t>LEMONTIN ENF SYRP ( MONTELUKAST &amp; LEVOCETRIZINE )</t>
  </si>
  <si>
    <t>FG07610</t>
  </si>
  <si>
    <t>LEMONTIN JUNIOR B/10CES</t>
  </si>
  <si>
    <t>FG07611</t>
  </si>
  <si>
    <t>LEVOFLOXACINE 500MG B/10CES</t>
  </si>
  <si>
    <t>FG07612</t>
  </si>
  <si>
    <t>LIBIDO LADY DENK B/30CES</t>
  </si>
  <si>
    <t>FG07613</t>
  </si>
  <si>
    <t>LOSA-CARD 50MG B/30CES 1BT</t>
  </si>
  <si>
    <t>FG07614</t>
  </si>
  <si>
    <t>LOSACARD -H B/30CES 1BT</t>
  </si>
  <si>
    <t>FG07615</t>
  </si>
  <si>
    <t>LUAGRA ( SILDENAFIL ) SACHET</t>
  </si>
  <si>
    <t>FG07616</t>
  </si>
  <si>
    <t>LUAGRA B/2CES</t>
  </si>
  <si>
    <t>FG07617</t>
  </si>
  <si>
    <t>LUMART ADULTE B/6CES ( KIM )</t>
  </si>
  <si>
    <t>FG07618</t>
  </si>
  <si>
    <t>LUMART - E B/12 CES ( KIM )</t>
  </si>
  <si>
    <t>FG07619</t>
  </si>
  <si>
    <t>LUMEART 80/480 B/6CES</t>
  </si>
  <si>
    <t>FG07620</t>
  </si>
  <si>
    <t>LYRICA 75 MG B/56GELULES(FR)</t>
  </si>
  <si>
    <t>FG07621</t>
  </si>
  <si>
    <t>MADECASSOL ONGT 1% CREME TUBE $ 10GR # (E.O.)</t>
  </si>
  <si>
    <t>FG07622</t>
  </si>
  <si>
    <t>MADECASSOL ONGT 1% CREME TUBE $$$$ 10GR ### (E.O.)</t>
  </si>
  <si>
    <t>FG07623</t>
  </si>
  <si>
    <t>MAGNES ACTIVE DENK B/30 SACHET</t>
  </si>
  <si>
    <t>FG07624</t>
  </si>
  <si>
    <t>MAGNES DIRECT DENK B/30 STICKS (FR) *****</t>
  </si>
  <si>
    <t>FG07625</t>
  </si>
  <si>
    <t>MEBENDAZOLE 100MG B/25X6 CES</t>
  </si>
  <si>
    <t>FG07626</t>
  </si>
  <si>
    <t>MEFTAL FORTE B/2X10CES</t>
  </si>
  <si>
    <t>FG07627</t>
  </si>
  <si>
    <t>MEGAFFIN LIQIUD PARAFEN 225ML</t>
  </si>
  <si>
    <t>FG07628</t>
  </si>
  <si>
    <t>MEOFLOX 60ML SP 1FL</t>
  </si>
  <si>
    <t>FG07629</t>
  </si>
  <si>
    <t>MEOFLOX B/10CES 1BT</t>
  </si>
  <si>
    <t>FG07630</t>
  </si>
  <si>
    <t>METFORMIN DENK 500MG B/10 X 10 CES</t>
  </si>
  <si>
    <t>FG07631</t>
  </si>
  <si>
    <t>METFORMIN DENK 850MG B/ 120 CES</t>
  </si>
  <si>
    <t>FG07632</t>
  </si>
  <si>
    <t>METHERGINE BUV GOUTTE FL 10ML(FR)</t>
  </si>
  <si>
    <t>FG07633</t>
  </si>
  <si>
    <t>MICOFLU 2% GM CREAM</t>
  </si>
  <si>
    <t>FG07634</t>
  </si>
  <si>
    <t>MONGANGA MEDICAL POUDRE ( 70GM)</t>
  </si>
  <si>
    <t>FG07635</t>
  </si>
  <si>
    <t>MONGANGA POUDRE 300GR</t>
  </si>
  <si>
    <t>FG07636</t>
  </si>
  <si>
    <t>MONGANGA SAVON 90GR</t>
  </si>
  <si>
    <t>FG07637</t>
  </si>
  <si>
    <t>MOTILIUM 10MG CES B/20(EO)</t>
  </si>
  <si>
    <t>FG07638</t>
  </si>
  <si>
    <t>MOXYCLAV DUO 1125MG 12 PCS</t>
  </si>
  <si>
    <t>FG07639</t>
  </si>
  <si>
    <t>MOXYCLAV SUSP 228.5MG 70ML</t>
  </si>
  <si>
    <t>FG07640</t>
  </si>
  <si>
    <t>MUCO ASTHALIN SIROP 100ML</t>
  </si>
  <si>
    <t>FG07641</t>
  </si>
  <si>
    <t>MUCOLYN -- AD --. SIROP 100ML</t>
  </si>
  <si>
    <t>FG07642</t>
  </si>
  <si>
    <t>MUCOLYN -- PED -- SIROP 100ML</t>
  </si>
  <si>
    <t>FG07643</t>
  </si>
  <si>
    <t>MUCOSIF AD 100ML SP 1FL</t>
  </si>
  <si>
    <t>FG07644</t>
  </si>
  <si>
    <t>MUCOSIF PED 100ML SP 1FL</t>
  </si>
  <si>
    <t>FG07645</t>
  </si>
  <si>
    <t>NAOMI TRIPLE ACTION CREAM 30GM</t>
  </si>
  <si>
    <t>FG07646</t>
  </si>
  <si>
    <t>NAOMI TRIPLE ACTION CREAM 50GM</t>
  </si>
  <si>
    <t>FG07647</t>
  </si>
  <si>
    <t>NEOFAST 10ML DROP</t>
  </si>
  <si>
    <t>FG07648</t>
  </si>
  <si>
    <t>NEUROTON 50ML SOLUTION 1FL</t>
  </si>
  <si>
    <t>FG07649</t>
  </si>
  <si>
    <t>NEUROTON B/10CES 1BT</t>
  </si>
  <si>
    <t>FG07650</t>
  </si>
  <si>
    <t>NEVXAL COLLYRE</t>
  </si>
  <si>
    <t>FG07651</t>
  </si>
  <si>
    <t>NEW DIMESULID CES 10 CES</t>
  </si>
  <si>
    <t>FG07652</t>
  </si>
  <si>
    <t>NEXIUM 28C#S 40MG (FR)</t>
  </si>
  <si>
    <t>FG07653</t>
  </si>
  <si>
    <t>NEXIUM 28CES 20MG (FR)</t>
  </si>
  <si>
    <t>FG07654</t>
  </si>
  <si>
    <t>NIFEDI DENK 10MG RETARD B/ 10 X 10 CES</t>
  </si>
  <si>
    <t>FG07655</t>
  </si>
  <si>
    <t>NIFEDI DENK 20MG RETARD B/ 10 X 10 CES (FR)</t>
  </si>
  <si>
    <t>FG07656</t>
  </si>
  <si>
    <t>NIMOTOP 30MG B/50 CES</t>
  </si>
  <si>
    <t>FG07657</t>
  </si>
  <si>
    <t>NOR PLUS METRO 30 ML SP 1FL **</t>
  </si>
  <si>
    <t>FG07658</t>
  </si>
  <si>
    <t>NOR PLUS METRO B/10CES 1BT</t>
  </si>
  <si>
    <t>FG07659</t>
  </si>
  <si>
    <t>NOR PLUS METRO SP - 60ML</t>
  </si>
  <si>
    <t>FG07660</t>
  </si>
  <si>
    <t>NORFOMET 200 MG B/10 CES</t>
  </si>
  <si>
    <t>FG07661</t>
  </si>
  <si>
    <t>NORFOMET SP ML</t>
  </si>
  <si>
    <t>FG07662</t>
  </si>
  <si>
    <t>NORITHER DP CES</t>
  </si>
  <si>
    <t>FG07663</t>
  </si>
  <si>
    <t>NORMEGYL---DP--- B/10CES</t>
  </si>
  <si>
    <t>FG07664</t>
  </si>
  <si>
    <t>NORMEZOL 30ML SP 1FL</t>
  </si>
  <si>
    <t>FG07665</t>
  </si>
  <si>
    <t>NORMEZOL B/10CES 1BT</t>
  </si>
  <si>
    <t>FG07666</t>
  </si>
  <si>
    <t>NOTRISIF FORT 800MG B/45CES 1BT</t>
  </si>
  <si>
    <t>FG07667</t>
  </si>
  <si>
    <t>OMEXA-3 B/20 CAP</t>
  </si>
  <si>
    <t>FG07668</t>
  </si>
  <si>
    <t>ORAFLORA MOUTH WASH 150ML</t>
  </si>
  <si>
    <t>FG07669</t>
  </si>
  <si>
    <t>ORELOX SUSP BUV 100ML 8MG (FR)</t>
  </si>
  <si>
    <t>FG07670</t>
  </si>
  <si>
    <t>OTRIPLA 10ML GOUTE -- BEBE--</t>
  </si>
  <si>
    <t>FG07671</t>
  </si>
  <si>
    <t>OTRIPLA 10ML GOUTE -- ENF --</t>
  </si>
  <si>
    <t>FG07672</t>
  </si>
  <si>
    <t>OTRIPLA 10ML GOUTE --AD--</t>
  </si>
  <si>
    <t>FG07673</t>
  </si>
  <si>
    <t>OTRIVINE 0.1% NEBULISER 10ML</t>
  </si>
  <si>
    <t>FG07674</t>
  </si>
  <si>
    <t>PARACETAMOL 100ML IV ( GENERIC)</t>
  </si>
  <si>
    <t>FG07675</t>
  </si>
  <si>
    <t>PARAFEN 60ML SP 1FL</t>
  </si>
  <si>
    <t>FG07676</t>
  </si>
  <si>
    <t>PARAFEN B/ 10 X10 CES 1BT</t>
  </si>
  <si>
    <t>FG07677</t>
  </si>
  <si>
    <t>PARAKIM 500MG CES B/10CES</t>
  </si>
  <si>
    <t>FG07678</t>
  </si>
  <si>
    <t>PAUSE 500MG B/30CES</t>
  </si>
  <si>
    <t>FG07679</t>
  </si>
  <si>
    <t>PAUSE INJ B/5 AMP</t>
  </si>
  <si>
    <t>FG07680</t>
  </si>
  <si>
    <t>PAUSE MF B/30CES</t>
  </si>
  <si>
    <t>FG07681</t>
  </si>
  <si>
    <t>PEDZINC B/10CES</t>
  </si>
  <si>
    <t>FG07682</t>
  </si>
  <si>
    <t>PERINAM -DENK 4/5MG...B/30CES</t>
  </si>
  <si>
    <t>FG07683</t>
  </si>
  <si>
    <t>PERINAM -DENK 4/5MG...B/30CES**</t>
  </si>
  <si>
    <t>FG07684</t>
  </si>
  <si>
    <t>PERINAM -DENK 8/10MG...B/30CES</t>
  </si>
  <si>
    <t>FG07685</t>
  </si>
  <si>
    <t>PERINAM -DENK 8/5MG...B/30CES</t>
  </si>
  <si>
    <t>FG07686</t>
  </si>
  <si>
    <t>PLACLAV 1000+125MG CES B/16 CES</t>
  </si>
  <si>
    <t>FG07687</t>
  </si>
  <si>
    <t>PLACLAV 250+31.25 MG SUSP 60ML</t>
  </si>
  <si>
    <t>FG07688</t>
  </si>
  <si>
    <t>PLACLAV 500+62.5 MG CES B/16 CES</t>
  </si>
  <si>
    <t>FG07689</t>
  </si>
  <si>
    <t>PLAFEX 100MG 60ML SP 1FL</t>
  </si>
  <si>
    <t>FG07690</t>
  </si>
  <si>
    <t>PLAFEX 200MG B/10 CES 1BT</t>
  </si>
  <si>
    <t>FG07691</t>
  </si>
  <si>
    <t>PLAFEX 400MG (CEFIXIME) B/10CES</t>
  </si>
  <si>
    <t>FG07692</t>
  </si>
  <si>
    <t>PLANETO B/20 CES 1BT</t>
  </si>
  <si>
    <t>FG07693</t>
  </si>
  <si>
    <t>PLAZI 200MG 30ML SP 1FL</t>
  </si>
  <si>
    <t>FG07694</t>
  </si>
  <si>
    <t>PLNET COLD POMMADE 50GM</t>
  </si>
  <si>
    <t>FG07695</t>
  </si>
  <si>
    <t>POLYGEL DUAL SUSP 120ML</t>
  </si>
  <si>
    <t>FG07696</t>
  </si>
  <si>
    <t>POLYGEL SACHET 10ML B/20</t>
  </si>
  <si>
    <t>FG07697</t>
  </si>
  <si>
    <t>POP POUDRE</t>
  </si>
  <si>
    <t>FG07698</t>
  </si>
  <si>
    <t>POWER PLUS 30GM CREAM</t>
  </si>
  <si>
    <t>FG07699</t>
  </si>
  <si>
    <t>POWER PLUS KIDS ( PARA+ACELOFENAC)60ML SP</t>
  </si>
  <si>
    <t>FG07700</t>
  </si>
  <si>
    <t>PREVOLITHAR SIROP 100ML</t>
  </si>
  <si>
    <t>FG07701</t>
  </si>
  <si>
    <t>PROCYL B/5AMP (ACIDE TRANEXAMIQUE)</t>
  </si>
  <si>
    <t>FG07702</t>
  </si>
  <si>
    <t>PROGYNOVA 20DRG 2MG (FR)</t>
  </si>
  <si>
    <t>FG07703</t>
  </si>
  <si>
    <t>PROMCLAIR PLUS CREAM 15GM</t>
  </si>
  <si>
    <t>FG07704</t>
  </si>
  <si>
    <t>PROTAM B/30 CAP 1BT</t>
  </si>
  <si>
    <t>FG07705</t>
  </si>
  <si>
    <t>QUICK (ANTI DOULEUR) B/10 CES</t>
  </si>
  <si>
    <t>FG07706</t>
  </si>
  <si>
    <t>QUICK GEL 30GM</t>
  </si>
  <si>
    <t>FG07707</t>
  </si>
  <si>
    <t>FAST QUICK SPARY 150ML</t>
  </si>
  <si>
    <t>FG07708</t>
  </si>
  <si>
    <t>RECHARGE ACTIVE DENK B/12 STICKS</t>
  </si>
  <si>
    <t>FG07709</t>
  </si>
  <si>
    <t>RECTOSTOL CREME</t>
  </si>
  <si>
    <t>FG07710</t>
  </si>
  <si>
    <t>RELIEF CREME 50MG</t>
  </si>
  <si>
    <t>FG07711</t>
  </si>
  <si>
    <t>RHUM COLD 1*4CES</t>
  </si>
  <si>
    <t>FG07712</t>
  </si>
  <si>
    <t>RHUMALGAN SPRAY</t>
  </si>
  <si>
    <t>FG07713</t>
  </si>
  <si>
    <t>RHUMARRET B\25 CES PL</t>
  </si>
  <si>
    <t>FG07714</t>
  </si>
  <si>
    <t>ROVA-TZ 1125MG INJ</t>
  </si>
  <si>
    <t>FG07715</t>
  </si>
  <si>
    <t>ROVENAC-SD INJ B/5AMP 1BT</t>
  </si>
  <si>
    <t>FG07716</t>
  </si>
  <si>
    <t>SALBUTAMOL 1MG B/6 SUPPO (GENERIQUE )</t>
  </si>
  <si>
    <t>FG07717</t>
  </si>
  <si>
    <t>SCORVITEX -Z CES B/10</t>
  </si>
  <si>
    <t>FG07718</t>
  </si>
  <si>
    <t>SERINGUE 2CC...100PCS (UNIQUE)</t>
  </si>
  <si>
    <t>FG07719</t>
  </si>
  <si>
    <t>S-FORCE 10*2 CES</t>
  </si>
  <si>
    <t>FG07720</t>
  </si>
  <si>
    <t>S-FORCE 10*4 CES</t>
  </si>
  <si>
    <t>FG07721</t>
  </si>
  <si>
    <t>SHALGLI - M 2MG/500MG B/30 CES</t>
  </si>
  <si>
    <t>FG07722</t>
  </si>
  <si>
    <t>SIFACOLD 100ML SP 1FL</t>
  </si>
  <si>
    <t>FG07723</t>
  </si>
  <si>
    <t>SIFACOLD ENF GOUTTE 15ML 1FL</t>
  </si>
  <si>
    <t>FG07724</t>
  </si>
  <si>
    <t>SINTRON 4MG 20CES (FR)</t>
  </si>
  <si>
    <t>FG07725</t>
  </si>
  <si>
    <t>SNUFEN SP 125ML 1FL</t>
  </si>
  <si>
    <t>FG07726</t>
  </si>
  <si>
    <t>SORINAZ 15GM CREAME</t>
  </si>
  <si>
    <t>FG07727</t>
  </si>
  <si>
    <t>SPASMASIF ( BALARGEN ) B/10 X10 CES 1BT</t>
  </si>
  <si>
    <t>FG07728</t>
  </si>
  <si>
    <t>SULTANI FORCE 100MG B/4CES</t>
  </si>
  <si>
    <t>FG07729</t>
  </si>
  <si>
    <t>SULTANI FORCE 50MG B/4CES 1BT</t>
  </si>
  <si>
    <t>FG07730</t>
  </si>
  <si>
    <t>SULTANI FORCE JALLY SACHET B/4</t>
  </si>
  <si>
    <t>FG07731</t>
  </si>
  <si>
    <t>SUPER CAL ZINC CES B/20</t>
  </si>
  <si>
    <t>FG07732</t>
  </si>
  <si>
    <t>SYLUMET FORTE B/10CES</t>
  </si>
  <si>
    <t>FG07733</t>
  </si>
  <si>
    <t>TADALAFIL BIOGARAN 10MG 4CES</t>
  </si>
  <si>
    <t>FG07734</t>
  </si>
  <si>
    <t>TADALAFIL BIOGARAN 20MG 4CES</t>
  </si>
  <si>
    <t>FG07735</t>
  </si>
  <si>
    <t>TAMSULEX - D 0.5MG B/30 CAP</t>
  </si>
  <si>
    <t>FG07736</t>
  </si>
  <si>
    <t>TAMSULOSINE (OMIX) LP 0.4MG 30 GELUES(FR)</t>
  </si>
  <si>
    <t>FG07737</t>
  </si>
  <si>
    <t>TANZOL B/1CES</t>
  </si>
  <si>
    <t>FG07738</t>
  </si>
  <si>
    <t>TANZOL PLUS TAB 1X1T</t>
  </si>
  <si>
    <t>FG07739</t>
  </si>
  <si>
    <t>TEST RAPIDE H.I.V. 1KIT B/100</t>
  </si>
  <si>
    <t>FG07740</t>
  </si>
  <si>
    <t>TRACOL 500MG B/30 CES</t>
  </si>
  <si>
    <t>FG07741</t>
  </si>
  <si>
    <t>TRACOL SOLUTION BUV 50ML</t>
  </si>
  <si>
    <t>FG07742</t>
  </si>
  <si>
    <t>TRAMADOL DENK B/5AMP INJ</t>
  </si>
  <si>
    <t>FG07743</t>
  </si>
  <si>
    <t>TRIPLIXAM 10/2.5/10MG B/30CES (FR)</t>
  </si>
  <si>
    <t>FG07744</t>
  </si>
  <si>
    <t>TTP 4.5GM (PIPERACILLIN &amp; TAZOBACTAM) INJ</t>
  </si>
  <si>
    <t>FG07745</t>
  </si>
  <si>
    <t>TWINZOL COLLYRE ( MONODOSE )</t>
  </si>
  <si>
    <t>FG07746</t>
  </si>
  <si>
    <t>UROGRAFINE 1AMP. INJ. 76% 20 ML</t>
  </si>
  <si>
    <t>FG07747</t>
  </si>
  <si>
    <t>VASOCAR -T 4*7 CES</t>
  </si>
  <si>
    <t>FG07748</t>
  </si>
  <si>
    <t>VENTOLINE AER.100UG 200 DOSES (EO)</t>
  </si>
  <si>
    <t>FG07749</t>
  </si>
  <si>
    <t>VILDA DENK 50MG B/28CES</t>
  </si>
  <si>
    <t>FG07750</t>
  </si>
  <si>
    <t>VILDISHAL 50MG B/30 CES</t>
  </si>
  <si>
    <t>FG07751</t>
  </si>
  <si>
    <t>VIT- B DENK B/ 10 X 10 CES (FR)</t>
  </si>
  <si>
    <t>FG07752</t>
  </si>
  <si>
    <t>VITA PLANET 100ML SP 1FL</t>
  </si>
  <si>
    <t>FG07753</t>
  </si>
  <si>
    <t>VITA ZINK SIROP 200ML</t>
  </si>
  <si>
    <t>FG07754</t>
  </si>
  <si>
    <t>VITALO --- ENF --- 15ML GOUTTE 1FL</t>
  </si>
  <si>
    <t>FG07755</t>
  </si>
  <si>
    <t>VITALO B/30 CAP 1BT</t>
  </si>
  <si>
    <t>FG07756</t>
  </si>
  <si>
    <t>VITALO PLUS 200ML SP 1FL</t>
  </si>
  <si>
    <t>FG07757</t>
  </si>
  <si>
    <t>VITAMIN - E FORTE 400I.U. B/20 CAPS</t>
  </si>
  <si>
    <t>FG07758</t>
  </si>
  <si>
    <t>VITASIF 360 B/30 CAP</t>
  </si>
  <si>
    <t>FG07759</t>
  </si>
  <si>
    <t>VITASIF SYRUP 200ML</t>
  </si>
  <si>
    <t>FG07760</t>
  </si>
  <si>
    <t>VOGABOS 0.3MG CES B/30CES</t>
  </si>
  <si>
    <t>FG07761</t>
  </si>
  <si>
    <t>VOGLIMINE B/30CES</t>
  </si>
  <si>
    <t>FG07762</t>
  </si>
  <si>
    <t>ZADITEN 2MG***LP B/30CES (FR)</t>
  </si>
  <si>
    <t>FG07763</t>
  </si>
  <si>
    <t>ZEBU PLUS GEL</t>
  </si>
  <si>
    <t>FG07764</t>
  </si>
  <si>
    <t>ZEBU PLUS SPRAY</t>
  </si>
  <si>
    <t>FG07765</t>
  </si>
  <si>
    <t>ZEMA CREAM</t>
  </si>
  <si>
    <t>FG07766</t>
  </si>
  <si>
    <t>ZENAPETIT B/10 X10 CES (CYPROHEPTADINE)</t>
  </si>
  <si>
    <t>FG07767</t>
  </si>
  <si>
    <t>ZENATIT SUPER CES B/10X10</t>
  </si>
  <si>
    <t>FG07768</t>
  </si>
  <si>
    <t>ZENKOF B/55X2</t>
  </si>
  <si>
    <t>FG07769</t>
  </si>
  <si>
    <t>ZINGINALIS 500MG B/10SUPPO</t>
  </si>
  <si>
    <t>FG07770</t>
  </si>
  <si>
    <t>PHATKIN POMMADE ANTIGALE 35GR</t>
  </si>
  <si>
    <t>FG07771</t>
  </si>
  <si>
    <t>PHATKIN POMMADE AU DITRHANOL 0.15</t>
  </si>
  <si>
    <t>FG07775</t>
  </si>
  <si>
    <t>LOPINAVIR (LPV) + RITONAVIR (R), TABLETS 200+50MG B/90 CES</t>
  </si>
  <si>
    <t>FG07776</t>
  </si>
  <si>
    <t>LOPINAVIR (LPV) + RITONAVIR (R), TABLETS 100+25MG B/60 CES</t>
  </si>
  <si>
    <t>FG07777</t>
  </si>
  <si>
    <t>ATAZANAVIR (ATV) + RITONAVIR (R), TABLETS 300+100MG B/30 CES</t>
  </si>
  <si>
    <t>FG07779</t>
  </si>
  <si>
    <t>XYLOL 1LTR</t>
  </si>
  <si>
    <t>FG07780</t>
  </si>
  <si>
    <t>POUBELLE A PEDALE 18L</t>
  </si>
  <si>
    <t>FG07781</t>
  </si>
  <si>
    <t>PEDAL DUST BIN 5L</t>
  </si>
  <si>
    <t>FG07784</t>
  </si>
  <si>
    <t>BALANCE 300KG</t>
  </si>
  <si>
    <t>FG07878</t>
  </si>
  <si>
    <t>OK LUBRIFIANT (A LA MENTHE) GEL INTIME 100G</t>
  </si>
  <si>
    <t>FG07879</t>
  </si>
  <si>
    <t>OK LUBRIFIANT (A LA FRAISE) GEL INTIME 100G</t>
  </si>
  <si>
    <t>FG07880</t>
  </si>
  <si>
    <t>NAM COL ENF 10 ML GOUTTE NASAL</t>
  </si>
  <si>
    <t>FG07902</t>
  </si>
  <si>
    <t>CARDIURINE B/30CES</t>
  </si>
  <si>
    <t>FG07903</t>
  </si>
  <si>
    <t>CROMSOL COLLYRE 10ML (FR)</t>
  </si>
  <si>
    <t>FG07904</t>
  </si>
  <si>
    <t>FEBRILEX 150ML SUSP</t>
  </si>
  <si>
    <t>FG07905</t>
  </si>
  <si>
    <t>FLUOXINE 500MG B/10CES</t>
  </si>
  <si>
    <t>FG07906</t>
  </si>
  <si>
    <t>PROSTALEN 10MG B/30 CES</t>
  </si>
  <si>
    <t>FG07908</t>
  </si>
  <si>
    <t>ARTEPED ENF DRY SP 60 ML</t>
  </si>
  <si>
    <t>FG07909</t>
  </si>
  <si>
    <t>CEPRA S PLUS 1.5 INJ</t>
  </si>
  <si>
    <t>FG07910</t>
  </si>
  <si>
    <t>CLOMBICAL 7.1% GEL</t>
  </si>
  <si>
    <t>FG07911</t>
  </si>
  <si>
    <t>FIMOZOL SPRAY 10 ML</t>
  </si>
  <si>
    <t>FG07912</t>
  </si>
  <si>
    <t>Z CIN 500 MG 5 CES</t>
  </si>
  <si>
    <t>FG07913</t>
  </si>
  <si>
    <t>HIMALYA LIV 52 100 TAB</t>
  </si>
  <si>
    <t>FG07914</t>
  </si>
  <si>
    <t>HIMALAYA CYSTONE 60 TAB</t>
  </si>
  <si>
    <t>FG07915</t>
  </si>
  <si>
    <t>BARALMEX 10*10 CES</t>
  </si>
  <si>
    <t>FG07916</t>
  </si>
  <si>
    <t>CALVI D 30 CES</t>
  </si>
  <si>
    <t>FG07917</t>
  </si>
  <si>
    <t>CEZINC 50 MG 1X10 TAB</t>
  </si>
  <si>
    <t>FG07918</t>
  </si>
  <si>
    <t>DOMI - ST B/4 CES</t>
  </si>
  <si>
    <t>FG07919</t>
  </si>
  <si>
    <t>PLANTHER DP CES B/6</t>
  </si>
  <si>
    <t>FG07920</t>
  </si>
  <si>
    <t>CAL D EFFERVESCENT TAB 20</t>
  </si>
  <si>
    <t>FG07921</t>
  </si>
  <si>
    <t>SHAL'ARTEM DRY SP 60 ML</t>
  </si>
  <si>
    <t>FG07922</t>
  </si>
  <si>
    <t>CETHER-L ADULT B/6 CES</t>
  </si>
  <si>
    <t>FG07923</t>
  </si>
  <si>
    <t>CANDIYAR CRAME 15 GM</t>
  </si>
  <si>
    <t>FG07924</t>
  </si>
  <si>
    <t>INS - SCALPEL N°3, SOLID, GRADUATED</t>
  </si>
  <si>
    <t>FG07925</t>
  </si>
  <si>
    <t>INS - SCALPEL N°4, SOLID, GRADUATED</t>
  </si>
  <si>
    <t>FG07926</t>
  </si>
  <si>
    <t>INS - SCALPEL N°7, SOLID, 16CM</t>
  </si>
  <si>
    <t>FG07927</t>
  </si>
  <si>
    <t>INS - SCALPEL N°9, SOLID</t>
  </si>
  <si>
    <t>FG07928</t>
  </si>
  <si>
    <t>INS - STETHOSCOPE, FOETAL, PINARD, ALUMINIUM</t>
  </si>
  <si>
    <t>FG07929</t>
  </si>
  <si>
    <t>INS - STANDARD DISSECTING FORCEPS, 14.5CM</t>
  </si>
  <si>
    <t>FG07930</t>
  </si>
  <si>
    <t>INS - STANDARD DISSECTING FORCEPS, 18CM</t>
  </si>
  <si>
    <t>FG07931</t>
  </si>
  <si>
    <t>INS - STANDARD TISSUE FORCEPS, 14.5CM</t>
  </si>
  <si>
    <t>FG07932</t>
  </si>
  <si>
    <t>INS - STANDARD TISSUE FORCEPS, 18CM</t>
  </si>
  <si>
    <t>FG07933</t>
  </si>
  <si>
    <t>INS - PEAN HAEMOSTATIC FORCEPS, ROUND TIP,14CM</t>
  </si>
  <si>
    <t>FG07934</t>
  </si>
  <si>
    <t>INS - SPENCER-WELLS HAEMOSTATIC FORCEPS, STRAIGHT, 14CM</t>
  </si>
  <si>
    <t>FG07935</t>
  </si>
  <si>
    <t>INS - HALSTED-MOSQUITO HAEMOSTATIC FORCEPS, STRAIGHT, 12.5CM</t>
  </si>
  <si>
    <t>FG07936</t>
  </si>
  <si>
    <t>INS - HALSTED-MOSQUITO HAEMOSTATIC FORCEPS, CURVED, 12.5CM</t>
  </si>
  <si>
    <t>FG07937</t>
  </si>
  <si>
    <t>INS - PEAN HAEMOSTATIC FORCEPS, STRAIGHT, 14CM</t>
  </si>
  <si>
    <t>FG07938</t>
  </si>
  <si>
    <t>INS - PEAN HAEMOSTATIC FORCEPS, CURVED, 14CM</t>
  </si>
  <si>
    <t>FG07939</t>
  </si>
  <si>
    <t>INS - PEAN DELICATE HAEMOSTATIC FORCEPS, STRAIGHT, 18CM</t>
  </si>
  <si>
    <t>FG07940</t>
  </si>
  <si>
    <t>INS - KOCHER DELICATE HAEMOSTATIC FORCEPS, STRAIGHT, 18CM</t>
  </si>
  <si>
    <t>FG07941</t>
  </si>
  <si>
    <t>INS - ROCHESTER PEAN HAEMOSTATIC FORCEPS, STRAIGHT, 14CM</t>
  </si>
  <si>
    <t>FG07942</t>
  </si>
  <si>
    <t>INS - ROCHESTER PEAN HAEMOSTATIC FORCEPS, STRAIGHT, 18CM</t>
  </si>
  <si>
    <t>FG07943</t>
  </si>
  <si>
    <t>INS - ROCHESTER PEAN HAEMOSTATIC FORCEPS, CURVED, 16CM</t>
  </si>
  <si>
    <t>FG07944</t>
  </si>
  <si>
    <t>INS - HALSTED-MOSQUITO HAEMOSTATIC FORCEPS, CURVED, 14CM</t>
  </si>
  <si>
    <t>FG07945</t>
  </si>
  <si>
    <t>INS - HALSTED-MOSQUITO HAEMOSTATIC FORCEPS, STRAIGHT, 16 CM</t>
  </si>
  <si>
    <t>FG07946</t>
  </si>
  <si>
    <t>INS - HALSTED-MOSQUITO HAEMOSTATIC FORCEPS, CURVED, 16 CM</t>
  </si>
  <si>
    <t>FG07947</t>
  </si>
  <si>
    <t>INS - HALSTED-MOSQUITO HAEMOSTATIC FORCEPS, STRAIGHT, 14 CM</t>
  </si>
  <si>
    <t>FG07948</t>
  </si>
  <si>
    <t>INS - MURPHY-PEAN FORCEPS, STRAIGHT, 16CM</t>
  </si>
  <si>
    <t>FG07949</t>
  </si>
  <si>
    <t>INS - FOERSTER-BALLENGER SPONGE-DRESSING FORCEPS, SERRATED JAW, STRAIGHT, 25CM</t>
  </si>
  <si>
    <t>FG07950</t>
  </si>
  <si>
    <t>INS - INSTRUMENT TRAY+COVER 350X250X40MM</t>
  </si>
  <si>
    <t>FG07951</t>
  </si>
  <si>
    <t>INS - INSTRUMENT TRAY+COVER 300X200X50MM</t>
  </si>
  <si>
    <t>FG07952</t>
  </si>
  <si>
    <t>INS - KIDNEY TRAY, SS, 160MM</t>
  </si>
  <si>
    <t>FG07953</t>
  </si>
  <si>
    <t>INS - KIDNEY TRAY, SS, 250MM</t>
  </si>
  <si>
    <t>FG07954</t>
  </si>
  <si>
    <t>INS - KIDNEY TRAY, SS, 300MM</t>
  </si>
  <si>
    <t>FG07955</t>
  </si>
  <si>
    <t>INS - BED PAN - SLIPPER TYPE</t>
  </si>
  <si>
    <t>FG07956</t>
  </si>
  <si>
    <t>INS - BED PAN - FRACTURE TYPE</t>
  </si>
  <si>
    <t>FG07957</t>
  </si>
  <si>
    <t>INS - URINALS FEMALE SS</t>
  </si>
  <si>
    <t>FG07958</t>
  </si>
  <si>
    <t>INS - URINALS MALE SS</t>
  </si>
  <si>
    <t>FG07959</t>
  </si>
  <si>
    <t>INS - INSTRUMENT TRAY+COVER 225X125X50MM</t>
  </si>
  <si>
    <t>FG07960</t>
  </si>
  <si>
    <t>INS - INSTRUMENT TRAY+COVER 220X120X40MM</t>
  </si>
  <si>
    <t>FG07961</t>
  </si>
  <si>
    <t>DRESSING DRUM STAINLESS STEEL : DIA 175 X HEIGHT 175MM</t>
  </si>
  <si>
    <t>FG07962</t>
  </si>
  <si>
    <t>DRESSING DRUM STAINLESS STEEL : DIA 200 X HEIGHT 200MM</t>
  </si>
  <si>
    <t>FG07963</t>
  </si>
  <si>
    <t>DRESSING DRUM STAINLESS STEEL : DIA 250 X HEIGHT 200MM</t>
  </si>
  <si>
    <t>FG07964</t>
  </si>
  <si>
    <t>DRESSING DRUM STAINLESS STEEL : DIA 275 X HEIGHT 225 MM (11" X 9")</t>
  </si>
  <si>
    <t>FG07965</t>
  </si>
  <si>
    <t>DRESSING DRUM STAINLESS STEEL : DIA 300 X HEIGHT 150MM</t>
  </si>
  <si>
    <t>FG07966</t>
  </si>
  <si>
    <t>INS - CRILE-WOOD NEEDLE HOLDER, FINE PATTERN, 15CM</t>
  </si>
  <si>
    <t>FG07967</t>
  </si>
  <si>
    <t>INS - MAYO-HEGAR NEEDLE HOLDER, FINE PATTERN, 15CM</t>
  </si>
  <si>
    <t>FG07968</t>
  </si>
  <si>
    <t>INS - MAYO-HEGAR NEEDLE HOLDER, FINE PATTERN, 18CM</t>
  </si>
  <si>
    <t>FG07969</t>
  </si>
  <si>
    <t>BOITE - ACCOUCHEMENT COMPLETE</t>
  </si>
  <si>
    <t>FG07970</t>
  </si>
  <si>
    <t>BOITE - ACCOUCHEMENT-EPISIOTOMIE</t>
  </si>
  <si>
    <t>FG07971</t>
  </si>
  <si>
    <t>BOITE - CHIRURGIE DENTAIRE POUR ADULTE</t>
  </si>
  <si>
    <t>FG07972</t>
  </si>
  <si>
    <t>BOITE - CHIRURGIE DENTAIRE POUR ENFANT</t>
  </si>
  <si>
    <t>FG07973</t>
  </si>
  <si>
    <t>BOITE - CESARIENNE</t>
  </si>
  <si>
    <t>FG07974</t>
  </si>
  <si>
    <t>BOITE - CURETAGE</t>
  </si>
  <si>
    <t>FG07975</t>
  </si>
  <si>
    <t>BOITE - PANSEMENT</t>
  </si>
  <si>
    <t>FG07976</t>
  </si>
  <si>
    <t>BOITE - SUTURE</t>
  </si>
  <si>
    <t>FG07977</t>
  </si>
  <si>
    <t>BOITE - CHIRURGIE DE ENFANT</t>
  </si>
  <si>
    <t>FG07978</t>
  </si>
  <si>
    <t>BOITE - CHIRURGIE ENDOSCOPIQUE DES SINUS DU FESSIER (ORL)</t>
  </si>
  <si>
    <t>FG07979</t>
  </si>
  <si>
    <t>BOITE - GYNECOLOGIQUE</t>
  </si>
  <si>
    <t>FG07980</t>
  </si>
  <si>
    <t>BOITE - HYSTERECTOMIE</t>
  </si>
  <si>
    <t>FG07981</t>
  </si>
  <si>
    <t>BOITE - LAPAROTOMIE (GF)</t>
  </si>
  <si>
    <t>FG07982</t>
  </si>
  <si>
    <t>BOITE - LAPAROTOMIE (PF)</t>
  </si>
  <si>
    <t>FG07983</t>
  </si>
  <si>
    <t>BOITE - PINCES EXTRACTION DENTAIRE</t>
  </si>
  <si>
    <t>FG07984</t>
  </si>
  <si>
    <t>BOITE - PETITE CHIRURGIE</t>
  </si>
  <si>
    <t>FG07985</t>
  </si>
  <si>
    <t>BOITE - CHIRURGIE THORACOTOMIE ENFANT</t>
  </si>
  <si>
    <t>FG07986</t>
  </si>
  <si>
    <t>BOITE - APPENDICITE HERNIE</t>
  </si>
  <si>
    <t>FG07987</t>
  </si>
  <si>
    <t>BOITE - CHIRURGIE GENERALE COMPLETE</t>
  </si>
  <si>
    <t>FG07988</t>
  </si>
  <si>
    <t>BOITE - EXTRACTION DENTAIRE</t>
  </si>
  <si>
    <t>FG07989</t>
  </si>
  <si>
    <t>KIT EXAMEN DENTAIRE</t>
  </si>
  <si>
    <t>FG07990</t>
  </si>
  <si>
    <t>BOITE - ELEVATEUR DENTAIRE</t>
  </si>
  <si>
    <t>FG07991</t>
  </si>
  <si>
    <t>SPECULUM VAGINAL, GRAVES, 95X30MM (S)</t>
  </si>
  <si>
    <t>FG07992</t>
  </si>
  <si>
    <t>SPECULUM VAGINAL, GRAVES, 105X33MM (M)</t>
  </si>
  <si>
    <t>FG07993</t>
  </si>
  <si>
    <t>SPECULUM VAGINAL, GRAVES, 120X25MM (L)</t>
  </si>
  <si>
    <t>FG07994</t>
  </si>
  <si>
    <t>INS - OBSTETRICS?PLACENTA AND OVUM CRANIOCLAST, BASIOTRIBE FORCEPS</t>
  </si>
  <si>
    <t>FG07995</t>
  </si>
  <si>
    <t>LARYNGOSCOPE À FIBRES OPTIQUES, MCINTOSH, 5 LAMES</t>
  </si>
  <si>
    <t>FG07996</t>
  </si>
  <si>
    <t>INS - INSTRUMENT TRAY 200X150X25MM</t>
  </si>
  <si>
    <t>FG07997</t>
  </si>
  <si>
    <t>INS - INSTRUMENT TRAY 300X200X25MM</t>
  </si>
  <si>
    <t>FG07998</t>
  </si>
  <si>
    <t>INS - INSTRUMENT TRAY 280X180X25MM</t>
  </si>
  <si>
    <t>FG08001</t>
  </si>
  <si>
    <t>BETASTENE 2 MG 20 CES DISP</t>
  </si>
  <si>
    <t>FG08002</t>
  </si>
  <si>
    <t>CETAFLAM 50 MG 20 CES</t>
  </si>
  <si>
    <t>FG08003</t>
  </si>
  <si>
    <t>GATISTAR COLLYER 5 ML</t>
  </si>
  <si>
    <t>FG08004</t>
  </si>
  <si>
    <t>IXINE 200 MG 10 CES</t>
  </si>
  <si>
    <t>FG08005</t>
  </si>
  <si>
    <t>OTRIVIN 0.1% NEBULISEUR 10 ML</t>
  </si>
  <si>
    <t>FG08006</t>
  </si>
  <si>
    <t>SUPRADYNE CITRON 10 CES EFF</t>
  </si>
  <si>
    <t>FG08007</t>
  </si>
  <si>
    <t>NO CHOL ( ASTROVASTATINE) 20 MG 3X10 CES</t>
  </si>
  <si>
    <t>FG08008</t>
  </si>
  <si>
    <t>NO CHOL ( ASTROVASTATINE) 10 MG 3X10 CES</t>
  </si>
  <si>
    <t>FG08009</t>
  </si>
  <si>
    <t>CALBONE ( CALCIUM + VITA D3) 200 ML</t>
  </si>
  <si>
    <t>FG08010</t>
  </si>
  <si>
    <t>DIGEST - ON B/10 SACHET</t>
  </si>
  <si>
    <t>FG08011</t>
  </si>
  <si>
    <t>ARAUCLAV (AMOXI+CLAVULANATE) 562.5MG B/2 X 8 CES</t>
  </si>
  <si>
    <t>FG08012</t>
  </si>
  <si>
    <t>FERROTONE SOFTGEL B/5X10 CAP</t>
  </si>
  <si>
    <t>FG08013</t>
  </si>
  <si>
    <t>GOFEN 400 SOFTGEL B/6X10 CAP</t>
  </si>
  <si>
    <t>FG08014</t>
  </si>
  <si>
    <t>NAT B SOFTGEL B/3X10 CAP</t>
  </si>
  <si>
    <t>FG08015</t>
  </si>
  <si>
    <t>METRONIDAZOLE 250MG B/25X10CES</t>
  </si>
  <si>
    <t>FG08016</t>
  </si>
  <si>
    <t>VI-JOHN 22° (PAPAYA) BEAUTY SOAP</t>
  </si>
  <si>
    <t>FG08017</t>
  </si>
  <si>
    <t>VI-JOHN 22° COOLING TALC</t>
  </si>
  <si>
    <t>FG08018</t>
  </si>
  <si>
    <t>GEL POUR ECHOGRAPHIE 200ML</t>
  </si>
  <si>
    <t>FG08027</t>
  </si>
  <si>
    <t>ARCOXIA 120MG B/7CES</t>
  </si>
  <si>
    <t>FG08033</t>
  </si>
  <si>
    <t>KAMOBAC 125 MG 60 ML SP</t>
  </si>
  <si>
    <t>FG08034</t>
  </si>
  <si>
    <t>OMG - 3 ( FISH LEVER OIL) SOFT GELATING 2X10 CAPS</t>
  </si>
  <si>
    <t>FG08038</t>
  </si>
  <si>
    <t>PLAQUER 2*15 CES</t>
  </si>
  <si>
    <t>FG08039</t>
  </si>
  <si>
    <t>CANDERM DUSTING POWEDER 100 GM</t>
  </si>
  <si>
    <t>FG08040</t>
  </si>
  <si>
    <t>PATOUX HERBAL LOZNGES 3X80X1 PCS</t>
  </si>
  <si>
    <t>FG08041</t>
  </si>
  <si>
    <t>VOTASIF 360 B/30 CAP</t>
  </si>
  <si>
    <t>FG08042</t>
  </si>
  <si>
    <t>LOSSCARD- H B/30 CES</t>
  </si>
  <si>
    <t>FG08043</t>
  </si>
  <si>
    <t>CALBONE B/10*15 CES</t>
  </si>
  <si>
    <t>FG08044</t>
  </si>
  <si>
    <t>BECODERM 50 GM POUDRE LEMON</t>
  </si>
  <si>
    <t>FG08050</t>
  </si>
  <si>
    <t>METRE TYRAN CLAIR 3MTR (3M-T) *1PCS</t>
  </si>
  <si>
    <t>FG08052</t>
  </si>
  <si>
    <t>PANADOL 1 GR 20 CES</t>
  </si>
  <si>
    <t>FG08073</t>
  </si>
  <si>
    <t>GROUPAGE ANTI-AB</t>
  </si>
  <si>
    <t>FG08089</t>
  </si>
  <si>
    <t>GROUPAGE ANTI-B</t>
  </si>
  <si>
    <t>FG08090</t>
  </si>
  <si>
    <t>GROUPAGE ANTI-D</t>
  </si>
  <si>
    <t>FG08098</t>
  </si>
  <si>
    <t>DAWAKOF 100 ML SP 60 ML</t>
  </si>
  <si>
    <t>FG08099</t>
  </si>
  <si>
    <t>PROX LOZENGES ( BOMBON) B/200</t>
  </si>
  <si>
    <t>FG08100</t>
  </si>
  <si>
    <t>EXTRA POWER 10 CES</t>
  </si>
  <si>
    <t>FG08101</t>
  </si>
  <si>
    <t>TADALAFIL BUOGARAN 10 MG 4 CES</t>
  </si>
  <si>
    <t>FG08124</t>
  </si>
  <si>
    <t>DIASTOP SUSP 60 ML</t>
  </si>
  <si>
    <t>FG08125</t>
  </si>
  <si>
    <t>TRAVONORM PLUS 40MG/5MG COLLYER 5 ML</t>
  </si>
  <si>
    <t>FG08128</t>
  </si>
  <si>
    <t>DICODOL PLUS CES 10*10</t>
  </si>
  <si>
    <t>FG08129</t>
  </si>
  <si>
    <t>D-ZYME SYRUP 200 ML</t>
  </si>
  <si>
    <t>FG08130</t>
  </si>
  <si>
    <t>DUFAGEL B/10 CAP</t>
  </si>
  <si>
    <t>FG08131</t>
  </si>
  <si>
    <t>ELEFER-Z 150 ML SP</t>
  </si>
  <si>
    <t>FG08132</t>
  </si>
  <si>
    <t>FAST QUICK GEL 30 GM</t>
  </si>
  <si>
    <t>FG08133</t>
  </si>
  <si>
    <t>METROX 60 ML SP</t>
  </si>
  <si>
    <t>FG08134</t>
  </si>
  <si>
    <t>MISOPLA PLUS B/4 CES</t>
  </si>
  <si>
    <t>FG08135</t>
  </si>
  <si>
    <t>PLACLAV 1.2 GM INJECTABLE</t>
  </si>
  <si>
    <t>FG08136</t>
  </si>
  <si>
    <t>PLAMEGA 3.6.9 B/30 SOFT GEL</t>
  </si>
  <si>
    <t>FG08137</t>
  </si>
  <si>
    <t>PLANET TOUX 100 ML SP</t>
  </si>
  <si>
    <t>FG08138</t>
  </si>
  <si>
    <t>PLANET COLD 25X4 CES</t>
  </si>
  <si>
    <t>FG08139</t>
  </si>
  <si>
    <t>PLANET COLD 100 ML SP</t>
  </si>
  <si>
    <t>FG08140</t>
  </si>
  <si>
    <t>TOBRAXIN 0.3% 5 ML COLLYER</t>
  </si>
  <si>
    <t>FG08141</t>
  </si>
  <si>
    <t>TOBRAXIN 80 MG/2 ML 1 VIAL</t>
  </si>
  <si>
    <t>FG08142</t>
  </si>
  <si>
    <t>URISTONE B/100 TAB</t>
  </si>
  <si>
    <t>FG08143</t>
  </si>
  <si>
    <t>VITA ACTIVE 100 ML SP</t>
  </si>
  <si>
    <t>FG08144</t>
  </si>
  <si>
    <t>VITA ACTIVE B/30 CAP</t>
  </si>
  <si>
    <t>FG08145</t>
  </si>
  <si>
    <t>SHAL'ARTEM FORTE 1X6 TAB</t>
  </si>
  <si>
    <t>FG08146</t>
  </si>
  <si>
    <t>THYMAIR DENK B/20 CES</t>
  </si>
  <si>
    <t>FG08147</t>
  </si>
  <si>
    <t>DIAZOLEX (ONGUENT POUR APPLICATION CUTANEE) 80G POMMADE</t>
  </si>
  <si>
    <t>FG08153</t>
  </si>
  <si>
    <t>PATOUX HERBAL HONEY LEMON LOZ JAR 100 PCS</t>
  </si>
  <si>
    <t>FG08154</t>
  </si>
  <si>
    <t>AMLOTEN 5 MG ( AMLODIPINE) B/30 CAPS</t>
  </si>
  <si>
    <t>FG08155</t>
  </si>
  <si>
    <t>DIAZEX 10MG 10X10 CES</t>
  </si>
  <si>
    <t>FG08156</t>
  </si>
  <si>
    <t>VILDISHAL-M 50MG/1000 B/30 CES</t>
  </si>
  <si>
    <t>FG08157</t>
  </si>
  <si>
    <t>VILDISHAL-M 50MG/500 B/30 CES</t>
  </si>
  <si>
    <t>FG08158</t>
  </si>
  <si>
    <t>BIEN MANAGER PLUS B/2 X 20 CES</t>
  </si>
  <si>
    <t>FG08159</t>
  </si>
  <si>
    <t>CELEBREX 100 MG CAP B/30</t>
  </si>
  <si>
    <t>FG08161</t>
  </si>
  <si>
    <t>FLAMINGO HINGED KNEE CAP (XXL)</t>
  </si>
  <si>
    <t>FG08162</t>
  </si>
  <si>
    <t>FLAMINGO HINGED KNEE CAP (XXXL)</t>
  </si>
  <si>
    <t>FG08163</t>
  </si>
  <si>
    <t>FLAMINGO RIB BELT (XXL)</t>
  </si>
  <si>
    <t>FG08164</t>
  </si>
  <si>
    <t>FLAMINGO STERNAL SPLINT BELT (XXXL)</t>
  </si>
  <si>
    <t>FG08165</t>
  </si>
  <si>
    <t>FLAMINGO CALF SUPPORT (XXXL)</t>
  </si>
  <si>
    <t>FG08166</t>
  </si>
  <si>
    <t>FLAMINGO THIGH SUPPORT (XXL)</t>
  </si>
  <si>
    <t>FG08167</t>
  </si>
  <si>
    <t>FLAMINGO THIGH SUPPORT (XXXL)</t>
  </si>
  <si>
    <t>FG08168</t>
  </si>
  <si>
    <t>FLAMINGO ARM IMMOBILIZER (XXL)</t>
  </si>
  <si>
    <t>FG08169</t>
  </si>
  <si>
    <t>FLAMINGO WRIST COCK-UP SPLINT (XXL)</t>
  </si>
  <si>
    <t>FG08170</t>
  </si>
  <si>
    <t>FLAMINGO HYPER EXTENSION BRACE LONG</t>
  </si>
  <si>
    <t>FG08171</t>
  </si>
  <si>
    <t>FLAMINGO HYPER EXTENSION BRACE SHORT</t>
  </si>
  <si>
    <t>FG08172</t>
  </si>
  <si>
    <t>FLAMINGO CAST SHOE (XL)</t>
  </si>
  <si>
    <t>FG08173</t>
  </si>
  <si>
    <t>FLAMINGO COCCYX CUSHION HARD</t>
  </si>
  <si>
    <t>FG08174</t>
  </si>
  <si>
    <t>FLAMINGO WEIGHT CUFF 0.5KG</t>
  </si>
  <si>
    <t>FG08175</t>
  </si>
  <si>
    <t>FLAMINGO WEIGHT CUFF 1KG</t>
  </si>
  <si>
    <t>FG08176</t>
  </si>
  <si>
    <t>FLAMINGO WEIGHT CUFF 2KG</t>
  </si>
  <si>
    <t>FG08177</t>
  </si>
  <si>
    <t>FLAMINGO GEL STIRRUP ANKLE BRACE-U</t>
  </si>
  <si>
    <t>FG08178</t>
  </si>
  <si>
    <t>FLAMINGO GEL MEDIAL ARCH SUPPORT (S)</t>
  </si>
  <si>
    <t>FG08179</t>
  </si>
  <si>
    <t>FLAMINGO GEL MEDIAL ARCH SUPPORT (M)</t>
  </si>
  <si>
    <t>FG08180</t>
  </si>
  <si>
    <t>FLAMINGO GEL MEDIAL ARCH SUPPORT (L)</t>
  </si>
  <si>
    <t>FG08181</t>
  </si>
  <si>
    <t>FLAMINGO GEL MEDIAL ARCH SUPPORT (XL)</t>
  </si>
  <si>
    <t>FG08182</t>
  </si>
  <si>
    <t>FLAMINGO PAVLIK HARNESS (S)</t>
  </si>
  <si>
    <t>FG08183</t>
  </si>
  <si>
    <t>FLAMINGO PAVLIK HARNESS (M)</t>
  </si>
  <si>
    <t>FG08184</t>
  </si>
  <si>
    <t>FLAMINGO PAVLIK HARNESS (L)</t>
  </si>
  <si>
    <t>FG08185</t>
  </si>
  <si>
    <t>FLAMINGO PAVLIK HARNESS (XS)</t>
  </si>
  <si>
    <t>FG08186</t>
  </si>
  <si>
    <t>FLAMINGO PAVLIK HARNESS (XXS)</t>
  </si>
  <si>
    <t>FG08187</t>
  </si>
  <si>
    <t>FLAMISTRETCH (LATEX EXERCISE BAND) - LIGHT</t>
  </si>
  <si>
    <t>FG08188</t>
  </si>
  <si>
    <t>FLAMISTRETCH (LATEX EXERCISE BAND) - MEDIUM</t>
  </si>
  <si>
    <t>FG08189</t>
  </si>
  <si>
    <t>FLAMISTRETCH (LATEX EXERCISE BAND) - HEAVY</t>
  </si>
  <si>
    <t>FG08190</t>
  </si>
  <si>
    <t>FLAMINGO ANTI-EMBOLISM BELOW KNEE STOCKINGS (PAIR) (S)</t>
  </si>
  <si>
    <t>FG08191</t>
  </si>
  <si>
    <t>FLAMINGO ANTI-EMBOLISM BELOW KNEE STOCKINGS (PAIR) (M)</t>
  </si>
  <si>
    <t>FG08192</t>
  </si>
  <si>
    <t>FLAMINGO ANTI-EMBOLISM BELOW KNEE STOCKINGS (PAIR) (L)</t>
  </si>
  <si>
    <t>FG08193</t>
  </si>
  <si>
    <t>FLAMINGO ANTI-EMBOLISM BELOW KNEE STOCKINGS (PAIR) (XL)</t>
  </si>
  <si>
    <t>FG08194</t>
  </si>
  <si>
    <t>FLAMINGO ANTI-EMBOLISM BELOW KNEE STOCKINGS (PAIR) (XXL)</t>
  </si>
  <si>
    <t>FG08195</t>
  </si>
  <si>
    <t>FLAMINGO ANTI-EMBOLISM BELOW KNEE STOCKINGS (PAIR) (XXXL)</t>
  </si>
  <si>
    <t>FG08196</t>
  </si>
  <si>
    <t>FLAMINGO ANTI-EMBOLISM ABOVE KNEE STOCKINS (PAIR) S</t>
  </si>
  <si>
    <t>FG08197</t>
  </si>
  <si>
    <t>FLAMINGO ANTI-EMBOLISM ABOVE KNEE STOCKINS (PAIR) M</t>
  </si>
  <si>
    <t>FG08198</t>
  </si>
  <si>
    <t>FLAMINGO ANTI-EMBOLISM ABOVE KNEE STOCKINS (PAIR) L</t>
  </si>
  <si>
    <t>FG08199</t>
  </si>
  <si>
    <t>FLAMINGO ANTI-EMBOLISM ABOVE KNEE STOCKINS (PAIR) XL</t>
  </si>
  <si>
    <t>FG08200</t>
  </si>
  <si>
    <t>FLAMINGO ANTI-EMBOLISM ABOVE KNEE STOCKINS (PAIR) XXL</t>
  </si>
  <si>
    <t>FG08201</t>
  </si>
  <si>
    <t>FLAMINGO ANTI-EMBOLISM ABOVE KNEE STOCKINS (PAIR) XXXL</t>
  </si>
  <si>
    <t>FG08202</t>
  </si>
  <si>
    <t>FLAMINGO MEDICAL COMPRESSION STOCKINGS BELOW KNEE (S)</t>
  </si>
  <si>
    <t>FG08203</t>
  </si>
  <si>
    <t>FLAMINGO MEDICAL COMPRESSION STOCKINGS BELOW KNEE (M)</t>
  </si>
  <si>
    <t>FG08204</t>
  </si>
  <si>
    <t>FLAMINGO MEDICAL COMPRESSION STOCKINGS BELOW KNEE (L)</t>
  </si>
  <si>
    <t>FG08205</t>
  </si>
  <si>
    <t>FLAMINGO MEDICAL COMPRESSION STOCKINGS BELOW KNEE (XL)</t>
  </si>
  <si>
    <t>FG08206</t>
  </si>
  <si>
    <t>FLAMINGO MEDICAL COMPRESSION STOCKINGS BELOW KNEE (XXL)</t>
  </si>
  <si>
    <t>FG08207</t>
  </si>
  <si>
    <t>FLAMINGO MEDICAL COMPRESSION STOCKINGS BELOW KNEE (XXXL)</t>
  </si>
  <si>
    <t>FG08208</t>
  </si>
  <si>
    <t>FLAMINGO MEDICAL COMPRES STOCKINGS ABOVE KNEE (S)</t>
  </si>
  <si>
    <t>FG08209</t>
  </si>
  <si>
    <t>FLAMINGO MEDICAL COMPRES STOCKINGS ABOVE KNEE (XXXL)</t>
  </si>
  <si>
    <t>FG08210</t>
  </si>
  <si>
    <t>FLAMINGO POSTURE BRACE (S)</t>
  </si>
  <si>
    <t>FG08211</t>
  </si>
  <si>
    <t>FLAMINGO POSTURE BRACE (M)</t>
  </si>
  <si>
    <t>FG08212</t>
  </si>
  <si>
    <t>FLAMINGO POSTURE BRACE (L)</t>
  </si>
  <si>
    <t>FG08213</t>
  </si>
  <si>
    <t>FLAMINGO POSTURE BRACE (XL)</t>
  </si>
  <si>
    <t>FG08214</t>
  </si>
  <si>
    <t>FLAMINGO POSTURE BRACE (XXL)</t>
  </si>
  <si>
    <t>FG08215</t>
  </si>
  <si>
    <t>FLAMINGO POSTURE BRACE (XXXL)</t>
  </si>
  <si>
    <t>FG08216</t>
  </si>
  <si>
    <t>FLAMINGO ABS WRAP (NEOPRENE) (S)</t>
  </si>
  <si>
    <t>FG08217</t>
  </si>
  <si>
    <t>FLAMINGO ABS WRAP (NEOPRENE) (M)</t>
  </si>
  <si>
    <t>FG08218</t>
  </si>
  <si>
    <t>FLAMINGO ABS WRAP (NEOPRENE) (L)</t>
  </si>
  <si>
    <t>FG08219</t>
  </si>
  <si>
    <t>FLAMINGO ADJUSTABLE BACK SUPPORT (NEOPRENE) (U)</t>
  </si>
  <si>
    <t>FG08220</t>
  </si>
  <si>
    <t>FLAMINGO WRIST/THUMB ABDUCTION BRACE LEFT (NEOPRENE) (S)</t>
  </si>
  <si>
    <t>FG08221</t>
  </si>
  <si>
    <t>FLAMINGO WRIST/THUMB ABDUCTION BRACE LEFT (NEOPRENE) (M)</t>
  </si>
  <si>
    <t>FG08222</t>
  </si>
  <si>
    <t>FLAMINGO WRIST/THUMB ABDUCTION BRACE LEFT (NEOPRENE) (L)</t>
  </si>
  <si>
    <t>FG08223</t>
  </si>
  <si>
    <t>FLAMINGO WRIST/THUMB ABDUCTION BRACE LEFT (NEOPRENE) (XL)</t>
  </si>
  <si>
    <t>FG08224</t>
  </si>
  <si>
    <t>FLAMINGO WRIST/THUMB ABDUCTION BRACE LEFT (NEOPRENE) (XXL)</t>
  </si>
  <si>
    <t>FG08225</t>
  </si>
  <si>
    <t>FLAMINGO WRIST/THUMB ABDUCTION BRACE RIGHT (NEOPRENE) (S)</t>
  </si>
  <si>
    <t>FG08226</t>
  </si>
  <si>
    <t>FLAMINGO WRIST/THUMB ABDUCTION BRACE RIGHT (NEOPRENE) (M)</t>
  </si>
  <si>
    <t>FG08227</t>
  </si>
  <si>
    <t>FLAMINGO WRIST/THUMB ABDUCTION BRACE RIGHT (NEOPRENE) (L)</t>
  </si>
  <si>
    <t>FG08228</t>
  </si>
  <si>
    <t>FLAMINGO WRIST/THUMB ABDUCTION BRACE RIGHT (NEOPRENE) (XL)</t>
  </si>
  <si>
    <t>FG08229</t>
  </si>
  <si>
    <t>FLAMINGO WRIST/THUMB ABDUCTION BRACE RIGHT (NEOPRENE) (XXL)</t>
  </si>
  <si>
    <t>FG08230</t>
  </si>
  <si>
    <t>FLAMINGO ADJUSTABLE ANKLE SUPPORT - U (NEOPRENE)</t>
  </si>
  <si>
    <t>FG08231</t>
  </si>
  <si>
    <t>FLAMINGO HUMERUS BRACE - U (NEOPRENE)</t>
  </si>
  <si>
    <t>FG08232</t>
  </si>
  <si>
    <t>FLAMINGO LACEPULL BACK BELT BLACK - U</t>
  </si>
  <si>
    <t>FG08233</t>
  </si>
  <si>
    <t>FLAMINGO BACK COMFORT BELT BLACK (S)</t>
  </si>
  <si>
    <t>FG08234</t>
  </si>
  <si>
    <t>FLAMINGO BACK COMFORT BELT BLACK (XXXL)</t>
  </si>
  <si>
    <t>FG08235</t>
  </si>
  <si>
    <t>FLAMINGO L.S BELY COM COM (S)</t>
  </si>
  <si>
    <t>FG08236</t>
  </si>
  <si>
    <t>FLAMINGO L.S BELY COM COM (XXL)</t>
  </si>
  <si>
    <t>FG08237</t>
  </si>
  <si>
    <t>CEFYROCLAV 625 MG B/12 CES</t>
  </si>
  <si>
    <t>FG08238</t>
  </si>
  <si>
    <t>GOOD NIGHT DENK B/60 CAPS</t>
  </si>
  <si>
    <t>FG08239</t>
  </si>
  <si>
    <t>CALCIUM SANDOZ FORTE 20CES EFF (FR)</t>
  </si>
  <si>
    <t>FG08240</t>
  </si>
  <si>
    <t>SYLUMET FORTE B/6</t>
  </si>
  <si>
    <t>FG08241</t>
  </si>
  <si>
    <t>DOMI - ERS 10 CES</t>
  </si>
  <si>
    <t>FG08242</t>
  </si>
  <si>
    <t>LINGE HYGENIC CONFORT EXTRA 1 PQT</t>
  </si>
  <si>
    <t>FG08243</t>
  </si>
  <si>
    <t>LINGE HYGENIC CONFORT NORMAL X 1 PQT</t>
  </si>
  <si>
    <t>FG08244</t>
  </si>
  <si>
    <t>FLAMINGO ELASTIC SHOULDER IMMOBILISER (XXXL)</t>
  </si>
  <si>
    <t>FG08245</t>
  </si>
  <si>
    <t>STRUCTUM 500 MG 60 GELULE</t>
  </si>
  <si>
    <t>FG08246</t>
  </si>
  <si>
    <t>PAMPERS ADULT DIAPER SIZE M 10 PCS</t>
  </si>
  <si>
    <t>FG08247</t>
  </si>
  <si>
    <t>PAMPERS ADULT DIAPER SIZE L 8 PCS</t>
  </si>
  <si>
    <t>FG08248</t>
  </si>
  <si>
    <t>PAMPERS ADULT DIAPER SIZE XL 8 PCS</t>
  </si>
  <si>
    <t>FG08250</t>
  </si>
  <si>
    <t>ALDACTONE 25 MG 50 CES</t>
  </si>
  <si>
    <t>FG08251</t>
  </si>
  <si>
    <t>GYNO - CANESTENE CREME 20 GR</t>
  </si>
  <si>
    <t>FG08252</t>
  </si>
  <si>
    <t>CEFPODOX 100MG (CEFPODOXIME) B/10CES</t>
  </si>
  <si>
    <t>FG08253</t>
  </si>
  <si>
    <t>CLIFA PLUS 15 GM GEL</t>
  </si>
  <si>
    <t>FG08254</t>
  </si>
  <si>
    <t>RANZIN SR 1000 MG B/30 CES</t>
  </si>
  <si>
    <t>FG08258</t>
  </si>
  <si>
    <t>FUMOZOL 15 GM CRAME</t>
  </si>
  <si>
    <t>FG08259</t>
  </si>
  <si>
    <t>PANOTAC 40 MG B/10 CES</t>
  </si>
  <si>
    <t>FG08260</t>
  </si>
  <si>
    <t>THIOCROS B/10 CES</t>
  </si>
  <si>
    <t>FG08261</t>
  </si>
  <si>
    <t>ANTI - ACIDE ( PRINACID)B/10X10 CES</t>
  </si>
  <si>
    <t>FG08262</t>
  </si>
  <si>
    <t>S FORCE GEL 2 SACHET</t>
  </si>
  <si>
    <t>FG08263</t>
  </si>
  <si>
    <t>ORANVIT VIT. C 1GM 10CES EFF</t>
  </si>
  <si>
    <t>FG08277</t>
  </si>
  <si>
    <t>PROBESOL CRAME 30 MG (PROMED)</t>
  </si>
  <si>
    <t>FG08279</t>
  </si>
  <si>
    <t>FORCE (SILDENAFIL) 50 MG 4 CES</t>
  </si>
  <si>
    <t>FG08280</t>
  </si>
  <si>
    <t>FORCE (SILDENAFIL) 100 MG GEL</t>
  </si>
  <si>
    <t>FG08281</t>
  </si>
  <si>
    <t>METROFOMET (ANTI INFECTIEUX) 200 MG CES</t>
  </si>
  <si>
    <t>FG08282</t>
  </si>
  <si>
    <t>A-DEM POUDRE 50MG</t>
  </si>
  <si>
    <t>FG08283</t>
  </si>
  <si>
    <t>VOLPA PLUS(DICLO.+PARA.+CHLORZO.) BT/10X10CES</t>
  </si>
  <si>
    <t>FG08284</t>
  </si>
  <si>
    <t>BRONCHO SP 100 ML</t>
  </si>
  <si>
    <t>FG08285</t>
  </si>
  <si>
    <t>TRAVONORM COLLYER FL/5 ML</t>
  </si>
  <si>
    <t>FG08286</t>
  </si>
  <si>
    <t>FLOXOR IV 100 ML</t>
  </si>
  <si>
    <t>FG08303</t>
  </si>
  <si>
    <t>MICROGYNON FE B/28 CES</t>
  </si>
  <si>
    <t>FG08304</t>
  </si>
  <si>
    <t>BISOPROLOL BIOGARAN 5 MG 90 CES</t>
  </si>
  <si>
    <t>FG08305</t>
  </si>
  <si>
    <t>MIPOTEC PLUS KIT (MIFEPRI+MISOPRO) B/5 CES</t>
  </si>
  <si>
    <t>FG08306</t>
  </si>
  <si>
    <t>CIFIN 100MG SUSP</t>
  </si>
  <si>
    <t>FG08309</t>
  </si>
  <si>
    <t>ARAUZINC+SRO (SAVEUR DORANGE) B/10 CES + 2 SACHETS</t>
  </si>
  <si>
    <t>FG08310</t>
  </si>
  <si>
    <t>CANDISTEN 18 OV KIT</t>
  </si>
  <si>
    <t>FG08311</t>
  </si>
  <si>
    <t>REVITALOSE C 1000MG B/28 AMP BUV</t>
  </si>
  <si>
    <t>FG08312</t>
  </si>
  <si>
    <t>MALASOFT 20/120 SOFT GEL B/6 CES</t>
  </si>
  <si>
    <t>FG08313</t>
  </si>
  <si>
    <t>MALASOFT 40/240 SOFT GEL B/6 CES</t>
  </si>
  <si>
    <t>FG08314</t>
  </si>
  <si>
    <t>MALASOFT 60/360 SOFT GEL B/6 CES</t>
  </si>
  <si>
    <t>FG08315</t>
  </si>
  <si>
    <t>MALASOFT 80/480 SOFT GEL B/6 CES</t>
  </si>
  <si>
    <t>FG08319</t>
  </si>
  <si>
    <t>MASQUE BOUCHE A BOUCHE 1 PC</t>
  </si>
  <si>
    <t>FG08320</t>
  </si>
  <si>
    <t>GONATE 120 MG INJECTION</t>
  </si>
  <si>
    <t>FG08321</t>
  </si>
  <si>
    <t>GONATE 180 MG INJECTION</t>
  </si>
  <si>
    <t>FG08322</t>
  </si>
  <si>
    <t>BENZONEEM 10% GEL</t>
  </si>
  <si>
    <t>FG08323</t>
  </si>
  <si>
    <t>BRONZAC (N-ACETYL CYSTEINE) 600MG B/10 CES</t>
  </si>
  <si>
    <t>FG08324</t>
  </si>
  <si>
    <t>CELAHIST 20MG B/10 CES</t>
  </si>
  <si>
    <t>FG08325</t>
  </si>
  <si>
    <t>CESADOX-CV B/10 CES</t>
  </si>
  <si>
    <t>FG08326</t>
  </si>
  <si>
    <t>CICLOPROX-P 50ML SHAMPOO</t>
  </si>
  <si>
    <t>FG08327</t>
  </si>
  <si>
    <t>DAPANEW 10MG B/30CES</t>
  </si>
  <si>
    <t>FG08328</t>
  </si>
  <si>
    <t>DAPANEW 5MG B/30CES</t>
  </si>
  <si>
    <t>FG08329</t>
  </si>
  <si>
    <t>ESOMEX-L B/10 CAP</t>
  </si>
  <si>
    <t>FG08330</t>
  </si>
  <si>
    <t>MEROMEX (MEROPENEM) 500MG INJ</t>
  </si>
  <si>
    <t>FG08331</t>
  </si>
  <si>
    <t>MEXYLOC 3000U CEIP B/30 CES</t>
  </si>
  <si>
    <t>FG08332</t>
  </si>
  <si>
    <t>RIVALIN 10MG B/28 CES</t>
  </si>
  <si>
    <t>FG08333</t>
  </si>
  <si>
    <t>RIVALIN 15MG B/28 CES</t>
  </si>
  <si>
    <t>FG08334</t>
  </si>
  <si>
    <t>RIVALIN 20MG B/28 CES</t>
  </si>
  <si>
    <t>FG08335</t>
  </si>
  <si>
    <t>ROX-C 750MG INJ</t>
  </si>
  <si>
    <t>FG08336</t>
  </si>
  <si>
    <t>SECTAB 500MG B/14 CES</t>
  </si>
  <si>
    <t>FG08337</t>
  </si>
  <si>
    <t>TELSOTON 40MG B/30 CES</t>
  </si>
  <si>
    <t>FG08338</t>
  </si>
  <si>
    <t>TELSOTON 80MG B/10 CES</t>
  </si>
  <si>
    <t>FG08339</t>
  </si>
  <si>
    <t>TRACOL (CITICOLINE) 1000MG/4MG B/5AMP</t>
  </si>
  <si>
    <t>FG08340</t>
  </si>
  <si>
    <t>UD-MEX 450MG SR B/10 CEES</t>
  </si>
  <si>
    <t>FG08341</t>
  </si>
  <si>
    <t>DITROPAN 5MG B/60CES</t>
  </si>
  <si>
    <t>FG08342</t>
  </si>
  <si>
    <t>FLATORIL B/45 GELS.</t>
  </si>
  <si>
    <t>FG08343</t>
  </si>
  <si>
    <t>META-TC B/20 CES</t>
  </si>
  <si>
    <t>FG08344</t>
  </si>
  <si>
    <t>LANOCARE 30G CREAM</t>
  </si>
  <si>
    <t>FG08345</t>
  </si>
  <si>
    <t>CEFUROCLAV 625MG B/12CES</t>
  </si>
  <si>
    <t>FG08352</t>
  </si>
  <si>
    <t>TANO TH 15 GM CRAME</t>
  </si>
  <si>
    <t>FG08357</t>
  </si>
  <si>
    <t>ADAPTATEURS AIGUILLES, 250 PCS/SAC</t>
  </si>
  <si>
    <t>FG08358</t>
  </si>
  <si>
    <t>CRYOBOXES EN PLASTIC, 81WELLS (9*9), UNITE</t>
  </si>
  <si>
    <t>FG08359</t>
  </si>
  <si>
    <t>AIGUILLES PAPILLON OU AILETTE 22G (NOIR), B/100</t>
  </si>
  <si>
    <t>FG08360</t>
  </si>
  <si>
    <t>AIGUILLES PAPILLON OU AILETTE 23G (BLUE), B/100</t>
  </si>
  <si>
    <t>FG08361</t>
  </si>
  <si>
    <t>EMBOUT BLANC 0,5 - 10 ?L,1000PCS/SACHET</t>
  </si>
  <si>
    <t>FG08362</t>
  </si>
  <si>
    <t>EMBOUT BLANC AVEC FILTRE B/96</t>
  </si>
  <si>
    <t>FG08363</t>
  </si>
  <si>
    <t>MILIEU DE TRANSPORT CARY BLAIR (TAMPON EN PLASTIQUE), 100PCS/SACHET</t>
  </si>
  <si>
    <t>FG08364</t>
  </si>
  <si>
    <t>TUBE À CENTRIFUGER 15 ML, FOND CONIQUE, 100PCS/SACHET</t>
  </si>
  <si>
    <t>FG08365</t>
  </si>
  <si>
    <t>BAC DE COLORATION POUR 9 LAMES, VERRE, UNITE</t>
  </si>
  <si>
    <t>FG08366</t>
  </si>
  <si>
    <t>BAC DE COLORATION POUR 10 LAMES, VERRE, UNITE</t>
  </si>
  <si>
    <t>FG08367</t>
  </si>
  <si>
    <t>BAC DE COLORATION POUR 30 LAMES, VERRE, UNITE</t>
  </si>
  <si>
    <t>FG08368</t>
  </si>
  <si>
    <t>BAC DE COLORATION POUR 60 LAMES, VERRE, UNITE</t>
  </si>
  <si>
    <t>FG08369</t>
  </si>
  <si>
    <t>BAC DE COLORATION INOX 30 LAMES, UNITE</t>
  </si>
  <si>
    <t>FG08370</t>
  </si>
  <si>
    <t>VENTILATEUR D’URGENCE ET DE TRANSPORT, MULTIFONCTIONNEL</t>
  </si>
  <si>
    <t>FG08371</t>
  </si>
  <si>
    <t>ECHOGRAPHIE CHARIOT COULEUR CBIT6-4 SONDE</t>
  </si>
  <si>
    <t>FG08372</t>
  </si>
  <si>
    <t>ECHOGRAPHIE PORTABLE - ECO 2 AVEC 2 SONDE, CONVEX &amp; TRANSVAGINAL NOIR ET BLANC</t>
  </si>
  <si>
    <t>FG08373</t>
  </si>
  <si>
    <t>ECHOGRAPHIE PORTABLE - ECO 6 AVEC 2 SONDE, CONVEX &amp; TRANSVAGINAL, COULEUR</t>
  </si>
  <si>
    <t>FG08374</t>
  </si>
  <si>
    <t>ECHOGRAPHIE PORTABLE - SONOAIR30 AVEC 3 SONDE, CONVEX, PHASED ARRAY, LINEAR ET CONNECTEURS DE SONDES, COULEUR</t>
  </si>
  <si>
    <t>FG08375</t>
  </si>
  <si>
    <t>ECHOGRAPHIE DE POCHE SONOEYE P5 AVEC TABLETTE, COULEUR</t>
  </si>
  <si>
    <t>FG08376</t>
  </si>
  <si>
    <t>ECHOGRAPHIE SONDE, PHASE ARRAY ET TRANSVAGINAL, CBIT 4</t>
  </si>
  <si>
    <t>FG08377</t>
  </si>
  <si>
    <t>ECHOGRAPHIE ECRAN CBIT8, UNITE</t>
  </si>
  <si>
    <t>FG08378</t>
  </si>
  <si>
    <t>ECHOGRAPHIE SUPPORT EN FORME C, UNITE</t>
  </si>
  <si>
    <t>FG08379</t>
  </si>
  <si>
    <t>CENTRIFUGEUSE REFRIGEREE SEAUX OVALES 6*1000ML AVEC ROTOR PIVOTANT ET JEU D'ADAPTATEURS POCHES DE SANG</t>
  </si>
  <si>
    <t>FG08380</t>
  </si>
  <si>
    <t>LANCET 28G, 100 LANCETS/BOITE</t>
  </si>
  <si>
    <t>FG08381</t>
  </si>
  <si>
    <t>LANCET 30G, 100 PIECES/BOITE</t>
  </si>
  <si>
    <t>FG08382</t>
  </si>
  <si>
    <t>TDR - COTININE, TEST SALIVAIRE, CASSETTE - 25NG/ML, B/30 TESTS</t>
  </si>
  <si>
    <t>FG08383</t>
  </si>
  <si>
    <t>FIOLE ERLENMEYER, COL ETROIT, 250 ML, PC</t>
  </si>
  <si>
    <t>FG08384</t>
  </si>
  <si>
    <t>COUPE-ONGLES POUR BEBE NOUVEAU-NE, UNITE</t>
  </si>
  <si>
    <t>FG08385</t>
  </si>
  <si>
    <t>HOSPITAL BED HEAD AND LEG SUPPORT, PLASTIC, UNITE</t>
  </si>
  <si>
    <t>FG08386</t>
  </si>
  <si>
    <t>BATTERY OPERATED OSCILLATING SAW COMES WITH 1 MOTOR 5 BLADES</t>
  </si>
  <si>
    <t>FG08387</t>
  </si>
  <si>
    <t>INS - PINCE CALIPER GRAISSE CORPORELLE, UNITE</t>
  </si>
  <si>
    <t>FG08388</t>
  </si>
  <si>
    <t>COUVRE-DOIGTS JETABLE, 1000/SACHET</t>
  </si>
  <si>
    <t>FG08389</t>
  </si>
  <si>
    <t>ASPIRATEUR NASAL, MOUCHE-BEBE, UNITE</t>
  </si>
  <si>
    <t>FG08390</t>
  </si>
  <si>
    <t>TIRE-LAIT MANUEL BIBERON PP, UNITE</t>
  </si>
  <si>
    <t>FG08391</t>
  </si>
  <si>
    <t>TIRE-LAIT ELECTRIQUE DOUBLE</t>
  </si>
  <si>
    <t>FG08392</t>
  </si>
  <si>
    <t>CHAUFFE-BIBERON ET SECHE-BIBERON BEBE, UNITE</t>
  </si>
  <si>
    <t>FG08393</t>
  </si>
  <si>
    <t>CHAUFFE-LAIT POUR BEBE CHAUFFE-BIBERON, UNITE</t>
  </si>
  <si>
    <t>FG08394</t>
  </si>
  <si>
    <t>INSECTICIDE POLYVALENT RAMPANT ET VOLANT 600ML, UNITE</t>
  </si>
  <si>
    <t>FG08395</t>
  </si>
  <si>
    <t>CHAISE BALANCE AVEC BATTERIE RECHARGEABLE, UNITE</t>
  </si>
  <si>
    <t>FG08396</t>
  </si>
  <si>
    <t>GEL DESINFECTANT POUR LES MAINS 75%, 300 ML</t>
  </si>
  <si>
    <t>FG08397</t>
  </si>
  <si>
    <t>ANAFLAM SUSP 100 ML</t>
  </si>
  <si>
    <t>FG08398</t>
  </si>
  <si>
    <t>PATOUX HERBAL COUGH SYRUP 100 ML</t>
  </si>
  <si>
    <t>FG08399</t>
  </si>
  <si>
    <t>TANZOL PLUS SUSP 10 ML</t>
  </si>
  <si>
    <t>FG08419</t>
  </si>
  <si>
    <t>NALIGYL (METRO.200MG+NORFLO.200MG) B/10 CES</t>
  </si>
  <si>
    <t>FG08420</t>
  </si>
  <si>
    <t>NALIGYL-DP (METRO.600MG+NORFLO.400MG) B/10 CES</t>
  </si>
  <si>
    <t>FG08421</t>
  </si>
  <si>
    <t>BONNE NUIT-100 (SILDENAFIL) B/5 A CROQUER CES CHOCOLATE</t>
  </si>
  <si>
    <t>FG08422</t>
  </si>
  <si>
    <t>GLUCOREL100CES NON EFF. (EDULCORANT SANS ASPARTAME)</t>
  </si>
  <si>
    <t>FG08424</t>
  </si>
  <si>
    <t>S- FORCE AMOUNT GEL 2 SACHET</t>
  </si>
  <si>
    <t>FG08425</t>
  </si>
  <si>
    <t>REFRIGERATEUR DE LABORATOIRE 2 à 8 DEGRES - 298L</t>
  </si>
  <si>
    <t>FG08426</t>
  </si>
  <si>
    <t>ACICLOVIR 200MG 10X10 CES (GENERIC)</t>
  </si>
  <si>
    <t>FG08427</t>
  </si>
  <si>
    <t>ACICLOVIR CREAM T/ 7 G (GENERIC)</t>
  </si>
  <si>
    <t>FG08428</t>
  </si>
  <si>
    <t>ARODERME POUDRE CITRON 100GM</t>
  </si>
  <si>
    <t>FG08429</t>
  </si>
  <si>
    <t>FORCE 100MG (SILDENAFIL) 4CES</t>
  </si>
  <si>
    <t>FG08430</t>
  </si>
  <si>
    <t>RHESUSCOPE</t>
  </si>
  <si>
    <t>FG08431</t>
  </si>
  <si>
    <t>ORTHOGLIC B/10 CES</t>
  </si>
  <si>
    <t>FG08460</t>
  </si>
  <si>
    <t>CLEEN PHOSPHO SODA 45ML</t>
  </si>
  <si>
    <t>FG08467</t>
  </si>
  <si>
    <t>AMLOZYNE-NC 10MG 1X30MG TAB</t>
  </si>
  <si>
    <t>FG08557</t>
  </si>
  <si>
    <t>SINUTAB 15ML SPRAY</t>
  </si>
  <si>
    <t>FG08561</t>
  </si>
  <si>
    <t>ANUSOL B/12 SUPPO</t>
  </si>
  <si>
    <t>FG08562</t>
  </si>
  <si>
    <t>ANUSOL 25GR CRÈME</t>
  </si>
  <si>
    <t>FG08601</t>
  </si>
  <si>
    <t>PARACETAMOL B/5 AMP</t>
  </si>
  <si>
    <t>FG08605</t>
  </si>
  <si>
    <t>ALLONG (EXTENSION)</t>
  </si>
  <si>
    <t>FG08606</t>
  </si>
  <si>
    <t>SAC MORTIUAIRE 1 PC</t>
  </si>
  <si>
    <t>FG08607</t>
  </si>
  <si>
    <t>NYLON NO.3/0...PCS/1</t>
  </si>
  <si>
    <t>FG08608</t>
  </si>
  <si>
    <t>TEST RAPIDE HEPATITE C KIT DE 50 TEST</t>
  </si>
  <si>
    <t>FG08609</t>
  </si>
  <si>
    <t>TUBE EPENDOF</t>
  </si>
  <si>
    <t>FG08610</t>
  </si>
  <si>
    <t>BANDELETTES ONE TOUCH SELECT B/50 TEST STRIPS</t>
  </si>
  <si>
    <t>FG08611</t>
  </si>
  <si>
    <t>BANDELLETTE REACTIVE ONE CALL PLUS KIT DE 50 TESTS</t>
  </si>
  <si>
    <t>FG08612</t>
  </si>
  <si>
    <t>GLUCOMETRE ONE TOUCH SELECT PLUS</t>
  </si>
  <si>
    <t>FG08613</t>
  </si>
  <si>
    <t>GLUCOMèTRE ONE CALL PLUS</t>
  </si>
  <si>
    <t>FG08614</t>
  </si>
  <si>
    <t>JERSEY</t>
  </si>
  <si>
    <t>FG08615</t>
  </si>
  <si>
    <t>MICROPIPETTE à DEUX VOIES</t>
  </si>
  <si>
    <t>FG08616</t>
  </si>
  <si>
    <t>MICROPIPETTE à TROIS VOIES</t>
  </si>
  <si>
    <t>FG08617</t>
  </si>
  <si>
    <t>PINCE PORTE AIGUILLE</t>
  </si>
  <si>
    <t>FG08618</t>
  </si>
  <si>
    <t>TEST HIV STARPACK</t>
  </si>
  <si>
    <t>FG08619</t>
  </si>
  <si>
    <t>GLUCOMETRE SINOCARE APPAREIL</t>
  </si>
  <si>
    <t>FG08620</t>
  </si>
  <si>
    <t>BANDELETTE SINOCARE B/50</t>
  </si>
  <si>
    <t>FG08630</t>
  </si>
  <si>
    <t>SPARADRAP (PERFORATED ADHESIVE) 10 CM X 5M</t>
  </si>
  <si>
    <t>FG08631</t>
  </si>
  <si>
    <t>CITRIZINE 10MG DISP. B/10 CES</t>
  </si>
  <si>
    <t>FG08665</t>
  </si>
  <si>
    <t>BANDELETTE D'HEMOGLOBINE HS-101</t>
  </si>
  <si>
    <t>FG08666</t>
  </si>
  <si>
    <t>BANDELETTE REACTIVE ONE TOUCH SELECT PLUS</t>
  </si>
  <si>
    <t>FG08667</t>
  </si>
  <si>
    <t>MICROPIPETTE A UNE VOIE</t>
  </si>
  <si>
    <t>FG08668</t>
  </si>
  <si>
    <t>SOLUTION DE GRAM</t>
  </si>
  <si>
    <t>FG08669</t>
  </si>
  <si>
    <t>TISSU DRIL BLEU</t>
  </si>
  <si>
    <t>FG08695</t>
  </si>
  <si>
    <t>HEMOFORCE PREGA SYRP 200ML</t>
  </si>
  <si>
    <t>FG08696</t>
  </si>
  <si>
    <t>VIT A 2000 UI GEL B/500</t>
  </si>
  <si>
    <t>FG08710</t>
  </si>
  <si>
    <t>SICKEL TEST</t>
  </si>
  <si>
    <t>FG08711</t>
  </si>
  <si>
    <t>BACHE 4X6</t>
  </si>
  <si>
    <t>FG08712</t>
  </si>
  <si>
    <t>BOTTE</t>
  </si>
  <si>
    <t>FG08713</t>
  </si>
  <si>
    <t>CUILLERE</t>
  </si>
  <si>
    <t>FG08714</t>
  </si>
  <si>
    <t>GOBELET D EAU</t>
  </si>
  <si>
    <t>FG08715</t>
  </si>
  <si>
    <t>ACCU CHECK ACTIVE APARE KIT</t>
  </si>
  <si>
    <t>FG08716</t>
  </si>
  <si>
    <t>GLUCOPHAGE 850MG B/60</t>
  </si>
  <si>
    <t>FG08717</t>
  </si>
  <si>
    <t>IMN- MAGLUMI 800 TSH (CLIA),, 50TEST/KIT</t>
  </si>
  <si>
    <t>FG08728</t>
  </si>
  <si>
    <t>MONTELUS (MONTELUKAST &amp; FEXOFENADINE) B/10 CES</t>
  </si>
  <si>
    <t>FG08729</t>
  </si>
  <si>
    <t>EP-ROYAL 3G TUBE</t>
  </si>
  <si>
    <t>FG08731</t>
  </si>
  <si>
    <t>VECURONIUM B/1 AMP</t>
  </si>
  <si>
    <t>FG08738</t>
  </si>
  <si>
    <t>DAVIGRA-T (TADALAFIL 20MG) B/4 CES</t>
  </si>
  <si>
    <t>FG08744</t>
  </si>
  <si>
    <t>CUPULE EN ACIER POUR NACL 200ML</t>
  </si>
  <si>
    <t>FG08745</t>
  </si>
  <si>
    <t>PLASTIC CHAIR</t>
  </si>
  <si>
    <t>FG08746</t>
  </si>
  <si>
    <t>LOMOH 40MG INJ</t>
  </si>
  <si>
    <t>FG08747</t>
  </si>
  <si>
    <t>LOMOH 80MG INJ</t>
  </si>
  <si>
    <t>FG08748</t>
  </si>
  <si>
    <t>MYCOZEMA 75GM SAVON</t>
  </si>
  <si>
    <t>FG08749</t>
  </si>
  <si>
    <t>LOMO 60M</t>
  </si>
  <si>
    <t>FG08757</t>
  </si>
  <si>
    <t>NO CHOL PLUS (ASTROVASTATINE &amp; TELMISARTAN ) 10X10 CES</t>
  </si>
  <si>
    <t>FG08762</t>
  </si>
  <si>
    <t>PARACETAMOL 1G EFF B/20 CES</t>
  </si>
  <si>
    <t>FG08765</t>
  </si>
  <si>
    <t>PIROXICAM 20 MG B/10 CAPSULES</t>
  </si>
  <si>
    <t>FG08767</t>
  </si>
  <si>
    <t>OMEPRAZOLE SODIQUE 40MG INJ B/1 AMP</t>
  </si>
  <si>
    <t>FG08768</t>
  </si>
  <si>
    <t>CISEAUX DROIT, MOUSSE/MOUSSE, 14CM,PIèCE, UNITé</t>
  </si>
  <si>
    <t>FG08769</t>
  </si>
  <si>
    <t>CISEAUX DROIT, POINTE/MOUSSE, 14CM,PIèCE, UNITé</t>
  </si>
  <si>
    <t>FG08770</t>
  </si>
  <si>
    <t>CISEAUX DROIT, POINTU/POINTU, 14CM,PIèCE, UNITé</t>
  </si>
  <si>
    <t>FG08771</t>
  </si>
  <si>
    <t>CISEAUX COURBE, MOUSSE/MOUSSE, 14CM,PIèCE, UNITé</t>
  </si>
  <si>
    <t>FG08772</t>
  </si>
  <si>
    <t>CISEAUX COURBE, POINTE/MOUSSE, 14CM,PIèCE, UNITé</t>
  </si>
  <si>
    <t>FG08773</t>
  </si>
  <si>
    <t>CISEAUX COURBE, POINTU/POINTU, 14CM,PIèCE, UNITé</t>
  </si>
  <si>
    <t>FG08774</t>
  </si>
  <si>
    <t>CISEAUX DROIT, POINTE/MOUSSE, 16CM,PIèCE, UNITé</t>
  </si>
  <si>
    <t>FG08775</t>
  </si>
  <si>
    <t>CISEAUX DROIT, POINTU/POINTU, 16CM,PIèCE, UNITé</t>
  </si>
  <si>
    <t>FG08776</t>
  </si>
  <si>
    <t>CISEAUX COURBE, MOUSSE/MOUSSE, 16CM,PIèCE, UNITé</t>
  </si>
  <si>
    <t>FG08777</t>
  </si>
  <si>
    <t>CISEAUX COURBE, POINTE/MOUSSE, 16CM,PIèCE, UNITé</t>
  </si>
  <si>
    <t>FG08778</t>
  </si>
  <si>
    <t>CISEAUX COURBE, POINTU/POINTU, 16CM,PIèCE, UNITé</t>
  </si>
  <si>
    <t>FG08779</t>
  </si>
  <si>
    <t>CISEAUX DROIT, MOUSSE/MOUSSE, 18CM,PIèCE, UNITé</t>
  </si>
  <si>
    <t>FG08780</t>
  </si>
  <si>
    <t>CISEAUX DROIT, POINTE/MOUSSE, 18CM,PIèCE, UNITé</t>
  </si>
  <si>
    <t>FG08781</t>
  </si>
  <si>
    <t>CISEAUX DROIT, POINTU/POINTU, 18CM,PIèCE, UNITé</t>
  </si>
  <si>
    <t>FG08782</t>
  </si>
  <si>
    <t>CISEAUX COURBE, MOUSSE/MOUSSE, 18CM,PIèCE, UNITé</t>
  </si>
  <si>
    <t>FG08783</t>
  </si>
  <si>
    <t>CISEAUX COURBE, POINTE/MOUSSE, 18CM,PIèCE, UNITé</t>
  </si>
  <si>
    <t>FG08784</t>
  </si>
  <si>
    <t>CISEAUX COURBE, POINTU/POINTU, 18CM,PIèCE, UNITé</t>
  </si>
  <si>
    <t>FG08785</t>
  </si>
  <si>
    <t>CISEAUX DROIT, POINTE/MOUSSE, 20CM,PIèCE, UNITé</t>
  </si>
  <si>
    <t>FG08786</t>
  </si>
  <si>
    <t>CISEAUX DROIT, POINTU/POINTU, 20CM,PIèCE, UNITé</t>
  </si>
  <si>
    <t>FG08787</t>
  </si>
  <si>
    <t>CISEAUX COURBE, MOUSSE/MOUSSE, 20CM,PIèCE, UNITé</t>
  </si>
  <si>
    <t>FG08788</t>
  </si>
  <si>
    <t>CISEAUX COURBE, POINTE/MOUSSE, 20CM,PIèCE, UNITé</t>
  </si>
  <si>
    <t>FG08789</t>
  </si>
  <si>
    <t>CISEAUX COURBE, POINTU/POINTU, 20CM,PIèCE, UNITé</t>
  </si>
  <si>
    <t>FG08790</t>
  </si>
  <si>
    <t>CISEAUX COURBE, MOUSSE/MOUSSE, 23CM,PIèCE, UNITé</t>
  </si>
  <si>
    <t>FG08791</t>
  </si>
  <si>
    <t>CISEAUX COURBE, POINTE/MOUSSE, 23CM,PIèCE, UNITé</t>
  </si>
  <si>
    <t>FG08792</t>
  </si>
  <si>
    <t>PINCE HéMOSTATIQUE DE KOCHER,12.5CM,DROITE, SANS DENT, UNITé</t>
  </si>
  <si>
    <t>FG08793</t>
  </si>
  <si>
    <t>PINCE HéMOSTATIQUE DE KOCHER,14CM,DROITE, SANS DENT, UNITé</t>
  </si>
  <si>
    <t>FG08794</t>
  </si>
  <si>
    <t>PINCE HéMOSTATIQUE DE KOCHER,14CM,COURBE, AVEC DENT, UNITé</t>
  </si>
  <si>
    <t>FG08795</t>
  </si>
  <si>
    <t>PINCE HéMOSTATIQUE DE KOCHER,14CM,COURBE, SANS DENT, UNITé</t>
  </si>
  <si>
    <t>FG08796</t>
  </si>
  <si>
    <t>PINCE HéMOSTATIQUE DE KOCHER,16CM,DROITE, SANS DENT, UNITé</t>
  </si>
  <si>
    <t>FG08797</t>
  </si>
  <si>
    <t>PINCE PORTE AIGUILLE 14CM</t>
  </si>
  <si>
    <t>FG08798</t>
  </si>
  <si>
    <t>PINCE PORTE AIGUILLE 16 CM</t>
  </si>
  <si>
    <t>FG08803</t>
  </si>
  <si>
    <t>THIOCROS (ACECLOFENAC AND TRHIOCOLCHICOSIDE) B/10 CES</t>
  </si>
  <si>
    <t>FG08806</t>
  </si>
  <si>
    <t>PINCE PLACENTAIRE OU DE KELLY</t>
  </si>
  <si>
    <t>FG08807</t>
  </si>
  <si>
    <t>PINCE INTERMEDIARE + GODET</t>
  </si>
  <si>
    <t>FG08808</t>
  </si>
  <si>
    <t>BOITE METALLIQUE A MATERIEL</t>
  </si>
  <si>
    <t>FG08809</t>
  </si>
  <si>
    <t>ENCRE DE CHINE 100ML</t>
  </si>
  <si>
    <t>FG08810</t>
  </si>
  <si>
    <t>TUYAU POUR ASPIRATEUR ELECTRIQUE</t>
  </si>
  <si>
    <t>FG08811</t>
  </si>
  <si>
    <t>BALANCE PESE-PERSONNE SECA</t>
  </si>
  <si>
    <t>FG08820</t>
  </si>
  <si>
    <t>XYLAVI 200ML IV</t>
  </si>
  <si>
    <t>FG08821</t>
  </si>
  <si>
    <t>EXXIB (CELECOXIB) 200MG CES</t>
  </si>
  <si>
    <t>FG08822</t>
  </si>
  <si>
    <t>MICARDIS PLUS 40MG/12.5MG B/30CES (FR)</t>
  </si>
  <si>
    <t>FG08823</t>
  </si>
  <si>
    <t>RAPID FLAM (IBUPROFENE &amp; PARACETAMOL) 50ML SUSPENSION</t>
  </si>
  <si>
    <t>FG08824</t>
  </si>
  <si>
    <t>APROVASAC 150MG/10MG B/28CES (EO)</t>
  </si>
  <si>
    <t>FG08873</t>
  </si>
  <si>
    <t>SONDES DE DENTISTERIE</t>
  </si>
  <si>
    <t>FG08874</t>
  </si>
  <si>
    <t>CO-AVAZIR 0.3%/0.1% PDE OPHT 5G</t>
  </si>
  <si>
    <t>FG08875</t>
  </si>
  <si>
    <t>VIBROCIL SPRAY 15ML</t>
  </si>
  <si>
    <t>FG08882</t>
  </si>
  <si>
    <t>ENOXA 8000UI 2 SERINGUES (FR)</t>
  </si>
  <si>
    <t>FG08883</t>
  </si>
  <si>
    <t>NAUSELIUM 10MG B/20 CES</t>
  </si>
  <si>
    <t>FG08890</t>
  </si>
  <si>
    <t>LEVETIRACETAM (VIATRIS 100MG/ML) 500MG/5MLB/10 AMP</t>
  </si>
  <si>
    <t>FG08894</t>
  </si>
  <si>
    <t>GENCEBOK 10MG/ML PERFUSION 30X1MP 1ML</t>
  </si>
  <si>
    <t>FG08895</t>
  </si>
  <si>
    <t>AMLODIPININE BIOGARAN 5MG B/90 GELS</t>
  </si>
  <si>
    <t>FG08896</t>
  </si>
  <si>
    <t>AMLODIPININE BIOGARAN 10MG B/90 GELS</t>
  </si>
  <si>
    <t>FG08897</t>
  </si>
  <si>
    <t>GLYXIOA 100MG B/30 CES</t>
  </si>
  <si>
    <t>FG08898</t>
  </si>
  <si>
    <t>GLYXIOA 50MG B/30 CES</t>
  </si>
  <si>
    <t>FG08908</t>
  </si>
  <si>
    <t>JANUMET 50/850 MG B/56 CES</t>
  </si>
  <si>
    <t>FG00002</t>
  </si>
  <si>
    <t>3 VOIES ROBINET SANS EXTENSION TUBE3 FAÇON ROBINET</t>
  </si>
  <si>
    <t>FG00008</t>
  </si>
  <si>
    <t>A TO Z (MULTIVITAMIN) SIROP 200ML</t>
  </si>
  <si>
    <t>FG00014</t>
  </si>
  <si>
    <t>AACIFEMINE 30CES 2MG (FR)</t>
  </si>
  <si>
    <t>FG00023</t>
  </si>
  <si>
    <t>AC SPLIT 12000 BTU</t>
  </si>
  <si>
    <t>FG00024</t>
  </si>
  <si>
    <t>AC SPLIT 18000 BTU</t>
  </si>
  <si>
    <t>FG00025</t>
  </si>
  <si>
    <t>AC SPLIT 24000 BTU</t>
  </si>
  <si>
    <t>FG00026</t>
  </si>
  <si>
    <t>AC SPLIT 9000 BTU</t>
  </si>
  <si>
    <t>FG00027</t>
  </si>
  <si>
    <t>AC SPLIT 9000 BTU SAMSUNG</t>
  </si>
  <si>
    <t>FG00030</t>
  </si>
  <si>
    <t>ACETONE</t>
  </si>
  <si>
    <t>FG00031</t>
  </si>
  <si>
    <t>ACFOL (ACID FOLLIC) 5MG B/25CES (FR)</t>
  </si>
  <si>
    <t>FG00033</t>
  </si>
  <si>
    <t>ACIDAXIL SUSP BUV FL 200ML B/1</t>
  </si>
  <si>
    <t>FG00034</t>
  </si>
  <si>
    <t>ACIDE ACETIQUE</t>
  </si>
  <si>
    <t>FG00041</t>
  </si>
  <si>
    <t>ACLAV ENF 100/12.5MG SP 60ML (FR(</t>
  </si>
  <si>
    <t>FG00042</t>
  </si>
  <si>
    <t>ACTIMAG SIROP 100ML (E.O.)</t>
  </si>
  <si>
    <t>FG00044</t>
  </si>
  <si>
    <t>ACULAR 0.5% CY 5ML (EO)</t>
  </si>
  <si>
    <t>FG00045</t>
  </si>
  <si>
    <t>ACYCLOVIR DENK 200 5*5CES</t>
  </si>
  <si>
    <t>FG00048</t>
  </si>
  <si>
    <t>ADVIL 400MG 20CES (FR)</t>
  </si>
  <si>
    <t>FG00049</t>
  </si>
  <si>
    <t>ADVIL SUSP. BUV. 200ML (FR)</t>
  </si>
  <si>
    <t>FG00050</t>
  </si>
  <si>
    <t>AERIUS 0.5 MG/ML SOLUTION BUVABLE 150ML (FR)</t>
  </si>
  <si>
    <t>FG00051</t>
  </si>
  <si>
    <t>AERIUS 5MG....... 7CES(FR)</t>
  </si>
  <si>
    <t>FG00054</t>
  </si>
  <si>
    <t>AIGUILLE A PONCTION LOMBAIRE NO-16G 1 PCS</t>
  </si>
  <si>
    <t>FG00055</t>
  </si>
  <si>
    <t>AIGUILLE A PONCTION LOMBAIRE NO-18G 1 PCS</t>
  </si>
  <si>
    <t>FG00056</t>
  </si>
  <si>
    <t>AIGUILLE A PONCTION LOMBAIRE NO-19G 1 PCS</t>
  </si>
  <si>
    <t>FG00057</t>
  </si>
  <si>
    <t>AIGUILLE A PONCTION LOMBAIRE NO-20G 1 PCS</t>
  </si>
  <si>
    <t>FG00058</t>
  </si>
  <si>
    <t>AIGUILLE A PONCTION LOMBAIRE NO-21G 1 PCS</t>
  </si>
  <si>
    <t>FG00059</t>
  </si>
  <si>
    <t>AIGUILLE A PONCTION LOMBAIRE NO-22G 1 PCS</t>
  </si>
  <si>
    <t>FG00060</t>
  </si>
  <si>
    <t>AIGUILLE A PONCTION LOMBAIRE NO-23G 1 PCS</t>
  </si>
  <si>
    <t>FG00061</t>
  </si>
  <si>
    <t>AIGUILLE A PONCTION LOMBAIRE NO-24G 1 PCS</t>
  </si>
  <si>
    <t>FG00062</t>
  </si>
  <si>
    <t>AIGUILLE A PONCTION LOMBAIRE NO-25G 1 PCS</t>
  </si>
  <si>
    <t>FG00063</t>
  </si>
  <si>
    <t>AIGUILLE A PONCTION LOMBAIRE NO-27G 1 PCS</t>
  </si>
  <si>
    <t>FG00064</t>
  </si>
  <si>
    <t>AIGUILLE DENTAINE NO.G27</t>
  </si>
  <si>
    <t>FG00065</t>
  </si>
  <si>
    <t>AIGUILLE DENTAINE NO.G30</t>
  </si>
  <si>
    <t>FG00067</t>
  </si>
  <si>
    <t>AIGUILLE VACUTAINER NO. 21 VERT</t>
  </si>
  <si>
    <t>FG00068</t>
  </si>
  <si>
    <t>AIGUILLE VACUTAINER NO.22 NOIR</t>
  </si>
  <si>
    <t>FG00069</t>
  </si>
  <si>
    <t>AIRTAL 100MG B/10CES (FR)</t>
  </si>
  <si>
    <t>FG00078</t>
  </si>
  <si>
    <t>ALBUMINE 20% (ALBUREL) 20G/100ML IV PERFUSION</t>
  </si>
  <si>
    <t>FG00081</t>
  </si>
  <si>
    <t>ALCOOL ACETONE</t>
  </si>
  <si>
    <t>FG00082</t>
  </si>
  <si>
    <t>ALCOOL ACIDE</t>
  </si>
  <si>
    <t>FG00096</t>
  </si>
  <si>
    <t>ALCOZYNE XP SYRUP 100ML</t>
  </si>
  <si>
    <t>FG00097</t>
  </si>
  <si>
    <t>ALDACTONE 100MG 30CES (FR)</t>
  </si>
  <si>
    <t>FG00098</t>
  </si>
  <si>
    <t>ALDACTONE 50MG 30CES(FR)</t>
  </si>
  <si>
    <t>FG00099</t>
  </si>
  <si>
    <t>ALDOMET **( EUROPE )**250MG 10CES PL (EO)</t>
  </si>
  <si>
    <t>FG00100</t>
  </si>
  <si>
    <t>ALDOMET 500MG 30CES (FR)</t>
  </si>
  <si>
    <t>FG00101</t>
  </si>
  <si>
    <t>ALEZE ( LEVONORGESTREL) 1.5MG B/1CES</t>
  </si>
  <si>
    <t>FG00102</t>
  </si>
  <si>
    <t>ALEZE (CONTRACEPTIF HORMONAL ORAL ) B/28 CES</t>
  </si>
  <si>
    <t>FG00103</t>
  </si>
  <si>
    <t>ALFAMOX 1GR SACH B/14</t>
  </si>
  <si>
    <t>FG00104</t>
  </si>
  <si>
    <t>ALFAMOX 500MG SACH B/14</t>
  </si>
  <si>
    <t>FG00105</t>
  </si>
  <si>
    <t>ALFANTHER 150MG B/3AMP</t>
  </si>
  <si>
    <t>FG00106</t>
  </si>
  <si>
    <t>ALFANTHER 225MG B/3AMP</t>
  </si>
  <si>
    <t>FG00107</t>
  </si>
  <si>
    <t>ALFANTHER 75MG B/3AMP</t>
  </si>
  <si>
    <t>FG00108</t>
  </si>
  <si>
    <t>ALGESAL BAUME 40GR. (FR)</t>
  </si>
  <si>
    <t>FG00109</t>
  </si>
  <si>
    <t>ALGESAL SURECTIVE BAUME 40GR. (FR)</t>
  </si>
  <si>
    <t>FG00110</t>
  </si>
  <si>
    <t>ALGIPAN BAUME 80GR. (FR)</t>
  </si>
  <si>
    <t>FG00111</t>
  </si>
  <si>
    <t>ALHESOL (CHLORHEXIDINE) 100ML</t>
  </si>
  <si>
    <t>FG00112</t>
  </si>
  <si>
    <t>ALICLIN (CLINDAMYCINE)300MG B/1AMP</t>
  </si>
  <si>
    <t>FG00113</t>
  </si>
  <si>
    <t>ALICLIN (CLINDAMYCINE)300MG B/20CAPS</t>
  </si>
  <si>
    <t>FG00114</t>
  </si>
  <si>
    <t>ALKACEL 2MG (MELPHALAN) B/25CES</t>
  </si>
  <si>
    <t>FG00115</t>
  </si>
  <si>
    <t>ALKACEL 50MG (MELPHALAN) INJ B/1 VIAL</t>
  </si>
  <si>
    <t>FG00116</t>
  </si>
  <si>
    <t>ALKACEL 5MG (MELPHALAN) B/25CES</t>
  </si>
  <si>
    <t>FG00117</t>
  </si>
  <si>
    <t>ALLERGEX -VISION (TETRAHYDROZOLINE) CY 15ML</t>
  </si>
  <si>
    <t>FG00118</t>
  </si>
  <si>
    <t>ALLERGINE 2 X 15 CES (CETRIZINE)</t>
  </si>
  <si>
    <t>FG00119</t>
  </si>
  <si>
    <t>ALMAX FORT SUSPENSION 225ML (FR)</t>
  </si>
  <si>
    <t>FG00120</t>
  </si>
  <si>
    <t>ALMAX FORTE SUSP B/30 SACHETS (FR)</t>
  </si>
  <si>
    <t>FG00121</t>
  </si>
  <si>
    <t>ALPHAVIT SIROP 120ML(FR)</t>
  </si>
  <si>
    <t>FG00122</t>
  </si>
  <si>
    <t>ALUDOC 3X8CES</t>
  </si>
  <si>
    <t>FG00123</t>
  </si>
  <si>
    <t>ALUDOC 60ML SIROP</t>
  </si>
  <si>
    <t>FG00124</t>
  </si>
  <si>
    <t>ALUDOC DS 6CES</t>
  </si>
  <si>
    <t>FG00125</t>
  </si>
  <si>
    <t>ALUDOC FORT 12CES</t>
  </si>
  <si>
    <t>FG00126</t>
  </si>
  <si>
    <t>ALVITYL 10CES EFF (FR)</t>
  </si>
  <si>
    <t>FG00127</t>
  </si>
  <si>
    <t>ALVITYL PLUS 40CES (FR)</t>
  </si>
  <si>
    <t>FG00128</t>
  </si>
  <si>
    <t>ALVITYL SP 150ML (FR)</t>
  </si>
  <si>
    <t>FG00129</t>
  </si>
  <si>
    <t>ALVITYL TONUS 20CES EFF (FR)</t>
  </si>
  <si>
    <t>FG00130</t>
  </si>
  <si>
    <t>ALZITH (AZITHROMYCINE) 500MG B/3 CES</t>
  </si>
  <si>
    <t>FG00131</t>
  </si>
  <si>
    <t>ALZITH 200NG 30 ML SP</t>
  </si>
  <si>
    <t>FG00132</t>
  </si>
  <si>
    <t>AMAREL 2MG 30CES (FR)</t>
  </si>
  <si>
    <t>FG00133</t>
  </si>
  <si>
    <t>AMAREL 3MG 30CES (FR)</t>
  </si>
  <si>
    <t>FG00134</t>
  </si>
  <si>
    <t>AMARULA P.M</t>
  </si>
  <si>
    <t>FG00135</t>
  </si>
  <si>
    <t>AMBOUNT BLEU</t>
  </si>
  <si>
    <t>FG00136</t>
  </si>
  <si>
    <t>AMBROLITE-GS SP 100ML</t>
  </si>
  <si>
    <t>FG00137</t>
  </si>
  <si>
    <t>AMBROXE (AMBROXOL) 100ML SIROP</t>
  </si>
  <si>
    <t>FG00138</t>
  </si>
  <si>
    <t>AMBROXE (AMBROXOL) 150ML SIROP</t>
  </si>
  <si>
    <t>FG00144</t>
  </si>
  <si>
    <t>AMIFER ENFANT SIROP 150ML (FR)</t>
  </si>
  <si>
    <t>FG00145</t>
  </si>
  <si>
    <t>AMIFER FORTE 100MG B/30CES</t>
  </si>
  <si>
    <t>FG00149</t>
  </si>
  <si>
    <t>AMIKACIN 500MG INJ B/1AMP (FR)</t>
  </si>
  <si>
    <t>FG00156</t>
  </si>
  <si>
    <t>AMLIBON 5MG 30 CES (FR)</t>
  </si>
  <si>
    <t>FG00157</t>
  </si>
  <si>
    <t>AMLO DENK 10MG PL/[10]CES (EO)</t>
  </si>
  <si>
    <t>FG00158</t>
  </si>
  <si>
    <t>AMLO DENK 5MG PL/10CES</t>
  </si>
  <si>
    <t>FG00159</t>
  </si>
  <si>
    <t>AMLOR 10MG BT/30CAPS (FR)</t>
  </si>
  <si>
    <t>FG00160</t>
  </si>
  <si>
    <t>AMLOR 5MG 28CES(FR)</t>
  </si>
  <si>
    <t>FG00161</t>
  </si>
  <si>
    <t>AMLOR 5MG CES B/30(ORIGNAL)</t>
  </si>
  <si>
    <t>FG00168</t>
  </si>
  <si>
    <t>AMOL G CREME 10GR.</t>
  </si>
  <si>
    <t>FG00169</t>
  </si>
  <si>
    <t>AMOXICLAV DENK 1000/125 12SACHETS</t>
  </si>
  <si>
    <t>FG00170</t>
  </si>
  <si>
    <t>AMOXICLAV DENK 1000/125 B/8SACHETS</t>
  </si>
  <si>
    <t>FG00171</t>
  </si>
  <si>
    <t>AMOXY DENK 10CES+++++++ 1GR</t>
  </si>
  <si>
    <t>FG00172</t>
  </si>
  <si>
    <t>AMOXY DENK 500MG B/20CES (FR) (NEW)</t>
  </si>
  <si>
    <t>FG00173</t>
  </si>
  <si>
    <t>AMOXYCILLINE 125MG SIROP (PHATKIN)</t>
  </si>
  <si>
    <t>FG00174</t>
  </si>
  <si>
    <t>AMOXYCILLINE 125MG SP 60ML</t>
  </si>
  <si>
    <t>FG00175</t>
  </si>
  <si>
    <t>AMOXYCILLINE 250MG B/10 CAPS</t>
  </si>
  <si>
    <t>FG00176</t>
  </si>
  <si>
    <t>AMOXYCILLINE 250MG B/1000CAPS</t>
  </si>
  <si>
    <t>FG00177</t>
  </si>
  <si>
    <t>AMOXYCILLINE 250MG SIROP ([PHATKIN)</t>
  </si>
  <si>
    <t>FG00178</t>
  </si>
  <si>
    <t>AMOXYCILLINE 250MG SP 60ML</t>
  </si>
  <si>
    <t>FG00179</t>
  </si>
  <si>
    <t>AMOXYCILLINE 500MG B/500CAPS</t>
  </si>
  <si>
    <t>FG00180</t>
  </si>
  <si>
    <t>AMPOULES MICROSCOPE 12V</t>
  </si>
  <si>
    <t>FG00183</t>
  </si>
  <si>
    <t>AMYCEF (CEFOTAXIME) I V I M 1G B/1AMP</t>
  </si>
  <si>
    <t>FG00184</t>
  </si>
  <si>
    <t>ANAFLAM B/10X10CES</t>
  </si>
  <si>
    <t>FG00185</t>
  </si>
  <si>
    <t>ANAFLAM SP 60ML</t>
  </si>
  <si>
    <t>FG00186</t>
  </si>
  <si>
    <t>ANAFRANIL 10MG PL/10CES(PAK)</t>
  </si>
  <si>
    <t>FG00187</t>
  </si>
  <si>
    <t>ANAFRANIL 25MG 10CES PL (PAK)</t>
  </si>
  <si>
    <t>FG00188</t>
  </si>
  <si>
    <t>ANAFRANIL 25MG 50CES(FR)</t>
  </si>
  <si>
    <t>FG00189</t>
  </si>
  <si>
    <t>ANAFRANIL 25MG PL/10CES(PAK)</t>
  </si>
  <si>
    <t>FG00190</t>
  </si>
  <si>
    <t>ANASINE COLLYRE 0.4% 5ML</t>
  </si>
  <si>
    <t>FG00191</t>
  </si>
  <si>
    <t>ANASTROZOLE DENK (ANASTROCOLE) B/30CES</t>
  </si>
  <si>
    <t>FG00192</t>
  </si>
  <si>
    <t>ANDROCUR 50MG 20CES</t>
  </si>
  <si>
    <t>FG00193</t>
  </si>
  <si>
    <t>ANGINOVAG AER.10ML (FR)</t>
  </si>
  <si>
    <t>FG00194</t>
  </si>
  <si>
    <t>ANGINOVAG SPRAY FL/20ML(EO)</t>
  </si>
  <si>
    <t>FG00195</t>
  </si>
  <si>
    <t>ANOMEX B/5SUPPOS</t>
  </si>
  <si>
    <t>FG00196</t>
  </si>
  <si>
    <t>ANSET B/4CES</t>
  </si>
  <si>
    <t>FG00197</t>
  </si>
  <si>
    <t>ANSET B/5SUPPOS</t>
  </si>
  <si>
    <t>FG00198</t>
  </si>
  <si>
    <t>ANSET INJ B/1AMP</t>
  </si>
  <si>
    <t>FG00199</t>
  </si>
  <si>
    <t>ANSET SUSP 30ML</t>
  </si>
  <si>
    <t>FG00200</t>
  </si>
  <si>
    <t>ANTABON 200ML SP</t>
  </si>
  <si>
    <t>FG00201</t>
  </si>
  <si>
    <t>ANTALGEX 20 GELULES (FR)</t>
  </si>
  <si>
    <t>FG00202</t>
  </si>
  <si>
    <t>ANTI HUMAN GLIOBULIN</t>
  </si>
  <si>
    <t>FG00203</t>
  </si>
  <si>
    <t>ANTIBIOPUR 3% COLLYRE 5ML</t>
  </si>
  <si>
    <t>FG00204</t>
  </si>
  <si>
    <t>ANTIBIOT 0.3% COLLYRE</t>
  </si>
  <si>
    <t>FG00205</t>
  </si>
  <si>
    <t>ANTICEF (CEFOTAXIME) 1GR B/1 AMP</t>
  </si>
  <si>
    <t>FG00206</t>
  </si>
  <si>
    <t>ANTIDOUL B/1CES</t>
  </si>
  <si>
    <t>FG00207</t>
  </si>
  <si>
    <t>ANTIGRIPPINE MIDY + VIT C CPR BT 12 E.0 ****</t>
  </si>
  <si>
    <t>FG00208</t>
  </si>
  <si>
    <t>ANTITOUX (CRISTIE) 100ML SP</t>
  </si>
  <si>
    <t>FG00209</t>
  </si>
  <si>
    <t>ANTITOUX (STOPTOUX) SP 100ML</t>
  </si>
  <si>
    <t>FG00210</t>
  </si>
  <si>
    <t>ANTITUSSIF SP 100ML</t>
  </si>
  <si>
    <t>FG00211</t>
  </si>
  <si>
    <t>ANTOL 125GM SOAP</t>
  </si>
  <si>
    <t>FG00212</t>
  </si>
  <si>
    <t>ANTOL 15GM CREAM</t>
  </si>
  <si>
    <t>FG00213</t>
  </si>
  <si>
    <t>ANTOL 30GM CREAM</t>
  </si>
  <si>
    <t>FG00214</t>
  </si>
  <si>
    <t>ANTOL SHOP 75G</t>
  </si>
  <si>
    <t>FG00215</t>
  </si>
  <si>
    <t>ANTOPRAZ (PANTOPRAZOLE) 40MG IV</t>
  </si>
  <si>
    <t>FG00216</t>
  </si>
  <si>
    <t>ANTOUGINE SP 100ML</t>
  </si>
  <si>
    <t>FG00217</t>
  </si>
  <si>
    <t>APEROP TONIC 14AMP BUV.</t>
  </si>
  <si>
    <t>FG00218</t>
  </si>
  <si>
    <t>APETAMIN (CYPROPEPTADINE) SIROP 200ML</t>
  </si>
  <si>
    <t>FG00219</t>
  </si>
  <si>
    <t>APETI PLUS 10X10CES</t>
  </si>
  <si>
    <t>FG00220</t>
  </si>
  <si>
    <t>APETIT TROP SIROP</t>
  </si>
  <si>
    <t>FG00221</t>
  </si>
  <si>
    <t>APETITO SIROP 100ML (ROUGE)</t>
  </si>
  <si>
    <t>FG00222</t>
  </si>
  <si>
    <t>APHEROL (VITAMINE A/E) B/3 X10 GELULES</t>
  </si>
  <si>
    <t>FG00223</t>
  </si>
  <si>
    <t>APPETIVIT 200ML SP</t>
  </si>
  <si>
    <t>FG00224</t>
  </si>
  <si>
    <t>APRON</t>
  </si>
  <si>
    <t>FG00225</t>
  </si>
  <si>
    <t>AQUATABS 67MG 8CES PL</t>
  </si>
  <si>
    <t>FG00226</t>
  </si>
  <si>
    <t>ARAUBACT (LEVOFLOXACIN) IV 100ML</t>
  </si>
  <si>
    <t>FG00227</t>
  </si>
  <si>
    <t>ARAUBACT TABLET B/10CES</t>
  </si>
  <si>
    <t>FG00228</t>
  </si>
  <si>
    <t>ARAUCLAV (AMOXI+CLAVU) NOURRISSON 60ML</t>
  </si>
  <si>
    <t>FG00229</t>
  </si>
  <si>
    <t>ARAUCLAV (AMOXI+CLAVULANATE) 625MG B/2 X 8 CES</t>
  </si>
  <si>
    <t>FG00230</t>
  </si>
  <si>
    <t>ARAUCLAV -1.2GR (AMOXY+CLAVULANATE) IV B/1 AMP</t>
  </si>
  <si>
    <t>FG00231</t>
  </si>
  <si>
    <t>ARAUCLAV 1125MG CES B/16</t>
  </si>
  <si>
    <t>FG00232</t>
  </si>
  <si>
    <t>ARAUCLAV ENFANT 562.5MG SP</t>
  </si>
  <si>
    <t>FG00233</t>
  </si>
  <si>
    <t>ARAUFIX (CEFIXIME) 200MG B/10CES</t>
  </si>
  <si>
    <t>FG00234</t>
  </si>
  <si>
    <t>ARAUFIX (CEFIXIME) 100MG B/10CES</t>
  </si>
  <si>
    <t>FG00235</t>
  </si>
  <si>
    <t>ARAUFIX (CEFIXIME) 400MG B/10CES</t>
  </si>
  <si>
    <t>FG00236</t>
  </si>
  <si>
    <t>ARAUFIX DRY SYRUP 60ML</t>
  </si>
  <si>
    <t>FG00237</t>
  </si>
  <si>
    <t>ARAUFIX OX 200MG B/10CES</t>
  </si>
  <si>
    <t>FG00238</t>
  </si>
  <si>
    <t>ARAUFLOX IV 100ML</t>
  </si>
  <si>
    <t>FG00239</t>
  </si>
  <si>
    <t>ARAUMOL IV 100ML</t>
  </si>
  <si>
    <t>FG00240</t>
  </si>
  <si>
    <t>ARAUMOX 400MG 250ML INFUSION</t>
  </si>
  <si>
    <t>FG00241</t>
  </si>
  <si>
    <t>ARAUMOX 400MG B\5CES</t>
  </si>
  <si>
    <t>FG00242</t>
  </si>
  <si>
    <t>ARAUTOL (MANNITOL) 100ML INFUSION</t>
  </si>
  <si>
    <t>FG00243</t>
  </si>
  <si>
    <t>ARBICLO 120MG ING</t>
  </si>
  <si>
    <t>FG00244</t>
  </si>
  <si>
    <t>ARBICLO 150MG ING</t>
  </si>
  <si>
    <t>FG00245</t>
  </si>
  <si>
    <t>ARBICLO 180MG ING</t>
  </si>
  <si>
    <t>FG00246</t>
  </si>
  <si>
    <t>ARBICLO 240MG ING</t>
  </si>
  <si>
    <t>FG00247</t>
  </si>
  <si>
    <t>ARBICLO 30MG ING</t>
  </si>
  <si>
    <t>FG00248</t>
  </si>
  <si>
    <t>ARBICLO 60MG ING</t>
  </si>
  <si>
    <t>FG00249</t>
  </si>
  <si>
    <t>ARBICLO 90MG ING</t>
  </si>
  <si>
    <t>FG00250</t>
  </si>
  <si>
    <t>ARBITEL (TELMISARTN) 80MG B/30CES</t>
  </si>
  <si>
    <t>FG00251</t>
  </si>
  <si>
    <t>ARBITEL - H (TELMISARTAN) B/30CES</t>
  </si>
  <si>
    <t>FG00252</t>
  </si>
  <si>
    <t>ARBITEL AM B/30CES 1 PCS</t>
  </si>
  <si>
    <t>FG00253</t>
  </si>
  <si>
    <t>ARCOIXA 120MG B/7CES</t>
  </si>
  <si>
    <t>FG00254</t>
  </si>
  <si>
    <t>ARCOXIA 90MG B/7CES</t>
  </si>
  <si>
    <t>FG00255</t>
  </si>
  <si>
    <t>ARCOXIA @@@ 60MG@@@@ B/7CES</t>
  </si>
  <si>
    <t>FG00256</t>
  </si>
  <si>
    <t>ARETA TOUX SP 100ML</t>
  </si>
  <si>
    <t>FG00257</t>
  </si>
  <si>
    <t>ARGYROL 0.5% FAURE COLLY FL 10ML</t>
  </si>
  <si>
    <t>FG00258</t>
  </si>
  <si>
    <t>ARGYROL 0.5% AVEC AMBALLAGE</t>
  </si>
  <si>
    <t>FG00259</t>
  </si>
  <si>
    <t>ARGYROL 1% AVEC AMBALLAGE</t>
  </si>
  <si>
    <t>FG00260</t>
  </si>
  <si>
    <t>ARGYROL 1% FAURE COLLY FL 10ML</t>
  </si>
  <si>
    <t>FG00261</t>
  </si>
  <si>
    <t>ARGYROL 2% FAURE COLLY FL 10ML</t>
  </si>
  <si>
    <t>FG00262</t>
  </si>
  <si>
    <t>ARLUMETRIN (ARTE+LUME) B/24CES</t>
  </si>
  <si>
    <t>FG00263</t>
  </si>
  <si>
    <t>ARLUMETRIN DP B/6CES</t>
  </si>
  <si>
    <t>FG00264</t>
  </si>
  <si>
    <t>ARLUMETRIN DS SIROP 60ML</t>
  </si>
  <si>
    <t>FG00265</t>
  </si>
  <si>
    <t>ARLUMETRIN FORT B/12CES</t>
  </si>
  <si>
    <t>FG00266</t>
  </si>
  <si>
    <t>ARMADOC 120MG B/1AMP</t>
  </si>
  <si>
    <t>FG00267</t>
  </si>
  <si>
    <t>ARMADOC 180MG B/1AMP</t>
  </si>
  <si>
    <t>FG00268</t>
  </si>
  <si>
    <t>ARMADOC 240MG B/1AMP</t>
  </si>
  <si>
    <t>FG00269</t>
  </si>
  <si>
    <t>ARMADOC 30MG B/1AMP</t>
  </si>
  <si>
    <t>FG00270</t>
  </si>
  <si>
    <t>ARMADOC 60MG B/1AMP</t>
  </si>
  <si>
    <t>FG00271</t>
  </si>
  <si>
    <t>ARMILON 1MG (ANASTROZOLE) PLT/10 CES</t>
  </si>
  <si>
    <t>FG00272</t>
  </si>
  <si>
    <t>ARODERM **50GR** MEDICAL POUDRE PETIT</t>
  </si>
  <si>
    <t>FG00273</t>
  </si>
  <si>
    <t>ARODERM ANTISEPTIQUE SAVON</t>
  </si>
  <si>
    <t>FG00274</t>
  </si>
  <si>
    <t>ARODERM PDRE **BEBE** 100GR 1 FLC</t>
  </si>
  <si>
    <t>FG00275</t>
  </si>
  <si>
    <t>ARODERME POUDRE MEDICAL 100GR</t>
  </si>
  <si>
    <t>FG00276</t>
  </si>
  <si>
    <t>ARODERME CREAME 40GR</t>
  </si>
  <si>
    <t>FG00277</t>
  </si>
  <si>
    <t>ARODERME SAON BEBE $$$$$$$$ 100MG $$$$$$</t>
  </si>
  <si>
    <t>FG00278</t>
  </si>
  <si>
    <t>ARODERME SAVON CITRON 100GR</t>
  </si>
  <si>
    <t>FG00279</t>
  </si>
  <si>
    <t>AROGYL OVULES</t>
  </si>
  <si>
    <t>FG00280</t>
  </si>
  <si>
    <t>AROXYL SIROP 100ML</t>
  </si>
  <si>
    <t>FG00281</t>
  </si>
  <si>
    <t>ARTE PLUS B/6CAPSULES</t>
  </si>
  <si>
    <t>FG00282</t>
  </si>
  <si>
    <t>ARTECOM 8CES (FR)</t>
  </si>
  <si>
    <t>FG00283</t>
  </si>
  <si>
    <t>ARTEFEN SUSPENSION 100ML</t>
  </si>
  <si>
    <t>FG00284</t>
  </si>
  <si>
    <t>ARTEFLOXEM SUSPENSION 60ML</t>
  </si>
  <si>
    <t>FG00285</t>
  </si>
  <si>
    <t>ARTEFORT 120MG INJ</t>
  </si>
  <si>
    <t>FG00286</t>
  </si>
  <si>
    <t>ARTEFORT 150MG INJ</t>
  </si>
  <si>
    <t>FG00287</t>
  </si>
  <si>
    <t>ARTEFORT 180MG INJ</t>
  </si>
  <si>
    <t>FG00288</t>
  </si>
  <si>
    <t>ARTEFORT 240MG INJ</t>
  </si>
  <si>
    <t>FG00289</t>
  </si>
  <si>
    <t>ARTEFORT 30MG INJ</t>
  </si>
  <si>
    <t>FG00290</t>
  </si>
  <si>
    <t>ARTEFORT 60MG INJ</t>
  </si>
  <si>
    <t>FG00291</t>
  </si>
  <si>
    <t>ARTEGEL SUSPENSION 200ML</t>
  </si>
  <si>
    <t>FG00292</t>
  </si>
  <si>
    <t>ARTELOL (DROPS) 5ML</t>
  </si>
  <si>
    <t>FG00293</t>
  </si>
  <si>
    <t>ARTEMED 120MG B/1AMP</t>
  </si>
  <si>
    <t>FG00294</t>
  </si>
  <si>
    <t>ARTEMED 180MG B/1AMP</t>
  </si>
  <si>
    <t>FG00295</t>
  </si>
  <si>
    <t>ARTEMED 240MG B/1AMP</t>
  </si>
  <si>
    <t>FG00296</t>
  </si>
  <si>
    <t>ARTEMED 30MG B/1AMP</t>
  </si>
  <si>
    <t>FG00297</t>
  </si>
  <si>
    <t>ARTEMED 60MG B/1AMP</t>
  </si>
  <si>
    <t>FG00298</t>
  </si>
  <si>
    <t>ARTEPIP AD 12CES</t>
  </si>
  <si>
    <t>FG00299</t>
  </si>
  <si>
    <t>ARTEPIP SIROP 30ML</t>
  </si>
  <si>
    <t>FG00300</t>
  </si>
  <si>
    <t>ARTEQUICK 4CES</t>
  </si>
  <si>
    <t>FG00301</t>
  </si>
  <si>
    <t>ARTES 120MG INJ B/1 AMP</t>
  </si>
  <si>
    <t>FG00302</t>
  </si>
  <si>
    <t>ARTES 150MG INJ B/1 AMP</t>
  </si>
  <si>
    <t>FG00303</t>
  </si>
  <si>
    <t>ARTES 180MG INJ B/1 AMP</t>
  </si>
  <si>
    <t>FG00304</t>
  </si>
  <si>
    <t>ARTES 240MG INJ B/1 AMP</t>
  </si>
  <si>
    <t>FG00305</t>
  </si>
  <si>
    <t>ARTES 30MG INJ B/1 AMP</t>
  </si>
  <si>
    <t>FG00306</t>
  </si>
  <si>
    <t>ARTES 60MG INJ B/1AMP</t>
  </si>
  <si>
    <t>FG00307</t>
  </si>
  <si>
    <t>ARTES SUPPO B/6</t>
  </si>
  <si>
    <t>FG00308</t>
  </si>
  <si>
    <t>ARTESIANE 100MG 10AMP (DAFRA)</t>
  </si>
  <si>
    <t>FG00309</t>
  </si>
  <si>
    <t>ARTESIANE 20MG 10AMP INJ (FR)</t>
  </si>
  <si>
    <t>FG00310</t>
  </si>
  <si>
    <t>ARTESIANE 300MG /3ML ....B\1AMP</t>
  </si>
  <si>
    <t>FG00311</t>
  </si>
  <si>
    <t>ARTESIANE 40MG ENF 6 SUPPOGEL (FR)</t>
  </si>
  <si>
    <t>FG00312</t>
  </si>
  <si>
    <t>ARTESIANE 80MG 5AMP INJ (EO)</t>
  </si>
  <si>
    <t>FG00313</t>
  </si>
  <si>
    <t>ARTESIANE INJ 40MG 10AMP</t>
  </si>
  <si>
    <t>FG00314</t>
  </si>
  <si>
    <t>ARTESUN 120MG SOL.INJ. B/1FLC (ARTESUNATE)</t>
  </si>
  <si>
    <t>FG00315</t>
  </si>
  <si>
    <t>ARTESUN 30MG IV B/1AMP (FR)</t>
  </si>
  <si>
    <t>FG00316</t>
  </si>
  <si>
    <t>ARTESUN 60MG INJ(ARTESUNATE)</t>
  </si>
  <si>
    <t>FG00317</t>
  </si>
  <si>
    <t>ARTESUNATE PLUS 3 CES (FR)</t>
  </si>
  <si>
    <t>FG00318</t>
  </si>
  <si>
    <t>ARTEXID (ARTEDUNATE) 60MG IV/IM INJ B/1AMP</t>
  </si>
  <si>
    <t>FG00319</t>
  </si>
  <si>
    <t>ARTEXID (ARTESUNATE 180MG ) IN/IM B/1AMP</t>
  </si>
  <si>
    <t>FG00320</t>
  </si>
  <si>
    <t>ARTEXID 100MG/270MG (ARTES.+AMOD.) 6 CES</t>
  </si>
  <si>
    <t>FG00321</t>
  </si>
  <si>
    <t>ARTEXID 30MG (ARTESUNATE) IV/ IM B/1AMP</t>
  </si>
  <si>
    <t>FG00322</t>
  </si>
  <si>
    <t>ARTEXID 50MG/135MG (ARTES.+AMOD.) 3 CES</t>
  </si>
  <si>
    <t>FG00323</t>
  </si>
  <si>
    <t>ARTEXID FORTE 120MG INJ B/1 AMP</t>
  </si>
  <si>
    <t>FG00324</t>
  </si>
  <si>
    <t>ARTHEFAN (ARTHEMETER) INJ B/6 AMP</t>
  </si>
  <si>
    <t>FG00325</t>
  </si>
  <si>
    <t>ARTHEFAN 20MG/120MG DISP.B/6 CES</t>
  </si>
  <si>
    <t>FG00326</t>
  </si>
  <si>
    <t>ARTHEFAN 40 (ARTHEMETHER+LUMEFANTRINE) B/2X6CES</t>
  </si>
  <si>
    <t>FG00327</t>
  </si>
  <si>
    <t>ARTHEFAN 80 (ARTHEMETHER+LUMEFANTRINE) B/6CES</t>
  </si>
  <si>
    <t>FG00328</t>
  </si>
  <si>
    <t>ARTHEFAN 80 -DISP (ARTE 80MG &amp; LUME 480MG) B/6CES</t>
  </si>
  <si>
    <t>FG00329</t>
  </si>
  <si>
    <t>ARTHEFAN SUSP 60ML</t>
  </si>
  <si>
    <t>FG00330</t>
  </si>
  <si>
    <t>ARTHRO ACTIVE DENK 500MG B/14 SACHET CES</t>
  </si>
  <si>
    <t>FG00331</t>
  </si>
  <si>
    <t>ASCORVIT (VITAMINE C) SIROP 100ML</t>
  </si>
  <si>
    <t>FG00332</t>
  </si>
  <si>
    <t>ASNORBIN -1000 ( VITAMIN C) EFFERVESCENT B/16CES</t>
  </si>
  <si>
    <t>FG00333</t>
  </si>
  <si>
    <t>ASOMEX 1.25 B/50 CES</t>
  </si>
  <si>
    <t>FG00334</t>
  </si>
  <si>
    <t>ASOMEX 2.5MG 50CES</t>
  </si>
  <si>
    <t>FG00335</t>
  </si>
  <si>
    <t>ASOMEX 5MG B/50CES</t>
  </si>
  <si>
    <t>FG00336</t>
  </si>
  <si>
    <t>ASOMEX AT B/30CES</t>
  </si>
  <si>
    <t>FG00337</t>
  </si>
  <si>
    <t>ASOMEX LT B/10CES</t>
  </si>
  <si>
    <t>FG00339</t>
  </si>
  <si>
    <t>ASPECAF (ASPIRINE+PARA+CAFEIBE) 10 X 10 CES</t>
  </si>
  <si>
    <t>FG00340</t>
  </si>
  <si>
    <t>ASPEGIC 100MG ENF NOURR PDRE B/20SACHET</t>
  </si>
  <si>
    <t>FG00341</t>
  </si>
  <si>
    <t>ASPEGIC 250MG 20 SACHETS (FR)</t>
  </si>
  <si>
    <t>FG00342</t>
  </si>
  <si>
    <t>ASPEGIC 500 B/20SACHET (FR)</t>
  </si>
  <si>
    <t>FG00343</t>
  </si>
  <si>
    <t>ASPIRATEUR MECANIQUE A 2 BOCAUX</t>
  </si>
  <si>
    <t>FG00344</t>
  </si>
  <si>
    <t>ASPIRIN UPSA 1000 MG EFF/20(FR)</t>
  </si>
  <si>
    <t>FG00345</t>
  </si>
  <si>
    <t>ASPIRINE 500MG B/10CES X 25PL (SHALINA)</t>
  </si>
  <si>
    <t>FG00346</t>
  </si>
  <si>
    <t>ASPIRINE JUNIOR 100MG 30CES (EO)</t>
  </si>
  <si>
    <t>FG00347</t>
  </si>
  <si>
    <t>ASTAPH 125 MG SP 60ML (FR)</t>
  </si>
  <si>
    <t>FG00348</t>
  </si>
  <si>
    <t>ASTAPH 250 MG SP 60ML (FR)</t>
  </si>
  <si>
    <t>FG00349</t>
  </si>
  <si>
    <t>ASTYMIN C GOUTTE 15ML</t>
  </si>
  <si>
    <t>FG00350</t>
  </si>
  <si>
    <t>ASTYMIN SIROP 200ML</t>
  </si>
  <si>
    <t>FG00351</t>
  </si>
  <si>
    <t>ASTYMIN-SN INJ FL/1AMP</t>
  </si>
  <si>
    <t>FG00352</t>
  </si>
  <si>
    <t>ASU (ARTESUNATE 120MG) B/1 AMP</t>
  </si>
  <si>
    <t>FG00353</t>
  </si>
  <si>
    <t>ASU (ARTESUNATE 150MG) B/1 AMP</t>
  </si>
  <si>
    <t>FG00354</t>
  </si>
  <si>
    <t>ASU (ARTESUNATE 180MG) B/1 AMP</t>
  </si>
  <si>
    <t>FG00355</t>
  </si>
  <si>
    <t>ASU (ARTESUNATE 210MG) B/1 AMP</t>
  </si>
  <si>
    <t>FG00356</t>
  </si>
  <si>
    <t>ASU (ARTESUNATE 240MG) B/1 AMP</t>
  </si>
  <si>
    <t>FG00357</t>
  </si>
  <si>
    <t>ASU (ARTESUNATE 30MG) B/1 INJ</t>
  </si>
  <si>
    <t>FG00358</t>
  </si>
  <si>
    <t>ASU (ARTESUNATE 60MG) B/1 AMP</t>
  </si>
  <si>
    <t>FG00359</t>
  </si>
  <si>
    <t>AT-120 (ARTESUNATE) 120MG IV IM B/1AMP</t>
  </si>
  <si>
    <t>FG00360</t>
  </si>
  <si>
    <t>AT-150 (ARTESUNATE) 150MG IV IM B/1AMP</t>
  </si>
  <si>
    <t>FG00361</t>
  </si>
  <si>
    <t>AT-180 (ARTESUNATE) 180MG B/1AMP</t>
  </si>
  <si>
    <t>FG00362</t>
  </si>
  <si>
    <t>AT-200 SUPPO</t>
  </si>
  <si>
    <t>FG00363</t>
  </si>
  <si>
    <t>AT-210 (ARTESUNATE) 120MG IV IM B/1AMP</t>
  </si>
  <si>
    <t>FG00364</t>
  </si>
  <si>
    <t>AT-240 (ARTESUNATE) 240 MG B/1AMP</t>
  </si>
  <si>
    <t>FG00365</t>
  </si>
  <si>
    <t>AT-30 (ARTESUNATE) 30MG B/1AMP</t>
  </si>
  <si>
    <t>FG00366</t>
  </si>
  <si>
    <t>AT-50 SUPPO B/6 OVLE</t>
  </si>
  <si>
    <t>FG00367</t>
  </si>
  <si>
    <t>AT-60 (ARTESUNATE) 60MG IV IM B/1AMP</t>
  </si>
  <si>
    <t>FG00368</t>
  </si>
  <si>
    <t>AT-90 (ARTESUNATE) 90MG IV IM B/1AMP</t>
  </si>
  <si>
    <t>FG00369</t>
  </si>
  <si>
    <t>ATARAX 25MG 50CES (2 X 25CES) @FR@</t>
  </si>
  <si>
    <t>FG00370</t>
  </si>
  <si>
    <t>ATARAX 25MG B/30CES E.O.</t>
  </si>
  <si>
    <t>FG00371</t>
  </si>
  <si>
    <t>ATIMOL 0.5% 5ML COLLYRE</t>
  </si>
  <si>
    <t>FG00372</t>
  </si>
  <si>
    <t>ATRO-VISION 0.5% (ATROPINE) COLLYRE 10ML</t>
  </si>
  <si>
    <t>FG00373</t>
  </si>
  <si>
    <t>ATRO-VISION 1% (ATROPINE) COLLYRE 10ML</t>
  </si>
  <si>
    <t>FG00374</t>
  </si>
  <si>
    <t>ATROPINE 0.5% COLLYRE 10ML (FR)</t>
  </si>
  <si>
    <t>FG00375</t>
  </si>
  <si>
    <t>ATROPINE 1% COLLYRE 10ML (FR)</t>
  </si>
  <si>
    <t>FG00376</t>
  </si>
  <si>
    <t>ATROVENT AEROSOL DOSEUR (FR)</t>
  </si>
  <si>
    <t>FG00377</t>
  </si>
  <si>
    <t>ATROVENT SOL 20MONODOSES 0.25MG (FR)</t>
  </si>
  <si>
    <t>FG00378</t>
  </si>
  <si>
    <t>AUGMENTIN 500MG/62.5MG B/16CES (FR)</t>
  </si>
  <si>
    <t>FG00379</t>
  </si>
  <si>
    <t>AUGMENTINE 1GR 12SACHET(FR)</t>
  </si>
  <si>
    <t>FG00380</t>
  </si>
  <si>
    <t>AUTOCLAV 21 LTR</t>
  </si>
  <si>
    <t>FG00381</t>
  </si>
  <si>
    <t>AVAMYS 120DOSES 27.5MCG (EO)</t>
  </si>
  <si>
    <t>FG00382</t>
  </si>
  <si>
    <t>AVEDROX (CEFADROXIL) 100ML SIROP</t>
  </si>
  <si>
    <t>FG00383</t>
  </si>
  <si>
    <t>AVEDROX (CEFADROXIL) 500MG B/12 CAP</t>
  </si>
  <si>
    <t>FG00384</t>
  </si>
  <si>
    <t>AVEFENIC FORTE (MEFENAMIQUE) B/10CES</t>
  </si>
  <si>
    <t>FG00385</t>
  </si>
  <si>
    <t>AVEFENIC SPAS (ACIDE MEFENAMIQUE) B/10CES</t>
  </si>
  <si>
    <t>FG00386</t>
  </si>
  <si>
    <t>AXONE (CEFTRIAXONE) 1GR B/1AMP</t>
  </si>
  <si>
    <t>FG00387</t>
  </si>
  <si>
    <t>AZIDOC (AZITHROMICINE) 500MG B/3CES</t>
  </si>
  <si>
    <t>FG00388</t>
  </si>
  <si>
    <t>AZIDOC (AZITHROMYCINE) 15ML SP</t>
  </si>
  <si>
    <t>FG00389</t>
  </si>
  <si>
    <t>AZIM B/5CES</t>
  </si>
  <si>
    <t>FG00390</t>
  </si>
  <si>
    <t>AZIM SP 30ML</t>
  </si>
  <si>
    <t>FG00391</t>
  </si>
  <si>
    <t>AZIOCIN 500MG CP B/3</t>
  </si>
  <si>
    <t>FG00392</t>
  </si>
  <si>
    <t>AZIPRO 500MG B/3CES</t>
  </si>
  <si>
    <t>FG00393</t>
  </si>
  <si>
    <t>AZIPRO SUSP 30ML</t>
  </si>
  <si>
    <t>FG00394</t>
  </si>
  <si>
    <t>AZITHRO ACTIVE 250 B/6 CES</t>
  </si>
  <si>
    <t>FG00395</t>
  </si>
  <si>
    <t>AZITHRO-DENK 500MG B/3CES</t>
  </si>
  <si>
    <t>FG00396</t>
  </si>
  <si>
    <t>AZITRINE (AZITHROMYCINE 250MG) CES</t>
  </si>
  <si>
    <t>FG00397</t>
  </si>
  <si>
    <t>AZITRINE (AZITHROMYCINE 40MG/ML) 15ML SUSP</t>
  </si>
  <si>
    <t>FG00398</t>
  </si>
  <si>
    <t>AZITRINE (AZITHROMYCINE 500MG) CES</t>
  </si>
  <si>
    <t>FG00399</t>
  </si>
  <si>
    <t>BABYVIT (MULTIVITAMINE) GOUTTE 15ML</t>
  </si>
  <si>
    <t>FG00400</t>
  </si>
  <si>
    <t>BACTERZID (PELLICULES DE LINEZOLIDE) 600MG B\10CES</t>
  </si>
  <si>
    <t>FG00401</t>
  </si>
  <si>
    <t>BACTOCLAV 625MG (AMOX+POTASSIUM) B/20CES</t>
  </si>
  <si>
    <t>FG00402</t>
  </si>
  <si>
    <t>BACTOX 250MG PDRE SIROP 60ML</t>
  </si>
  <si>
    <t>FG00403</t>
  </si>
  <si>
    <t>BACTOX 60ML PDRE 500MG (EO)</t>
  </si>
  <si>
    <t>FG00404</t>
  </si>
  <si>
    <t>BACTRIM 480MG AD B/20CES (FR)</t>
  </si>
  <si>
    <t>FG00405</t>
  </si>
  <si>
    <t>BACTRIM FORTE 960 MG 10 CES (FR)</t>
  </si>
  <si>
    <t>FG00406</t>
  </si>
  <si>
    <t>BACTRIM INJ 5ML IV 1 AMP</t>
  </si>
  <si>
    <t>FG00407</t>
  </si>
  <si>
    <t>BACTRIM ROCHE PED SUSP 100ML (FR)</t>
  </si>
  <si>
    <t>FG00408</t>
  </si>
  <si>
    <t>BALL-MOUSEE</t>
  </si>
  <si>
    <t>FG00410</t>
  </si>
  <si>
    <t>BAND AID B/100PCS</t>
  </si>
  <si>
    <t>FG00411</t>
  </si>
  <si>
    <t>BANDE CAMBRIC 10CM 10PCS (UNIQUE)</t>
  </si>
  <si>
    <t>FG00412</t>
  </si>
  <si>
    <t>BANDE CAMBRIC 15CM 12PCS (UNIQUE)</t>
  </si>
  <si>
    <t>FG00413</t>
  </si>
  <si>
    <t>BANDE CAMBRIC 5CM 10PCS (UNIQUE)</t>
  </si>
  <si>
    <t>FG00414</t>
  </si>
  <si>
    <t>BANDE CAMBRIC 7CM 10PCS (UNIQUE)</t>
  </si>
  <si>
    <t>FG00415</t>
  </si>
  <si>
    <t>BANDE ELASTIC CREPE 10CM X 4.5M 1 PCS</t>
  </si>
  <si>
    <t>FG00416</t>
  </si>
  <si>
    <t>BANDE ELASTIC CREPE 15CM X 4.5M 1 PCS</t>
  </si>
  <si>
    <t>FG00417</t>
  </si>
  <si>
    <t>BANDE ELASTIC CREPE 5CM X 4.5M 1PCS</t>
  </si>
  <si>
    <t>FG00418</t>
  </si>
  <si>
    <t>BANDE ELASTIC CREPE 7.5CM &amp; 8CM 1 PCS</t>
  </si>
  <si>
    <t>FG00419</t>
  </si>
  <si>
    <t>BANDE ELASTIQUE CREPE 20 CM X 7 MTR 1 PCS</t>
  </si>
  <si>
    <t>FG00420</t>
  </si>
  <si>
    <t>BANDE PLATREE 10CM X 270CM 1 PCS</t>
  </si>
  <si>
    <t>FG00421</t>
  </si>
  <si>
    <t>BANDE PLATREE 15CM X 270CM 1 PCS</t>
  </si>
  <si>
    <t>FG00422</t>
  </si>
  <si>
    <t>BANDE PLATREE 20CM X 270CM 1 PCS</t>
  </si>
  <si>
    <t>FG00423</t>
  </si>
  <si>
    <t>BANDELETTE CONTOUR B/50</t>
  </si>
  <si>
    <t>FG00424</t>
  </si>
  <si>
    <t>BANDELETTES CONTOUR NEXT B/50 PC</t>
  </si>
  <si>
    <t>FG00425</t>
  </si>
  <si>
    <t>BANDELETTES ONE TOUCH SELECT B/25 TEST STRIPS</t>
  </si>
  <si>
    <t>FG00426</t>
  </si>
  <si>
    <t>BANDELETTES ONE TOUCH ULTRA B/25 TEST STRIPS</t>
  </si>
  <si>
    <t>FG00427</t>
  </si>
  <si>
    <t>BANDELETTES VERIO B/50 PCS</t>
  </si>
  <si>
    <t>FG00428</t>
  </si>
  <si>
    <t>BANDELLETE ONE TOUCH ** ULTRA B/50 PCS ***</t>
  </si>
  <si>
    <t>FG00429</t>
  </si>
  <si>
    <t>BANEOCIN PDRE T/10G (FR)</t>
  </si>
  <si>
    <t>FG00430</t>
  </si>
  <si>
    <t>BANEOCIN POMMADE 20GR (FR)</t>
  </si>
  <si>
    <t>FG00431</t>
  </si>
  <si>
    <t>BAR STOOL</t>
  </si>
  <si>
    <t>FG00432</t>
  </si>
  <si>
    <t>BATTERY 20 VT</t>
  </si>
  <si>
    <t>FG00433</t>
  </si>
  <si>
    <t>BAUME DE NERFS 100GR</t>
  </si>
  <si>
    <t>FG00434</t>
  </si>
  <si>
    <t>BAUME DE NERFS***** 80GR *****P.F</t>
  </si>
  <si>
    <t>FG00435</t>
  </si>
  <si>
    <t>BAUME DE RELIEF 100GR</t>
  </si>
  <si>
    <t>FG00436</t>
  </si>
  <si>
    <t>BAUME LEOPARD 25GR.</t>
  </si>
  <si>
    <t>FG00437</t>
  </si>
  <si>
    <t>BAUME SIMBA 25GR.</t>
  </si>
  <si>
    <t>FG00439</t>
  </si>
  <si>
    <t>BEFREE REGULAR</t>
  </si>
  <si>
    <t>FG00440</t>
  </si>
  <si>
    <t>BEKRACINE (CEFIXIME) DIS. 200MG B/10CES</t>
  </si>
  <si>
    <t>FG00441</t>
  </si>
  <si>
    <t>BELU DE METHYLENE (USAGE PHARMACEUTIQUE)</t>
  </si>
  <si>
    <t>FG00442</t>
  </si>
  <si>
    <t>BENEDICTE SOLUTION</t>
  </si>
  <si>
    <t>FG00443</t>
  </si>
  <si>
    <t>BENERVA 300MG B/20CES (FR)</t>
  </si>
  <si>
    <t>FG00444</t>
  </si>
  <si>
    <t>BENZOATE DE BENZYLE 60ML</t>
  </si>
  <si>
    <t>FG00445</t>
  </si>
  <si>
    <t>BEQUILLES GRANDE (LARGE) TAILLE 135-155 CM PAIRE</t>
  </si>
  <si>
    <t>FG00446</t>
  </si>
  <si>
    <t>BEQUILLES MEDIUM TAILLE 115-135 CM PAIRE</t>
  </si>
  <si>
    <t>FG00447</t>
  </si>
  <si>
    <t>BETADINE BAIN DE BOUCHE 125ML</t>
  </si>
  <si>
    <t>FG00448</t>
  </si>
  <si>
    <t>BETADINE GEL DERM 10% 30GR</t>
  </si>
  <si>
    <t>FG00449</t>
  </si>
  <si>
    <t>BETADINE SCRUB SOLUTION 125ML (FR)</t>
  </si>
  <si>
    <t>FG00450</t>
  </si>
  <si>
    <t>BETADINE SOL DERM JAUNE 125ML</t>
  </si>
  <si>
    <t>FG00451</t>
  </si>
  <si>
    <t>BETADINE SOL GYNE BLEU 125ML</t>
  </si>
  <si>
    <t>FG00452</t>
  </si>
  <si>
    <t>BETADINE TULLES 5COMPR.</t>
  </si>
  <si>
    <t>FG00453</t>
  </si>
  <si>
    <t>BETASOL 15GR. CREME (P.F.)</t>
  </si>
  <si>
    <t>FG00454</t>
  </si>
  <si>
    <t>BETASOL CREME 30GR. (G.F.)</t>
  </si>
  <si>
    <t>FG00455</t>
  </si>
  <si>
    <t>BETASOL LOTION 30ML</t>
  </si>
  <si>
    <t>FG00456</t>
  </si>
  <si>
    <t>BETASOL PLUS CREME 15GR</t>
  </si>
  <si>
    <t>FG00457</t>
  </si>
  <si>
    <t>BETASOL PLUS CREME 30GR</t>
  </si>
  <si>
    <t>FG00458</t>
  </si>
  <si>
    <t>BETASTENE 0.005% GOUTTE 30ML (FR)</t>
  </si>
  <si>
    <t>FG00459</t>
  </si>
  <si>
    <t>BETATOUX SP 100ML</t>
  </si>
  <si>
    <t>FG00460</t>
  </si>
  <si>
    <t>BETCLOMED CREM 30GM</t>
  </si>
  <si>
    <t>FG00461</t>
  </si>
  <si>
    <t>BEVAMAB (BEVACIZUMAB) 100 MG/4ML INFUSION</t>
  </si>
  <si>
    <t>FG00462</t>
  </si>
  <si>
    <t>BEVAMAB (BEVACIZUMAB) 400 MG/16ML INFUSION</t>
  </si>
  <si>
    <t>FG00463</t>
  </si>
  <si>
    <t>BIC BALL PEN</t>
  </si>
  <si>
    <t>FG00464</t>
  </si>
  <si>
    <t>BICALUTAMIDE BIOGARAN 50MG B/30 GELS</t>
  </si>
  <si>
    <t>FG00465</t>
  </si>
  <si>
    <t>BICARBONATE 50ML INJ</t>
  </si>
  <si>
    <t>FG00466</t>
  </si>
  <si>
    <t>BICARBONATE B/1AMP (STEROP)</t>
  </si>
  <si>
    <t>FG00467</t>
  </si>
  <si>
    <t>BICARBONATE DE SOUDE 35GR.</t>
  </si>
  <si>
    <t>FG00468</t>
  </si>
  <si>
    <t>BIDONTOGYL (METRONIDAZOLE) B/15CES</t>
  </si>
  <si>
    <t>FG00469</t>
  </si>
  <si>
    <t>BIEN MANGER 4MG B/20CES</t>
  </si>
  <si>
    <t>FG00470</t>
  </si>
  <si>
    <t>BIEN MANGER (CHLOR&amp;CYPRO) 100ML SIROP</t>
  </si>
  <si>
    <t>FG00471</t>
  </si>
  <si>
    <t>BIEN MANGER (CYPRO) 4MG B/10 X 10CES</t>
  </si>
  <si>
    <t>FG00472</t>
  </si>
  <si>
    <t>BIFIDOC-Z B/10 CES</t>
  </si>
  <si>
    <t>FG00473</t>
  </si>
  <si>
    <t>BIKE (MOTO)</t>
  </si>
  <si>
    <t>FG00474</t>
  </si>
  <si>
    <t>BILAXTEN (BILASTINE 20MG) B/10CES</t>
  </si>
  <si>
    <t>FG00475</t>
  </si>
  <si>
    <t>BILAXTEN 20CES (FR)</t>
  </si>
  <si>
    <t>FG00476</t>
  </si>
  <si>
    <t>BILOR 60ML SYRUP</t>
  </si>
  <si>
    <t>FG00477</t>
  </si>
  <si>
    <t>BINOZYT 500MG 3CES (FR)</t>
  </si>
  <si>
    <t>FG00478</t>
  </si>
  <si>
    <t>BINTEGRAL SP 100ML</t>
  </si>
  <si>
    <t>FG00479</t>
  </si>
  <si>
    <t>BIODEX -P 100ML SUSP</t>
  </si>
  <si>
    <t>FG00480</t>
  </si>
  <si>
    <t>BIOFORCE TONIQUE SIROP</t>
  </si>
  <si>
    <t>FG00481</t>
  </si>
  <si>
    <t>BIPRETERAX 10MG/2.5MG B/30 CAP(FR)</t>
  </si>
  <si>
    <t>FG00482</t>
  </si>
  <si>
    <t>BIPRETERAX 30 COMP 5MG (FR) $$</t>
  </si>
  <si>
    <t>FG00483</t>
  </si>
  <si>
    <t>BISATRO 0.1% COLLYRE 5ML</t>
  </si>
  <si>
    <t>FG00484</t>
  </si>
  <si>
    <t>BISATRO 0.5% COLLYRE 5ML</t>
  </si>
  <si>
    <t>FG00485</t>
  </si>
  <si>
    <t>BISDEX COLLYRE 0.1% 5ML</t>
  </si>
  <si>
    <t>FG00486</t>
  </si>
  <si>
    <t>BISOLVON 8MG 30CES (FR)</t>
  </si>
  <si>
    <t>FG00487</t>
  </si>
  <si>
    <t>BISOLVON SOLUT.INHAL.100ML</t>
  </si>
  <si>
    <t>FG00488</t>
  </si>
  <si>
    <t>BISOLVON SOLUT.ORAL.100ML (EO)</t>
  </si>
  <si>
    <t>FG00489</t>
  </si>
  <si>
    <t>BLACK CHAIR</t>
  </si>
  <si>
    <t>FG00490</t>
  </si>
  <si>
    <t>BLENDEUR</t>
  </si>
  <si>
    <t>FG00491</t>
  </si>
  <si>
    <t>BLEOCEL 15 UNITS (BLEOMYCIN) INJ. B/1VIAL</t>
  </si>
  <si>
    <t>FG00492</t>
  </si>
  <si>
    <t>BLEU DE CRESIL BRILLANT 500ML</t>
  </si>
  <si>
    <t>FG00493</t>
  </si>
  <si>
    <t>BLEU DE METHYLENE (POUR LABORATOIRE)</t>
  </si>
  <si>
    <t>FG00494</t>
  </si>
  <si>
    <t>BLOUSON INFIRMIER 1 PICE (ROSE)</t>
  </si>
  <si>
    <t>FG00495</t>
  </si>
  <si>
    <t>BLUE DE METHELENE 1LTR</t>
  </si>
  <si>
    <t>FG00496</t>
  </si>
  <si>
    <t>BLUE DE METHELENE 60ML</t>
  </si>
  <si>
    <t>FG00497</t>
  </si>
  <si>
    <t>BOITE COMPLET CHIRURGIE G F</t>
  </si>
  <si>
    <t>FG00498</t>
  </si>
  <si>
    <t>BOITE DE PETRI</t>
  </si>
  <si>
    <t>FG00499</t>
  </si>
  <si>
    <t>BOITE POUR CHIRGURGIE MINEURE</t>
  </si>
  <si>
    <t>FG00500</t>
  </si>
  <si>
    <t>BOMEC 0.09% 5ML COLLYRE</t>
  </si>
  <si>
    <t>FG00501</t>
  </si>
  <si>
    <t>BON APETI (VITEX) SUSP 200ML</t>
  </si>
  <si>
    <t>FG00502</t>
  </si>
  <si>
    <t>BON APETI SP 100ML</t>
  </si>
  <si>
    <t>FG00503</t>
  </si>
  <si>
    <t>BONAPETI **VITEX** CES B/30 CES</t>
  </si>
  <si>
    <t>FG00504</t>
  </si>
  <si>
    <t>BONAPETI 10X10 CES</t>
  </si>
  <si>
    <t>FG00505</t>
  </si>
  <si>
    <t>BONNET USAGE UNIQUE B/100PCS</t>
  </si>
  <si>
    <t>FG00506</t>
  </si>
  <si>
    <t>BONTRIL SOLUTION 100ML</t>
  </si>
  <si>
    <t>FG00507</t>
  </si>
  <si>
    <t>BOOKS 12 FEUIL</t>
  </si>
  <si>
    <t>FG00508</t>
  </si>
  <si>
    <t>BOX PVC POUR CONTRNIR</t>
  </si>
  <si>
    <t>FG00509</t>
  </si>
  <si>
    <t>BRAIN ACTIVE DENK B/30CES</t>
  </si>
  <si>
    <t>FG00510</t>
  </si>
  <si>
    <t>BRIN-VISION 1% (BRINZOLAMIDE) COLLYRE 5ML</t>
  </si>
  <si>
    <t>FG00511</t>
  </si>
  <si>
    <t>BRONCATHIOL SUSP. ENF. 125ML (FR) $$</t>
  </si>
  <si>
    <t>FG00512</t>
  </si>
  <si>
    <t>BRONCATHIOL SUSP. EXPECT. AD. 150ML $$(F</t>
  </si>
  <si>
    <t>FG00513</t>
  </si>
  <si>
    <t>BRONCHALENE SIROP 150ML AD (FR)</t>
  </si>
  <si>
    <t>FG00514</t>
  </si>
  <si>
    <t>BRONCHALENE SIROP 150ML ENF (FR)</t>
  </si>
  <si>
    <t>FG00515</t>
  </si>
  <si>
    <t>BRUFEN 400MG BT 30 CES (EO)</t>
  </si>
  <si>
    <t>FG00516</t>
  </si>
  <si>
    <t>BRUFENAL (IBUPROFENE) 400MG B/30 CAP</t>
  </si>
  <si>
    <t>FG00517</t>
  </si>
  <si>
    <t>BUCCODENT SOLUTION 100ML</t>
  </si>
  <si>
    <t>FG00519</t>
  </si>
  <si>
    <t>BUDOC (IBUPRO.+PARA.) SUSP 60ML</t>
  </si>
  <si>
    <t>FG00520</t>
  </si>
  <si>
    <t>BUSCOPAM 50 DRG (FR)</t>
  </si>
  <si>
    <t>FG00521</t>
  </si>
  <si>
    <t>BUSCOPAN 10 CES (LOCAL)</t>
  </si>
  <si>
    <t>FG00522</t>
  </si>
  <si>
    <t>BUSCOPAN INJ 6AMP (EO)</t>
  </si>
  <si>
    <t>FG00523</t>
  </si>
  <si>
    <t>BUTAZOLDINE 10X10CES</t>
  </si>
  <si>
    <t>FG00524</t>
  </si>
  <si>
    <t>C - TAX T ( CEFIXIME) UPS 200MG B/10CES</t>
  </si>
  <si>
    <t>FG00525</t>
  </si>
  <si>
    <t>C TAX P SUSP</t>
  </si>
  <si>
    <t>FG00526</t>
  </si>
  <si>
    <t>C-4 (CYPROHEPTADIN) 100ML SP</t>
  </si>
  <si>
    <t>FG00527</t>
  </si>
  <si>
    <t>C-4 (CYPROHEPTADINE) B/10X10CES</t>
  </si>
  <si>
    <t>FG00528</t>
  </si>
  <si>
    <t>C-4 (CYPROHEPTADINE) B/20CES</t>
  </si>
  <si>
    <t>FG00529</t>
  </si>
  <si>
    <t>C-4 COOL POUDERE</t>
  </si>
  <si>
    <t>FG00530</t>
  </si>
  <si>
    <t>C-TAX (CEFOTAX 1GR + EAD DISTILL) INJ.</t>
  </si>
  <si>
    <t>FG00531</t>
  </si>
  <si>
    <t>C-TRI 1GR B/1AMP</t>
  </si>
  <si>
    <t>FG00532</t>
  </si>
  <si>
    <t>C-XONE (CEFTRIAXONE + EAU DISTILEE) B/1 AMP</t>
  </si>
  <si>
    <t>FG00533</t>
  </si>
  <si>
    <t>C-XONE-S 1500MG (CEFTRIAXONE+EAU DISTILEE) B/1AMP</t>
  </si>
  <si>
    <t>FG00534</t>
  </si>
  <si>
    <t>C-XONE-S750MG (CEFTRIAXONE+EAU DISTILEE) B/1AMP</t>
  </si>
  <si>
    <t>FG00535</t>
  </si>
  <si>
    <t>CA-C 1000 SANDROZ ORANGE 10 CES EFF.</t>
  </si>
  <si>
    <t>FG00536</t>
  </si>
  <si>
    <t>CADIPHEN (ANTITUSSIF) SP 100ML</t>
  </si>
  <si>
    <t>FG00537</t>
  </si>
  <si>
    <t>CAFEINE B/10AMP</t>
  </si>
  <si>
    <t>FG00538</t>
  </si>
  <si>
    <t>CAISTHER 60ML SP</t>
  </si>
  <si>
    <t>FG00539</t>
  </si>
  <si>
    <t>CAISTHER PLUS DP B/6CES</t>
  </si>
  <si>
    <t>FG00540</t>
  </si>
  <si>
    <t>CAISTHER PLUS FORTE B/12CES</t>
  </si>
  <si>
    <t>FG00541</t>
  </si>
  <si>
    <t>CAL C VITA EFF B/10CES(GR)</t>
  </si>
  <si>
    <t>FG00542</t>
  </si>
  <si>
    <t>CAL-C-VITA 10CES EFF.(FR)</t>
  </si>
  <si>
    <t>FG00543</t>
  </si>
  <si>
    <t>CAL-D 15CES PLS</t>
  </si>
  <si>
    <t>FG00544</t>
  </si>
  <si>
    <t>CAL-D CALCIO + VITAMIN D3 B/10 CES</t>
  </si>
  <si>
    <t>FG00545</t>
  </si>
  <si>
    <t>CALCI-D TABLETS B/15</t>
  </si>
  <si>
    <t>FG00546</t>
  </si>
  <si>
    <t>CALCID-DENK 20CES EFF (FR)</t>
  </si>
  <si>
    <t>FG00549</t>
  </si>
  <si>
    <t>CALCULSTOP 200ML SIROP</t>
  </si>
  <si>
    <t>FG00550</t>
  </si>
  <si>
    <t>CALME (ALPRAZOLAM) B/3 X10 CES</t>
  </si>
  <si>
    <t>FG00552</t>
  </si>
  <si>
    <t>CALSEMINE BT/2X15 CES</t>
  </si>
  <si>
    <t>FG00553</t>
  </si>
  <si>
    <t>CALSEMINE SUSP. 200ML</t>
  </si>
  <si>
    <t>FG00554</t>
  </si>
  <si>
    <t>CANDEREL 100CES NON EFF.(FR)</t>
  </si>
  <si>
    <t>FG00555</t>
  </si>
  <si>
    <t>CANDEREL 18 MG 300 CES (FR)</t>
  </si>
  <si>
    <t>FG00556</t>
  </si>
  <si>
    <t>CANDEREL GRANULES 75MG</t>
  </si>
  <si>
    <t>FG00557</t>
  </si>
  <si>
    <t>CANDERM PLUS CREME 30GR.</t>
  </si>
  <si>
    <t>FG00558</t>
  </si>
  <si>
    <t>CANDERM POUDRE 50 GR.</t>
  </si>
  <si>
    <t>FG00559</t>
  </si>
  <si>
    <t>CANDICYL CREME 20GR</t>
  </si>
  <si>
    <t>FG00560</t>
  </si>
  <si>
    <t>CANDICYL POUDRE 50GR</t>
  </si>
  <si>
    <t>FG00561</t>
  </si>
  <si>
    <t>CANDID CREME 20GM (CLOTRIMAZOLE)</t>
  </si>
  <si>
    <t>FG00562</t>
  </si>
  <si>
    <t>CANDID POUDRE 100GR.</t>
  </si>
  <si>
    <t>FG00563</t>
  </si>
  <si>
    <t>CANDID POUDRE 30 GR</t>
  </si>
  <si>
    <t>FG00564</t>
  </si>
  <si>
    <t>CANDID-V6 COMBI (CLOTRIMAZOLE)PMD.+CES</t>
  </si>
  <si>
    <t>FG00565</t>
  </si>
  <si>
    <t>CANDIDERM CREME 15GR. (CLOTRIMAZOLE)</t>
  </si>
  <si>
    <t>FG00566</t>
  </si>
  <si>
    <t>CANDISTENE CREME 30GR.</t>
  </si>
  <si>
    <t>FG00567</t>
  </si>
  <si>
    <t>CANDISTENE POUDRE 50GR.</t>
  </si>
  <si>
    <t>FG00568</t>
  </si>
  <si>
    <t>CANDISTENE V6 B/6 OVULES</t>
  </si>
  <si>
    <t>FG00569</t>
  </si>
  <si>
    <t>CANDIZ B/6OVULE (CLOTRIMOXAZOL)</t>
  </si>
  <si>
    <t>FG00570</t>
  </si>
  <si>
    <t>CANNE AVEUGLE ( BLIND WALKING STICK DE 127 CM)</t>
  </si>
  <si>
    <t>FG00571</t>
  </si>
  <si>
    <t>CANNE CANADIENNE 1 PCS</t>
  </si>
  <si>
    <t>FG00572</t>
  </si>
  <si>
    <t>CANULE DE GUEDEL</t>
  </si>
  <si>
    <t>FG00573</t>
  </si>
  <si>
    <t>CAP NEW</t>
  </si>
  <si>
    <t>FG00574</t>
  </si>
  <si>
    <t>CAPTOPRIL 50MG 10X10CES</t>
  </si>
  <si>
    <t>FG00575</t>
  </si>
  <si>
    <t>CAPTOPRIL DENK 25MG B/(10)CES</t>
  </si>
  <si>
    <t>FG00576</t>
  </si>
  <si>
    <t>CAPTOPRIL HCT DENK DENK 50/25 B/30CES</t>
  </si>
  <si>
    <t>FG00579</t>
  </si>
  <si>
    <t>CARBOBEL 30CES (EO)</t>
  </si>
  <si>
    <t>FG00580</t>
  </si>
  <si>
    <t>CARBOKINA (MEDICAL CHARCOAL) B\50CES</t>
  </si>
  <si>
    <t>FG00583</t>
  </si>
  <si>
    <t>CARDIO ASPIRINE 56CES (FR) $$</t>
  </si>
  <si>
    <t>FG00584</t>
  </si>
  <si>
    <t>CARVEDI-DENK 25 B/30CES(FR)</t>
  </si>
  <si>
    <t>FG00585</t>
  </si>
  <si>
    <t>CARVEDIOL 25MG 56CES</t>
  </si>
  <si>
    <t>FG00586</t>
  </si>
  <si>
    <t>CASODEX 50MG 28CES (FR) $$</t>
  </si>
  <si>
    <t>FG00587</t>
  </si>
  <si>
    <t>CATAFLAM 25MG B/20CES (EO)</t>
  </si>
  <si>
    <t>FG00588</t>
  </si>
  <si>
    <t>CATAFLAM 50 MG BTE DE 30 &amp; 20 DRAG (EO)</t>
  </si>
  <si>
    <t>FG00589</t>
  </si>
  <si>
    <t>CATAFLAM SIROP(FR)</t>
  </si>
  <si>
    <t>FG00590</t>
  </si>
  <si>
    <t>CATAPRESSAN BOITE DE 30CES (FR)</t>
  </si>
  <si>
    <t>FG00591</t>
  </si>
  <si>
    <t>CATAPRESSAN INJ 5AMP (EO)</t>
  </si>
  <si>
    <t>FG00592</t>
  </si>
  <si>
    <t>CATHETER IV 14G PCS/1</t>
  </si>
  <si>
    <t>FG00593</t>
  </si>
  <si>
    <t>CATHETER IV 16G 45MM GRIS/1</t>
  </si>
  <si>
    <t>FG00594</t>
  </si>
  <si>
    <t>CATHETER IV 18G 45MM VERT/1</t>
  </si>
  <si>
    <t>FG00595</t>
  </si>
  <si>
    <t>CATHETER IV 20G 33MM ROSE/1</t>
  </si>
  <si>
    <t>FG00596</t>
  </si>
  <si>
    <t>CATHETER IV 22G 25MM BLUE/1</t>
  </si>
  <si>
    <t>FG00597</t>
  </si>
  <si>
    <t>CATHETER IV 24G 19MM JAUNE/1</t>
  </si>
  <si>
    <t>FG00598</t>
  </si>
  <si>
    <t>CAVERJECT 1AMP 20MCG(FR)</t>
  </si>
  <si>
    <t>FG00599</t>
  </si>
  <si>
    <t>CE - PHAX 1GR</t>
  </si>
  <si>
    <t>FG00600</t>
  </si>
  <si>
    <t>CEBRAN 500 (CIPROFLOX.) B/10CES</t>
  </si>
  <si>
    <t>FG00601</t>
  </si>
  <si>
    <t>CEF-1000 (CEFEPIME) INJECION IM/IV 1000MG B/1AMP</t>
  </si>
  <si>
    <t>FG00602</t>
  </si>
  <si>
    <t>CEFAM 50 GELULES</t>
  </si>
  <si>
    <t>FG00603</t>
  </si>
  <si>
    <t>CEFAM CAPSULES PLS B/2X10 CAP</t>
  </si>
  <si>
    <t>FG00604</t>
  </si>
  <si>
    <t>CEFAMOR 500MG B/20CAP</t>
  </si>
  <si>
    <t>FG00605</t>
  </si>
  <si>
    <t>CEFAMOR DRY SYRUP 100ML</t>
  </si>
  <si>
    <t>FG00606</t>
  </si>
  <si>
    <t>CEFATAX B/1AMP</t>
  </si>
  <si>
    <t>FG00607</t>
  </si>
  <si>
    <t>CEFAZ (CEFOPERAZONE) INJ UPS 1G IM/IV B/1AMP</t>
  </si>
  <si>
    <t>FG00608</t>
  </si>
  <si>
    <t>CEFAZ-S (CEFOPERAZONE+SULBACTAM ) INJ IM/IV B/AMP</t>
  </si>
  <si>
    <t>FG00609</t>
  </si>
  <si>
    <t>CEFBAC (CEFTRIAXONE + SALBACTAM) 1.5MG AMP</t>
  </si>
  <si>
    <t>FG00610</t>
  </si>
  <si>
    <t>CEFBAC (CEFTRIAXONE + SALBACTAM) 750MG AMP</t>
  </si>
  <si>
    <t>FG00611</t>
  </si>
  <si>
    <t>CEFBACTAM 1.5GR B/1AMP</t>
  </si>
  <si>
    <t>FG00612</t>
  </si>
  <si>
    <t>CEFBACTAM 375MG B/1AMP</t>
  </si>
  <si>
    <t>FG00613</t>
  </si>
  <si>
    <t>CEFDROX 250ML/5ML SP</t>
  </si>
  <si>
    <t>FG00614</t>
  </si>
  <si>
    <t>CEFDROX 500MG 12 CAPS</t>
  </si>
  <si>
    <t>FG00615</t>
  </si>
  <si>
    <t>CEFEXIME 100MG B/10CES</t>
  </si>
  <si>
    <t>FG00616</t>
  </si>
  <si>
    <t>CEFEXIME 200MG B/10CES</t>
  </si>
  <si>
    <t>FG00617</t>
  </si>
  <si>
    <t>CEFFIXIME BIOGARAN 200MG B/8 GELS</t>
  </si>
  <si>
    <t>FG00623</t>
  </si>
  <si>
    <t>CEFINIR 60ML 125MG SUSPENSION</t>
  </si>
  <si>
    <t>FG00624</t>
  </si>
  <si>
    <t>CEFIXIME 400MG DISPERSIBLE B/10CES (UNIQUE)</t>
  </si>
  <si>
    <t>FG00625</t>
  </si>
  <si>
    <t>CEFODOM (CEFOPERAZONE AND TAZO) 1.125MG B/1AMP</t>
  </si>
  <si>
    <t>FG00626</t>
  </si>
  <si>
    <t>CEFODOM (CEFPODOXIME) B/1AMP</t>
  </si>
  <si>
    <t>FG00627</t>
  </si>
  <si>
    <t>CEFPODOX (CEFPODOXIME) ORAL SUSP 100ML</t>
  </si>
  <si>
    <t>FG00628</t>
  </si>
  <si>
    <t>CEFPODOX ********B/10 SACHET</t>
  </si>
  <si>
    <t>FG00629</t>
  </si>
  <si>
    <t>CEFPODOX 200MG (CEFPODOXIME) B/10CES</t>
  </si>
  <si>
    <t>FG00630</t>
  </si>
  <si>
    <t>CEFPODOXIME 100ML (GENERIQUE)</t>
  </si>
  <si>
    <t>FG00631</t>
  </si>
  <si>
    <t>CEFPODOXIME 200MG B/10CES(GENERIQUE)</t>
  </si>
  <si>
    <t>FG00632</t>
  </si>
  <si>
    <t>CEFPOQUE 100MG (CEFPODOXIME) DISP. B/10 CES</t>
  </si>
  <si>
    <t>FG00633</t>
  </si>
  <si>
    <t>CEFPOQUE 100MG/5ML (CEFPODOXIME) SUSP. ORALE 100ML</t>
  </si>
  <si>
    <t>FG00634</t>
  </si>
  <si>
    <t>CEFPOQUE 200MG (CEFPODOXIME) DISP. B/10 CES</t>
  </si>
  <si>
    <t>FG00635</t>
  </si>
  <si>
    <t>CEFPOQUE 50MG/5ML (CEFPODOXIME) SUSP. ORALE 100ML</t>
  </si>
  <si>
    <t>FG00636</t>
  </si>
  <si>
    <t>CEFTAZ (CEFTAZIDIME) IV/IM UPS 1G B/1 AMP</t>
  </si>
  <si>
    <t>FG00637</t>
  </si>
  <si>
    <t>CEFTRIN (CEFRTIAXONE) INJ. 1GR.</t>
  </si>
  <si>
    <t>FG00638</t>
  </si>
  <si>
    <t>CEFTRIN PLUS 1.5G INJ B/1AMP</t>
  </si>
  <si>
    <t>FG00639</t>
  </si>
  <si>
    <t>CEFUDOC 500MG 10CES</t>
  </si>
  <si>
    <t>FG00640</t>
  </si>
  <si>
    <t>CEFUROCLAV 30ML SIROP</t>
  </si>
  <si>
    <t>FG00641</t>
  </si>
  <si>
    <t>CEFUROCLAV 312.5MG B/10CES</t>
  </si>
  <si>
    <t>FG00642</t>
  </si>
  <si>
    <t>CEFUROCLAV 625MG B/6CES</t>
  </si>
  <si>
    <t>FG00643</t>
  </si>
  <si>
    <t>CEFXON (CEFTRIAXONE) 1 GR INJ</t>
  </si>
  <si>
    <t>FG00644</t>
  </si>
  <si>
    <t>CEFXON -S-1500 (CEFTRI.+SULBAC.) INJ</t>
  </si>
  <si>
    <t>FG00645</t>
  </si>
  <si>
    <t>CEFXON -S-750 (CEFTRI.+SULBAC.)</t>
  </si>
  <si>
    <t>FG00646</t>
  </si>
  <si>
    <t>CELCAR 450MG (CARBOPLATIN) INJ B/1 VIAL</t>
  </si>
  <si>
    <t>FG00647</t>
  </si>
  <si>
    <t>CELCARB 150MG (CARBOPLATIN) INJ. B/1 VIAL</t>
  </si>
  <si>
    <t>FG00648</t>
  </si>
  <si>
    <t>CELCARD 50MG (CARBOPLATIN) INJ. B/1 VIAL</t>
  </si>
  <si>
    <t>FG00649</t>
  </si>
  <si>
    <t>CELDACH 100MG (OXALIPLATIN) INJ. B/1 VIAL</t>
  </si>
  <si>
    <t>FG00650</t>
  </si>
  <si>
    <t>CELDACH 50MG (OXALIPLATIN) INJ B/1 VIAL</t>
  </si>
  <si>
    <t>FG00651</t>
  </si>
  <si>
    <t>CELEBREX 100MG @@@ 20 GELULES@@@@ (FR)</t>
  </si>
  <si>
    <t>FG00652</t>
  </si>
  <si>
    <t>CELEBREX 200MG 30 CAPS (FR)</t>
  </si>
  <si>
    <t>FG00653</t>
  </si>
  <si>
    <t>CELESTENE 0.5MG/ML GOUTTE FL 30ML (FR)</t>
  </si>
  <si>
    <t>FG00654</t>
  </si>
  <si>
    <t>CELESTENE 2MG 20CES (FR)</t>
  </si>
  <si>
    <t>FG00655</t>
  </si>
  <si>
    <t>CELESTENE 4MG INJ B/3AMP (FR)</t>
  </si>
  <si>
    <t>FG00656</t>
  </si>
  <si>
    <t>CELESTENE GOUTTE 30ML</t>
  </si>
  <si>
    <t>FG00657</t>
  </si>
  <si>
    <t>CELKERAN 2MG (CHLORAMBUCIL) B/30CES</t>
  </si>
  <si>
    <t>FG00658</t>
  </si>
  <si>
    <t>CELKERAN 5MG (CHLORAMBUCIL) B/30CES</t>
  </si>
  <si>
    <t>FG00659</t>
  </si>
  <si>
    <t>CELL-VISION 0.3% (HYPROMELLOSE) COLLYRE 10ML</t>
  </si>
  <si>
    <t>FG00660</t>
  </si>
  <si>
    <t>CELOFEM 2.5MG (LETROZOL) PLT/10CES</t>
  </si>
  <si>
    <t>FG00661</t>
  </si>
  <si>
    <t>CELPLAT 10MG (CISPLATIN) INJ B/1 VIAL</t>
  </si>
  <si>
    <t>FG00662</t>
  </si>
  <si>
    <t>CELPLAT 50MG (CISPLATIN) INJ.B/1 VIAL</t>
  </si>
  <si>
    <t>FG00663</t>
  </si>
  <si>
    <t>CELTAX 10MG (PACLITAXEL) INJ B/1 VIAL</t>
  </si>
  <si>
    <t>FG00664</t>
  </si>
  <si>
    <t>CEMYCINE (AZITHROMYCINE) 250MG B/10CES</t>
  </si>
  <si>
    <t>FG00665</t>
  </si>
  <si>
    <t>CEMYCINE (AZITHROMYCINE) B/5 CES</t>
  </si>
  <si>
    <t>FG00666</t>
  </si>
  <si>
    <t>CEMYCINE (AZITHROMYCINE) SUSP. 30ML</t>
  </si>
  <si>
    <t>FG00667</t>
  </si>
  <si>
    <t>CENTRIFUGEUSE A URINE</t>
  </si>
  <si>
    <t>FG00668</t>
  </si>
  <si>
    <t>CENTRUM B/20CES</t>
  </si>
  <si>
    <t>FG00669</t>
  </si>
  <si>
    <t>CENTRUM BUV. BT/10AMP</t>
  </si>
  <si>
    <t>FG00670</t>
  </si>
  <si>
    <t>CENTRUM INJ. 5 + 5 AMP.</t>
  </si>
  <si>
    <t>FG00671</t>
  </si>
  <si>
    <t>CEPIME (CEFEPIME) 1000MG IV&amp;IM B/1 INJ</t>
  </si>
  <si>
    <t>FG00672</t>
  </si>
  <si>
    <t>CEPIME (CEFEPIME) 250MG IV&amp;IM B/1 INJ</t>
  </si>
  <si>
    <t>FG00673</t>
  </si>
  <si>
    <t>CEPRA S INJ</t>
  </si>
  <si>
    <t>FG00674</t>
  </si>
  <si>
    <t>CERULYSE GOUTTES OTOL 10ML (EO)</t>
  </si>
  <si>
    <t>FG00677</t>
  </si>
  <si>
    <t>CESADOX 50MG/5ML SP 100ML</t>
  </si>
  <si>
    <t>FG00678</t>
  </si>
  <si>
    <t>CESADOX DT 200MG B/10 CES</t>
  </si>
  <si>
    <t>FG00679</t>
  </si>
  <si>
    <t>CESAKROL ADULT 300MG 5ML 100 SP</t>
  </si>
  <si>
    <t>FG00680</t>
  </si>
  <si>
    <t>CESAKROL PEDIATRIC 15MG /ML 100 SP</t>
  </si>
  <si>
    <t>FG00681</t>
  </si>
  <si>
    <t>CESAMOL (PARA &amp;DICLO&amp;CAFEINE) PL/10CES</t>
  </si>
  <si>
    <t>FG00682</t>
  </si>
  <si>
    <t>CESATOUX SP 100ML</t>
  </si>
  <si>
    <t>FG00683</t>
  </si>
  <si>
    <t>CETAFOR 1G I.V. B/1AMP (E.O.)</t>
  </si>
  <si>
    <t>FG00684</t>
  </si>
  <si>
    <t>CETAFOR 500MG I.V. B/1AMP (E.O.)</t>
  </si>
  <si>
    <t>FG00685</t>
  </si>
  <si>
    <t>CETAVLON CREME 80GM (GF)</t>
  </si>
  <si>
    <t>FG00686</t>
  </si>
  <si>
    <t>CETAZID-1G (CEFTAZIDIME) B/1 VIAL</t>
  </si>
  <si>
    <t>FG00687</t>
  </si>
  <si>
    <t>CETHER-L (ARTEM.+LUME.) ORALE SUSP 100ML</t>
  </si>
  <si>
    <t>FG00688</t>
  </si>
  <si>
    <t>CETHER-L 150MG B/6CES</t>
  </si>
  <si>
    <t>FG00689</t>
  </si>
  <si>
    <t>CETHER-L ADULTE DT B/6 CES</t>
  </si>
  <si>
    <t>FG00690</t>
  </si>
  <si>
    <t>CETHER-L DT B/12 CES</t>
  </si>
  <si>
    <t>FG00691</t>
  </si>
  <si>
    <t>CETHER-L DT B/6 CES</t>
  </si>
  <si>
    <t>FG00692</t>
  </si>
  <si>
    <t>CETHER-L FORTE DT B/6 CES</t>
  </si>
  <si>
    <t>FG00693</t>
  </si>
  <si>
    <t>CEVITE (VITAMINE C) SIROP 100ML</t>
  </si>
  <si>
    <t>FG00694</t>
  </si>
  <si>
    <t>CEVITE 1000 (VITAMINE C ) EFF.B/10 CES</t>
  </si>
  <si>
    <t>FG00695</t>
  </si>
  <si>
    <t>CEVITE 500MG 10 X 10 CES (ORANGE)</t>
  </si>
  <si>
    <t>FG00696</t>
  </si>
  <si>
    <t>CEZINC 20MG B/10CES</t>
  </si>
  <si>
    <t>FG00697</t>
  </si>
  <si>
    <t>CEZINC 20MG/5ML SP 60ML</t>
  </si>
  <si>
    <t>FG00698</t>
  </si>
  <si>
    <t>CHAISE ROULANT (VÉLO)</t>
  </si>
  <si>
    <t>FG00699</t>
  </si>
  <si>
    <t>CHAISE ROULANT (VÉLO) CHILD (BABE)</t>
  </si>
  <si>
    <t>FG00700</t>
  </si>
  <si>
    <t>CHATEAU ROUGE LAIT ULTRA HYDRA 500ML</t>
  </si>
  <si>
    <t>FG00701</t>
  </si>
  <si>
    <t>CHATEAU ROUGE LOTION 200ML</t>
  </si>
  <si>
    <t>FG00702</t>
  </si>
  <si>
    <t>CHATEAU ROUGE SAVON DERMATOLOGIQUE 200G</t>
  </si>
  <si>
    <t>FG00703</t>
  </si>
  <si>
    <t>CHEFTAZ 1000/125 MG ING</t>
  </si>
  <si>
    <t>FG00704</t>
  </si>
  <si>
    <t>CHIBRON CADRON COLLYRE 5ML (FR)</t>
  </si>
  <si>
    <t>FG00705</t>
  </si>
  <si>
    <t>CHIBROXINE COLLYRE FL/ 5ML (FR) &amp;&amp;&amp;</t>
  </si>
  <si>
    <t>FG00706</t>
  </si>
  <si>
    <t>CHLORAMINE T BT/100CES</t>
  </si>
  <si>
    <t>FG00707</t>
  </si>
  <si>
    <t>CHLORAMPHENICOL (PHATKIN) SP 100ML</t>
  </si>
  <si>
    <t>FG00708</t>
  </si>
  <si>
    <t>CHLORAPHENICOL (CHLORATOUX) SP 100ML</t>
  </si>
  <si>
    <t>FG00709</t>
  </si>
  <si>
    <t>CHLOROQUIN PHOSPHATE 250MG B/1000TAB</t>
  </si>
  <si>
    <t>FG00710</t>
  </si>
  <si>
    <t>CHLOROQUINE 250MG B/10CES</t>
  </si>
  <si>
    <t>FG00711</t>
  </si>
  <si>
    <t>CHLOROQUINE PHOSPHATE 250MG 1X30 CES</t>
  </si>
  <si>
    <t>FG00712</t>
  </si>
  <si>
    <t>CHOLESTROM 20MG B/30CES</t>
  </si>
  <si>
    <t>FG00713</t>
  </si>
  <si>
    <t>CHROMIC CATGUT NO.0 PCS/1 (UNIQUE)</t>
  </si>
  <si>
    <t>FG00714</t>
  </si>
  <si>
    <t>CHROMIC CATGUT NO.1...PCS/1 (UNIQUE)</t>
  </si>
  <si>
    <t>FG00715</t>
  </si>
  <si>
    <t>CHROMIC CATGUT NO.2...PCS/1 (UNIQUE)</t>
  </si>
  <si>
    <t>FG00716</t>
  </si>
  <si>
    <t>CHROMIC CATGUT NO.2/0...PCS/1 (UNIQUE)</t>
  </si>
  <si>
    <t>FG00717</t>
  </si>
  <si>
    <t>CHROMIC CATGUT NO.3...PCS/1</t>
  </si>
  <si>
    <t>FG00718</t>
  </si>
  <si>
    <t>CHROMIC CATGUT NO.3/0...PCS/1</t>
  </si>
  <si>
    <t>FG00719</t>
  </si>
  <si>
    <t>CHUI CREAM 10GR</t>
  </si>
  <si>
    <t>FG00720</t>
  </si>
  <si>
    <t>CHUI CREAM 30GR</t>
  </si>
  <si>
    <t>FG00721</t>
  </si>
  <si>
    <t>CHYNOTRYPSINE 30CES</t>
  </si>
  <si>
    <t>FG00722</t>
  </si>
  <si>
    <t>CIALIS 20MG B/4CES (FR)</t>
  </si>
  <si>
    <t>FG00723</t>
  </si>
  <si>
    <t>CICLODERM 15G CREAM</t>
  </si>
  <si>
    <t>FG00724</t>
  </si>
  <si>
    <t>CIFIN (CIPROFLOXACIN) 500MG 10CES</t>
  </si>
  <si>
    <t>FG00725</t>
  </si>
  <si>
    <t>CIFIN COLLYRE 10ML</t>
  </si>
  <si>
    <t>FG00726</t>
  </si>
  <si>
    <t>CIFIN DRY SUSP 250MG/5ML</t>
  </si>
  <si>
    <t>FG00727</t>
  </si>
  <si>
    <t>CIFIN TZ (CIPRO+TINIDAZOLE) 10 CES</t>
  </si>
  <si>
    <t>FG00728</t>
  </si>
  <si>
    <t>CIFIN-200 IV (SANS TROUSSE) 100ML</t>
  </si>
  <si>
    <t>FG00729</t>
  </si>
  <si>
    <t>CIFIN-DX COLLYRE/OTTIQUE 10ML</t>
  </si>
  <si>
    <t>FG00730</t>
  </si>
  <si>
    <t>CILOXAN 3 % CY 5ML (FR)</t>
  </si>
  <si>
    <t>FG00731</t>
  </si>
  <si>
    <t>CINABAC (CIPROFLOXACINE) 500MG 10CAPS. GENPHARMA</t>
  </si>
  <si>
    <t>FG00732</t>
  </si>
  <si>
    <t>CIPRO DENK 750MG B/10CES (EO)</t>
  </si>
  <si>
    <t>FG00733</t>
  </si>
  <si>
    <t>CIPROBIOTIC-FORTE 500MG B/10CES</t>
  </si>
  <si>
    <t>FG00734</t>
  </si>
  <si>
    <t>CIPROBIOTIC-TN 500MG B/10CES</t>
  </si>
  <si>
    <t>FG00735</t>
  </si>
  <si>
    <t>CIPRODAC 500MG B/10CES</t>
  </si>
  <si>
    <t>FG00736</t>
  </si>
  <si>
    <t>CIPROFLOXACIN INJ 100ML (LOCAL)</t>
  </si>
  <si>
    <t>FG00737</t>
  </si>
  <si>
    <t>CIPRONAT 250MG 14CES (EO)</t>
  </si>
  <si>
    <t>FG00738</t>
  </si>
  <si>
    <t>CIPRONAT 500MG 14CES (EO)</t>
  </si>
  <si>
    <t>FG00739</t>
  </si>
  <si>
    <t>CIPRONAT 750MG 14CES ( FR )</t>
  </si>
  <si>
    <t>FG00741</t>
  </si>
  <si>
    <t>CIPROS PLUS (CIPRO+DEXA) COLLYRE 5ML</t>
  </si>
  <si>
    <t>FG00742</t>
  </si>
  <si>
    <t>CISEAU PETTI 100PC</t>
  </si>
  <si>
    <t>FG00743</t>
  </si>
  <si>
    <t>CITRATE DE SOUDE 3.8% 1LTR</t>
  </si>
  <si>
    <t>FG00744</t>
  </si>
  <si>
    <t>CITRIMEX SIROP 100ML</t>
  </si>
  <si>
    <t>FG00745</t>
  </si>
  <si>
    <t>CITRIMEX-DT 10MG B/10CES</t>
  </si>
  <si>
    <t>FG00746</t>
  </si>
  <si>
    <t>CLAMOXYL 500MG 12 GELULES</t>
  </si>
  <si>
    <t>FG00747</t>
  </si>
  <si>
    <t>CLARA 50GR POUDRE PRICKLY</t>
  </si>
  <si>
    <t>FG00748</t>
  </si>
  <si>
    <t>CLARA TALC &amp;&amp; 25 GR &amp;&amp;</t>
  </si>
  <si>
    <t>FG00749</t>
  </si>
  <si>
    <t>CLARA TALC 50 GR</t>
  </si>
  <si>
    <t>FG00750</t>
  </si>
  <si>
    <t>CLARA TALC PRICKLY HEAT 150G</t>
  </si>
  <si>
    <t>FG00751</t>
  </si>
  <si>
    <t>CLARINAZ 0.5 ENF GOUTTE 10ML</t>
  </si>
  <si>
    <t>FG00752</t>
  </si>
  <si>
    <t>CLARINAZ 1.0 AD GOUTTE 10ML</t>
  </si>
  <si>
    <t>FG00753</t>
  </si>
  <si>
    <t>CLARITYNE 10MG CES B/10 (FR)?</t>
  </si>
  <si>
    <t>FG00754</t>
  </si>
  <si>
    <t>CLAVAMOX 1.2G INJ B/1AMP</t>
  </si>
  <si>
    <t>FG00755</t>
  </si>
  <si>
    <t>CLAVICIN 457 MG SUSP</t>
  </si>
  <si>
    <t>FG00761</t>
  </si>
  <si>
    <t>CLAVUJECT 1.2G INJ.B/1</t>
  </si>
  <si>
    <t>FG00762</t>
  </si>
  <si>
    <t>CLAVUMOCCID 1G B/10 CES</t>
  </si>
  <si>
    <t>FG00763</t>
  </si>
  <si>
    <t>CLAVUZAM 1GM B/16CES</t>
  </si>
  <si>
    <t>FG00764</t>
  </si>
  <si>
    <t>CLAVUZAM SP 457GM 70ML</t>
  </si>
  <si>
    <t>FG00765</t>
  </si>
  <si>
    <t>CLER-VISION (NAP.+ZINC.+CPM+MC.) COLLYRE 10ML</t>
  </si>
  <si>
    <t>FG00766</t>
  </si>
  <si>
    <t>CLIFA-150 (CLINDAMYCINE) IV&amp;IM B/1 INJ</t>
  </si>
  <si>
    <t>FG00767</t>
  </si>
  <si>
    <t>CLIFA-150MG (CLINDAMYCINE) B/30CAP</t>
  </si>
  <si>
    <t>FG00768</t>
  </si>
  <si>
    <t>CLIFA-300 (CLINDAMYCINE) IV&amp;IM B/1 INJ</t>
  </si>
  <si>
    <t>FG00769</t>
  </si>
  <si>
    <t>CLIFA-300MG B/30 CAP****</t>
  </si>
  <si>
    <t>FG00770</t>
  </si>
  <si>
    <t>CLIFA-300MG (CLINDAMYCINE) B/1X10 CAP</t>
  </si>
  <si>
    <t>FG00771</t>
  </si>
  <si>
    <t>CLIFA-600 INJ B/1AMP</t>
  </si>
  <si>
    <t>FG00772</t>
  </si>
  <si>
    <t>CLIFA-600MG*** UPS B/10 CES</t>
  </si>
  <si>
    <t>FG00773</t>
  </si>
  <si>
    <t>CLIMED - 150 (CLINDAMYCINE) B/2 X10 CES</t>
  </si>
  <si>
    <t>FG00774</t>
  </si>
  <si>
    <t>CLIMED - 300 (CLINDAMYCINE) B/2 X10 CES</t>
  </si>
  <si>
    <t>FG00775</t>
  </si>
  <si>
    <t>CLIMED-150 (CLINDAMYCIN) B/1AMP</t>
  </si>
  <si>
    <t>FG00776</t>
  </si>
  <si>
    <t>CLIMED-150MG B/1VIAL</t>
  </si>
  <si>
    <t>FG00777</t>
  </si>
  <si>
    <t>CLIMED-300MG INJ /1VIAL</t>
  </si>
  <si>
    <t>FG00778</t>
  </si>
  <si>
    <t>CLINDACIN &amp;&amp;150&amp;&amp; (CLINDA USP) IV/IM B/1AMP</t>
  </si>
  <si>
    <t>FG00779</t>
  </si>
  <si>
    <t>CLINDACIN 300 (CLINDA USP) IV/IM B/1AMP</t>
  </si>
  <si>
    <t>FG00780</t>
  </si>
  <si>
    <t>CLINDACIN-150MG B/20CAPS</t>
  </si>
  <si>
    <t>FG00781</t>
  </si>
  <si>
    <t>CLINDACIN-300MG B/20CAPS</t>
  </si>
  <si>
    <t>FG00782</t>
  </si>
  <si>
    <t>CLODEX COLLYRE 5ML</t>
  </si>
  <si>
    <t>FG00783</t>
  </si>
  <si>
    <t>CLOMA (CLOTRIMAZOLE 100MG) B\6CES</t>
  </si>
  <si>
    <t>FG00784</t>
  </si>
  <si>
    <t>CLOMID 50MG CES B/10(VERT)***</t>
  </si>
  <si>
    <t>FG00785</t>
  </si>
  <si>
    <t>CLOPI DENK 75 MG B/30 CES (FR)</t>
  </si>
  <si>
    <t>FG00786</t>
  </si>
  <si>
    <t>CLOTEK CREME 15GR.</t>
  </si>
  <si>
    <t>FG00787</t>
  </si>
  <si>
    <t>CLOTEK CREME 30GR.</t>
  </si>
  <si>
    <t>FG00788</t>
  </si>
  <si>
    <t>CLOTRI-DENK 100 VAGINAL B/6</t>
  </si>
  <si>
    <t>FG00789</t>
  </si>
  <si>
    <t>CLOTRIL B.G. CREME 30GR</t>
  </si>
  <si>
    <t>FG00790</t>
  </si>
  <si>
    <t>CLOTRIZOL GOUTTE 15ML</t>
  </si>
  <si>
    <t>FG00791</t>
  </si>
  <si>
    <t>CLOXACILLINE 250MG 10CAPS PL</t>
  </si>
  <si>
    <t>FG00793</t>
  </si>
  <si>
    <t>CLOZIDERM CREAM 15GM</t>
  </si>
  <si>
    <t>FG00794</t>
  </si>
  <si>
    <t>CLOZIDERM CREAM 30GM</t>
  </si>
  <si>
    <t>FG00795</t>
  </si>
  <si>
    <t>CLOZIDERM SAVON ANTIBACTERIEN 100MG</t>
  </si>
  <si>
    <t>FG00796</t>
  </si>
  <si>
    <t>CO ARTHER FORT TABLET 2 X 6</t>
  </si>
  <si>
    <t>FG00797</t>
  </si>
  <si>
    <t>CO-AGGUPLAX (CLOPIDOGREL) 75MG B/30CES</t>
  </si>
  <si>
    <t>FG00798</t>
  </si>
  <si>
    <t>CO-APROVEL 150/12.5 MG 28CES(FR)</t>
  </si>
  <si>
    <t>FG00799</t>
  </si>
  <si>
    <t>CO-APROVEL 300MG 30CES(FR)</t>
  </si>
  <si>
    <t>FG00800</t>
  </si>
  <si>
    <t>CO-ARINATE AD FDC 500MG/25MG 3CES</t>
  </si>
  <si>
    <t>FG00801</t>
  </si>
  <si>
    <t>CO-ARINATE ENF FDC 250MG/12.5MG 3CES</t>
  </si>
  <si>
    <t>FG00802</t>
  </si>
  <si>
    <t>CO-ARTESIAN 180MG/60ML SUSP (FR)</t>
  </si>
  <si>
    <t>FG00803</t>
  </si>
  <si>
    <t>CO-ARTESINE SIROP***120ML***(FR)</t>
  </si>
  <si>
    <t>FG00804</t>
  </si>
  <si>
    <t>CO-ARTHER (ARTEM + LUMEFA) SUSP. 60 ML</t>
  </si>
  <si>
    <t>FG00805</t>
  </si>
  <si>
    <t>CO-ARTHER DS B/6 CES</t>
  </si>
  <si>
    <t>FG00806</t>
  </si>
  <si>
    <t>CO-ARTHER DS DISPERSIBLE B/6 CES</t>
  </si>
  <si>
    <t>FG00807</t>
  </si>
  <si>
    <t>CO-ARTHER FORTE DISPERSIBLE B/12 CES</t>
  </si>
  <si>
    <t>FG00808</t>
  </si>
  <si>
    <t>CO-ARTLUF 24CES</t>
  </si>
  <si>
    <t>FG00809</t>
  </si>
  <si>
    <t>CO-ARTLUF 9*1.5G SACHET B/9 SACHET</t>
  </si>
  <si>
    <t>FG00810</t>
  </si>
  <si>
    <t>CO-ARTLUF FORT B/6CES</t>
  </si>
  <si>
    <t>FG00811</t>
  </si>
  <si>
    <t>CO-AVAZIR COLLYRE 10ML (FR)</t>
  </si>
  <si>
    <t>FG00812</t>
  </si>
  <si>
    <t>CO-RIMETAR 20/120 DISPERSIBLE B/6CES</t>
  </si>
  <si>
    <t>FG00813</t>
  </si>
  <si>
    <t>CO-RIMETAR (ARTE.+LUMEFA.) SP 60ML</t>
  </si>
  <si>
    <t>FG00814</t>
  </si>
  <si>
    <t>CO-RIMETAR 80MG/480MG (LEME.+ART.) B/6CAPS</t>
  </si>
  <si>
    <t>FG00815</t>
  </si>
  <si>
    <t>COAGGUPLAX (CLOPIDOGREL &amp; ACERYL) 150MG B/30CAP</t>
  </si>
  <si>
    <t>FG00816</t>
  </si>
  <si>
    <t>COARTEM (ARTE + LUME) 80/480MG B/6CES (FR)</t>
  </si>
  <si>
    <t>FG00817</t>
  </si>
  <si>
    <t>COARTEM 20/120 MG 6 CES DISPERSIBLE</t>
  </si>
  <si>
    <t>FG00818</t>
  </si>
  <si>
    <t>COARTEM 20/120MG ***12***CES DISPERSIBLE</t>
  </si>
  <si>
    <t>FG00819</t>
  </si>
  <si>
    <t>COBOT</t>
  </si>
  <si>
    <t>FG00820</t>
  </si>
  <si>
    <t>COCA COLA TIN 1PC</t>
  </si>
  <si>
    <t>FG00821</t>
  </si>
  <si>
    <t>COFANTRINE SUSP 60ML</t>
  </si>
  <si>
    <t>FG00822</t>
  </si>
  <si>
    <t>COFEX (ANTI-TOUX) SP 100ML</t>
  </si>
  <si>
    <t>FG00823</t>
  </si>
  <si>
    <t>COFFEE MAKER</t>
  </si>
  <si>
    <t>FG00824</t>
  </si>
  <si>
    <t>COFLULIB 120 DOSE INHALATION</t>
  </si>
  <si>
    <t>FG00825</t>
  </si>
  <si>
    <t>COFLULIB 25/125 120 DOSE INHALATION</t>
  </si>
  <si>
    <t>FG00826</t>
  </si>
  <si>
    <t>COLCHICINE HOUDE 20CES (FR)</t>
  </si>
  <si>
    <t>FG00827</t>
  </si>
  <si>
    <t>COLCHIMAX CES B/20 (FR)</t>
  </si>
  <si>
    <t>FG00828</t>
  </si>
  <si>
    <t>COLD GRIP INJ B/5AMP</t>
  </si>
  <si>
    <t>FG00829</t>
  </si>
  <si>
    <t>COLD GRIP INHALER</t>
  </si>
  <si>
    <t>FG00830</t>
  </si>
  <si>
    <t>COLD GRIP POCH/4CES</t>
  </si>
  <si>
    <t>FG00831</t>
  </si>
  <si>
    <t>COLD GRIP-C SIROP 100ML</t>
  </si>
  <si>
    <t>FG00832</t>
  </si>
  <si>
    <t>COLDTEC 100ML SP</t>
  </si>
  <si>
    <t>FG00833</t>
  </si>
  <si>
    <t>COLISEPT 0.025% COLLYRE</t>
  </si>
  <si>
    <t>FG00834</t>
  </si>
  <si>
    <t>COLLUDOL AEROSOL(FR)</t>
  </si>
  <si>
    <t>FG00835</t>
  </si>
  <si>
    <t>COLLYRE BLEU FL/10ML (FR)</t>
  </si>
  <si>
    <t>FG00836</t>
  </si>
  <si>
    <t>COLOSTOMIE SAC DIAMETRE DU TROU 30MM 1PCS</t>
  </si>
  <si>
    <t>FG00837</t>
  </si>
  <si>
    <t>COMBAMTRINE POCH/6CES...(CESA)</t>
  </si>
  <si>
    <t>FG00838</t>
  </si>
  <si>
    <t>COMBATRIN 125MG 6CES (E.O.)</t>
  </si>
  <si>
    <t>FG00839</t>
  </si>
  <si>
    <t>COMBATRINE 125MG/2.5ML SUSP 15ML (FR)</t>
  </si>
  <si>
    <t>FG00840</t>
  </si>
  <si>
    <t>COMBAVERS 125MG 6CES</t>
  </si>
  <si>
    <t>FG00841</t>
  </si>
  <si>
    <t>COMBAVERS SUSP 15ML</t>
  </si>
  <si>
    <t>FG00842</t>
  </si>
  <si>
    <t>COMBAVETREN 125MG POCH/6CES (PALOMA)</t>
  </si>
  <si>
    <t>FG00843</t>
  </si>
  <si>
    <t>COMBIQUIN 60 ML SP</t>
  </si>
  <si>
    <t>FG00844</t>
  </si>
  <si>
    <t>COMBIQUIN B/6CES</t>
  </si>
  <si>
    <t>FG00845</t>
  </si>
  <si>
    <t>COMBUR 9 TESTE KIT</t>
  </si>
  <si>
    <t>FG00846</t>
  </si>
  <si>
    <t>COMFORT EXTRA (SERVITTES HYGINIQUES) 1PS</t>
  </si>
  <si>
    <t>FG00847</t>
  </si>
  <si>
    <t>COMFORT NORMAL (SERVIETTES HYGINIQUES)1P</t>
  </si>
  <si>
    <t>FG00848</t>
  </si>
  <si>
    <t>COMFORT REGULAR 10 SERVIETTES</t>
  </si>
  <si>
    <t>FG00849</t>
  </si>
  <si>
    <t>COMFORT ULTRA THIN 10 SERVIETTES</t>
  </si>
  <si>
    <t>FG00850</t>
  </si>
  <si>
    <t>COMFREY ADULLT DIAPERS XL 10PC</t>
  </si>
  <si>
    <t>FG00851</t>
  </si>
  <si>
    <t>COMMODE CHAISE DE TOILETE ROBE FIXE 1 PCS (FS893)</t>
  </si>
  <si>
    <t>FG00852</t>
  </si>
  <si>
    <t>COMMODE CHAISE DE TOILETTE 1 PCS (FS8941)</t>
  </si>
  <si>
    <t>FG00853</t>
  </si>
  <si>
    <t>COMPLE VAREZ</t>
  </si>
  <si>
    <t>FG00854</t>
  </si>
  <si>
    <t>COMPRESSES STERILS 20X20CM B/10PCES (UNIQUE)</t>
  </si>
  <si>
    <t>FG00855</t>
  </si>
  <si>
    <t>COMPRESSES STERILS 30X30CM B/10PCS (UNIQUE)</t>
  </si>
  <si>
    <t>FG00856</t>
  </si>
  <si>
    <t>COMPRESSES STERILS 40X40CM B/10PCS (UNIQUE)</t>
  </si>
  <si>
    <t>FG00857</t>
  </si>
  <si>
    <t>CONFIANCE INJECTION</t>
  </si>
  <si>
    <t>FG00858</t>
  </si>
  <si>
    <t>CONFIANCE ORAL CES PL</t>
  </si>
  <si>
    <t>FG00859</t>
  </si>
  <si>
    <t>CONFO ANTI MOSQUITO LIQUED 3.5ML</t>
  </si>
  <si>
    <t>FG00860</t>
  </si>
  <si>
    <t>CONFO 10GR POMMADE</t>
  </si>
  <si>
    <t>FG00861</t>
  </si>
  <si>
    <t>CONGILATEUR</t>
  </si>
  <si>
    <t>FG00862</t>
  </si>
  <si>
    <t>CONITCH 1% 15GM CREME</t>
  </si>
  <si>
    <t>FG00863</t>
  </si>
  <si>
    <t>CONTACID (ANTIACID) 100 ML SP</t>
  </si>
  <si>
    <t>FG00864</t>
  </si>
  <si>
    <t>CONV 1000W</t>
  </si>
  <si>
    <t>FG00870</t>
  </si>
  <si>
    <t>COOLZ (ANTI-ACID) SUSP 200ML</t>
  </si>
  <si>
    <t>FG00871</t>
  </si>
  <si>
    <t>CORDARONE 200MG 30CES (FR)</t>
  </si>
  <si>
    <t>FG00872</t>
  </si>
  <si>
    <t>CORDARONE 20CES 200MG............</t>
  </si>
  <si>
    <t>FG00873</t>
  </si>
  <si>
    <t>COREFLAM 60ML SP</t>
  </si>
  <si>
    <t>FG00875</t>
  </si>
  <si>
    <t>CORRECTOL COLLYRE 0.1% 10ML (FR)</t>
  </si>
  <si>
    <t>FG00876</t>
  </si>
  <si>
    <t>CORTANCYL 5MG 30CES (FR)</t>
  </si>
  <si>
    <t>FG00877</t>
  </si>
  <si>
    <t>CORTISONE (HYDROCORTISONE ) CREAM T/ 15G</t>
  </si>
  <si>
    <t>FG00878</t>
  </si>
  <si>
    <t>CORTISPRAY 50MG/DOSE (FLUTICASONE)</t>
  </si>
  <si>
    <t>FG00880</t>
  </si>
  <si>
    <t>COSODRYL SIROP 100ML</t>
  </si>
  <si>
    <t>FG00881</t>
  </si>
  <si>
    <t>COTRIM FORT 960MG 10CES</t>
  </si>
  <si>
    <t>FG00882</t>
  </si>
  <si>
    <t>COTRIMOXAZOLE 480MG B/1000CES</t>
  </si>
  <si>
    <t>FG00883</t>
  </si>
  <si>
    <t>COTRIMOXAZOLE 480MG BT/10X10CES</t>
  </si>
  <si>
    <t>FG00884</t>
  </si>
  <si>
    <t>COTRIMOXAZOLE SIROP 100ML(PHATKIN)</t>
  </si>
  <si>
    <t>FG00885</t>
  </si>
  <si>
    <t>COTRIMOXAZOLE SP 100ML</t>
  </si>
  <si>
    <t>FG00886</t>
  </si>
  <si>
    <t>COUVERATURE DE SURVIE</t>
  </si>
  <si>
    <t>FG00887</t>
  </si>
  <si>
    <t>COVERAM 5/5MG @@@@@ 30 GELULES(FR) @@@@</t>
  </si>
  <si>
    <t>FG00888</t>
  </si>
  <si>
    <t>COVERSYL 10MG 30CES(FR)</t>
  </si>
  <si>
    <t>FG00889</t>
  </si>
  <si>
    <t>COVERSYL PLUS 5MG 30CES (EO)</t>
  </si>
  <si>
    <t>FG00890</t>
  </si>
  <si>
    <t>COVID-19 ANTIGEN TEST KIT B/25</t>
  </si>
  <si>
    <t>FG00891</t>
  </si>
  <si>
    <t>COXIPAIN - 30MG (1X10 CES)</t>
  </si>
  <si>
    <t>FG00892</t>
  </si>
  <si>
    <t>COXIPAIN - 60MG (1X10 CES)</t>
  </si>
  <si>
    <t>FG00893</t>
  </si>
  <si>
    <t>CRESTOR 10MG 28 CES (FR)</t>
  </si>
  <si>
    <t>FG00894</t>
  </si>
  <si>
    <t>CRESTOR 20MG 30CES(FR)</t>
  </si>
  <si>
    <t>FG00895</t>
  </si>
  <si>
    <t>CRESTOR 5MG B/28 CES</t>
  </si>
  <si>
    <t>FG00896</t>
  </si>
  <si>
    <t>CRISTAL 10 SUPPOS ENFT (FR)</t>
  </si>
  <si>
    <t>FG00897</t>
  </si>
  <si>
    <t>CROISCARD 250/125UI NSUSP BUV FL 150ML</t>
  </si>
  <si>
    <t>FG00898</t>
  </si>
  <si>
    <t>CROISCARD 500MG/250UI CP B/15</t>
  </si>
  <si>
    <t>FG00899</t>
  </si>
  <si>
    <t>CROMOSOL COLLYRE 2% 5ML (FR)</t>
  </si>
  <si>
    <t>FG00900</t>
  </si>
  <si>
    <t>CU-PL( LEVONORGESTREL) B/1CES</t>
  </si>
  <si>
    <t>FG00901</t>
  </si>
  <si>
    <t>CUPBOARD</t>
  </si>
  <si>
    <t>FG00902</t>
  </si>
  <si>
    <t>CUPID 50MG B/1CES</t>
  </si>
  <si>
    <t>FG00903</t>
  </si>
  <si>
    <t>CURAFLOX 200MG BT/10 CES</t>
  </si>
  <si>
    <t>FG00904</t>
  </si>
  <si>
    <t>CURAFLOX 60ML SUSP.</t>
  </si>
  <si>
    <t>FG00905</t>
  </si>
  <si>
    <t>CURAM 1000MG /125MG SACHETS B/12</t>
  </si>
  <si>
    <t>FG00906</t>
  </si>
  <si>
    <t>CURAM 1000MG 10CES (EO)</t>
  </si>
  <si>
    <t>FG00907</t>
  </si>
  <si>
    <t>CUTACNYL 5 GEL DERM 40GR(FR)</t>
  </si>
  <si>
    <t>FG00908</t>
  </si>
  <si>
    <t>CUTISAN POUDRE 80GR. (EO)</t>
  </si>
  <si>
    <t>FG00909</t>
  </si>
  <si>
    <t>CYCLO-VISION (CYCLOPENTOLATE) COLLYRE 5ML</t>
  </si>
  <si>
    <t>FG00910</t>
  </si>
  <si>
    <t>CYCLOCEL 1000MG (CYCLOPHOSPHAMIDE) INJ B/1 VIAL</t>
  </si>
  <si>
    <t>FG00911</t>
  </si>
  <si>
    <t>CYCLOCEL 200MG (CYCLOPHOSPHAMIDE) INJ B/1 VIAL</t>
  </si>
  <si>
    <t>FG00912</t>
  </si>
  <si>
    <t>CYCLOCEL 500MG (CYCLOPHOSPHAMIDE) INJ B/1 VIAL</t>
  </si>
  <si>
    <t>FG00913</t>
  </si>
  <si>
    <t>CYCLOMAX 6OVULES</t>
  </si>
  <si>
    <t>FG00914</t>
  </si>
  <si>
    <t>CYPOMEX B/10X10CES</t>
  </si>
  <si>
    <t>FG00915</t>
  </si>
  <si>
    <t>CYPOMEX 4MG 20CES</t>
  </si>
  <si>
    <t>FG00916</t>
  </si>
  <si>
    <t>CYPOMEX SP 100ML</t>
  </si>
  <si>
    <t>FG00917</t>
  </si>
  <si>
    <t>CYPRO COLLYRE 3ML (LOCAL)</t>
  </si>
  <si>
    <t>FG00919</t>
  </si>
  <si>
    <t>CYTEAL SOL EXT. 250ML (FR)</t>
  </si>
  <si>
    <t>FG00920</t>
  </si>
  <si>
    <t>CYTOTEC (MISOPROSTOL 200MG) B/28CES -GENERIQUE-</t>
  </si>
  <si>
    <t>FG00921</t>
  </si>
  <si>
    <t>CYTOTEC 200MG @@ PL/14CES (FR)</t>
  </si>
  <si>
    <t>FG00922</t>
  </si>
  <si>
    <t>D - NAC L.P B/10 CAP</t>
  </si>
  <si>
    <t>FG00923</t>
  </si>
  <si>
    <t>D V D PLAYER</t>
  </si>
  <si>
    <t>FG00924</t>
  </si>
  <si>
    <t>D3 JUNIOR DENK CES (FR)</t>
  </si>
  <si>
    <t>FG00925</t>
  </si>
  <si>
    <t>DACRYOSERUM SOL OCUL UNIDOS B/20 (FR)</t>
  </si>
  <si>
    <t>FG00926</t>
  </si>
  <si>
    <t>DAFALGAN 1G 8 CES EFF</t>
  </si>
  <si>
    <t>FG00927</t>
  </si>
  <si>
    <t>DAFALGAN 1GR 8GELULES(FR)</t>
  </si>
  <si>
    <t>FG00928</t>
  </si>
  <si>
    <t>DAFALGAN 500MG 16 CES EFF. (FR)</t>
  </si>
  <si>
    <t>FG00929</t>
  </si>
  <si>
    <t>DAFALGAN 500MG 16GELULES SEC. (FR)</t>
  </si>
  <si>
    <t>FG00930</t>
  </si>
  <si>
    <t>DAFALGAN FORT 1GR B/20CES EFF.(FR)</t>
  </si>
  <si>
    <t>FG00931</t>
  </si>
  <si>
    <t>DAFLON 1000MG 30CES (FR)</t>
  </si>
  <si>
    <t>FG00932</t>
  </si>
  <si>
    <t>DAFLON 500MG 30CES (FR)</t>
  </si>
  <si>
    <t>FG00933</t>
  </si>
  <si>
    <t>DAFRACLAV 228MG PDRE SUSP BUV (FR)</t>
  </si>
  <si>
    <t>FG00934</t>
  </si>
  <si>
    <t>DAFRACLAV 625MG B/15CES (FR)</t>
  </si>
  <si>
    <t>FG00935</t>
  </si>
  <si>
    <t>DAFRACLAV 875/125 MG B/10CES (EO)</t>
  </si>
  <si>
    <t>FG00936</t>
  </si>
  <si>
    <t>DAFRAZOL (OMEPRAZOLE) 40MG IV B/1AMP</t>
  </si>
  <si>
    <t>FG00937</t>
  </si>
  <si>
    <t>DAFRAZOL 20MG *** 28CES***** (FR)</t>
  </si>
  <si>
    <t>FG00938</t>
  </si>
  <si>
    <t>DAFRAZOL 20MG 14CAPS (FR)</t>
  </si>
  <si>
    <t>FG00939</t>
  </si>
  <si>
    <t>DAKIN COOPER STABILISE 250ML (FR)</t>
  </si>
  <si>
    <t>FG00940</t>
  </si>
  <si>
    <t>DAKTARIN CREME 30 GR (FR)</t>
  </si>
  <si>
    <t>FG00941</t>
  </si>
  <si>
    <t>DAKTARIN POUDRE 20GR 2% (FR)</t>
  </si>
  <si>
    <t>FG00942</t>
  </si>
  <si>
    <t>DALACINE C 300MG B/16CAP (FR)</t>
  </si>
  <si>
    <t>FG00943</t>
  </si>
  <si>
    <t>DALACINE 150MG CAPS B/12 (FR)</t>
  </si>
  <si>
    <t>FG00944</t>
  </si>
  <si>
    <t>DALACLIF 150MG INJECTION</t>
  </si>
  <si>
    <t>FG00945</t>
  </si>
  <si>
    <t>DALACLIF 150MG \B20CES</t>
  </si>
  <si>
    <t>FG00946</t>
  </si>
  <si>
    <t>DALACLIF 300MG B\20 CES</t>
  </si>
  <si>
    <t>FG00947</t>
  </si>
  <si>
    <t>DALACLIF 300MG INJECTION</t>
  </si>
  <si>
    <t>FG00948</t>
  </si>
  <si>
    <t>DALACLIF 600MG B\20CES</t>
  </si>
  <si>
    <t>FG00949</t>
  </si>
  <si>
    <t>DAVICLAV (AMOXY-CLAVU) 1.2MG B/1AMP</t>
  </si>
  <si>
    <t>FG00950</t>
  </si>
  <si>
    <t>DAVICLAV DUO 1000MG 2X5 CES</t>
  </si>
  <si>
    <t>FG00951</t>
  </si>
  <si>
    <t>DAVICLAV DUO 562.5MG 4X4 CES</t>
  </si>
  <si>
    <t>FG00952</t>
  </si>
  <si>
    <t>DAVICLAVV DUO 457 SUSPENSION 70ML</t>
  </si>
  <si>
    <t>FG00953</t>
  </si>
  <si>
    <t>DAVIFLAM SIROP</t>
  </si>
  <si>
    <t>FG00954</t>
  </si>
  <si>
    <t>DAVIGRA 50 MG 2CES</t>
  </si>
  <si>
    <t>FG00955</t>
  </si>
  <si>
    <t>DAVIGRA @@ 100MG @@ B/2CES</t>
  </si>
  <si>
    <t>FG00956</t>
  </si>
  <si>
    <t>DAVIGRA SPRAY B/1 PCS</t>
  </si>
  <si>
    <t>FG00957</t>
  </si>
  <si>
    <t>DAVIMOOV RELIEF SPRAY 100ML1</t>
  </si>
  <si>
    <t>FG00958</t>
  </si>
  <si>
    <t>DAVIMOOV SAMPLE CREME 25GR</t>
  </si>
  <si>
    <t>FG00959</t>
  </si>
  <si>
    <t>DAXOL POLYVITAMINE GTTE SOL BUV FL 20ML B/1</t>
  </si>
  <si>
    <t>FG00960</t>
  </si>
  <si>
    <t>DAYCOLD B/ 2 X 12 CAPSULE</t>
  </si>
  <si>
    <t>FG00961</t>
  </si>
  <si>
    <t>DAYCOLD SP 200ML</t>
  </si>
  <si>
    <t>FG00962</t>
  </si>
  <si>
    <t>DEBRIDAT 24MG/5ML SUSP 250ML ADULTE</t>
  </si>
  <si>
    <t>FG00963</t>
  </si>
  <si>
    <t>DEBRIDATE 100MG B/30 CES</t>
  </si>
  <si>
    <t>FG00964</t>
  </si>
  <si>
    <t>DECA DURABOLIN 25MG 1AMP(FR)</t>
  </si>
  <si>
    <t>FG00965</t>
  </si>
  <si>
    <t>DECAVITYL (MULTIVITAMINE) SP 100ML</t>
  </si>
  <si>
    <t>FG00966</t>
  </si>
  <si>
    <t>DECAVITYL+M (MULTI.+FER+MINE.) B/30CAP</t>
  </si>
  <si>
    <t>FG00967</t>
  </si>
  <si>
    <t>DECODER (SET-TOP BOX)</t>
  </si>
  <si>
    <t>FG00968</t>
  </si>
  <si>
    <t>DECONTRACTYL 250CES 50DRAG (FR)</t>
  </si>
  <si>
    <t>FG00969</t>
  </si>
  <si>
    <t>DECONTRACTYL BAUME 80GR. (FR)</t>
  </si>
  <si>
    <t>FG00970</t>
  </si>
  <si>
    <t>DEFAL 30MG B/10CES (FR)</t>
  </si>
  <si>
    <t>FG00971</t>
  </si>
  <si>
    <t>DEFAL 6MG B/20CES (FR)</t>
  </si>
  <si>
    <t>FG00972</t>
  </si>
  <si>
    <t>DEICOL COLLYRE 5ML (FR)</t>
  </si>
  <si>
    <t>FG00973</t>
  </si>
  <si>
    <t>DELABACT SAVON 75GM</t>
  </si>
  <si>
    <t>FG00974</t>
  </si>
  <si>
    <t>DELABACTAM 1.5 MG INJ B/1AMP</t>
  </si>
  <si>
    <t>FG00975</t>
  </si>
  <si>
    <t>DELACEF 100MG B\10 CES</t>
  </si>
  <si>
    <t>FG00976</t>
  </si>
  <si>
    <t>DELACLIN 300 MG</t>
  </si>
  <si>
    <t>FG00977</t>
  </si>
  <si>
    <t>DELADROX 500MG B/10CAPS</t>
  </si>
  <si>
    <t>FG00978</t>
  </si>
  <si>
    <t>DELAFLOX &amp; ORD 60ML</t>
  </si>
  <si>
    <t>FG00979</t>
  </si>
  <si>
    <t>DELAFLOX - ORD 200 + 500 MG MG B/10 COMP</t>
  </si>
  <si>
    <t>FG00980</t>
  </si>
  <si>
    <t>DELAFLOX -200MG B/10 COMP</t>
  </si>
  <si>
    <t>FG00981</t>
  </si>
  <si>
    <t>DELARTE 80 +480 MG B\6 CES</t>
  </si>
  <si>
    <t>FG00982</t>
  </si>
  <si>
    <t>DELASUNATE IN 60MG B/AMP</t>
  </si>
  <si>
    <t>FG00983</t>
  </si>
  <si>
    <t>DELATAXIME 1GM B/1 AMP</t>
  </si>
  <si>
    <t>FG00984</t>
  </si>
  <si>
    <t>DELATZ 1125 INJ B/1AMP</t>
  </si>
  <si>
    <t>FG00985</t>
  </si>
  <si>
    <t>DELAZONE 1GM B/1AMP</t>
  </si>
  <si>
    <t>FG00986</t>
  </si>
  <si>
    <t>DELTABACT SOAP 75GM</t>
  </si>
  <si>
    <t>FG00987</t>
  </si>
  <si>
    <t>DELTAVAGIN B/5OVULES</t>
  </si>
  <si>
    <t>FG00988</t>
  </si>
  <si>
    <t>DENK AIR JUNIOR 4MG B/28CES (FR)</t>
  </si>
  <si>
    <t>FG00989</t>
  </si>
  <si>
    <t>DENK AIR JUNIOR 5MG B/28 CES (FR)</t>
  </si>
  <si>
    <t>FG00990</t>
  </si>
  <si>
    <t>DENK-AIR JUNIOR @@ 4MG@@ B/28 CES (FR)</t>
  </si>
  <si>
    <t>FG00991</t>
  </si>
  <si>
    <t>DEPAKINE 200MG 40CAPS(FR)</t>
  </si>
  <si>
    <t>FG00992</t>
  </si>
  <si>
    <t>DEPAKINE 500MG 40CES (FR)</t>
  </si>
  <si>
    <t>FG00993</t>
  </si>
  <si>
    <t>DEPAKINE CHRONO 500MG 30CES (FR)</t>
  </si>
  <si>
    <t>FG00994</t>
  </si>
  <si>
    <t>DEPAKINE GOUTTE 40ML (FR)</t>
  </si>
  <si>
    <t>FG00995</t>
  </si>
  <si>
    <t>DEPAKINE SIROP 150ML (FR)</t>
  </si>
  <si>
    <t>FG00996</t>
  </si>
  <si>
    <t>DEPAMAG (VALPROATE DE SODIUM BP ) SIROP 150 ML</t>
  </si>
  <si>
    <t>FG00997</t>
  </si>
  <si>
    <t>DEPAMAG SR ( DEPAKINE ) 500 10 X 10 CES</t>
  </si>
  <si>
    <t>FG00998</t>
  </si>
  <si>
    <t>DEPO MEDROL 80MG/2ML INJ B/1AMP (EO)</t>
  </si>
  <si>
    <t>FG00999</t>
  </si>
  <si>
    <t>DERLLETRE A BILLE 15ML</t>
  </si>
  <si>
    <t>FG01001</t>
  </si>
  <si>
    <t>DERMATOL POUDRE 50G</t>
  </si>
  <si>
    <t>FG01002</t>
  </si>
  <si>
    <t>DERMERY SOLUTION 2% 30ML</t>
  </si>
  <si>
    <t>FG01003</t>
  </si>
  <si>
    <t>DERMERY SOLUTION 4% 30ML</t>
  </si>
  <si>
    <t>FG01004</t>
  </si>
  <si>
    <t>DERMOBACTER SOL. GF. 300ML</t>
  </si>
  <si>
    <t>FG01005</t>
  </si>
  <si>
    <t>DERMOBIS LOTION 0.1% 30ML</t>
  </si>
  <si>
    <t>FG01006</t>
  </si>
  <si>
    <t>DERMOBIS LOTION 0.025% 30ML</t>
  </si>
  <si>
    <t>FG01007</t>
  </si>
  <si>
    <t>DERMOBIS LOTION 0.05% 30ML</t>
  </si>
  <si>
    <t>FG01008</t>
  </si>
  <si>
    <t>DERMOGERME SOLUTION</t>
  </si>
  <si>
    <t>FG01009</t>
  </si>
  <si>
    <t>DERMOTYL LOTION 15ML</t>
  </si>
  <si>
    <t>FG01010</t>
  </si>
  <si>
    <t>DERMOTYL LOTION 30ML</t>
  </si>
  <si>
    <t>FG01011</t>
  </si>
  <si>
    <t>DERMOTYLE CREAM 10GR</t>
  </si>
  <si>
    <t>FG01012</t>
  </si>
  <si>
    <t>DERMOTYLE CREAM 15GR</t>
  </si>
  <si>
    <t>FG01013</t>
  </si>
  <si>
    <t>DERMOTYLE CREAM 30GR</t>
  </si>
  <si>
    <t>FG01014</t>
  </si>
  <si>
    <t>DESARROL SIROP 200ML</t>
  </si>
  <si>
    <t>FG01015</t>
  </si>
  <si>
    <t>DESKTOP HP COMPUTER</t>
  </si>
  <si>
    <t>FG01018</t>
  </si>
  <si>
    <t>DESLORATADINE BIOGARAN 5MG B/30 GELS</t>
  </si>
  <si>
    <t>FG01019</t>
  </si>
  <si>
    <t>DETOL LIQUID 1000ML</t>
  </si>
  <si>
    <t>FG01020</t>
  </si>
  <si>
    <t>DETOL LIQUID 500ML</t>
  </si>
  <si>
    <t>FG01021</t>
  </si>
  <si>
    <t>DETTOL 125ML LIQUID</t>
  </si>
  <si>
    <t>FG01022</t>
  </si>
  <si>
    <t>DETTOL LIQUID 50ML</t>
  </si>
  <si>
    <t>FG01023</t>
  </si>
  <si>
    <t>DETTOL SAVON 60G HARBAL</t>
  </si>
  <si>
    <t>FG01024</t>
  </si>
  <si>
    <t>DETTOL SAVON ORIGINAL &amp;&amp;&amp; 90GR &amp;&amp;&amp;</t>
  </si>
  <si>
    <t>FG01025</t>
  </si>
  <si>
    <t>DETTOL SAVON ORIGINAL **** 175GR*****</t>
  </si>
  <si>
    <t>FG01026</t>
  </si>
  <si>
    <t>DETTOL SAVON ORIGINAL @@ 60GM @@</t>
  </si>
  <si>
    <t>FG01027</t>
  </si>
  <si>
    <t>DEXA-RHINOSPRAY DOSEUR FL/10ML (FR)</t>
  </si>
  <si>
    <t>FG01028</t>
  </si>
  <si>
    <t>DEXACORT B/10X10CES</t>
  </si>
  <si>
    <t>FG01029</t>
  </si>
  <si>
    <t>DEXAGOL 10 X 10 CES</t>
  </si>
  <si>
    <t>FG01030</t>
  </si>
  <si>
    <t>DEXAKORT (DEXAMETHSONE) BLUE AMBALA. B/10X10CES</t>
  </si>
  <si>
    <t>FG01031</t>
  </si>
  <si>
    <t>DEXAMETHAZONE 10X10CES(LOCAL)</t>
  </si>
  <si>
    <t>FG01032</t>
  </si>
  <si>
    <t>DEXAMETHZONE COLLYRE (GENERIQUE)</t>
  </si>
  <si>
    <t>FG01033</t>
  </si>
  <si>
    <t>DEXAMEX (DEXAMETHSONE) B/10X10CES</t>
  </si>
  <si>
    <t>FG01034</t>
  </si>
  <si>
    <t>DEXAN COLLYRE</t>
  </si>
  <si>
    <t>FG01035</t>
  </si>
  <si>
    <t>DEXAQUINE POMMADE</t>
  </si>
  <si>
    <t>FG01036</t>
  </si>
  <si>
    <t>DEXAROSE B/10 X 10 CES</t>
  </si>
  <si>
    <t>FG01037</t>
  </si>
  <si>
    <t>DEXASONE COLLYRE (CADILA)</t>
  </si>
  <si>
    <t>FG01038</t>
  </si>
  <si>
    <t>DEXERY CREME 250GR-(FR)</t>
  </si>
  <si>
    <t>FG01042</t>
  </si>
  <si>
    <t>DEXORANGE SUSP 200ML</t>
  </si>
  <si>
    <t>FG01043</t>
  </si>
  <si>
    <t>DIAFORMINE 1000MG B/30 CES</t>
  </si>
  <si>
    <t>FG01045</t>
  </si>
  <si>
    <t>DIAMICRON 60MG B/30 CES (FR)</t>
  </si>
  <si>
    <t>FG01046</t>
  </si>
  <si>
    <t>DIAMOX 250MG B/25 &amp; 24 CES (FR)</t>
  </si>
  <si>
    <t>FG01047</t>
  </si>
  <si>
    <t>DIARTEM IG 120MG/960MG B/3 CES</t>
  </si>
  <si>
    <t>FG01048</t>
  </si>
  <si>
    <t>DIARTEM IG 40MG/320MG B/12 CES</t>
  </si>
  <si>
    <t>FG01049</t>
  </si>
  <si>
    <t>DIARYL 200MG SUSP 60ML</t>
  </si>
  <si>
    <t>FG01050</t>
  </si>
  <si>
    <t>DIAZAPAM 10 MG 25X10 CES</t>
  </si>
  <si>
    <t>FG01051</t>
  </si>
  <si>
    <t>DIAZEPAM 10MG 10X10CES</t>
  </si>
  <si>
    <t>FG01052</t>
  </si>
  <si>
    <t>DIAZOSTIMUL B/30CES****</t>
  </si>
  <si>
    <t>FG01053</t>
  </si>
  <si>
    <t>DICLO DENK 100MG B/10SUPPOS (EO)</t>
  </si>
  <si>
    <t>FG01054</t>
  </si>
  <si>
    <t>DICLO DENK 100MG RETARD B/(10)CES</t>
  </si>
  <si>
    <t>FG01055</t>
  </si>
  <si>
    <t>DICLO DENK 50MG 20CES</t>
  </si>
  <si>
    <t>FG01056</t>
  </si>
  <si>
    <t>DICLO DENK 75MG B/10AMP</t>
  </si>
  <si>
    <t>FG01057</t>
  </si>
  <si>
    <t>DICLOFEN FORT 20CES</t>
  </si>
  <si>
    <t>FG01058</t>
  </si>
  <si>
    <t>DICLOFENAC (MODIC) 50MG B/ 10 X 10 CES</t>
  </si>
  <si>
    <t>FG01059</t>
  </si>
  <si>
    <t>DICLOFENAC COLLYRE 10ML (GENERIC)</t>
  </si>
  <si>
    <t>FG01060</t>
  </si>
  <si>
    <t>DICLOGENTA COLLYRE(MAGEN PLUS)</t>
  </si>
  <si>
    <t>FG01061</t>
  </si>
  <si>
    <t>DICLOMAX (DICLOFENAC)75MG NO 20CES</t>
  </si>
  <si>
    <t>FG01062</t>
  </si>
  <si>
    <t>DICLON (DICLOFENAC 50MG) 10X10 CES</t>
  </si>
  <si>
    <t>FG01063</t>
  </si>
  <si>
    <t>DICLON 100MG B/10</t>
  </si>
  <si>
    <t>FG01064</t>
  </si>
  <si>
    <t>DICLOWAL 100MG 10SUPPO (FR)</t>
  </si>
  <si>
    <t>FG01065</t>
  </si>
  <si>
    <t>DICMOL FORTE (PARA &amp; DICLO) 400MG B/20 CES</t>
  </si>
  <si>
    <t>FG01066</t>
  </si>
  <si>
    <t>DICQUE (DICLOFENAC ) COLLYRE 10ML</t>
  </si>
  <si>
    <t>FG01067</t>
  </si>
  <si>
    <t>DICYNON 500MG 20CES.(FR)</t>
  </si>
  <si>
    <t>FG01068</t>
  </si>
  <si>
    <t>DICYNONE 250MG B/4AMP (F.R.)</t>
  </si>
  <si>
    <t>FG01069</t>
  </si>
  <si>
    <t>DIFEN FORTE B/20CES</t>
  </si>
  <si>
    <t>FG01070</t>
  </si>
  <si>
    <t>DIFFU-K B/40CES (EO)</t>
  </si>
  <si>
    <t>FG01071</t>
  </si>
  <si>
    <t>DIFLOMIDE (INDAPAMIDE) 1.5MG LP B/30CES</t>
  </si>
  <si>
    <t>FG01072</t>
  </si>
  <si>
    <t>DIGEST BT/15SACHET DE 15ML</t>
  </si>
  <si>
    <t>FG01073</t>
  </si>
  <si>
    <t>DIGEST SUSPENSION 200ML</t>
  </si>
  <si>
    <t>FG01074</t>
  </si>
  <si>
    <t>DIGESTINE PLS DE 10CES</t>
  </si>
  <si>
    <t>FG01075</t>
  </si>
  <si>
    <t>DIGOXINE 0.5MG B/10AMP</t>
  </si>
  <si>
    <t>FG01076</t>
  </si>
  <si>
    <t>DIGOXINE NATIVELLE CES B/30 (FR)</t>
  </si>
  <si>
    <t>FG01077</t>
  </si>
  <si>
    <t>DIMAGEL SIROP 200ML</t>
  </si>
  <si>
    <t>FG01078</t>
  </si>
  <si>
    <t>DINING TABLE</t>
  </si>
  <si>
    <t>FG01079</t>
  </si>
  <si>
    <t>DIORAL (S.R.O.) 22.5GR B/10SACHETS</t>
  </si>
  <si>
    <t>FG01080</t>
  </si>
  <si>
    <t>DIPERAKINE BOITE DE 8CES</t>
  </si>
  <si>
    <t>FG01081</t>
  </si>
  <si>
    <t>DIPERAKINE SUSPEN 60ML</t>
  </si>
  <si>
    <t>FG01082</t>
  </si>
  <si>
    <t>DIPHENAC FORTE B/20CES</t>
  </si>
  <si>
    <t>FG01083</t>
  </si>
  <si>
    <t>DIPHENAC GEL</t>
  </si>
  <si>
    <t>FG01084</t>
  </si>
  <si>
    <t>DIPIFER (HAEMATINIC) 1 X 5 ML B/1 AMP</t>
  </si>
  <si>
    <t>FG01085</t>
  </si>
  <si>
    <t>DIPIFER (HAEMATINIC) 200 ML SP</t>
  </si>
  <si>
    <t>FG01086</t>
  </si>
  <si>
    <t>DIPIFER (HAEMATINIC) B/3 X 10 CES</t>
  </si>
  <si>
    <t>FG01087</t>
  </si>
  <si>
    <t>DIPROSALIC PDE 30GR (FR)</t>
  </si>
  <si>
    <t>FG01088</t>
  </si>
  <si>
    <t>DIPROSONE CREME GM 30GR</t>
  </si>
  <si>
    <t>FG01089</t>
  </si>
  <si>
    <t>DIPROSONE CREME PM 15GR</t>
  </si>
  <si>
    <t>FG01090</t>
  </si>
  <si>
    <t>DIPROSONE LOTION 30ML</t>
  </si>
  <si>
    <t>FG01091</t>
  </si>
  <si>
    <t>DIPYRONE GOUTTE 15ML</t>
  </si>
  <si>
    <t>FG01092</t>
  </si>
  <si>
    <t>DIRECT LDL-CHOLESTEROL 80 ML</t>
  </si>
  <si>
    <t>FG01093</t>
  </si>
  <si>
    <t>DISLEP 25MG 6AMP INJ</t>
  </si>
  <si>
    <t>FG01094</t>
  </si>
  <si>
    <t>DISPAIN - P (1X10 CES)</t>
  </si>
  <si>
    <t>FG01095</t>
  </si>
  <si>
    <t>DISPAIN 25MG (1X10 CES)</t>
  </si>
  <si>
    <t>FG01096</t>
  </si>
  <si>
    <t>DISTEM B/50CES (FR)</t>
  </si>
  <si>
    <t>FG01097</t>
  </si>
  <si>
    <t>DITROPAN 5MG B/30CES</t>
  </si>
  <si>
    <t>FG01098</t>
  </si>
  <si>
    <t>DOBUCURE 50MG/5ML (DOBUTAMINE) INJ. 1 AMP</t>
  </si>
  <si>
    <t>FG01099</t>
  </si>
  <si>
    <t>DOCID (ANTI-ACIDE) SIROP 120ML</t>
  </si>
  <si>
    <t>FG01100</t>
  </si>
  <si>
    <t>DOCID SACHET 15ML</t>
  </si>
  <si>
    <t>FG01101</t>
  </si>
  <si>
    <t>DOGMATIL 50MG 30 GELULES (FR)</t>
  </si>
  <si>
    <t>FG01102</t>
  </si>
  <si>
    <t>DOGMATIL FORT 200MG B/12CES (GR)</t>
  </si>
  <si>
    <t>FG01103</t>
  </si>
  <si>
    <t>DOLA AQUA (DICLOFENAC 75MG) B/5 AMP</t>
  </si>
  <si>
    <t>FG01104</t>
  </si>
  <si>
    <t>DOLA CR 10CAPS</t>
  </si>
  <si>
    <t>FG01105</t>
  </si>
  <si>
    <t>DOLA GEL PLUS 30GM</t>
  </si>
  <si>
    <t>FG01106</t>
  </si>
  <si>
    <t>DOLAC 30 (KETOROLAC THOMETHAMINE) B/10AMP</t>
  </si>
  <si>
    <t>FG01107</t>
  </si>
  <si>
    <t>DOLADOL FORTE B/20 CES</t>
  </si>
  <si>
    <t>FG01108</t>
  </si>
  <si>
    <t>DOLADOL (DIC.+PARA.) B/10X10CES</t>
  </si>
  <si>
    <t>FG01109</t>
  </si>
  <si>
    <t>DOLADOL GEL CREME 30GR</t>
  </si>
  <si>
    <t>FG01110</t>
  </si>
  <si>
    <t>DOLADOL PLUS B/10X10CES</t>
  </si>
  <si>
    <t>FG01111</t>
  </si>
  <si>
    <t>DOLADOL SPRAY</t>
  </si>
  <si>
    <t>FG01112</t>
  </si>
  <si>
    <t>DOLAMOL FORTE 2X10CES</t>
  </si>
  <si>
    <t>FG01113</t>
  </si>
  <si>
    <t>DOLAREN (DICLO.+PARA.) B/10X10CES</t>
  </si>
  <si>
    <t>FG01114</t>
  </si>
  <si>
    <t>DOLAREN GEL 30GR CREME</t>
  </si>
  <si>
    <t>FG01115</t>
  </si>
  <si>
    <t>DOLAREN GEL PLUS CREME 30GR</t>
  </si>
  <si>
    <t>FG01116</t>
  </si>
  <si>
    <t>DOLAREN PLUS B/10 CES</t>
  </si>
  <si>
    <t>FG01117</t>
  </si>
  <si>
    <t>DOLAREN PLUS SPRAY</t>
  </si>
  <si>
    <t>FG01118</t>
  </si>
  <si>
    <t>DOLEX (DICLO+PARA) B/10CES</t>
  </si>
  <si>
    <t>FG01119</t>
  </si>
  <si>
    <t>DOLEX PLUS (DICLO+PARA+CHLORZOXAZONE) B/10CES</t>
  </si>
  <si>
    <t>FG01120</t>
  </si>
  <si>
    <t>DOLEX PLUS SPRAY 70ML</t>
  </si>
  <si>
    <t>FG01121</t>
  </si>
  <si>
    <t>DOLIMEX (PARACETAMOL) EFF 500MG CES</t>
  </si>
  <si>
    <t>FG01122</t>
  </si>
  <si>
    <t>DOLIMEX (PARACETAMOL) IV 100ML</t>
  </si>
  <si>
    <t>FG01123</t>
  </si>
  <si>
    <t>DOLIMEX 1G EFF CES</t>
  </si>
  <si>
    <t>FG01124</t>
  </si>
  <si>
    <t>DOLIPRANE *****VIT C 16CES****** EFF (FR)</t>
  </si>
  <si>
    <t>FG01125</t>
  </si>
  <si>
    <t>DOLIPRANE 100MG B/10SUPP0 BB/NORR. (FR)</t>
  </si>
  <si>
    <t>FG01126</t>
  </si>
  <si>
    <t>DOLIPRANE 1GR 8CES SEC.(EO)</t>
  </si>
  <si>
    <t>FG01127</t>
  </si>
  <si>
    <t>DOLIPRANE 1GR 8CES EFF (FR)</t>
  </si>
  <si>
    <t>FG01128</t>
  </si>
  <si>
    <t>DOLIPRANE 300MG 12SUPPOS (FR)</t>
  </si>
  <si>
    <t>FG01129</t>
  </si>
  <si>
    <t>DOLIPRANE 500MG 16CES EFF (FR)</t>
  </si>
  <si>
    <t>FG01130</t>
  </si>
  <si>
    <t>DOLIPRANE SUSP. 100ML 2.4%</t>
  </si>
  <si>
    <t>FG01131</t>
  </si>
  <si>
    <t>DOLIPREX 500MG 8 SACHET (FR)</t>
  </si>
  <si>
    <t>FG01132</t>
  </si>
  <si>
    <t>DOLOCALM TUBE 30GR.</t>
  </si>
  <si>
    <t>FG01133</t>
  </si>
  <si>
    <t>DOLOCID 10 SUPPOS 100MG</t>
  </si>
  <si>
    <t>FG01134</t>
  </si>
  <si>
    <t>DOLOFENID SUPPO B/12</t>
  </si>
  <si>
    <t>FG01135</t>
  </si>
  <si>
    <t>DOLOFORTE DENK (TRAMA+PARA) B/20CES (FR)</t>
  </si>
  <si>
    <t>FG01136</t>
  </si>
  <si>
    <t>DOLOMED 35GR POT</t>
  </si>
  <si>
    <t>FG01137</t>
  </si>
  <si>
    <t>DOLOMED CREME 40GR</t>
  </si>
  <si>
    <t>FG01138</t>
  </si>
  <si>
    <t>DOLOWIN-SR(ACECLOFENAC) 200MG B/30CES</t>
  </si>
  <si>
    <t>FG01139</t>
  </si>
  <si>
    <t>DORZOLA PLUS-VISION (DORZOLA.+TIMOLOL) CY 5ML</t>
  </si>
  <si>
    <t>FG01140</t>
  </si>
  <si>
    <t>DORZOLA-VISION (DORZOLAMIDE) COLLYRE 5ML</t>
  </si>
  <si>
    <t>FG01141</t>
  </si>
  <si>
    <t>DOULBOM CREME 30GR</t>
  </si>
  <si>
    <t>FG01142</t>
  </si>
  <si>
    <t>DOULER CR CAPSULES B/10 CES</t>
  </si>
  <si>
    <t>FG01143</t>
  </si>
  <si>
    <t>DOULFIN B/20CES</t>
  </si>
  <si>
    <t>FG01144</t>
  </si>
  <si>
    <t>DOULFIN B/5AMPS</t>
  </si>
  <si>
    <t>FG01145</t>
  </si>
  <si>
    <t>DOVERIN - 40MG (1X10 CES)</t>
  </si>
  <si>
    <t>FG01146</t>
  </si>
  <si>
    <t>DOVERIN - M (1X10 CES)</t>
  </si>
  <si>
    <t>FG01147</t>
  </si>
  <si>
    <t>DOXAZOSIN 4MG TAB B/28 CES</t>
  </si>
  <si>
    <t>FG01148</t>
  </si>
  <si>
    <t>DOXY DENK 100MG 20CES</t>
  </si>
  <si>
    <t>FG01149</t>
  </si>
  <si>
    <t>DOZAR 4.5MG</t>
  </si>
  <si>
    <t>FG01150</t>
  </si>
  <si>
    <t>DOZAR2.25MG ((PIPERA.+TAZOBAC) 10ML B/1 AMP</t>
  </si>
  <si>
    <t>FG01151</t>
  </si>
  <si>
    <t>DPTR-10 (ATORVASTAINE) 10 MG B/30CES</t>
  </si>
  <si>
    <t>FG01152</t>
  </si>
  <si>
    <t>DPTR-20 (ATORVASTAINE) 20 MG B/30CES</t>
  </si>
  <si>
    <t>FG01153</t>
  </si>
  <si>
    <t>DR COLD INHALER 1PCS</t>
  </si>
  <si>
    <t>FG01154</t>
  </si>
  <si>
    <t>DR TOUX ANTITUSSIVE 100ML</t>
  </si>
  <si>
    <t>FG01155</t>
  </si>
  <si>
    <t>DR. MAISON B/10CES</t>
  </si>
  <si>
    <t>FG01156</t>
  </si>
  <si>
    <t>DR.COLD POCH/4CES</t>
  </si>
  <si>
    <t>FG01157</t>
  </si>
  <si>
    <t>DR.COLD SIROP 100ML</t>
  </si>
  <si>
    <t>FG01158</t>
  </si>
  <si>
    <t>DR.COLD(PARA 750MG ) IM/IV B/5AMP</t>
  </si>
  <si>
    <t>FG01159</t>
  </si>
  <si>
    <t>DRENOXOL 30 MG 200MG SIROP</t>
  </si>
  <si>
    <t>FG01160</t>
  </si>
  <si>
    <t>DREZ 30G POMMADE</t>
  </si>
  <si>
    <t>FG01161</t>
  </si>
  <si>
    <t>DREZ 30G POUDRE</t>
  </si>
  <si>
    <t>FG01162</t>
  </si>
  <si>
    <t>DREZ-V 30G GEL</t>
  </si>
  <si>
    <t>FG01163</t>
  </si>
  <si>
    <t>DROCEF (CEFADROXIL) 500MG 12GELULES</t>
  </si>
  <si>
    <t>FG01164</t>
  </si>
  <si>
    <t>DROCEF 250MG(CEFADROXIL) 100ML SP</t>
  </si>
  <si>
    <t>FG01165</t>
  </si>
  <si>
    <t>DROXIL (CEFADROXIL) 100ML SIROP</t>
  </si>
  <si>
    <t>FG01166</t>
  </si>
  <si>
    <t>DROXIL -500 (CEFADROXIL) 500MG B/12CES</t>
  </si>
  <si>
    <t>FG01167</t>
  </si>
  <si>
    <t>DUFAGEL 100ML SP</t>
  </si>
  <si>
    <t>FG01168</t>
  </si>
  <si>
    <t>DUFAGEL 200ML SP</t>
  </si>
  <si>
    <t>FG01169</t>
  </si>
  <si>
    <t>DULCOLAX 40DRG (2 X 20 DRG) (FR)</t>
  </si>
  <si>
    <t>FG01170</t>
  </si>
  <si>
    <t>DULCOLAX BT/10 SUPPOS (FR)</t>
  </si>
  <si>
    <t>FG01171</t>
  </si>
  <si>
    <t>DUOSKIN CREM 15GR (EO)</t>
  </si>
  <si>
    <t>FG01172</t>
  </si>
  <si>
    <t>DUOVENT 0.5MG/1-25MG (SOL. POUR INHA.) B/20 AMP</t>
  </si>
  <si>
    <t>FG01173</t>
  </si>
  <si>
    <t>DUOVENT AEROSOL 10ML 200DOSES (FR)</t>
  </si>
  <si>
    <t>FG01174</t>
  </si>
  <si>
    <t>DUPHALAC B/20SACHET (FR)</t>
  </si>
  <si>
    <t>FG01175</t>
  </si>
  <si>
    <t>DUPHALAC SOL BUV 200ML (FR)</t>
  </si>
  <si>
    <t>FG01176</t>
  </si>
  <si>
    <t>DUPHASTON 10MG 10CES (FR)</t>
  </si>
  <si>
    <t>FG01177</t>
  </si>
  <si>
    <t>DUSPHATALIN 30 CES 200 MG (FR)</t>
  </si>
  <si>
    <t>FG01178</t>
  </si>
  <si>
    <t>DYNAMOGENE B/20AMP BUV.(FR)</t>
  </si>
  <si>
    <t>FG01179</t>
  </si>
  <si>
    <t>DYNAVIT-AM 200ML</t>
  </si>
  <si>
    <t>FG01180</t>
  </si>
  <si>
    <t>EAU DE JAVEL 5 LTR</t>
  </si>
  <si>
    <t>FG01181</t>
  </si>
  <si>
    <t>EAU DIGESTIVE 100ML SP (PHATKIN)</t>
  </si>
  <si>
    <t>FG01182</t>
  </si>
  <si>
    <t>EAU DIGESTIVE SIROP LOCAL</t>
  </si>
  <si>
    <t>FG01183</t>
  </si>
  <si>
    <t>EAU DISTILEE 10ML B/100PCS</t>
  </si>
  <si>
    <t>FG01184</t>
  </si>
  <si>
    <t>EAU DISTILLEE 1LTR</t>
  </si>
  <si>
    <t>FG01185</t>
  </si>
  <si>
    <t>EAU OXYGENE 10VOL 100ML LOCAL</t>
  </si>
  <si>
    <t>FG01186</t>
  </si>
  <si>
    <t>EAU OXYGENE 20 VL 6% (ARAUPHAR)</t>
  </si>
  <si>
    <t>FG01187</t>
  </si>
  <si>
    <t>EAU OXYGENEE 10V GILB 120ML (EO)</t>
  </si>
  <si>
    <t>FG01188</t>
  </si>
  <si>
    <t>EAU OXYGENEE 20 VOL 125ML (EO)</t>
  </si>
  <si>
    <t>FG01189</t>
  </si>
  <si>
    <t>EAU OXYGENEE 30 VL 9% (ARAUPHAR)</t>
  </si>
  <si>
    <t>FG01190</t>
  </si>
  <si>
    <t>EAU OXYGENEE 30VOL 125ML SOL.</t>
  </si>
  <si>
    <t>FG01191</t>
  </si>
  <si>
    <t>EAU OXYGENEE A 10%</t>
  </si>
  <si>
    <t>FG01192</t>
  </si>
  <si>
    <t>EAU OXYGENNE 10 VL 3%(ARAUPHAR)</t>
  </si>
  <si>
    <t>FG01193</t>
  </si>
  <si>
    <t>EAU PHYSIOLOGIQUE 10 ML</t>
  </si>
  <si>
    <t>FG01194</t>
  </si>
  <si>
    <t>EAU PHYSIOLOGIQUE 1LTR</t>
  </si>
  <si>
    <t>FG01195</t>
  </si>
  <si>
    <t>EAU TAMPONEE 1LTR</t>
  </si>
  <si>
    <t>FG01196</t>
  </si>
  <si>
    <t>ECLAMPINE (NICARDIPINE) 5*10ML</t>
  </si>
  <si>
    <t>FG01197</t>
  </si>
  <si>
    <t>ECLAT ANTIBACTERIEN 325ML</t>
  </si>
  <si>
    <t>FG01198</t>
  </si>
  <si>
    <t>ECOUVILLON STERILE</t>
  </si>
  <si>
    <t>FG01199</t>
  </si>
  <si>
    <t>ECRAN FACIAL DE SECURITE - VISIERE DE PROTECTION</t>
  </si>
  <si>
    <t>FG01200</t>
  </si>
  <si>
    <t>ECYL (ACID TRANXEMIUE) 500MG ING</t>
  </si>
  <si>
    <t>FG01201</t>
  </si>
  <si>
    <t>EDTA SOLUTION</t>
  </si>
  <si>
    <t>FG01202</t>
  </si>
  <si>
    <t>EFFERALGAN 16CES SEC. 500MG (FR)</t>
  </si>
  <si>
    <t>FG01203</t>
  </si>
  <si>
    <t>EFFERALGAN 500MG EFF B/16CES (FR)</t>
  </si>
  <si>
    <t>FG01204</t>
  </si>
  <si>
    <t>EFFERALGAN CODEINE EFF. B/16 (FR))</t>
  </si>
  <si>
    <t>FG01205</t>
  </si>
  <si>
    <t>EFFERALGAN P SOL BUV FL/90ML (FR)</t>
  </si>
  <si>
    <t>FG01206</t>
  </si>
  <si>
    <t>EFFERALGAN VIT C 500MG EFF. B/20CES (FR)</t>
  </si>
  <si>
    <t>FG01207</t>
  </si>
  <si>
    <t>EFFERALGANT 1GR 8CES EFF. (FR)</t>
  </si>
  <si>
    <t>FG01208</t>
  </si>
  <si>
    <t>EFFORTIL GTTES 50ML(FR)</t>
  </si>
  <si>
    <t>FG01209</t>
  </si>
  <si>
    <t>EFICEF (CEFIXIME) DISPERSIBLE 200MG B/10CES</t>
  </si>
  <si>
    <t>FG01210</t>
  </si>
  <si>
    <t>EFICEF 400MG B/10CES</t>
  </si>
  <si>
    <t>FG01211</t>
  </si>
  <si>
    <t>EFISHAL 200MG B/30CAPS</t>
  </si>
  <si>
    <t>FG01212</t>
  </si>
  <si>
    <t>EJUTARD (DAPOXETINE 30GM ) B/2CES</t>
  </si>
  <si>
    <t>FG01213</t>
  </si>
  <si>
    <t>EKON DT B/2X10CES</t>
  </si>
  <si>
    <t>FG01214</t>
  </si>
  <si>
    <t>ELLYA INTIME LIQUIDE</t>
  </si>
  <si>
    <t>FG01215</t>
  </si>
  <si>
    <t>ELUDRIL PRO BAIN DE BOUCHE 200ML(FR)</t>
  </si>
  <si>
    <t>FG01216</t>
  </si>
  <si>
    <t>EMBOU BLEU B/250</t>
  </si>
  <si>
    <t>FG01217</t>
  </si>
  <si>
    <t>EMCID SUSP 200ML</t>
  </si>
  <si>
    <t>FG01218</t>
  </si>
  <si>
    <t>ENA + HCT-DENK 20/12.5 B/30CES</t>
  </si>
  <si>
    <t>FG01219</t>
  </si>
  <si>
    <t>ENA DENK 10MG B/30CES</t>
  </si>
  <si>
    <t>FG01220</t>
  </si>
  <si>
    <t>ENA DENK 20MG B/30CES</t>
  </si>
  <si>
    <t>FG01221</t>
  </si>
  <si>
    <t>ENACURE (ENALAPRIL) 10MG 30CES</t>
  </si>
  <si>
    <t>FG01222</t>
  </si>
  <si>
    <t>ENACURE (ENALAPRIL) 5MG 30CES</t>
  </si>
  <si>
    <t>FG01226</t>
  </si>
  <si>
    <t>ENCEPHABOL (PYRITINOL) LIQUID 120ML</t>
  </si>
  <si>
    <t>FG01227</t>
  </si>
  <si>
    <t>ENDOXAN 1GR 1AMP (FR)</t>
  </si>
  <si>
    <t>FG01228</t>
  </si>
  <si>
    <t>ENDOXAN 500MG 1VIAL INJ (FR)</t>
  </si>
  <si>
    <t>FG01229</t>
  </si>
  <si>
    <t>ENO B/12SACHET</t>
  </si>
  <si>
    <t>FG01230</t>
  </si>
  <si>
    <t>ENOQ 40MG (ENOXAPARINE) INJ. B/ 1 SER.PREREMPLIE</t>
  </si>
  <si>
    <t>FG01231</t>
  </si>
  <si>
    <t>ENOQ 60MG (ENOXAPARINE) INJ. B/ 1 SER.PREREMPLIE</t>
  </si>
  <si>
    <t>FG01232</t>
  </si>
  <si>
    <t>ENOQ 80MG (ENOXAPARINE) INJ. B/ 1 SER.PREREMPLIE</t>
  </si>
  <si>
    <t>FG01233</t>
  </si>
  <si>
    <t>ENTAMIZOL SUSP. BUV. 100ML</t>
  </si>
  <si>
    <t>FG01234</t>
  </si>
  <si>
    <t>ENTAMIZOLE DS 15CES</t>
  </si>
  <si>
    <t>FG01235</t>
  </si>
  <si>
    <t>ENTIZOL SP 100ML</t>
  </si>
  <si>
    <t>FG01236</t>
  </si>
  <si>
    <t>ENTOBIX SUSP 60ML (NORFLO.+METRO.)</t>
  </si>
  <si>
    <t>FG01237</t>
  </si>
  <si>
    <t>ENVAS 10MG B/30CES</t>
  </si>
  <si>
    <t>FG01238</t>
  </si>
  <si>
    <t>ENVAS 5MG B/30CES</t>
  </si>
  <si>
    <t>FG01239</t>
  </si>
  <si>
    <t>EOSINE ACQUEUSE 60ML 2%</t>
  </si>
  <si>
    <t>FG01240</t>
  </si>
  <si>
    <t>EOSINE ALCOOLIQUE FL DE 60ML ((GENERIQUE))</t>
  </si>
  <si>
    <t>FG01241</t>
  </si>
  <si>
    <t>EOSINE AQUESINE 60ML (GENERIQUE)</t>
  </si>
  <si>
    <t>FG01242</t>
  </si>
  <si>
    <t>EPHEDRINE 50MG/1ML B/10 AMP( SAMPLE)</t>
  </si>
  <si>
    <t>FG01243</t>
  </si>
  <si>
    <t>EPHEDRINE 50MG/1ML B/10AMP (STEROP)</t>
  </si>
  <si>
    <t>FG01244</t>
  </si>
  <si>
    <t>EPICRANIAN 21G VERT B/10PCS</t>
  </si>
  <si>
    <t>FG01245</t>
  </si>
  <si>
    <t>EPICRANIAN 23G BLUE PCS/10 PCS</t>
  </si>
  <si>
    <t>FG01246</t>
  </si>
  <si>
    <t>EPIDERM 15GR. CREME</t>
  </si>
  <si>
    <t>FG01247</t>
  </si>
  <si>
    <t>EPIDERM CREME 30GR.</t>
  </si>
  <si>
    <t>FG01248</t>
  </si>
  <si>
    <t>EPIDERM LIGHT CREAM 120ML</t>
  </si>
  <si>
    <t>FG01249</t>
  </si>
  <si>
    <t>EPIDERM LIGHT LOTION 120ML</t>
  </si>
  <si>
    <t>FG01250</t>
  </si>
  <si>
    <t>EPIDERM LIGHT LOTION 300ML</t>
  </si>
  <si>
    <t>FG01251</t>
  </si>
  <si>
    <t>EPIDERM LOTION 30ML</t>
  </si>
  <si>
    <t>FG01252</t>
  </si>
  <si>
    <t>EPITOPIC CREME 15GM</t>
  </si>
  <si>
    <t>FG01254</t>
  </si>
  <si>
    <t>EPONGE G F</t>
  </si>
  <si>
    <t>FG01255</t>
  </si>
  <si>
    <t>EPSON PRINTER</t>
  </si>
  <si>
    <t>FG01256</t>
  </si>
  <si>
    <t>EPSON PROJECTOR</t>
  </si>
  <si>
    <t>FG01257</t>
  </si>
  <si>
    <t>EPSON RIBBON 350</t>
  </si>
  <si>
    <t>FG01258</t>
  </si>
  <si>
    <t>EREGRA (SILDENAFIL) 50MG B/4 CES</t>
  </si>
  <si>
    <t>FG01259</t>
  </si>
  <si>
    <t>EREGRA 100MG 4CES</t>
  </si>
  <si>
    <t>FG01260</t>
  </si>
  <si>
    <t>ERGOGINE 1MG/ML GOUTTE 50ML</t>
  </si>
  <si>
    <t>FG01261</t>
  </si>
  <si>
    <t>ERGOMETRINE B/10AMP</t>
  </si>
  <si>
    <t>FG01262</t>
  </si>
  <si>
    <t>ERNS N.10 (AMAIGRIS) FILTRETTE 24PCS</t>
  </si>
  <si>
    <t>FG01263</t>
  </si>
  <si>
    <t>EROSTIN 10MG (EBASTING) 10CES</t>
  </si>
  <si>
    <t>FG01264</t>
  </si>
  <si>
    <t>ERY 125MG B/24 SACHET (FR)</t>
  </si>
  <si>
    <t>FG01265</t>
  </si>
  <si>
    <t>ERY 250MG GLE SACHET BT 24(FR)</t>
  </si>
  <si>
    <t>FG01266</t>
  </si>
  <si>
    <t>ERY 500MG 20CES (EO)</t>
  </si>
  <si>
    <t>FG01267</t>
  </si>
  <si>
    <t>ERYFLUID LOTION (ERYTHROMYCINE BASE ) 30ML (FR)</t>
  </si>
  <si>
    <t>FG01268</t>
  </si>
  <si>
    <t>ERYTHRO 250ML SUSP (EO)</t>
  </si>
  <si>
    <t>FG01269</t>
  </si>
  <si>
    <t>ERYTHROMYCINE 500MG B/1000 CES</t>
  </si>
  <si>
    <t>FG01270</t>
  </si>
  <si>
    <t>ERYTHROPOIETIN INJ 4000IU B/1</t>
  </si>
  <si>
    <t>FG01271</t>
  </si>
  <si>
    <t>ERYTROMYCINE 125MG SP 60ML</t>
  </si>
  <si>
    <t>FG01272</t>
  </si>
  <si>
    <t>ERYTROMYCINE 250MG SP 60ML</t>
  </si>
  <si>
    <t>FG01273</t>
  </si>
  <si>
    <t>ESIDREX 25MG B/20CES (FR)</t>
  </si>
  <si>
    <t>FG01274</t>
  </si>
  <si>
    <t>ESMODOM 1 X 10 CAPSULES</t>
  </si>
  <si>
    <t>FG01275</t>
  </si>
  <si>
    <t>ESOFAG 20MG (ESOMEPRAZOLE) B/30 CES</t>
  </si>
  <si>
    <t>FG01276</t>
  </si>
  <si>
    <t>ESOFAG 40MG (ESOMEPRAZOLE) B/30 CES</t>
  </si>
  <si>
    <t>FG01277</t>
  </si>
  <si>
    <t>ESOFAG D 40MG (ESOMEPRAZOLE) B/30 CES</t>
  </si>
  <si>
    <t>FG01278</t>
  </si>
  <si>
    <t>ESOFAG KIT 1PCS</t>
  </si>
  <si>
    <t>FG01279</t>
  </si>
  <si>
    <t>ESOMEX 40 (ESOMEPRAZOLE40MG) B/10CAP</t>
  </si>
  <si>
    <t>FG01280</t>
  </si>
  <si>
    <t>ESOMEX 40 (ESOMEPRAZOLE40MG) IV B/1AMP</t>
  </si>
  <si>
    <t>FG01282</t>
  </si>
  <si>
    <t>ESOQUE 40MG (ESOMEPRAZOLE) B/10 CES</t>
  </si>
  <si>
    <t>FG01283</t>
  </si>
  <si>
    <t>ESOQUE 40MG (ESOMEPRAZOLE) INJ. B/1 VIAL+NACL</t>
  </si>
  <si>
    <t>FG01284</t>
  </si>
  <si>
    <t>ESTERCAINE 0.5% COLLYE 5ML</t>
  </si>
  <si>
    <t>FG01285</t>
  </si>
  <si>
    <t>ESTERCAINE 1% COLLYRE 5ML</t>
  </si>
  <si>
    <t>FG01286</t>
  </si>
  <si>
    <t>ESTIWANG 0.1% COLLYRE 5ML</t>
  </si>
  <si>
    <t>FG01287</t>
  </si>
  <si>
    <t>ESTOWASH 100ML SOLUTION</t>
  </si>
  <si>
    <t>FG01288</t>
  </si>
  <si>
    <t>ETHANOL A 95%</t>
  </si>
  <si>
    <t>FG01289</t>
  </si>
  <si>
    <t>ETOPOSIDE 200MG/10ML B/1 AMP</t>
  </si>
  <si>
    <t>FG01290</t>
  </si>
  <si>
    <t>EUCALYPTOL SP 100ML (PHATKIN)</t>
  </si>
  <si>
    <t>FG01291</t>
  </si>
  <si>
    <t>EURAX CREME 40MG (BE)</t>
  </si>
  <si>
    <t>FG01293</t>
  </si>
  <si>
    <t>EVAPREST (PROGESTERON) 100MG 2 X 15GEL</t>
  </si>
  <si>
    <t>FG01294</t>
  </si>
  <si>
    <t>EVAPREST (PROGESTERON) 100MG B/30 GE</t>
  </si>
  <si>
    <t>FG01295</t>
  </si>
  <si>
    <t>EVITAL PLUS (VITAMINE A + E ) B/30 GELUES</t>
  </si>
  <si>
    <t>FG01297</t>
  </si>
  <si>
    <t>EVONY ADULT DIAPER (LARGE) 30 X 4</t>
  </si>
  <si>
    <t>FG01298</t>
  </si>
  <si>
    <t>EVONY ADULT DIAPER (MEDIUM) 10 X 6</t>
  </si>
  <si>
    <t>FG01299</t>
  </si>
  <si>
    <t>EVONY ADULT DIAPER (MEDIUM) 30 X 4</t>
  </si>
  <si>
    <t>FG01300</t>
  </si>
  <si>
    <t>EVONY ADULT DIAPER (X LARGE) 30 X 4</t>
  </si>
  <si>
    <t>FG01301</t>
  </si>
  <si>
    <t>EVONY ADULT DIAPER (X LARGE) 8 X 6</t>
  </si>
  <si>
    <t>FG01302</t>
  </si>
  <si>
    <t>EXACYL 500MG 20CES (FR)</t>
  </si>
  <si>
    <t>FG01303</t>
  </si>
  <si>
    <t>EXACYL 500MG IV INJ 5AMP (FR)</t>
  </si>
  <si>
    <t>FG01304</t>
  </si>
  <si>
    <t>EXASEAL 500MG/5ML (ACIDE TRANXAMIQUE) INJ. B/5AMP</t>
  </si>
  <si>
    <t>FG01305</t>
  </si>
  <si>
    <t>EXODRIL CREAM TB 15G (FR)</t>
  </si>
  <si>
    <t>FG01306</t>
  </si>
  <si>
    <t>EXOFEN POUDRE SILICONEE T/160GR</t>
  </si>
  <si>
    <t>FG01307</t>
  </si>
  <si>
    <t>EXOMUC 200MG GRAN SS SACH BT30(FR)</t>
  </si>
  <si>
    <t>FG01308</t>
  </si>
  <si>
    <t>EXTERFON PENTRA 20GM GEL</t>
  </si>
  <si>
    <t>FG01309</t>
  </si>
  <si>
    <t>FALCIDOX (SULFA/PYRAME) POCH/3CES</t>
  </si>
  <si>
    <t>FG01310</t>
  </si>
  <si>
    <t>FALOR 100ML - VAGINAL WASH</t>
  </si>
  <si>
    <t>FG01311</t>
  </si>
  <si>
    <t>FALOR 200ML - VAGINAL WASH</t>
  </si>
  <si>
    <t>FG01312</t>
  </si>
  <si>
    <t>FAN</t>
  </si>
  <si>
    <t>FG01313</t>
  </si>
  <si>
    <t>FANSIDAR 10CES PL (ROCHE)</t>
  </si>
  <si>
    <t>FG01314</t>
  </si>
  <si>
    <t>FANSIDAR 500/25MG B/3CES (FR)</t>
  </si>
  <si>
    <t>FG01315</t>
  </si>
  <si>
    <t>FANSIDAR INJ B/2AMP (FR)</t>
  </si>
  <si>
    <t>FG01316</t>
  </si>
  <si>
    <t>FASIGYN 500MG 4CES (FR)</t>
  </si>
  <si>
    <t>FG01317</t>
  </si>
  <si>
    <t>FELDENE 20MG 15 GLULES (FR)</t>
  </si>
  <si>
    <t>FG01318</t>
  </si>
  <si>
    <t>FELDENE 20MG B/12 &amp; 15 SUPPOS (FR)</t>
  </si>
  <si>
    <t>FG01321</t>
  </si>
  <si>
    <t>FEMACLIN (CLINDA+CLOTRI) 3 OVULES</t>
  </si>
  <si>
    <t>FG01322</t>
  </si>
  <si>
    <t>FEMME WASH 100ML</t>
  </si>
  <si>
    <t>FG01323</t>
  </si>
  <si>
    <t>FEMMEX 3X10 CAPS (HARBAL)</t>
  </si>
  <si>
    <t>FG01324</t>
  </si>
  <si>
    <t>FENAMEX SPAS 250MG B/10CES</t>
  </si>
  <si>
    <t>FG01325</t>
  </si>
  <si>
    <t>FENISTIL GOUTTE 20ML (FR)</t>
  </si>
  <si>
    <t>FG01326</t>
  </si>
  <si>
    <t>FENTANYL CITRATE 50MG B/10AMP</t>
  </si>
  <si>
    <t>FG01327</t>
  </si>
  <si>
    <t>FENTONE 50MG/ML (PHENYTOINE) 5ML INJ.B/1AMP</t>
  </si>
  <si>
    <t>FG01328</t>
  </si>
  <si>
    <t>FENYL (FENTANYL) 50MCG/ML 2ML B/ 1 AMPS</t>
  </si>
  <si>
    <t>FG01329</t>
  </si>
  <si>
    <t>FENZAR 18 (DEFLAZACORT 18 MG) B\10CES</t>
  </si>
  <si>
    <t>FG01330</t>
  </si>
  <si>
    <t>FENZAR 30 (DEFLAZACORT 30 MG) B\10CES</t>
  </si>
  <si>
    <t>FG01331</t>
  </si>
  <si>
    <t>FENZAR 6 (DEFLAZACORT 6MG) B\10CES</t>
  </si>
  <si>
    <t>FG01332</t>
  </si>
  <si>
    <t>FERDROP AF A LA VITAMINE C SUSP 100ML</t>
  </si>
  <si>
    <t>FG01333</t>
  </si>
  <si>
    <t>FERDROP PLUS A LA VIT. C 3OML</t>
  </si>
  <si>
    <t>FG01334</t>
  </si>
  <si>
    <t>FERIUM B/30CES</t>
  </si>
  <si>
    <t>FG01335</t>
  </si>
  <si>
    <t>FERIUM SIROP 120ML</t>
  </si>
  <si>
    <t>FG01336</t>
  </si>
  <si>
    <t>FERIX FOLIQUE SIROP 100ML</t>
  </si>
  <si>
    <t>FG01337</t>
  </si>
  <si>
    <t>FEROVIT SP 100ML</t>
  </si>
  <si>
    <t>FG01338</t>
  </si>
  <si>
    <t>FEROX PLUS TONIC 200ML</t>
  </si>
  <si>
    <t>FG01339</t>
  </si>
  <si>
    <t>FERRAVIT (ANTIANEMIQUE) 200ML</t>
  </si>
  <si>
    <t>FG01340</t>
  </si>
  <si>
    <t>FERRAVIT 200ML FL</t>
  </si>
  <si>
    <t>FG01341</t>
  </si>
  <si>
    <t>FERRO VITAL DENK B/30CES (FR)</t>
  </si>
  <si>
    <t>FG01342</t>
  </si>
  <si>
    <t>FERROSTRANE 0.68% 125ML</t>
  </si>
  <si>
    <t>FG01343</t>
  </si>
  <si>
    <t>FERSANG (SUCROSE) 5ML INJ B/1AMP</t>
  </si>
  <si>
    <t>FG01344</t>
  </si>
  <si>
    <t>FERVEX ADULTES 8 SACHETS (FR)</t>
  </si>
  <si>
    <t>FG01345</t>
  </si>
  <si>
    <t>FEVASTIN .ET 1000MG B/8 CES</t>
  </si>
  <si>
    <t>FG01346</t>
  </si>
  <si>
    <t>FEVASTIN .ET 500MG B/16 CES</t>
  </si>
  <si>
    <t>FG01347</t>
  </si>
  <si>
    <t>FEVASTIN 100ML IV 1 PCS</t>
  </si>
  <si>
    <t>FG01348</t>
  </si>
  <si>
    <t>FILM 18X24 B/100PCS</t>
  </si>
  <si>
    <t>FG01349</t>
  </si>
  <si>
    <t>FILM 30X40 B/100PCS</t>
  </si>
  <si>
    <t>FG01350</t>
  </si>
  <si>
    <t>FINATUX 5 % (CARBICISTEINE) 50MG SIROP (FR)</t>
  </si>
  <si>
    <t>FG01351</t>
  </si>
  <si>
    <t>FIRST AID BOX</t>
  </si>
  <si>
    <t>FG01352</t>
  </si>
  <si>
    <t>FIRST AID KIT</t>
  </si>
  <si>
    <t>FG01353</t>
  </si>
  <si>
    <t>FIRST AID KIT 1 X GT58-302 BIG</t>
  </si>
  <si>
    <t>FG01354</t>
  </si>
  <si>
    <t>FIRST AID KIT 1 X GT58-304 SMALL</t>
  </si>
  <si>
    <t>FG01355</t>
  </si>
  <si>
    <t>FIXALEM (CEFIXIME) 60ML SUSP</t>
  </si>
  <si>
    <t>FG01356</t>
  </si>
  <si>
    <t>FIXALEM-200 (CEFIXIME) 200MG 10 CES</t>
  </si>
  <si>
    <t>FG01357</t>
  </si>
  <si>
    <t>FIXALEM-400 (CEFIXIME) 400MG 10 CES</t>
  </si>
  <si>
    <t>FG01358</t>
  </si>
  <si>
    <t>FIXATEUR PODRE (22.5)</t>
  </si>
  <si>
    <t>FG01359</t>
  </si>
  <si>
    <t>FIXIM 100MG SIROP</t>
  </si>
  <si>
    <t>FG01360</t>
  </si>
  <si>
    <t>FIXIM 40MG 60ML SIROP</t>
  </si>
  <si>
    <t>FG01361</t>
  </si>
  <si>
    <t>FLAGYL 10 OVULES 500MG (FR)</t>
  </si>
  <si>
    <t>FG01362</t>
  </si>
  <si>
    <t>FLAMMAZINE 1% CREME TB 50GR (FR)</t>
  </si>
  <si>
    <t>FG01363</t>
  </si>
  <si>
    <t>FLAMO B/10CES</t>
  </si>
  <si>
    <t>FG01364</t>
  </si>
  <si>
    <t>FLASH 16GB</t>
  </si>
  <si>
    <t>FG01365</t>
  </si>
  <si>
    <t>FLASH USB 16GB</t>
  </si>
  <si>
    <t>FG01366</t>
  </si>
  <si>
    <t>FLATORIL B/40 CASULES (FR)</t>
  </si>
  <si>
    <t>FG01367</t>
  </si>
  <si>
    <t>FLAZINE CREME 50GR</t>
  </si>
  <si>
    <t>FG01368</t>
  </si>
  <si>
    <t>FLEMING 1125MG B/16CES(FR)</t>
  </si>
  <si>
    <t>FG01369</t>
  </si>
  <si>
    <t>FLEMING @@ SUSPENSION 60ML@@500/62.5MG (FR)</t>
  </si>
  <si>
    <t>FG01370</t>
  </si>
  <si>
    <t>FLEMING @@@ 562.5 MG @@@16CAPS(FR)</t>
  </si>
  <si>
    <t>FG01371</t>
  </si>
  <si>
    <t>FLEMING SUSP 250/31.25MG (FR)</t>
  </si>
  <si>
    <t>FG01372</t>
  </si>
  <si>
    <t>FLIXONASE SPRAY NAZAL 120 DOSES (FR)</t>
  </si>
  <si>
    <t>FG01373</t>
  </si>
  <si>
    <t>FLIXOTIDE 50MG SUSP 120DOSES (FR)</t>
  </si>
  <si>
    <t>FG01374</t>
  </si>
  <si>
    <t>FLODENT PATE DENTIFRICE 100GR</t>
  </si>
  <si>
    <t>FG01375</t>
  </si>
  <si>
    <t>FLODENT PATE DENTIFRICE 50GR</t>
  </si>
  <si>
    <t>FG01376</t>
  </si>
  <si>
    <t>FLORANORM B/10SACHETS</t>
  </si>
  <si>
    <t>FG01377</t>
  </si>
  <si>
    <t>FLOTAC 75MG 20CES(FR)</t>
  </si>
  <si>
    <t>FG01378</t>
  </si>
  <si>
    <t>FLOWERS PORT</t>
  </si>
  <si>
    <t>FG01379</t>
  </si>
  <si>
    <t>FLOXAPEN 500MG 20 GELULES (FR)</t>
  </si>
  <si>
    <t>FG01380</t>
  </si>
  <si>
    <t>FLOXOR (OFLOXACINE+ORNIDAZOLE) 60ML SP</t>
  </si>
  <si>
    <t>FG01381</t>
  </si>
  <si>
    <t>FLOXOR (OFLOXACINE+ORNIDAZOLE) B/10 CES</t>
  </si>
  <si>
    <t>FG01382</t>
  </si>
  <si>
    <t>FLUCEL 250MG (FLUOROURACIL) INJ B/1AMP</t>
  </si>
  <si>
    <t>FG01383</t>
  </si>
  <si>
    <t>FLUCEL 500MG (FLUOROURACIL) INJ B/1AMP</t>
  </si>
  <si>
    <t>FG01384</t>
  </si>
  <si>
    <t>FLUCON COLLYRE (FR)</t>
  </si>
  <si>
    <t>FG01385</t>
  </si>
  <si>
    <t>FLUCONAZOLE (MEGADON) 150MG B/1CES</t>
  </si>
  <si>
    <t>FG01386</t>
  </si>
  <si>
    <t>FLUDEX 2.5MG 20CES (FR)</t>
  </si>
  <si>
    <t>FG01387</t>
  </si>
  <si>
    <t>FLUDEX LP 1.5MG 30CES (FR)</t>
  </si>
  <si>
    <t>FG01388</t>
  </si>
  <si>
    <t>FLUDIMOL ADULTES SIROP 100ML</t>
  </si>
  <si>
    <t>FG01389</t>
  </si>
  <si>
    <t>FLUDIMOL ENF.&amp; NOR. SIROP 100ML</t>
  </si>
  <si>
    <t>FG01390</t>
  </si>
  <si>
    <t>FLUDITEC ADULTES SP 5%</t>
  </si>
  <si>
    <t>FG01391</t>
  </si>
  <si>
    <t>FLUDITEC STICK 75MG/10ML 15STICKS SANS SUCRE (FR)</t>
  </si>
  <si>
    <t>FG01392</t>
  </si>
  <si>
    <t>FLUGRIPE B/10 CES</t>
  </si>
  <si>
    <t>FG01393</t>
  </si>
  <si>
    <t>FLUGRIPE SUSP. 60ML</t>
  </si>
  <si>
    <t>FG01394</t>
  </si>
  <si>
    <t>FLUPHENAZINE DECANOATE 25MG 1AMP(STEROP)</t>
  </si>
  <si>
    <t>FG01399</t>
  </si>
  <si>
    <t>FLUZON 150MG B/2CAP</t>
  </si>
  <si>
    <t>FG01400</t>
  </si>
  <si>
    <t>FORCAPETI 10*10 CES</t>
  </si>
  <si>
    <t>FG01401</t>
  </si>
  <si>
    <t>FORCAPETI (CYPROHEPTADINE) SIROP 100ML</t>
  </si>
  <si>
    <t>FG01402</t>
  </si>
  <si>
    <t>FORCAPETI B/20CES</t>
  </si>
  <si>
    <t>FG01405</t>
  </si>
  <si>
    <t>FORLAX BT DE 20SACH 10MG (FR)</t>
  </si>
  <si>
    <t>FG01406</t>
  </si>
  <si>
    <t>FORLAX SACHT/10 (FR)</t>
  </si>
  <si>
    <t>FG01410</t>
  </si>
  <si>
    <t>FORMOL 10%</t>
  </si>
  <si>
    <t>FG01411</t>
  </si>
  <si>
    <t>FORMOL 20%</t>
  </si>
  <si>
    <t>FG01412</t>
  </si>
  <si>
    <t>FORTALINE OMEGA3 20CAPS (FR)</t>
  </si>
  <si>
    <t>FG01413</t>
  </si>
  <si>
    <t>FORTICINE 0.3% (GENTAMYCINE) COLLYRE</t>
  </si>
  <si>
    <t>FG01414</t>
  </si>
  <si>
    <t>FORTIDEX COLLYRE</t>
  </si>
  <si>
    <t>FG01416</t>
  </si>
  <si>
    <t>FORTRA INHALER 200MG + 6GM FL</t>
  </si>
  <si>
    <t>FG01417</t>
  </si>
  <si>
    <t>FOUANTAIN EUROMAX</t>
  </si>
  <si>
    <t>FG01418</t>
  </si>
  <si>
    <t>FRICKS COUGHT SYRUP ADULSA 100ML</t>
  </si>
  <si>
    <t>FG01419</t>
  </si>
  <si>
    <t>FRICKS GINGER B/24CES</t>
  </si>
  <si>
    <t>FG01420</t>
  </si>
  <si>
    <t>FRICKS LEMON B/24CES</t>
  </si>
  <si>
    <t>FG01421</t>
  </si>
  <si>
    <t>FRICKS MENTHOL B/24CES</t>
  </si>
  <si>
    <t>FG01422</t>
  </si>
  <si>
    <t>FRICKS ORANGE B/24CES</t>
  </si>
  <si>
    <t>FG01423</t>
  </si>
  <si>
    <t>FRIGO</t>
  </si>
  <si>
    <t>FG01424</t>
  </si>
  <si>
    <t>FRITES</t>
  </si>
  <si>
    <t>FG01425</t>
  </si>
  <si>
    <t>FUCHSINE BASIQUE</t>
  </si>
  <si>
    <t>FG01426</t>
  </si>
  <si>
    <t>FUCHSINE PHENIQUE</t>
  </si>
  <si>
    <t>FG01427</t>
  </si>
  <si>
    <t>FUCITHALMIC GEL OPHT.3GR 1% (FR)</t>
  </si>
  <si>
    <t>FG01428</t>
  </si>
  <si>
    <t>FUCLO 250 SP</t>
  </si>
  <si>
    <t>FG01429</t>
  </si>
  <si>
    <t>FUCLO 500MG ING B/1 VIAL</t>
  </si>
  <si>
    <t>FG01430</t>
  </si>
  <si>
    <t>FUNBACT -A CREME TUB/@@ 15GR @@</t>
  </si>
  <si>
    <t>FG01431</t>
  </si>
  <si>
    <t>FUNBACT BEBE SAVO 75GM</t>
  </si>
  <si>
    <t>FG01432</t>
  </si>
  <si>
    <t>FUNBACT POUDRE 50MG</t>
  </si>
  <si>
    <t>FG01433</t>
  </si>
  <si>
    <t>FUNBACT SAVO 125GM</t>
  </si>
  <si>
    <t>FG01434</t>
  </si>
  <si>
    <t>FUNBACT SAVO 75GM</t>
  </si>
  <si>
    <t>FG01435</t>
  </si>
  <si>
    <t>FUNBACT TG LOTION 30ML</t>
  </si>
  <si>
    <t>FG01436</t>
  </si>
  <si>
    <t>FUNBACT-A CREME 30GR</t>
  </si>
  <si>
    <t>FG01437</t>
  </si>
  <si>
    <t>FURADANTINE 50MG B/50 CAPS **** (FR)</t>
  </si>
  <si>
    <t>FG01438</t>
  </si>
  <si>
    <t>FURANTINE 100MG B/10X10CES</t>
  </si>
  <si>
    <t>FG01440</t>
  </si>
  <si>
    <t>FYTOBACT (SULBACTAM &amp; CEFO) 1G B1/AMP</t>
  </si>
  <si>
    <t>FG01441</t>
  </si>
  <si>
    <t>FYTOBACT 1 PCS</t>
  </si>
  <si>
    <t>FG01442</t>
  </si>
  <si>
    <t>G-CEFTRIA 1G IM / IV</t>
  </si>
  <si>
    <t>FG01443</t>
  </si>
  <si>
    <t>G-NANCY 1CES</t>
  </si>
  <si>
    <t>FG01444</t>
  </si>
  <si>
    <t>GABIX 100MG B/10 CAP</t>
  </si>
  <si>
    <t>FG01445</t>
  </si>
  <si>
    <t>GABIX 300MG B/10 CAP</t>
  </si>
  <si>
    <t>FG01446</t>
  </si>
  <si>
    <t>GACET-500 (PARA 500MG) EFERVESNT B/16CES</t>
  </si>
  <si>
    <t>FG01447</t>
  </si>
  <si>
    <t>GAMALATE B6 20CES (FR)</t>
  </si>
  <si>
    <t>FG01448</t>
  </si>
  <si>
    <t>GANTCHIRURGICAX NO 7.5 PAIRE/1</t>
  </si>
  <si>
    <t>FG01449</t>
  </si>
  <si>
    <t>GANTCHIRURGICAX NO.8*** PAIRE/1</t>
  </si>
  <si>
    <t>FG01450</t>
  </si>
  <si>
    <t>GARDENAL 100MG 20CES (FR)</t>
  </si>
  <si>
    <t>FG01451</t>
  </si>
  <si>
    <t>GARDENAL 50MG CES B/30 (FR)</t>
  </si>
  <si>
    <t>FG01452</t>
  </si>
  <si>
    <t>GARROTS</t>
  </si>
  <si>
    <t>FG01453</t>
  </si>
  <si>
    <t>GASOGEL 200ML SP</t>
  </si>
  <si>
    <t>FG01454</t>
  </si>
  <si>
    <t>GASTRALGINE SUSP 200ML</t>
  </si>
  <si>
    <t>FG01455</t>
  </si>
  <si>
    <t>GASTROCID SP 100ML</t>
  </si>
  <si>
    <t>FG01456</t>
  </si>
  <si>
    <t>GASTROCOOL (ANTIACIDE) 100ML SP</t>
  </si>
  <si>
    <t>FG01457</t>
  </si>
  <si>
    <t>GASTROMEX 200ML SIROP</t>
  </si>
  <si>
    <t>FG01458</t>
  </si>
  <si>
    <t>GASTROMEX SP 100ML</t>
  </si>
  <si>
    <t>FG01459</t>
  </si>
  <si>
    <t>GASTROSUN SUSP 100ML</t>
  </si>
  <si>
    <t>FG01460</t>
  </si>
  <si>
    <t>GAVISCON SUSP.24 SACHET (EO)</t>
  </si>
  <si>
    <t>FG01461</t>
  </si>
  <si>
    <t>GAVISCON SUSPENSION ORALE 250ML(EO)</t>
  </si>
  <si>
    <t>FG01462</t>
  </si>
  <si>
    <t>GAZ HYDROPHYLLE G.F. PCS/1 (AFRICANO)</t>
  </si>
  <si>
    <t>FG01463</t>
  </si>
  <si>
    <t>GAZ HYDROPHYLLE ROULEAU 100MTS 1 PCS</t>
  </si>
  <si>
    <t>FG01464</t>
  </si>
  <si>
    <t>GAZE HYDROPHILE ( 1 X 1 MTR) GF (UNIQUE)</t>
  </si>
  <si>
    <t>FG01465</t>
  </si>
  <si>
    <t>GAZE HYDROPHILE (0.5 X 1 MTR) PF (UNIQUE)</t>
  </si>
  <si>
    <t>FG01466</t>
  </si>
  <si>
    <t>GEL HYDRO ALCOOLIQUE FL/500ML</t>
  </si>
  <si>
    <t>FG01467</t>
  </si>
  <si>
    <t>GEL HYDRO-ALCOOLIQUE 60ML</t>
  </si>
  <si>
    <t>FG01468</t>
  </si>
  <si>
    <t>GEL POUR ECHOGRAPHIE FL 5L</t>
  </si>
  <si>
    <t>FG01469</t>
  </si>
  <si>
    <t>GENTADEXA COLLYRE 10ML ***** ( LOCAL) *********</t>
  </si>
  <si>
    <t>FG01470</t>
  </si>
  <si>
    <t>GERMOL 100ML LIQUID</t>
  </si>
  <si>
    <t>FG01471</t>
  </si>
  <si>
    <t>GERMOL 50ML LIQUID</t>
  </si>
  <si>
    <t>FG01472</t>
  </si>
  <si>
    <t>GERMOL LIQUID 1000ML</t>
  </si>
  <si>
    <t>FG01473</t>
  </si>
  <si>
    <t>GERMOL SAVON 125GR (GF)</t>
  </si>
  <si>
    <t>FG01474</t>
  </si>
  <si>
    <t>GERMOL SAVON 75GR.</t>
  </si>
  <si>
    <t>FG01475</t>
  </si>
  <si>
    <t>GETRYL 1 MG B/2*10 CES</t>
  </si>
  <si>
    <t>FG01476</t>
  </si>
  <si>
    <t>GETRYL 2 MG B/2*10 CES</t>
  </si>
  <si>
    <t>FG01477</t>
  </si>
  <si>
    <t>GETRYL 3 MG B/2*10 CES</t>
  </si>
  <si>
    <t>FG01478</t>
  </si>
  <si>
    <t>GETRYL 4MG B/2X10 CES</t>
  </si>
  <si>
    <t>FG01479</t>
  </si>
  <si>
    <t>GIEMSA SOLUTION MERE 1LTR</t>
  </si>
  <si>
    <t>FG01480</t>
  </si>
  <si>
    <t>GIFT SET</t>
  </si>
  <si>
    <t>FG01481</t>
  </si>
  <si>
    <t>GLIBEMET B/30 TABLET</t>
  </si>
  <si>
    <t>FG01482</t>
  </si>
  <si>
    <t>GLIBEN 30CES PL</t>
  </si>
  <si>
    <t>FG01483</t>
  </si>
  <si>
    <t>GLIBEN M B/30CES</t>
  </si>
  <si>
    <t>FG01484</t>
  </si>
  <si>
    <t>GLIMEPIRIDE DENK 3 B/30CES</t>
  </si>
  <si>
    <t>FG01485</t>
  </si>
  <si>
    <t>GLIMEPIRIDE DENK 2 B/30CES</t>
  </si>
  <si>
    <t>FG01486</t>
  </si>
  <si>
    <t>GLUCOMET FORTE B/30 CMPRIMES</t>
  </si>
  <si>
    <t>FG01487</t>
  </si>
  <si>
    <t>GLUCOMETRE CONTOUR</t>
  </si>
  <si>
    <t>FG01488</t>
  </si>
  <si>
    <t>GLUCOPHAGE 1GR 30CES (EO)</t>
  </si>
  <si>
    <t>FG01489</t>
  </si>
  <si>
    <t>GLUCOPHAGE 500MG 30CES (EO)</t>
  </si>
  <si>
    <t>FG01490</t>
  </si>
  <si>
    <t>GLUCOPHAGE 500MG 60CES (FR)</t>
  </si>
  <si>
    <t>FG01491</t>
  </si>
  <si>
    <t>GLUCOPHAGE RETARD 850MG 30CES (FR)</t>
  </si>
  <si>
    <t>FG01492</t>
  </si>
  <si>
    <t>GLUCOPHAGE RETARD PLS 25CES 850MG</t>
  </si>
  <si>
    <t>FG01493</t>
  </si>
  <si>
    <t>GLUCOSE HYPERTONIQUE 50ML</t>
  </si>
  <si>
    <t>FG01494</t>
  </si>
  <si>
    <t>GLUCOVANCE 500MG/2.5MG B/30 (FR)</t>
  </si>
  <si>
    <t>FG01495</t>
  </si>
  <si>
    <t>GLYCERINE 10SUPP BEBE</t>
  </si>
  <si>
    <t>FG01497</t>
  </si>
  <si>
    <t>GLYMAX LP 500MG/2MG CP B/30</t>
  </si>
  <si>
    <t>FG01498</t>
  </si>
  <si>
    <t>GODECINE POMMADE 30GR</t>
  </si>
  <si>
    <t>FG01499</t>
  </si>
  <si>
    <t>GODISA POMMADE 50GR</t>
  </si>
  <si>
    <t>FG01500</t>
  </si>
  <si>
    <t>GOGYNAX B/6OVULE</t>
  </si>
  <si>
    <t>FG01501</t>
  </si>
  <si>
    <t>GOGYNAX CREME 30GR.</t>
  </si>
  <si>
    <t>FG01502</t>
  </si>
  <si>
    <t>GOGYNAX I-WASH 100ML LIQUIDE</t>
  </si>
  <si>
    <t>FG01503</t>
  </si>
  <si>
    <t>GOT KIT</t>
  </si>
  <si>
    <t>FG01504</t>
  </si>
  <si>
    <t>GOUTTE BLUE 15ML</t>
  </si>
  <si>
    <t>FG01505</t>
  </si>
  <si>
    <t>GPT KIT</t>
  </si>
  <si>
    <t>FG01506</t>
  </si>
  <si>
    <t>GRAMOCEF O (CEFIXIME) 200MG B10CES</t>
  </si>
  <si>
    <t>FG01507</t>
  </si>
  <si>
    <t>GRAMOCEF O (CEFIXIME) 400MG B10CES</t>
  </si>
  <si>
    <t>FG01508</t>
  </si>
  <si>
    <t>GRAMOCEF-0-50MG (CEFIXIME) 100ML SP</t>
  </si>
  <si>
    <t>FG01509</t>
  </si>
  <si>
    <t>GRAMOCEFF O 200 (CEFIXIM 200MG) B/10CAP</t>
  </si>
  <si>
    <t>FG01510</t>
  </si>
  <si>
    <t>GRANCEF (CEFTRIAXONE) 1GR INJ</t>
  </si>
  <si>
    <t>FG01511</t>
  </si>
  <si>
    <t>GRANI DENK 1MG/1ML B/5 AMP</t>
  </si>
  <si>
    <t>FG01512</t>
  </si>
  <si>
    <t>GRANTAX (CEFOTAXIM) 1GR INJ</t>
  </si>
  <si>
    <t>FG01513</t>
  </si>
  <si>
    <t>GRIMOL SUSP 50ML</t>
  </si>
  <si>
    <t>FG01514</t>
  </si>
  <si>
    <t>GRIPAL B/20CAPS</t>
  </si>
  <si>
    <t>FG01515</t>
  </si>
  <si>
    <t>GRIPAL NOURRISSON 100ML</t>
  </si>
  <si>
    <t>FG01516</t>
  </si>
  <si>
    <t>GRIPAL SP ADULT 100ML</t>
  </si>
  <si>
    <t>FG01517</t>
  </si>
  <si>
    <t>GRIPAL SP ENFANT 100ML</t>
  </si>
  <si>
    <t>FG01518</t>
  </si>
  <si>
    <t>GRIPPEX ADULTE 100ML SP</t>
  </si>
  <si>
    <t>FG01519</t>
  </si>
  <si>
    <t>GRIPPEX ENFANT 100ML SP</t>
  </si>
  <si>
    <t>FG01520</t>
  </si>
  <si>
    <t>GRISEFULINE 250MG 30CES (EO)</t>
  </si>
  <si>
    <t>FG01521</t>
  </si>
  <si>
    <t>GRISEFULINE 500MG 20CES (EO)</t>
  </si>
  <si>
    <t>FG01522</t>
  </si>
  <si>
    <t>GRISEOFULVINE POMMDE 5% 15GR (UNIQUE)</t>
  </si>
  <si>
    <t>FG01523</t>
  </si>
  <si>
    <t>GROUP 1.9 KV</t>
  </si>
  <si>
    <t>FG01524</t>
  </si>
  <si>
    <t>GROUP 2.5 KVA</t>
  </si>
  <si>
    <t>FG01525</t>
  </si>
  <si>
    <t>GROUP 5KV</t>
  </si>
  <si>
    <t>FG01526</t>
  </si>
  <si>
    <t>GROUPE 1900</t>
  </si>
  <si>
    <t>FG01527</t>
  </si>
  <si>
    <t>GROUPE 2900/3700</t>
  </si>
  <si>
    <t>FG01528</t>
  </si>
  <si>
    <t>GSUNATE (ARTE 120 MG ) IV/IM B/1AMP</t>
  </si>
  <si>
    <t>FG01529</t>
  </si>
  <si>
    <t>GSUNATE (ARTESUNATE 60MG ) IV/IM B/1AMP</t>
  </si>
  <si>
    <t>FG01530</t>
  </si>
  <si>
    <t>GSUNATE-30 (ARTESUNATE 30 MG) IV/IM B/1AMP</t>
  </si>
  <si>
    <t>FG01531</t>
  </si>
  <si>
    <t>GYFLORINE B/6 OVULES</t>
  </si>
  <si>
    <t>FG01532</t>
  </si>
  <si>
    <t>GYNO FAST OVULES</t>
  </si>
  <si>
    <t>FG01533</t>
  </si>
  <si>
    <t>GYNOBACT (ACIDE LACTIQUE) LIQUIDE DE LAVAGE 100ML</t>
  </si>
  <si>
    <t>FG01534</t>
  </si>
  <si>
    <t>GYNOBACT B/7 OVULE</t>
  </si>
  <si>
    <t>FG01535</t>
  </si>
  <si>
    <t>GYNOFER B12 200ML SYRUP</t>
  </si>
  <si>
    <t>FG01536</t>
  </si>
  <si>
    <t>GYNOKLEEN (ACIDE LACTIQUE) 100ML</t>
  </si>
  <si>
    <t>FG01537</t>
  </si>
  <si>
    <t>GYNOKLEEN VB (ACID LACTIC) B/7 OV</t>
  </si>
  <si>
    <t>FG01538</t>
  </si>
  <si>
    <t>GYNOMAX B/6OVULES</t>
  </si>
  <si>
    <t>FG01539</t>
  </si>
  <si>
    <t>GYNOSPAN B/30CES</t>
  </si>
  <si>
    <t>FG01540</t>
  </si>
  <si>
    <t>GYNOSPAN B/6 AMP</t>
  </si>
  <si>
    <t>FG01541</t>
  </si>
  <si>
    <t>H-KENDE 30GM</t>
  </si>
  <si>
    <t>FG01542</t>
  </si>
  <si>
    <t>HACTOSEC SIROP 150ML</t>
  </si>
  <si>
    <t>FG01543</t>
  </si>
  <si>
    <t>HAEM PLUS SIROP</t>
  </si>
  <si>
    <t>FG01544</t>
  </si>
  <si>
    <t>HAEM UP B/30CAPS</t>
  </si>
  <si>
    <t>FG01545</t>
  </si>
  <si>
    <t>HAEM UP SP 200ML</t>
  </si>
  <si>
    <t>FG01546</t>
  </si>
  <si>
    <t>HAEMATONE 100ML SIROP</t>
  </si>
  <si>
    <t>FG01547</t>
  </si>
  <si>
    <t>HAEMERON HAEMATINIC TONIC 200ML SIROP</t>
  </si>
  <si>
    <t>FG01548</t>
  </si>
  <si>
    <t>HAEMERON Z SYRUP</t>
  </si>
  <si>
    <t>FG01549</t>
  </si>
  <si>
    <t>HALDOL 5MG 30CES (FR)</t>
  </si>
  <si>
    <t>FG01550</t>
  </si>
  <si>
    <t>HALDOL DECANOAS -100MG- 1AMP 1ML (FR)</t>
  </si>
  <si>
    <t>FG01551</t>
  </si>
  <si>
    <t>HALDOL DECONAOS -50MG- B/5AMP (FR)</t>
  </si>
  <si>
    <t>FG01552</t>
  </si>
  <si>
    <t>HALDOL GOUTTES 15ML (FR)</t>
  </si>
  <si>
    <t>FG01554</t>
  </si>
  <si>
    <t>HAND FAN</t>
  </si>
  <si>
    <t>FG01555</t>
  </si>
  <si>
    <t>HAND SANITIZER</t>
  </si>
  <si>
    <t>FG01556</t>
  </si>
  <si>
    <t>HAND WATCH</t>
  </si>
  <si>
    <t>FG01557</t>
  </si>
  <si>
    <t>HDD 1TB</t>
  </si>
  <si>
    <t>FG01558</t>
  </si>
  <si>
    <t>HDD 2TB</t>
  </si>
  <si>
    <t>FG01559</t>
  </si>
  <si>
    <t>HELICOCIN 42CES (FR)</t>
  </si>
  <si>
    <t>FG01560</t>
  </si>
  <si>
    <t>HELMINTOX 125 MG 6CES (FR)</t>
  </si>
  <si>
    <t>FG01561</t>
  </si>
  <si>
    <t>HELMINTOX 250MG 3CES (FR)</t>
  </si>
  <si>
    <t>FG01562</t>
  </si>
  <si>
    <t>HELMINTOX SUSP.AD.1 SACHET 15ML</t>
  </si>
  <si>
    <t>FG01563</t>
  </si>
  <si>
    <t>HEMAMEX SUSP. 100ML</t>
  </si>
  <si>
    <t>FG01564</t>
  </si>
  <si>
    <t>HEMAMEX SUSP. 200ML</t>
  </si>
  <si>
    <t>FG01565</t>
  </si>
  <si>
    <t>HEMODIALYSIS CONC POWDER ( PART A) DRYCONS 35 X</t>
  </si>
  <si>
    <t>FG01566</t>
  </si>
  <si>
    <t>HEMOFORCE PLUS** ZINC** SYR200ML</t>
  </si>
  <si>
    <t>FG01567</t>
  </si>
  <si>
    <t>HEMOFORCE SIROP 200ML</t>
  </si>
  <si>
    <t>FG01568</t>
  </si>
  <si>
    <t>HEMOGLOBINE B12 SP 100ML (PHATKIN)</t>
  </si>
  <si>
    <t>FG01569</t>
  </si>
  <si>
    <t>HEMOGLOBINOMETRE</t>
  </si>
  <si>
    <t>FG01570</t>
  </si>
  <si>
    <t>HEMOPRIN 100ML SIROP</t>
  </si>
  <si>
    <t>FG01571</t>
  </si>
  <si>
    <t>HEMORECTAL B/6SUPPOS (POLY)</t>
  </si>
  <si>
    <t>FG01572</t>
  </si>
  <si>
    <t>HEMOREX CAPSULES PLS 2X10 CAP</t>
  </si>
  <si>
    <t>FG01573</t>
  </si>
  <si>
    <t>HEMORROIDAL HC 10 SUPPOS</t>
  </si>
  <si>
    <t>FG01574</t>
  </si>
  <si>
    <t>HEMORROIDAL SUPPOS B/10 (LOCAL)</t>
  </si>
  <si>
    <t>FG01575</t>
  </si>
  <si>
    <t>HEMOVIT SIROP 200ML (SUN GOLD)***</t>
  </si>
  <si>
    <t>FG01577</t>
  </si>
  <si>
    <t>HEPARIN 5000UI/5ML INJ.B/5AMP</t>
  </si>
  <si>
    <t>FG01578</t>
  </si>
  <si>
    <t>HEPTIN (CYPROHEPTADINE) B/20CES</t>
  </si>
  <si>
    <t>FG01579</t>
  </si>
  <si>
    <t>HEPTIN (CYPROHEPTADINE) SP</t>
  </si>
  <si>
    <t>FG01580</t>
  </si>
  <si>
    <t>HEPTIN B/10 X 10 CES</t>
  </si>
  <si>
    <t>FG01581</t>
  </si>
  <si>
    <t>HEPTIN PLUS B/40 CES</t>
  </si>
  <si>
    <t>FG01582</t>
  </si>
  <si>
    <t>HEPTIN PLUS SIROP 200ML</t>
  </si>
  <si>
    <t>FG01583</t>
  </si>
  <si>
    <t>HERCULES B/30 CAP</t>
  </si>
  <si>
    <t>FG01584</t>
  </si>
  <si>
    <t>HERVIZI 5GM CREME</t>
  </si>
  <si>
    <t>FG01585</t>
  </si>
  <si>
    <t>HEXA SPRAY COLLU FL/30G</t>
  </si>
  <si>
    <t>FG01586</t>
  </si>
  <si>
    <t>HEXTRIL SOLUTION 200ML</t>
  </si>
  <si>
    <t>FG01588</t>
  </si>
  <si>
    <t>HIFER (FER+ACIDE FOLIQUE) SIRUP FL/150ML</t>
  </si>
  <si>
    <t>FG01591</t>
  </si>
  <si>
    <t>HISTAMINIC EXP. SIROP 100ML</t>
  </si>
  <si>
    <t>FG01592</t>
  </si>
  <si>
    <t>HOMMEX 3X10 CAPS (HARBAL)</t>
  </si>
  <si>
    <t>FG01593</t>
  </si>
  <si>
    <t>HP LAPTOP</t>
  </si>
  <si>
    <t>FG01594</t>
  </si>
  <si>
    <t>HP PRINTER</t>
  </si>
  <si>
    <t>FG01595</t>
  </si>
  <si>
    <t>HP-3 KIT PL/1</t>
  </si>
  <si>
    <t>FG01596</t>
  </si>
  <si>
    <t>HUILE 1 LTS</t>
  </si>
  <si>
    <t>FG01597</t>
  </si>
  <si>
    <t>HUILE A IMMERSION 1LTR</t>
  </si>
  <si>
    <t>FG01598</t>
  </si>
  <si>
    <t>HUILE DE PARAFINE 60 ML</t>
  </si>
  <si>
    <t>FG01599</t>
  </si>
  <si>
    <t>HUILE DE RICIN 60ML</t>
  </si>
  <si>
    <t>FG01600</t>
  </si>
  <si>
    <t>HUILE GOMENOLEE 1%</t>
  </si>
  <si>
    <t>FG01601</t>
  </si>
  <si>
    <t>HUILE GOMNOLEE 2%</t>
  </si>
  <si>
    <t>FG01602</t>
  </si>
  <si>
    <t>HUMEX SIROP ADULTE</t>
  </si>
  <si>
    <t>FG01603</t>
  </si>
  <si>
    <t>HYDREA 500MG 100 CAPSULES (FR)</t>
  </si>
  <si>
    <t>FG01604</t>
  </si>
  <si>
    <t>HYDROSOL POLYVITAMINE SOL.BUV. 30ML (FR)</t>
  </si>
  <si>
    <t>FG01605</t>
  </si>
  <si>
    <t>HYDROXY CHLOROQUINE 200MG B/20CES</t>
  </si>
  <si>
    <t>FG01606</t>
  </si>
  <si>
    <t>HYGROMETER DIGITAL</t>
  </si>
  <si>
    <t>FG01607</t>
  </si>
  <si>
    <t>HYPARTIL PLUS B/30CES</t>
  </si>
  <si>
    <t>FG01608</t>
  </si>
  <si>
    <t>HYSTEN 0.3% 10ML COLLYRE</t>
  </si>
  <si>
    <t>FG01609</t>
  </si>
  <si>
    <t>I PHONE</t>
  </si>
  <si>
    <t>FG01610</t>
  </si>
  <si>
    <t>IBU PLUS SUSP (IBUPRO.+PARA.) 60ML</t>
  </si>
  <si>
    <t>FG01611</t>
  </si>
  <si>
    <t>IBUCAP 25 X 10 CAPS</t>
  </si>
  <si>
    <t>FG01612</t>
  </si>
  <si>
    <t>IBUCAP **FORT** B/10X10CAPS</t>
  </si>
  <si>
    <t>FG01613</t>
  </si>
  <si>
    <t>IBUCAP B/10X10 CAP</t>
  </si>
  <si>
    <t>FG01614</t>
  </si>
  <si>
    <t>IBUCAP COLD &amp; FLU SYRP 100ML</t>
  </si>
  <si>
    <t>FG01615</t>
  </si>
  <si>
    <t>IBUCAP COLF &amp; FLU B/4 TAB</t>
  </si>
  <si>
    <t>FG01616</t>
  </si>
  <si>
    <t>IBUCAP GEL 30G</t>
  </si>
  <si>
    <t>FG01617</t>
  </si>
  <si>
    <t>IBUCAP SUSP 100/125MG 60ML</t>
  </si>
  <si>
    <t>FG01618</t>
  </si>
  <si>
    <t>IBUMOL (IBU+PARA) SP 60ML</t>
  </si>
  <si>
    <t>FG01619</t>
  </si>
  <si>
    <t>IBUMOL (IBU+PARA+CAF) 10X10CAPS</t>
  </si>
  <si>
    <t>FG01620</t>
  </si>
  <si>
    <t>IBUNAL FORTE B/10 CAPS</t>
  </si>
  <si>
    <t>FG01621</t>
  </si>
  <si>
    <t>IBUPAR (IBU+PARA)SP 60ML</t>
  </si>
  <si>
    <t>FG01622</t>
  </si>
  <si>
    <t>IBUPROFEN 200MG B/10X10 CES</t>
  </si>
  <si>
    <t>FG01623</t>
  </si>
  <si>
    <t>IBUPROFEN DENK 400MG PL/10CES</t>
  </si>
  <si>
    <t>FG01624</t>
  </si>
  <si>
    <t>IBUPROFEN DENK 600MG B/20 (FR)</t>
  </si>
  <si>
    <t>FG01625</t>
  </si>
  <si>
    <t>IBUPROFEN SIROP 100ML FL</t>
  </si>
  <si>
    <t>FG01626</t>
  </si>
  <si>
    <t>IDEOS 30CES (FR)</t>
  </si>
  <si>
    <t>FG01627</t>
  </si>
  <si>
    <t>IMAZOLE V-7OVULES (CLOTRIMOXAZOLE)</t>
  </si>
  <si>
    <t>FG01629</t>
  </si>
  <si>
    <t>IMMUN ACTIVE DENK SACHETS B/20(FR)</t>
  </si>
  <si>
    <t>FG01630</t>
  </si>
  <si>
    <t>IMODIUM 2MG CAPS 6 (EO)</t>
  </si>
  <si>
    <t>FG01631</t>
  </si>
  <si>
    <t>IMODIUM B/20CAPS (FR)</t>
  </si>
  <si>
    <t>FG01632</t>
  </si>
  <si>
    <t>INDACIDE 200ML SP</t>
  </si>
  <si>
    <t>FG01633</t>
  </si>
  <si>
    <t>INDAFLEX 30GR CREMA</t>
  </si>
  <si>
    <t>FG01634</t>
  </si>
  <si>
    <t>INDAMOL (PARACETAMOL) 100ML INFUSION</t>
  </si>
  <si>
    <t>FG01635</t>
  </si>
  <si>
    <t>INDO COLLYRE (GENERIQUE)</t>
  </si>
  <si>
    <t>FG01636</t>
  </si>
  <si>
    <t>INDOBIS COLLYRE 0.1% 5ML</t>
  </si>
  <si>
    <t>FG01637</t>
  </si>
  <si>
    <t>INDOCOLLYRE 1% FL/5ML (EO)</t>
  </si>
  <si>
    <t>FG01638</t>
  </si>
  <si>
    <t>INDOMET 100MG B/10SUPPO</t>
  </si>
  <si>
    <t>FG01640</t>
  </si>
  <si>
    <t>INEXIUM 40MG 14CES(FR)</t>
  </si>
  <si>
    <t>FG01641</t>
  </si>
  <si>
    <t>INFEN -25 (DEXKETOPROFEN ) 25MG B/10CES</t>
  </si>
  <si>
    <t>FG01643</t>
  </si>
  <si>
    <t>INSULINE ACTARAPID 100UI 10ML (EO)***</t>
  </si>
  <si>
    <t>FG01644</t>
  </si>
  <si>
    <t>INSULINE NOVORAPIDE FLEXPEN 100U/ML3ML STYLOS</t>
  </si>
  <si>
    <t>FG01645</t>
  </si>
  <si>
    <t>INTRAXONE (CEFTRIXONE) 1G 1+1 (EO)</t>
  </si>
  <si>
    <t>FG01646</t>
  </si>
  <si>
    <t>IPPROSEC (RABEPRAZOLE) 20MG 10CES</t>
  </si>
  <si>
    <t>FG01647</t>
  </si>
  <si>
    <t>IPPROSEC (RABEPRAZOLE) IV INJ 20ML B/1</t>
  </si>
  <si>
    <t>FG01648</t>
  </si>
  <si>
    <t>IPPROSEC -D (RAB.+DOM.) B/10CES</t>
  </si>
  <si>
    <t>FG01649</t>
  </si>
  <si>
    <t>IPPTOCIDE (PANTAPRAZOLE) 20MG B/ 10CES</t>
  </si>
  <si>
    <t>FG01650</t>
  </si>
  <si>
    <t>IPPTOCIDE (PANTAPRAZOLE) 40MG B/ 10CES</t>
  </si>
  <si>
    <t>FG01651</t>
  </si>
  <si>
    <t>IPPTOCIDE (PANTAPRAZOLE) @@@ 40MG B/ INJ</t>
  </si>
  <si>
    <t>FG01652</t>
  </si>
  <si>
    <t>IPPTOCIDE D (PANTAPRAZOLE+DOM) B/10CES</t>
  </si>
  <si>
    <t>FG01653</t>
  </si>
  <si>
    <t>IRNOCEL 100MG/5ML (IRINOTECAN) INJ. B/1 VIAL</t>
  </si>
  <si>
    <t>FG01654</t>
  </si>
  <si>
    <t>IRNOCEL 40MG/2ML (IRINOTECAN) INJ. B/1 VIAL</t>
  </si>
  <si>
    <t>FG01655</t>
  </si>
  <si>
    <t>IRON</t>
  </si>
  <si>
    <t>FG01656</t>
  </si>
  <si>
    <t>IRREGULAR 2LTR</t>
  </si>
  <si>
    <t>FG01657</t>
  </si>
  <si>
    <t>IRRIGATEUR PVC 2L (PLIABLES)</t>
  </si>
  <si>
    <t>FG01659</t>
  </si>
  <si>
    <t>ISOFRA (FRAMYCETIN)SPRAY 100ML (FR)</t>
  </si>
  <si>
    <t>FG01660</t>
  </si>
  <si>
    <t>ITEL LAPTOP</t>
  </si>
  <si>
    <t>FG01661</t>
  </si>
  <si>
    <t>ITEL SAMPLE MOBILE</t>
  </si>
  <si>
    <t>FG01662</t>
  </si>
  <si>
    <t>ITEL TABLET</t>
  </si>
  <si>
    <t>FG01663</t>
  </si>
  <si>
    <t>JANUMET (SITAGLIPTIN + METFORMIN) 5/100MG B/56 CES</t>
  </si>
  <si>
    <t>FG01664</t>
  </si>
  <si>
    <t>JOMBO 4% COLLYRE 5ML</t>
  </si>
  <si>
    <t>FG01665</t>
  </si>
  <si>
    <t>JUVATEST (TESTOSTERONE 40MG) B/30 GELUES</t>
  </si>
  <si>
    <t>FG01666</t>
  </si>
  <si>
    <t>K C L (KALICHLOR) SP 100ML</t>
  </si>
  <si>
    <t>FG01667</t>
  </si>
  <si>
    <t>KABIVEN PERI 5GN/1000TOT KCL</t>
  </si>
  <si>
    <t>FG01668</t>
  </si>
  <si>
    <t>KAIYOSANG (ACIDE TRANEXAMIQUE) 5X5 ML</t>
  </si>
  <si>
    <t>FG01669</t>
  </si>
  <si>
    <t>KAMCILONE(TRIAMCINO) @@2MG@@B/10CES</t>
  </si>
  <si>
    <t>FG01670</t>
  </si>
  <si>
    <t>KAMCILONE(TRIAMCINO) @@4 MG@@B/10CES</t>
  </si>
  <si>
    <t>FG01671</t>
  </si>
  <si>
    <t>KANDATE (TRIHEXYPHENIDYLE) B/30CES</t>
  </si>
  <si>
    <t>FG01672</t>
  </si>
  <si>
    <t>KAOLIN (CESAMEX) SUSP 100ML</t>
  </si>
  <si>
    <t>FG01673</t>
  </si>
  <si>
    <t>KAOLIN PLUS SUSP 100ML</t>
  </si>
  <si>
    <t>FG01674</t>
  </si>
  <si>
    <t>KAOLINE SP 100ML (LOCAL)</t>
  </si>
  <si>
    <t>FG01675</t>
  </si>
  <si>
    <t>KAOPECTINE SP 100ML</t>
  </si>
  <si>
    <t>FG01676</t>
  </si>
  <si>
    <t>KAPTOL BEBE B/5SUPPOS</t>
  </si>
  <si>
    <t>FG01677</t>
  </si>
  <si>
    <t>KAPTOL ENFANT B/5SUPPOS</t>
  </si>
  <si>
    <t>FG01678</t>
  </si>
  <si>
    <t>KAPTOL LOZENGES B 2 X 8 CES</t>
  </si>
  <si>
    <t>FG01679</t>
  </si>
  <si>
    <t>KAPTOL SP 100ML (EXP.)</t>
  </si>
  <si>
    <t>FG01680</t>
  </si>
  <si>
    <t>KCL 1GR/10ML INJ B/1AMP (STREOP)</t>
  </si>
  <si>
    <t>FG01681</t>
  </si>
  <si>
    <t>KE-CORT 80MG INJ B/1AMP</t>
  </si>
  <si>
    <t>FG01682</t>
  </si>
  <si>
    <t>KENACORT 40MG RET LOC INJ B/1AMP(EO)</t>
  </si>
  <si>
    <t>FG01683</t>
  </si>
  <si>
    <t>KENACORT 80MG RET INJ B/1AMP (EO)</t>
  </si>
  <si>
    <t>FG01684</t>
  </si>
  <si>
    <t>KET-VISION 0.5% (KETOROLAC) COLLYRE 5ML</t>
  </si>
  <si>
    <t>FG01685</t>
  </si>
  <si>
    <t>KETALINE 50MG 10ML B/1AMP (UNIQUE)</t>
  </si>
  <si>
    <t>FG01686</t>
  </si>
  <si>
    <t>KETAZOLE 15GR. CREME</t>
  </si>
  <si>
    <t>FG01687</t>
  </si>
  <si>
    <t>KETAZOLE 30GR. CREME (G.F.)</t>
  </si>
  <si>
    <t>FG01688</t>
  </si>
  <si>
    <t>KETAZOLE B/10CES</t>
  </si>
  <si>
    <t>FG01689</t>
  </si>
  <si>
    <t>KETAZOLE SHAMPOO 100ML</t>
  </si>
  <si>
    <t>FG01690</t>
  </si>
  <si>
    <t>KETESSE (DEXKETO +TROMETAMOL )50MG/2ML B/1AMP</t>
  </si>
  <si>
    <t>FG01691</t>
  </si>
  <si>
    <t>KETESSE 25MG 20CES</t>
  </si>
  <si>
    <t>FG01692</t>
  </si>
  <si>
    <t>KETOCARE 5% 60ML SOLUTION</t>
  </si>
  <si>
    <t>FG01693</t>
  </si>
  <si>
    <t>KETOFEN 100MG (KETOPROFENE) B/12 SUPPOS</t>
  </si>
  <si>
    <t>FG01695</t>
  </si>
  <si>
    <t>KETOPROFENE BIOGARAN LP 100MG B/20 CES</t>
  </si>
  <si>
    <t>FG01696</t>
  </si>
  <si>
    <t>KEYCHEN</t>
  </si>
  <si>
    <t>FG01697</t>
  </si>
  <si>
    <t>KIDA PLUS ( ALBE + LVERMECTIN) B/1CES</t>
  </si>
  <si>
    <t>FG01698</t>
  </si>
  <si>
    <t>KIDA PLUS GOUTTE 10 ML</t>
  </si>
  <si>
    <t>FG01699</t>
  </si>
  <si>
    <t>KIFARU ***100MG B/4CES</t>
  </si>
  <si>
    <t>FG01700</t>
  </si>
  <si>
    <t>KIFARU 100MG JELLY</t>
  </si>
  <si>
    <t>FG01701</t>
  </si>
  <si>
    <t>KIFARU 50 B/2CES</t>
  </si>
  <si>
    <t>FG01702</t>
  </si>
  <si>
    <t>KIFARU 50MG JELLY</t>
  </si>
  <si>
    <t>FG01703</t>
  </si>
  <si>
    <t>KILL PAIN PLS DE 10CES PL</t>
  </si>
  <si>
    <t>FG01704</t>
  </si>
  <si>
    <t>KINASPRAY (ANTI MOUSTIQUE) 30ML P.K</t>
  </si>
  <si>
    <t>FG01705</t>
  </si>
  <si>
    <t>KIPTAR B/4 CES</t>
  </si>
  <si>
    <t>FG01706</t>
  </si>
  <si>
    <t>KIT CHOLESTEROL 2*125ML</t>
  </si>
  <si>
    <t>FG01707</t>
  </si>
  <si>
    <t>KIT COMPLET PETITE CHIRURGIE</t>
  </si>
  <si>
    <t>FG01708</t>
  </si>
  <si>
    <t>KIT DE VERRERIE DE LABO</t>
  </si>
  <si>
    <t>FG01709</t>
  </si>
  <si>
    <t>KIT DETERMINE HIV</t>
  </si>
  <si>
    <t>FG01710</t>
  </si>
  <si>
    <t>KIT GROUPAGE</t>
  </si>
  <si>
    <t>FG01711</t>
  </si>
  <si>
    <t>KIT POTASSIUM</t>
  </si>
  <si>
    <t>FG01712</t>
  </si>
  <si>
    <t>KIT PPE (COMBINAISON DE PROTECTION/UNISEXE)</t>
  </si>
  <si>
    <t>FG01713</t>
  </si>
  <si>
    <t>KIT SODUIUM</t>
  </si>
  <si>
    <t>FG01714</t>
  </si>
  <si>
    <t>KIT UREA BT 1</t>
  </si>
  <si>
    <t>FG01715</t>
  </si>
  <si>
    <t>KIT UREE</t>
  </si>
  <si>
    <t>FG01716</t>
  </si>
  <si>
    <t>KIT WIDAL</t>
  </si>
  <si>
    <t>FG01717</t>
  </si>
  <si>
    <t>KITI ROUDGE</t>
  </si>
  <si>
    <t>FG01718</t>
  </si>
  <si>
    <t>KLIPAL CODEINE 600MG/50MG12CES(FR)</t>
  </si>
  <si>
    <t>FG01719</t>
  </si>
  <si>
    <t>KLIPAL CODEINE300/25 MG B/16 CES(FR)</t>
  </si>
  <si>
    <t>FG01720</t>
  </si>
  <si>
    <t>KLOVINAL OVULES B/6 OVU</t>
  </si>
  <si>
    <t>FG01721</t>
  </si>
  <si>
    <t>KOFUREX EXP 100ML</t>
  </si>
  <si>
    <t>FG01722</t>
  </si>
  <si>
    <t>KOFUREX-P (MUCOLYTIQUE) 100ML</t>
  </si>
  <si>
    <t>FG01723</t>
  </si>
  <si>
    <t>KONAKION 10MG/1ML B/10AMP I.V./I.M.(FR)</t>
  </si>
  <si>
    <t>FG01724</t>
  </si>
  <si>
    <t>KOPHTOUX SP 100ML</t>
  </si>
  <si>
    <t>FG01725</t>
  </si>
  <si>
    <t>KREVALISS CREM PIED 50MG</t>
  </si>
  <si>
    <t>FG01726</t>
  </si>
  <si>
    <t>KROMO-VISION 2% (CROMOGLYCATE) COLLYRE 10ML</t>
  </si>
  <si>
    <t>FG01727</t>
  </si>
  <si>
    <t>KUBEL</t>
  </si>
  <si>
    <t>FG01728</t>
  </si>
  <si>
    <t>L-ARTEM (ARTEM.+LUME. 20/120 ) B/12CES</t>
  </si>
  <si>
    <t>FG01729</t>
  </si>
  <si>
    <t>L-ARTEM (ARTEM.+LUME.) B/24CES</t>
  </si>
  <si>
    <t>FG01730</t>
  </si>
  <si>
    <t>L-ARTEM (ARTEM.+LUMEFA.) ORAL SYROP 60ML</t>
  </si>
  <si>
    <t>FG01731</t>
  </si>
  <si>
    <t>L-ARTEM DISPERSIBLE @@@@ B/6CES</t>
  </si>
  <si>
    <t>FG01732</t>
  </si>
  <si>
    <t>L-ARTEM DISPERSIBLE B/18CES</t>
  </si>
  <si>
    <t>FG01733</t>
  </si>
  <si>
    <t>L-ARTEM FORT 6 CES</t>
  </si>
  <si>
    <t>FG01734</t>
  </si>
  <si>
    <t>L-THYROXINE 0.025MG 112CES (FR)</t>
  </si>
  <si>
    <t>FG01735</t>
  </si>
  <si>
    <t>L-THYROXINE 200MG B/112CES</t>
  </si>
  <si>
    <t>FG01736</t>
  </si>
  <si>
    <t>LA DS ( ARTE+ LAMEF) B/6 CES</t>
  </si>
  <si>
    <t>FG01737</t>
  </si>
  <si>
    <t>LA FORTE ( ARTE+ LAMEF) B/12 CES</t>
  </si>
  <si>
    <t>FG01738</t>
  </si>
  <si>
    <t>LA TONE (MULTIVIT) 100ML SP</t>
  </si>
  <si>
    <t>FG01739</t>
  </si>
  <si>
    <t>LA TONE (MULTIVITAMINE) BT/30CES</t>
  </si>
  <si>
    <t>FG01740</t>
  </si>
  <si>
    <t>LA WASH INTIME LIQUID 100ML</t>
  </si>
  <si>
    <t>FG01741</t>
  </si>
  <si>
    <t>LACTACYD DERMA FL/250ML ORIGNAL</t>
  </si>
  <si>
    <t>FG01742</t>
  </si>
  <si>
    <t>LACTACYD SAVON 100GR.(FR)</t>
  </si>
  <si>
    <t>FG01743</t>
  </si>
  <si>
    <t>LACTAMOUSSE FEMME 125ML</t>
  </si>
  <si>
    <t>FG01744</t>
  </si>
  <si>
    <t>LADINAX (PARA+DICLO) B/20 CES</t>
  </si>
  <si>
    <t>FG01745</t>
  </si>
  <si>
    <t>LAME BISTOURI NO.11 B/100PCS (UNIQUE)</t>
  </si>
  <si>
    <t>FG01746</t>
  </si>
  <si>
    <t>LAME BISTOURI NO.15 B/100PCS (UNIQUE)</t>
  </si>
  <si>
    <t>FG01747</t>
  </si>
  <si>
    <t>LAME BISTOURI NO.20 B/100PCS (UNIQUE)</t>
  </si>
  <si>
    <t>FG01748</t>
  </si>
  <si>
    <t>LAME BISTOURI NO.21 BT/100PCS (UNIQUE)</t>
  </si>
  <si>
    <t>FG01749</t>
  </si>
  <si>
    <t>LAME BISTOURI NO.22 BT/100PCS (UNIQUE)</t>
  </si>
  <si>
    <t>FG01750</t>
  </si>
  <si>
    <t>LAME BISTOURI NO.23 BT/100PCS (UNIQUE)</t>
  </si>
  <si>
    <t>FG01751</t>
  </si>
  <si>
    <t>LAME BISTOURI NO.24 BT/100PCS(UNIQUE)</t>
  </si>
  <si>
    <t>FG01752</t>
  </si>
  <si>
    <t>LAME ET LAMELLE</t>
  </si>
  <si>
    <t>FG01753</t>
  </si>
  <si>
    <t>LAME P.O. B/50 PCS</t>
  </si>
  <si>
    <t>FG01754</t>
  </si>
  <si>
    <t>LAMEL COUVERE OBJECT 18X18 B/100PCS</t>
  </si>
  <si>
    <t>FG01755</t>
  </si>
  <si>
    <t>LAMIVUDINE 150MG B/60CES</t>
  </si>
  <si>
    <t>FG01756</t>
  </si>
  <si>
    <t>LAMOX-CV SUSP</t>
  </si>
  <si>
    <t>FG01757</t>
  </si>
  <si>
    <t>LAMOX-CV TABLET</t>
  </si>
  <si>
    <t>FG01758</t>
  </si>
  <si>
    <t>LANCETTES STERILES PLSTIC B/100 PIECES (UNIQUE)</t>
  </si>
  <si>
    <t>FG01759</t>
  </si>
  <si>
    <t>LANCETTES A VACCINER STEEL B/200PCS (UNIQIUE)</t>
  </si>
  <si>
    <t>FG01760</t>
  </si>
  <si>
    <t>LAP ÉPONGE 45X45C FILETAGE19X15AVECX-RAY STÉRILES</t>
  </si>
  <si>
    <t>FG01761</t>
  </si>
  <si>
    <t>LAPTICRON COLLYRE 2%</t>
  </si>
  <si>
    <t>FG01762</t>
  </si>
  <si>
    <t>LAPTOP BAG ( SAC VOYAGE)</t>
  </si>
  <si>
    <t>FG01763</t>
  </si>
  <si>
    <t>LAPTOP LENOVO</t>
  </si>
  <si>
    <t>FG01764</t>
  </si>
  <si>
    <t>LARGACTIL 25MG INJ BT/5AMP</t>
  </si>
  <si>
    <t>FG01765</t>
  </si>
  <si>
    <t>LARGOPIME PLUS 1.125MG CEFEPIM +TAZ INJ B/1AMP</t>
  </si>
  <si>
    <t>FG01766</t>
  </si>
  <si>
    <t>LARMES ARTIFICIELE COLLYRE 10ML(FR)</t>
  </si>
  <si>
    <t>FG01767</t>
  </si>
  <si>
    <t>LARMES ARTIFICIELS GEL 10GR (GEL LARMES)</t>
  </si>
  <si>
    <t>FG01768</t>
  </si>
  <si>
    <t>LAROSCORBINE 1GR 10CES EFF.(FR)</t>
  </si>
  <si>
    <t>FG01769</t>
  </si>
  <si>
    <t>LAROSCORBINE 500MG B/30CES (E.O.)</t>
  </si>
  <si>
    <t>FG01770</t>
  </si>
  <si>
    <t>LAROSTA 0.005% 2ML COLLTRE</t>
  </si>
  <si>
    <t>FG01771</t>
  </si>
  <si>
    <t>LAROXYL (ROCHE) 25MG B/60CES (FR)</t>
  </si>
  <si>
    <t>FG01772</t>
  </si>
  <si>
    <t>LAROXYL 50MG 20CES (EO)</t>
  </si>
  <si>
    <t>FG01773</t>
  </si>
  <si>
    <t>LASILIX 40MG 30CES (FR)</t>
  </si>
  <si>
    <t>FG01774</t>
  </si>
  <si>
    <t>LASIX 20MG/2ML B/6AMP (FR)</t>
  </si>
  <si>
    <t>FG01775</t>
  </si>
  <si>
    <t>LASIX 50CES (EO)</t>
  </si>
  <si>
    <t>FG01776</t>
  </si>
  <si>
    <t>LATANO PLUS-VISION (LATANOPR+TIMOLOL) COLLYRE 3ML</t>
  </si>
  <si>
    <t>FG01777</t>
  </si>
  <si>
    <t>LATANO-VISION 0.05% (LATANOPROSTE) COLLYRE 3ML</t>
  </si>
  <si>
    <t>FG01779</t>
  </si>
  <si>
    <t>LAXSTIM SACHETS 20 X 15 ML</t>
  </si>
  <si>
    <t>FG01780</t>
  </si>
  <si>
    <t>LECET DT TABLETS B/10CES</t>
  </si>
  <si>
    <t>FG01781</t>
  </si>
  <si>
    <t>LEMEART 20/120 CES DISPERSEBLES</t>
  </si>
  <si>
    <t>FG01782</t>
  </si>
  <si>
    <t>LENDRINE 10ML</t>
  </si>
  <si>
    <t>FG01783</t>
  </si>
  <si>
    <t>LENDRINE DOUX 10ML</t>
  </si>
  <si>
    <t>FG01784</t>
  </si>
  <si>
    <t>LEVAMISOLE 150MG 10X10CES</t>
  </si>
  <si>
    <t>FG01785</t>
  </si>
  <si>
    <t>LEVAMISOLE 150MG B/ 25 X 10CES (SHALINA)</t>
  </si>
  <si>
    <t>FG01786</t>
  </si>
  <si>
    <t>LEVAMISOLE 50MG B/10X10CES</t>
  </si>
  <si>
    <t>FG01787</t>
  </si>
  <si>
    <t>LEVASOL (LEVAMISOLE 50MG) B/25X10CES(SHALINA)</t>
  </si>
  <si>
    <t>FG01788</t>
  </si>
  <si>
    <t>LEVOBACT 750 (LEVO+HEMIH) B/10CES</t>
  </si>
  <si>
    <t>FG01789</t>
  </si>
  <si>
    <t>LEVODEX 500MG B/10CES</t>
  </si>
  <si>
    <t>FG01790</t>
  </si>
  <si>
    <t>LEVODEX INFUSTION 100ML</t>
  </si>
  <si>
    <t>FG01794</t>
  </si>
  <si>
    <t>LEVOSKY (LEVOFLOXACINE) B/10 CES</t>
  </si>
  <si>
    <t>FG01795</t>
  </si>
  <si>
    <t>LEVOSKY (LEVOFLOXACINE) IV 100ML</t>
  </si>
  <si>
    <t>FG01796</t>
  </si>
  <si>
    <t>LEXOMAN 3MG B/30CES (GENERIQUE)</t>
  </si>
  <si>
    <t>FG01797</t>
  </si>
  <si>
    <t>LEXOMAN 6MG 30CES(LOCAL)</t>
  </si>
  <si>
    <t>FG01798</t>
  </si>
  <si>
    <t>LEXOTAN 3MG B/50CES (FR)</t>
  </si>
  <si>
    <t>FG01799</t>
  </si>
  <si>
    <t>LEXOTAN 6MG B/50CES (FR)</t>
  </si>
  <si>
    <t>FG01800</t>
  </si>
  <si>
    <t>LIBRAX B/30CES (LOCAL)</t>
  </si>
  <si>
    <t>FG01801</t>
  </si>
  <si>
    <t>LIBRAX B/30CES</t>
  </si>
  <si>
    <t>FG01802</t>
  </si>
  <si>
    <t>LIDOCAINE 2% 20ML</t>
  </si>
  <si>
    <t>FG01803</t>
  </si>
  <si>
    <t>LIFE FORCE ELIXIR 280ML</t>
  </si>
  <si>
    <t>FG01804</t>
  </si>
  <si>
    <t>LINCOCINE 1 AMP INJ 600MG (EO)</t>
  </si>
  <si>
    <t>FG01805</t>
  </si>
  <si>
    <t>LINCOCINE 250MG SP 60ML (EO)</t>
  </si>
  <si>
    <t>FG01806</t>
  </si>
  <si>
    <t>LINCOMYCINE 12CAP 500MG (D.G).....</t>
  </si>
  <si>
    <t>FG01807</t>
  </si>
  <si>
    <t>LINZOX 2X7 TAB</t>
  </si>
  <si>
    <t>FG01808</t>
  </si>
  <si>
    <t>LINZOX 600MG 300ML IV</t>
  </si>
  <si>
    <t>FG01809</t>
  </si>
  <si>
    <t>LIORESAL 10MG 50CES (FR)</t>
  </si>
  <si>
    <t>FG01810</t>
  </si>
  <si>
    <t>LIPITOR 20MG 28CES (FR)</t>
  </si>
  <si>
    <t>FG01811</t>
  </si>
  <si>
    <t>LIPPOD 20MG (DOXORUDICIN) INJ. B/1 VIAL</t>
  </si>
  <si>
    <t>FG01812</t>
  </si>
  <si>
    <t>LIPPOD 50MG (DOXORUBICIN) INJ. B/1 VIAL</t>
  </si>
  <si>
    <t>FG01813</t>
  </si>
  <si>
    <t>LIT D HOPITAL</t>
  </si>
  <si>
    <t>FG01814</t>
  </si>
  <si>
    <t>LOCOID CREME 30GR(FR)</t>
  </si>
  <si>
    <t>FG01815</t>
  </si>
  <si>
    <t>LOCOID LOTION 30ML (FR)</t>
  </si>
  <si>
    <t>FG01816</t>
  </si>
  <si>
    <t>LOMACID O SUSPENSION</t>
  </si>
  <si>
    <t>FG01817</t>
  </si>
  <si>
    <t>LOMACID TABLETS</t>
  </si>
  <si>
    <t>FG01818</t>
  </si>
  <si>
    <t>LOMACIDE SUSOENSION (200ML)</t>
  </si>
  <si>
    <t>FG01819</t>
  </si>
  <si>
    <t>LOMEXIN CREAM 2% 15GR (FR)</t>
  </si>
  <si>
    <t>FG01820</t>
  </si>
  <si>
    <t>LONART 24 CES</t>
  </si>
  <si>
    <t>FG01821</t>
  </si>
  <si>
    <t>LONART DISPERSIBLE B/6CES</t>
  </si>
  <si>
    <t>FG01822</t>
  </si>
  <si>
    <t>LONART DS 6 CES</t>
  </si>
  <si>
    <t>FG01823</t>
  </si>
  <si>
    <t>LONART FORTE 12 CES</t>
  </si>
  <si>
    <t>FG01824</t>
  </si>
  <si>
    <t>LONART SIROP 60 ML</t>
  </si>
  <si>
    <t>FG01826</t>
  </si>
  <si>
    <t>LOPINAVIR RITONAVIR 200/50MG B/120 CES</t>
  </si>
  <si>
    <t>FG01827</t>
  </si>
  <si>
    <t>LOPRADE BOITE DE 25PL</t>
  </si>
  <si>
    <t>FG01828</t>
  </si>
  <si>
    <t>LORA-C (VITAMINE C) 100ML SIROP</t>
  </si>
  <si>
    <t>FG01830</t>
  </si>
  <si>
    <t>LORATOL 10MG 10CES (FR)</t>
  </si>
  <si>
    <t>FG01831</t>
  </si>
  <si>
    <t>LORATOL 5MG/5ML SUSP 100ML (FR)</t>
  </si>
  <si>
    <t>FG01835</t>
  </si>
  <si>
    <t>LOTREX 1% 5ML COLLYRE</t>
  </si>
  <si>
    <t>FG01836</t>
  </si>
  <si>
    <t>LOVENOX 4000UI ANTI XA 2 SERINGUES (FR)</t>
  </si>
  <si>
    <t>FG01837</t>
  </si>
  <si>
    <t>LOVENOX 6000UI/0ML 6 SER BT2 (EO)^^^</t>
  </si>
  <si>
    <t>FG01838</t>
  </si>
  <si>
    <t>LOVENOX 8000UI/0.8ML B/2SERINGE(FR)</t>
  </si>
  <si>
    <t>FG01839</t>
  </si>
  <si>
    <t>LOXEN 20MG B/30CES (EO)</t>
  </si>
  <si>
    <t>FG01840</t>
  </si>
  <si>
    <t>LOXEN LP 50MG B/60GELLULE (FR)</t>
  </si>
  <si>
    <t>FG01841</t>
  </si>
  <si>
    <t>LUCAL 15MG/5ML (LEUCOVORIN CALCIUM) INJ. B/1AMP</t>
  </si>
  <si>
    <t>FG01842</t>
  </si>
  <si>
    <t>LUFAMET DS 6 CES</t>
  </si>
  <si>
    <t>FG01843</t>
  </si>
  <si>
    <t>LUFAMET FORTE 12CES</t>
  </si>
  <si>
    <t>FG01844</t>
  </si>
  <si>
    <t>LUFAMET SUSP ORAL 60ML</t>
  </si>
  <si>
    <t>FG01845</t>
  </si>
  <si>
    <t>LUMART ADULT (ARTEMETHER+LUMEFANTRINE ) B/6CES</t>
  </si>
  <si>
    <t>FG01846</t>
  </si>
  <si>
    <t>LUMART ENF (ARTEMETHER+LUMEFANTRINE ) B/12CES</t>
  </si>
  <si>
    <t>FG01847</t>
  </si>
  <si>
    <t>LUMATE FORT B/12</t>
  </si>
  <si>
    <t>FG01848</t>
  </si>
  <si>
    <t>LUMATE PLUS 80MG/480MG CP B/6</t>
  </si>
  <si>
    <t>FG01849</t>
  </si>
  <si>
    <t>LUMEART 20/120MG B/12 CES</t>
  </si>
  <si>
    <t>FG01850</t>
  </si>
  <si>
    <t>LUMEART 40/240 (ARTEME+LUMEFA) B/12CES</t>
  </si>
  <si>
    <t>FG01851</t>
  </si>
  <si>
    <t>LUMEART 80/480 ADULTE (ARTE+LUMEFA) B/6CES</t>
  </si>
  <si>
    <t>FG01852</t>
  </si>
  <si>
    <t>LUMEART ORAL SOLUTION</t>
  </si>
  <si>
    <t>FG01853</t>
  </si>
  <si>
    <t>LUNETTE DE PROTECTION MEDICALE</t>
  </si>
  <si>
    <t>FG01854</t>
  </si>
  <si>
    <t>LUNETTES A OXYGÈNE COURBES AVEC TUBULURE (ADULT)</t>
  </si>
  <si>
    <t>FG01855</t>
  </si>
  <si>
    <t>LUNETTES A OXYGÈNE COURBES AVEC TUBULURE (ENFANT)</t>
  </si>
  <si>
    <t>FG01856</t>
  </si>
  <si>
    <t>LUNETTES DE PROTECTION MATERNITE</t>
  </si>
  <si>
    <t>FG01857</t>
  </si>
  <si>
    <t>LUTENYL 5MG B/10CES (FR)</t>
  </si>
  <si>
    <t>FG01862</t>
  </si>
  <si>
    <t>LUTHER DP (ARTE.+LUME.) B/6 CES SIMPLE</t>
  </si>
  <si>
    <t>FG01863</t>
  </si>
  <si>
    <t>LUTHER DP DISPERSIBLE B/ 6 CES</t>
  </si>
  <si>
    <t>FG01865</t>
  </si>
  <si>
    <t>LUTHER FORTE DISPERSIBLE B/ 12 CES</t>
  </si>
  <si>
    <t>FG01866</t>
  </si>
  <si>
    <t>LUTHER JUNIOR (ARTEME.+LUMEFA.) B/6 CES SIMPLE</t>
  </si>
  <si>
    <t>FG01868</t>
  </si>
  <si>
    <t>LYATER AD (ARTEMETHER+LUMEFANTRINE) B/6 CES</t>
  </si>
  <si>
    <t>FG01870</t>
  </si>
  <si>
    <t>LYBEN (ALBENDAZOLE 400MG) B/3 CES</t>
  </si>
  <si>
    <t>FG01874</t>
  </si>
  <si>
    <t>LYNEVIT CAPSULE B/20 CES</t>
  </si>
  <si>
    <t>FG01875</t>
  </si>
  <si>
    <t>LYNEVIT SUSPENSION 200ML</t>
  </si>
  <si>
    <t>FG01876</t>
  </si>
  <si>
    <t>LYNEVIT SYRUP 100ML</t>
  </si>
  <si>
    <t>FG01877</t>
  </si>
  <si>
    <t>LYRICA 25MG B/56 GELULES (FR)</t>
  </si>
  <si>
    <t>FG01878</t>
  </si>
  <si>
    <t>LYRICA 50MG 84 CES(FR)</t>
  </si>
  <si>
    <t>FG01879</t>
  </si>
  <si>
    <t>LYTAMOL (PARACETAMOL 10MG/ML) INJ</t>
  </si>
  <si>
    <t>FG01880</t>
  </si>
  <si>
    <t>LYZIT(AZITHROMYCINE 500MG) B/3 CES</t>
  </si>
  <si>
    <t>FG01881</t>
  </si>
  <si>
    <t>M-2(ARTE.+LUME.) SUSP ORAL 60ML</t>
  </si>
  <si>
    <t>FG01882</t>
  </si>
  <si>
    <t>M-ARRET (ARTESUNATE 120MG) B/1AMP</t>
  </si>
  <si>
    <t>FG01883</t>
  </si>
  <si>
    <t>M-ARRET (ARTESUNATE 30MG) B/1AMP</t>
  </si>
  <si>
    <t>FG01884</t>
  </si>
  <si>
    <t>M-ARRET (ARTESUNATE 60MG) B/1AMP</t>
  </si>
  <si>
    <t>FG01885</t>
  </si>
  <si>
    <t>MA YINGLONG CREAME 10GR</t>
  </si>
  <si>
    <t>FG01886</t>
  </si>
  <si>
    <t>MAALOX SUSP. 2 SACHETS</t>
  </si>
  <si>
    <t>FG01887</t>
  </si>
  <si>
    <t>MAALOX *****B/20 SACHET</t>
  </si>
  <si>
    <t>FG01888</t>
  </si>
  <si>
    <t>MAALOX CES B/40 (FR)</t>
  </si>
  <si>
    <t>FG01889</t>
  </si>
  <si>
    <t>MAALOX SUSP BUV 250ML</t>
  </si>
  <si>
    <t>FG01890</t>
  </si>
  <si>
    <t>MACROLYN 500MG B/3 CES</t>
  </si>
  <si>
    <t>FG01891</t>
  </si>
  <si>
    <t>MACROMAX 500MG B/3 TAB</t>
  </si>
  <si>
    <t>FG01892</t>
  </si>
  <si>
    <t>MADECASSOL 1% POMMADE CREME TUBE $$$$ 10FR ###</t>
  </si>
  <si>
    <t>FG01893</t>
  </si>
  <si>
    <t>MAG 2 B/12AMP INJECTABLA</t>
  </si>
  <si>
    <t>FG01894</t>
  </si>
  <si>
    <t>MAG 2 PL/10AMP^^^ BUV.^^^^</t>
  </si>
  <si>
    <t>FG01895</t>
  </si>
  <si>
    <t>MAGASCON SIROP 200ML</t>
  </si>
  <si>
    <t>FG01896</t>
  </si>
  <si>
    <t>MAGASCON SACHET 15ML 1PCS</t>
  </si>
  <si>
    <t>FG01897</t>
  </si>
  <si>
    <t>MAGEN (GENTAMICIN)COOLYRE</t>
  </si>
  <si>
    <t>FG01898</t>
  </si>
  <si>
    <t>MAGNAVIT B/30CAP</t>
  </si>
  <si>
    <t>FG01899</t>
  </si>
  <si>
    <t>MAGNAVIT TONIC 200ML</t>
  </si>
  <si>
    <t>FG01901</t>
  </si>
  <si>
    <t>MAGNES 1GM/10ML (MAGNESIUM) INJ. B/5 AMP</t>
  </si>
  <si>
    <t>FG01902</t>
  </si>
  <si>
    <t>MAGNES DIRECT DENK B/30 STICKS (FR)</t>
  </si>
  <si>
    <t>FG01903</t>
  </si>
  <si>
    <t>MAKE UP KIT</t>
  </si>
  <si>
    <t>FG01904</t>
  </si>
  <si>
    <t>MALACOM - A B/3 CES</t>
  </si>
  <si>
    <t>FG01905</t>
  </si>
  <si>
    <t>MALACOM - E B/3CES</t>
  </si>
  <si>
    <t>FG01906</t>
  </si>
  <si>
    <t>MALADOX POCH/3CES</t>
  </si>
  <si>
    <t>FG01907</t>
  </si>
  <si>
    <t>MALAFAN B/3CES PL</t>
  </si>
  <si>
    <t>FG01908</t>
  </si>
  <si>
    <t>MALAFAN SUSP 30ML</t>
  </si>
  <si>
    <t>FG01909</t>
  </si>
  <si>
    <t>MALARKIT (ARTEETHER) 225MG B/3AMP</t>
  </si>
  <si>
    <t>FG01910</t>
  </si>
  <si>
    <t>MALARKIT (ARTEETHER) 75MG B/3AMP</t>
  </si>
  <si>
    <t>FG01911</t>
  </si>
  <si>
    <t>MALARKIT (ARTEETHER) 150MG B/3AMP</t>
  </si>
  <si>
    <t>FG01912</t>
  </si>
  <si>
    <t>MALAXIN P SUSP 60ML</t>
  </si>
  <si>
    <t>FG01913</t>
  </si>
  <si>
    <t>MALAXIN PLUS B/6CAPS</t>
  </si>
  <si>
    <t>FG01914</t>
  </si>
  <si>
    <t>MALDON (OPTALIDON) 1X10CES</t>
  </si>
  <si>
    <t>FG01915</t>
  </si>
  <si>
    <t>MALDON (OPTALIDON) 55 X 2</t>
  </si>
  <si>
    <t>FG01916</t>
  </si>
  <si>
    <t>MAN ACTIVE DENK B/60CES (FR)</t>
  </si>
  <si>
    <t>FG01917</t>
  </si>
  <si>
    <t>MANACOVID ANTIVIRAL 100ML</t>
  </si>
  <si>
    <t>FG01918</t>
  </si>
  <si>
    <t>MANADIAR B/10CES</t>
  </si>
  <si>
    <t>FG01919</t>
  </si>
  <si>
    <t>MANADIAR SP 60ML</t>
  </si>
  <si>
    <t>FG01920</t>
  </si>
  <si>
    <t>MANALARIA B/18CES</t>
  </si>
  <si>
    <t>FG01921</t>
  </si>
  <si>
    <t>MANALARIA SP 60ML</t>
  </si>
  <si>
    <t>FG01922</t>
  </si>
  <si>
    <t>MANDELA MOBILE</t>
  </si>
  <si>
    <t>FG01923</t>
  </si>
  <si>
    <t>MARCAINE 20ML IV INJ 0.5% 100MG</t>
  </si>
  <si>
    <t>FG01924</t>
  </si>
  <si>
    <t>MARCHEUR AVEC ROUES PLIANT 1 PCS (FS9125L)</t>
  </si>
  <si>
    <t>FG01925</t>
  </si>
  <si>
    <t>MARCHEUR AVEC SIEGE 1 PCS (FS961L)</t>
  </si>
  <si>
    <t>FG01926</t>
  </si>
  <si>
    <t>MARCHEUR ROLIATOR 2 ROUES PCS (FS914L)</t>
  </si>
  <si>
    <t>FG01927</t>
  </si>
  <si>
    <t>MARCHEUR SIMPLE 4 PIEDS PLIANT 1 PCS (FS963L)</t>
  </si>
  <si>
    <t>FG01928</t>
  </si>
  <si>
    <t>MASQUE A OXYGENE ( TUBE : F5MM 2.1M ) 1 PCS</t>
  </si>
  <si>
    <t>FG01929</t>
  </si>
  <si>
    <t>MASQUE A OXYGENE AVEC NEBULISEUR ADULTE 1 PCS</t>
  </si>
  <si>
    <t>FG01930</t>
  </si>
  <si>
    <t>MASQUE A OXYGENE AVEC NEBULISEUR ENFANT 1 PCS</t>
  </si>
  <si>
    <t>FG01931</t>
  </si>
  <si>
    <t>MASQUE USAGE UNIQUE 100 PIECES</t>
  </si>
  <si>
    <t>FG01932</t>
  </si>
  <si>
    <t>MASQUE USAGE UNIQUE 50 PIECES</t>
  </si>
  <si>
    <t>FG01933</t>
  </si>
  <si>
    <t>MASQUES KN95/FFP2 1 PCS</t>
  </si>
  <si>
    <t>FG01934</t>
  </si>
  <si>
    <t>MATEJA CREME</t>
  </si>
  <si>
    <t>FG01935</t>
  </si>
  <si>
    <t>MATEJA SAVON HERBAL</t>
  </si>
  <si>
    <t>FG01936</t>
  </si>
  <si>
    <t>MATELAS (M)</t>
  </si>
  <si>
    <t>FG01937</t>
  </si>
  <si>
    <t>MAXICRON CY 2% FL/5ML</t>
  </si>
  <si>
    <t>FG01938</t>
  </si>
  <si>
    <t>MAXIDROL COLLYRE 3ML (FR)</t>
  </si>
  <si>
    <t>FG01939</t>
  </si>
  <si>
    <t>MAXIDROL PDE OPHT 3.5GR (EO)</t>
  </si>
  <si>
    <t>FG01940</t>
  </si>
  <si>
    <t>MAXILASE SIROP 125ML (FR)</t>
  </si>
  <si>
    <t>FG01941</t>
  </si>
  <si>
    <t>MAXSPRIN (ASPIRINE BP 162MG) B/30 CES</t>
  </si>
  <si>
    <t>FG01942</t>
  </si>
  <si>
    <t>MAXSPRIN (ASPIRINE BP 81 MG) B/30 CES</t>
  </si>
  <si>
    <t>FG01943</t>
  </si>
  <si>
    <t>MAY GRUNWALD 1LTR LIQUIDE</t>
  </si>
  <si>
    <t>FG01944</t>
  </si>
  <si>
    <t>MAYAMISO (POVIDONE) COLLYRE</t>
  </si>
  <si>
    <t>FG01945</t>
  </si>
  <si>
    <t>MEBAMEX (MEBENDAZOL) B/25PL</t>
  </si>
  <si>
    <t>FG01946</t>
  </si>
  <si>
    <t>MEBAMEX SP 30ML</t>
  </si>
  <si>
    <t>FG01947</t>
  </si>
  <si>
    <t>MEBENDAZOLE 100MG CES 25 PL</t>
  </si>
  <si>
    <t>FG01948</t>
  </si>
  <si>
    <t>MEBENDAZOLE SP 30ML</t>
  </si>
  <si>
    <t>FG01949</t>
  </si>
  <si>
    <t>MEBOX (MEBENDAZOLE) POCH/6CES</t>
  </si>
  <si>
    <t>FG01950</t>
  </si>
  <si>
    <t>MEBOX SP 30ML</t>
  </si>
  <si>
    <t>FG01951</t>
  </si>
  <si>
    <t>MECANIQUE ECHELLE DE PESEE PCS/1</t>
  </si>
  <si>
    <t>FG01952</t>
  </si>
  <si>
    <t>MECONERY FORT (MECOBALAMIN) B/30CES</t>
  </si>
  <si>
    <t>FG01953</t>
  </si>
  <si>
    <t>MEDICAL REGULATOR</t>
  </si>
  <si>
    <t>FG01954</t>
  </si>
  <si>
    <t>MEDICEF (CEFTRIAXONE) 1500MG B/1AMP</t>
  </si>
  <si>
    <t>FG01955</t>
  </si>
  <si>
    <t>MEDICEF (CEFTRIAXONE) I.M/ I.V 1GM B/1AMP</t>
  </si>
  <si>
    <t>FG01956</t>
  </si>
  <si>
    <t>MEDIK-55 (PARA+CAFF.) BT/24CES</t>
  </si>
  <si>
    <t>FG01957</t>
  </si>
  <si>
    <t>MEDITHER 150MG B/1AMP</t>
  </si>
  <si>
    <t>FG01958</t>
  </si>
  <si>
    <t>MEDITHER 225MG B/1AMP</t>
  </si>
  <si>
    <t>FG01959</t>
  </si>
  <si>
    <t>MEDITHER 75MG B/1AMP</t>
  </si>
  <si>
    <t>FG01960</t>
  </si>
  <si>
    <t>MEDITHER-L B/6CES</t>
  </si>
  <si>
    <t>FG01961</t>
  </si>
  <si>
    <t>MEDITHER-L SP 60ML</t>
  </si>
  <si>
    <t>FG01962</t>
  </si>
  <si>
    <t>MEDLYTE LIQUID ORS TETRA PACK/200ML</t>
  </si>
  <si>
    <t>FG01963</t>
  </si>
  <si>
    <t>MEDROL 16MG 20CES (FR)</t>
  </si>
  <si>
    <t>FG01964</t>
  </si>
  <si>
    <t>MEFANTHER DS B/6CES</t>
  </si>
  <si>
    <t>FG01965</t>
  </si>
  <si>
    <t>MEFANTHER DS DISPERSIBLE B/6 CES</t>
  </si>
  <si>
    <t>FG01966</t>
  </si>
  <si>
    <t>MEFANTHER FORTE DISPERSIBLE B/12CES</t>
  </si>
  <si>
    <t>FG01967</t>
  </si>
  <si>
    <t>MEFANTHER FORTE B/12CES</t>
  </si>
  <si>
    <t>FG01968</t>
  </si>
  <si>
    <t>MEFANTHER JUNIOR DISPERSIBLE B/6CES</t>
  </si>
  <si>
    <t>FG01969</t>
  </si>
  <si>
    <t>MEFANTHER SIROP 60ML</t>
  </si>
  <si>
    <t>FG01970</t>
  </si>
  <si>
    <t>MEFTAL FORTE B/2PL X 10CES</t>
  </si>
  <si>
    <t>FG01971</t>
  </si>
  <si>
    <t>MEFTAL PEDIATRIC SP 60ML</t>
  </si>
  <si>
    <t>FG01972</t>
  </si>
  <si>
    <t>MEFTAL SPAS (DICYCLOMINE) B/5AMP</t>
  </si>
  <si>
    <t>FG01973</t>
  </si>
  <si>
    <t>MEFTAL SPAS B/10CES PL</t>
  </si>
  <si>
    <t>FG01974</t>
  </si>
  <si>
    <t>MEFTAL SPAS GOUTTE</t>
  </si>
  <si>
    <t>FG01975</t>
  </si>
  <si>
    <t>MEFTAL-500 B/2PL X 10CES</t>
  </si>
  <si>
    <t>FG01976</t>
  </si>
  <si>
    <t>MEFTAL-FORTE CREME 50GR</t>
  </si>
  <si>
    <t>FG01977</t>
  </si>
  <si>
    <t>MEFTAL-PEDIAT. B/1X10CES</t>
  </si>
  <si>
    <t>FG01978</t>
  </si>
  <si>
    <t>MEGATONE-Z 200ML SP</t>
  </si>
  <si>
    <t>FG01979</t>
  </si>
  <si>
    <t>MEGAVIT-18 B/30 CES</t>
  </si>
  <si>
    <t>FG01980</t>
  </si>
  <si>
    <t>MELADININE 30CES (FR)</t>
  </si>
  <si>
    <t>FG01981</t>
  </si>
  <si>
    <t>MELADININE FAIBLE SOLUTION 24 ML</t>
  </si>
  <si>
    <t>FG01983</t>
  </si>
  <si>
    <t>MENORCINE B/10CES</t>
  </si>
  <si>
    <t>FG01984</t>
  </si>
  <si>
    <t>MENORCINE FORT B/10CES</t>
  </si>
  <si>
    <t>FG01985</t>
  </si>
  <si>
    <t>MENORCINE SP #### 60ML#####</t>
  </si>
  <si>
    <t>FG01986</t>
  </si>
  <si>
    <t>MENORCINE SP 30ML</t>
  </si>
  <si>
    <t>FG01987</t>
  </si>
  <si>
    <t>MENTHRIL SOLUTION 100ML</t>
  </si>
  <si>
    <t>FG01988</t>
  </si>
  <si>
    <t>MEPROBAMATE 400MG 10CES</t>
  </si>
  <si>
    <t>FG01989</t>
  </si>
  <si>
    <t>MERCUROCROME 60ML SOL.</t>
  </si>
  <si>
    <t>FG01990</t>
  </si>
  <si>
    <t>MERONIA 1000MG @@@@ 30ML @@@ (FR)</t>
  </si>
  <si>
    <t>FG01991</t>
  </si>
  <si>
    <t>MERONIA 500 MG 20ML IV B/1 (FR)</t>
  </si>
  <si>
    <t>FG01994</t>
  </si>
  <si>
    <t>MESTINON 150DRG 60MG (FR)</t>
  </si>
  <si>
    <t>FG01995</t>
  </si>
  <si>
    <t>MESTINON 20CES 60MG (FR)</t>
  </si>
  <si>
    <t>FG01996</t>
  </si>
  <si>
    <t>MESUPAIN B/ 10 X 10 CES</t>
  </si>
  <si>
    <t>FG01997</t>
  </si>
  <si>
    <t>MESURE VOLUME SET 150ML AVEC BURETTE 1 PCS</t>
  </si>
  <si>
    <t>FG01998</t>
  </si>
  <si>
    <t>METAZOL B/10CESX25PL</t>
  </si>
  <si>
    <t>FG01999</t>
  </si>
  <si>
    <t>METAZOL INJ. 100ML (SAN TROUSSE)</t>
  </si>
  <si>
    <t>FG02000</t>
  </si>
  <si>
    <t>METAZOL SIROP 120ML</t>
  </si>
  <si>
    <t>FG02001</t>
  </si>
  <si>
    <t>METFLOX (METRO+NORFLO) B/10CES</t>
  </si>
  <si>
    <t>FG02002</t>
  </si>
  <si>
    <t>METFLOX (METRO+NORFLO) SUSPENSION 30ML</t>
  </si>
  <si>
    <t>FG02003</t>
  </si>
  <si>
    <t>METFORMIN DENK 500MG B/(10)CES</t>
  </si>
  <si>
    <t>FG02004</t>
  </si>
  <si>
    <t>METFORMIN DENK 500MG B/30CES</t>
  </si>
  <si>
    <t>FG02005</t>
  </si>
  <si>
    <t>METFORMIN DENK 850MG B/30CES</t>
  </si>
  <si>
    <t>FG02006</t>
  </si>
  <si>
    <t>METFORMIN DENK 850MG PLS 15 CES</t>
  </si>
  <si>
    <t>FG02007</t>
  </si>
  <si>
    <t>METHABISULFITE DE SODIUM</t>
  </si>
  <si>
    <t>FG02009</t>
  </si>
  <si>
    <t>METHERGINE 125MG PLS DE 50CES (5X10CES)</t>
  </si>
  <si>
    <t>FG02010</t>
  </si>
  <si>
    <t>METHERGINE AMP INJ 1ML B/3 (EO)</t>
  </si>
  <si>
    <t>FG02011</t>
  </si>
  <si>
    <t>METHERINE 0.25MG/ML GOUTTE 10ML GENERI.</t>
  </si>
  <si>
    <t>FG02012</t>
  </si>
  <si>
    <t>METHOCEL 1000MG (METHOTREXATE) INJ. B/1 VIAL</t>
  </si>
  <si>
    <t>FG02013</t>
  </si>
  <si>
    <t>METHOCEL 15MG (METHOTREXATE) INJ. B/1AMP</t>
  </si>
  <si>
    <t>FG02014</t>
  </si>
  <si>
    <t>METHOCEL 2.5MG (METHOTREXATE) PLS DE 10 CES</t>
  </si>
  <si>
    <t>FG02015</t>
  </si>
  <si>
    <t>METHOCEL 500MG (METHOTREXATE) INJ. B/1 VIAL</t>
  </si>
  <si>
    <t>FG02016</t>
  </si>
  <si>
    <t>METHOCEL 50MG (METHOTREXATE) INJ B/1AMP</t>
  </si>
  <si>
    <t>FG02017</t>
  </si>
  <si>
    <t>METHYL CELLULOSE 2% COLLYRE 10ML</t>
  </si>
  <si>
    <t>FG02018</t>
  </si>
  <si>
    <t>METNOR (METRO+NORFLOXACIN) 30ML SP</t>
  </si>
  <si>
    <t>FG02019</t>
  </si>
  <si>
    <t>METNOR 200 MG B/10 CES</t>
  </si>
  <si>
    <t>FG02020</t>
  </si>
  <si>
    <t>METNOR 400MG B/10CES</t>
  </si>
  <si>
    <t>FG02021</t>
  </si>
  <si>
    <t>METROKIM 250MG 10CES</t>
  </si>
  <si>
    <t>FG02022</t>
  </si>
  <si>
    <t>METROKIM 500MG B/10CAP</t>
  </si>
  <si>
    <t>FG02023</t>
  </si>
  <si>
    <t>METRONIDAZOLE 100 ML SIROP (PHATKIN)</t>
  </si>
  <si>
    <t>FG02024</t>
  </si>
  <si>
    <t>METRONIDAZOLE INJ. 100ML (LOCAL)</t>
  </si>
  <si>
    <t>FG02025</t>
  </si>
  <si>
    <t>METRONIDAZOLE SP 100ML</t>
  </si>
  <si>
    <t>FG02026</t>
  </si>
  <si>
    <t>MEYAMYCINE 200MG 20CES</t>
  </si>
  <si>
    <t>FG02027</t>
  </si>
  <si>
    <t>MEYAMYCINE SP 60ML</t>
  </si>
  <si>
    <t>FG02028</t>
  </si>
  <si>
    <t>MFORT 500MG B/30CES</t>
  </si>
  <si>
    <t>FG02029</t>
  </si>
  <si>
    <t>MFORT 850MG B/30CES</t>
  </si>
  <si>
    <t>FG02030</t>
  </si>
  <si>
    <t>MICROCUVETTES HEMOCUE B/100</t>
  </si>
  <si>
    <t>FG02031</t>
  </si>
  <si>
    <t>MICROGYNON 30 PLS 21CES (FR)</t>
  </si>
  <si>
    <t>FG02032</t>
  </si>
  <si>
    <t>MICROGYNON 50 PLS DE 21CES (FR)</t>
  </si>
  <si>
    <t>FG02033</t>
  </si>
  <si>
    <t>MICROLAX 5ML AD B/(12)SUPPO</t>
  </si>
  <si>
    <t>FG02034</t>
  </si>
  <si>
    <t>MICROLAX AD B/4 TUBE (FR)</t>
  </si>
  <si>
    <t>FG02035</t>
  </si>
  <si>
    <t>MICROLAX BB B/4 TUBES (FR)</t>
  </si>
  <si>
    <t>FG02036</t>
  </si>
  <si>
    <t>MICROPAQUE SUSPENSION ORALE 150ML</t>
  </si>
  <si>
    <t>FG02037</t>
  </si>
  <si>
    <t>MICROPIME 1G (CEFEPIME USP) I.M I.V B/ AMP</t>
  </si>
  <si>
    <t>FG02038</t>
  </si>
  <si>
    <t>MICROPORE 2.5CM 1PCS</t>
  </si>
  <si>
    <t>FG02039</t>
  </si>
  <si>
    <t>MICROSCOP 1PCS</t>
  </si>
  <si>
    <t>FG02040</t>
  </si>
  <si>
    <t>MICROSCOP BIG</t>
  </si>
  <si>
    <t>FG02041</t>
  </si>
  <si>
    <t>MICROWAVE OVENS</t>
  </si>
  <si>
    <t>FG02042</t>
  </si>
  <si>
    <t>MIDARONE 50MG/ML (AMIODARONE) 3ML INJ. B/1AMP</t>
  </si>
  <si>
    <t>FG02043</t>
  </si>
  <si>
    <t>MIDAZOLAM INJECTION BP 1MG/ML B/1 AMP (SEDOZ)</t>
  </si>
  <si>
    <t>FG02044</t>
  </si>
  <si>
    <t>MIFEPACK B/5 CES</t>
  </si>
  <si>
    <t>FG02045</t>
  </si>
  <si>
    <t>MINII FOOR</t>
  </si>
  <si>
    <t>FG02046</t>
  </si>
  <si>
    <t>MINUTERIE</t>
  </si>
  <si>
    <t>FG02047</t>
  </si>
  <si>
    <t>MIOREL 4MG B/12GEL</t>
  </si>
  <si>
    <t>FG02048</t>
  </si>
  <si>
    <t>MIPOTEC (MISOPROSTOL) 200MG B/4CES</t>
  </si>
  <si>
    <t>FG02049</t>
  </si>
  <si>
    <t>MIRONVIT (FER+VITA+ZINC) SIROP150ML</t>
  </si>
  <si>
    <t>FG02050</t>
  </si>
  <si>
    <t>MISO (MISOPROSTOL) 200MG B/4CES</t>
  </si>
  <si>
    <t>FG02051</t>
  </si>
  <si>
    <t>MISPRO (MISOPROSTOL) 200MG B/4CES</t>
  </si>
  <si>
    <t>FG02052</t>
  </si>
  <si>
    <t>MISTROVIX B/4 CES</t>
  </si>
  <si>
    <t>FG02053</t>
  </si>
  <si>
    <t>MIXACOL SUSPENSION 100ML</t>
  </si>
  <si>
    <t>FG02054</t>
  </si>
  <si>
    <t>MOBIC 15MG 30CES</t>
  </si>
  <si>
    <t>FG02055</t>
  </si>
  <si>
    <t>MOBILE EPERIA</t>
  </si>
  <si>
    <t>FG02056</t>
  </si>
  <si>
    <t>MODIC FORTE 100MG B/20CES</t>
  </si>
  <si>
    <t>FG02057</t>
  </si>
  <si>
    <t>MODU -N 40MG NORR. SIROP 100ML FL</t>
  </si>
  <si>
    <t>FG02058</t>
  </si>
  <si>
    <t>MODU CAP B/8</t>
  </si>
  <si>
    <t>FG02059</t>
  </si>
  <si>
    <t>MODU-E 100MG ENFANT SIROP 100ML FL</t>
  </si>
  <si>
    <t>FG02060</t>
  </si>
  <si>
    <t>MOMEX SPRAY 50MG 140 DOSES (FR)</t>
  </si>
  <si>
    <t>FG02061</t>
  </si>
  <si>
    <t>MON PLAIISIR B/1 CHEWABLE CES</t>
  </si>
  <si>
    <t>FG02062</t>
  </si>
  <si>
    <t>MONA (LATANOPROST) 0.005% COLLYRE</t>
  </si>
  <si>
    <t>FG02063</t>
  </si>
  <si>
    <t>MONEY COUNTING MACHINE</t>
  </si>
  <si>
    <t>FG02064</t>
  </si>
  <si>
    <t>MONTIGET 10MG B/2*7 CES</t>
  </si>
  <si>
    <t>FG02065</t>
  </si>
  <si>
    <t>MONTIGET 4MG B2X7 CES</t>
  </si>
  <si>
    <t>FG02066</t>
  </si>
  <si>
    <t>MONTIGET 5MG B2X7 CES</t>
  </si>
  <si>
    <t>FG02067</t>
  </si>
  <si>
    <t>MORPHINE 10MG/1ML--1AMP(FR)</t>
  </si>
  <si>
    <t>FG02068</t>
  </si>
  <si>
    <t>MORPHINE SULPHATE 10MG B/10AMP</t>
  </si>
  <si>
    <t>FG02069</t>
  </si>
  <si>
    <t>MORPHIQUE (MORPHINE) 10MG/ML B/ 1 AMPS</t>
  </si>
  <si>
    <t>FG02070</t>
  </si>
  <si>
    <t>MOTILIUM 10MG CES B/30(EO)</t>
  </si>
  <si>
    <t>FG02071</t>
  </si>
  <si>
    <t>MOTILIUM SUSP BUV 200ML (FR)</t>
  </si>
  <si>
    <t>FG02072</t>
  </si>
  <si>
    <t>MOUSTIDOSE PLUS LOTTON FLACO 125ML (FR)</t>
  </si>
  <si>
    <t>FG02073</t>
  </si>
  <si>
    <t>MOVICOL SACHET B/20(FR)</t>
  </si>
  <si>
    <t>FG02074</t>
  </si>
  <si>
    <t>MOX CV 1.2MG B/1AMP</t>
  </si>
  <si>
    <t>FG02075</t>
  </si>
  <si>
    <t>MOX CV 625 MG B/16CES</t>
  </si>
  <si>
    <t>FG02076</t>
  </si>
  <si>
    <t>MOX CV DS 100ML</t>
  </si>
  <si>
    <t>FG02077</t>
  </si>
  <si>
    <t>MOXBACTAM 500/125MG DP B/10CES</t>
  </si>
  <si>
    <t>FG02078</t>
  </si>
  <si>
    <t>MOXIGET 400MG B/5 CES</t>
  </si>
  <si>
    <t>FG02079</t>
  </si>
  <si>
    <t>MOXONE 5ML COLLYRE</t>
  </si>
  <si>
    <t>FG02080</t>
  </si>
  <si>
    <t>MOXYCLA DUO 457MG 70ML SIROP</t>
  </si>
  <si>
    <t>FG02081</t>
  </si>
  <si>
    <t>MOXYCLAV 1.2G B/1AMP</t>
  </si>
  <si>
    <t>FG02082</t>
  </si>
  <si>
    <t>MOXYCLAV DUO 1000MG 10CES</t>
  </si>
  <si>
    <t>FG02083</t>
  </si>
  <si>
    <t>MOXYCLAV DUO 562.5MG B/16CES</t>
  </si>
  <si>
    <t>FG02084</t>
  </si>
  <si>
    <t>MOXYCLAV INJ 600MG 1 VIAL</t>
  </si>
  <si>
    <t>FG02085</t>
  </si>
  <si>
    <t>MOYO HEMORRHOIDIAL SUPPO B/10</t>
  </si>
  <si>
    <t>FG02086</t>
  </si>
  <si>
    <t>MP CLOX 500MG 2X 10 CAPS</t>
  </si>
  <si>
    <t>FG02087</t>
  </si>
  <si>
    <t>MUCOCLER (AMBROXOL) B/10 CES</t>
  </si>
  <si>
    <t>FG02088</t>
  </si>
  <si>
    <t>MUCOCLER ADULT (AMBROXOL) SIROP FL/150ML</t>
  </si>
  <si>
    <t>FG02089</t>
  </si>
  <si>
    <t>MUCOCLER ENFANT (AMBROXOL) SIROP FL/150ML</t>
  </si>
  <si>
    <t>FG02090</t>
  </si>
  <si>
    <t>MUCOMYST 18 SACHETS 200MG (FR)</t>
  </si>
  <si>
    <t>FG02091</t>
  </si>
  <si>
    <t>MUCOPRIN (ANTITUSSIF) EXP ADULT 100ML</t>
  </si>
  <si>
    <t>FG02092</t>
  </si>
  <si>
    <t>MUCOPRIN (ANTITUSSIF) EXP PED 100ML</t>
  </si>
  <si>
    <t>FG02093</t>
  </si>
  <si>
    <t>MUCORIL (ANTI TOUSSIF) EXP 100 ML SP</t>
  </si>
  <si>
    <t>FG02094</t>
  </si>
  <si>
    <t>MULTIMEX SP 100ML</t>
  </si>
  <si>
    <t>FG02095</t>
  </si>
  <si>
    <t>MULTIVIT SIROP ( LOCAL)</t>
  </si>
  <si>
    <t>FG02096</t>
  </si>
  <si>
    <t>MULTIVIT SP 100ML(PHATKIN)</t>
  </si>
  <si>
    <t>FG02097</t>
  </si>
  <si>
    <t>MULTIVITAMIN B/10X10CES</t>
  </si>
  <si>
    <t>FG02098</t>
  </si>
  <si>
    <t>MULTIVITAMINE GOUTTE 15ML</t>
  </si>
  <si>
    <t>FG02099</t>
  </si>
  <si>
    <t>MUSCLE PLUS B/10X10CES</t>
  </si>
  <si>
    <t>FG02100</t>
  </si>
  <si>
    <t>MUSCLE PLUS B/5 AMP</t>
  </si>
  <si>
    <t>FG02101</t>
  </si>
  <si>
    <t>CREME MUSCLE PLUS 25 MG</t>
  </si>
  <si>
    <t>FG02102</t>
  </si>
  <si>
    <t>MUSCUREL 8 MG 10 CAP(FR)</t>
  </si>
  <si>
    <t>FG02103</t>
  </si>
  <si>
    <t>MUSIC SYSTEM</t>
  </si>
  <si>
    <t>FG02104</t>
  </si>
  <si>
    <t>MUST. M BAUME HYDRA APAISANT 200ML PS</t>
  </si>
  <si>
    <t>FG02105</t>
  </si>
  <si>
    <t>MUST. PA STELATOPIA GEL LAVANT 200ML</t>
  </si>
  <si>
    <t>FG02106</t>
  </si>
  <si>
    <t>MUST. SHAMP BB FL/200ML</t>
  </si>
  <si>
    <t>FG02107</t>
  </si>
  <si>
    <t>MUST.HUILE MASSAGE SPARAY FL/100ML</t>
  </si>
  <si>
    <t>FG02108</t>
  </si>
  <si>
    <t>MUST.LAIT CORPS HYDRA BB FL/300ML</t>
  </si>
  <si>
    <t>FG02109</t>
  </si>
  <si>
    <t>MUST.M.BAUME HYDRA APAISANT 200ML PS</t>
  </si>
  <si>
    <t>FG02110</t>
  </si>
  <si>
    <t>MY VITA (VITAMIN C PLUS ZINC) 20CES EFF</t>
  </si>
  <si>
    <t>FG02111</t>
  </si>
  <si>
    <t>MY VITA KIDS 20CES EFF.</t>
  </si>
  <si>
    <t>FG02112</t>
  </si>
  <si>
    <t>MY VITA MULTIVITAMINES 20CES EFF.</t>
  </si>
  <si>
    <t>FG02113</t>
  </si>
  <si>
    <t>MYCONAFINE 1% CREEME 15GR (TERBINAFINE)</t>
  </si>
  <si>
    <t>FG02114</t>
  </si>
  <si>
    <t>MYCOSTATINE SIROP FL/24ML</t>
  </si>
  <si>
    <t>FG02115</t>
  </si>
  <si>
    <t>MYCOSTER 1% CREME 30GR(FR)</t>
  </si>
  <si>
    <t>FG02116</t>
  </si>
  <si>
    <t>MYCOSTER 1% POUDRE 30GR (FR)</t>
  </si>
  <si>
    <t>FG02117</t>
  </si>
  <si>
    <t>MYCOSTER 1% SOLUTION 30ML (FR)</t>
  </si>
  <si>
    <t>FG02118</t>
  </si>
  <si>
    <t>MYCOSTER 8% SOLUTION FILMOGENE 3ML (FR)</t>
  </si>
  <si>
    <t>FG02119</t>
  </si>
  <si>
    <t>MYCOZEMA CREAM 30GR</t>
  </si>
  <si>
    <t>FG02120</t>
  </si>
  <si>
    <t>MYDRIATICUM COLLYRE (FR)</t>
  </si>
  <si>
    <t>FG02121</t>
  </si>
  <si>
    <t>MYDRIX 0.1% COLLYRE</t>
  </si>
  <si>
    <t>FG02122</t>
  </si>
  <si>
    <t>MYDRIX 0.5% COLLYRE</t>
  </si>
  <si>
    <t>FG02123</t>
  </si>
  <si>
    <t>NAAXIA COLLYRE 10ML (IMPORTE)</t>
  </si>
  <si>
    <t>FG02124</t>
  </si>
  <si>
    <t>NACL 1GR/10ML INJ B/1AMP (STEROP)</t>
  </si>
  <si>
    <t>FG02125</t>
  </si>
  <si>
    <t>NACL-VISION (CHLOR.DE SODIUM) POMMADE OPTA. 5G</t>
  </si>
  <si>
    <t>FG02126</t>
  </si>
  <si>
    <t>NACL-VISION 5% (CHLOR. DE SODIUM) COLLYRE 10ML</t>
  </si>
  <si>
    <t>FG02127</t>
  </si>
  <si>
    <t>NAFCLOR 10ML COLLYRE</t>
  </si>
  <si>
    <t>FG02128</t>
  </si>
  <si>
    <t>NAP-VISION 0.012% (NAPHAZILINE) COLLYRE 10ML</t>
  </si>
  <si>
    <t>FG02129</t>
  </si>
  <si>
    <t>NAPRIL 10MG B/30CES</t>
  </si>
  <si>
    <t>FG02130</t>
  </si>
  <si>
    <t>NAPRIL 5MG B/30CES</t>
  </si>
  <si>
    <t>FG02131</t>
  </si>
  <si>
    <t>NASCARON SP 30ML</t>
  </si>
  <si>
    <t>FG02132</t>
  </si>
  <si>
    <t>NASONEX 50 MCG SPRAY NAS. 40 DOSES (FR)</t>
  </si>
  <si>
    <t>FG02133</t>
  </si>
  <si>
    <t>NATRIXAM 1.5/10MG B/30CP (FR)</t>
  </si>
  <si>
    <t>FG02134</t>
  </si>
  <si>
    <t>NATRIXAM 1.5/5MG B/30CP (FR)</t>
  </si>
  <si>
    <t>FG02135</t>
  </si>
  <si>
    <t>NAXONE 0.02MG/ML (NALOXONE) INJ. B/1 AMP</t>
  </si>
  <si>
    <t>FG02137</t>
  </si>
  <si>
    <t>NEBILONG (NEBIVOLOL) 5MG B/30CES</t>
  </si>
  <si>
    <t>FG02138</t>
  </si>
  <si>
    <t>NEBIVOLOL BIOGARAN 5MG B/30 CES</t>
  </si>
  <si>
    <t>FG02141</t>
  </si>
  <si>
    <t>NEBULISATEUR</t>
  </si>
  <si>
    <t>FG02142</t>
  </si>
  <si>
    <t>NECLAZ - 80 (GLICLAZIDE BP 80 MG) B/30CES</t>
  </si>
  <si>
    <t>FG02143</t>
  </si>
  <si>
    <t>NECLAZ -M (GLICLAZIDE+METFORMINE) B/30CES</t>
  </si>
  <si>
    <t>FG02144</t>
  </si>
  <si>
    <t>NECLAZ-40 (GLICLAZIDE BP40MG) B/30CES</t>
  </si>
  <si>
    <t>FG02145</t>
  </si>
  <si>
    <t>NEKAPECTINE SP 100ML</t>
  </si>
  <si>
    <t>FG02146</t>
  </si>
  <si>
    <t>NELAXONE INJ B/1 AMP</t>
  </si>
  <si>
    <t>FG02147</t>
  </si>
  <si>
    <t>NEO CODION BEBE SIROP 125ML</t>
  </si>
  <si>
    <t>FG02148</t>
  </si>
  <si>
    <t>NEO CODION SIROP ADULTES 180ML</t>
  </si>
  <si>
    <t>FG02149</t>
  </si>
  <si>
    <t>NEOCEF 1G (CEFTRIAXONE) INJ</t>
  </si>
  <si>
    <t>FG02150</t>
  </si>
  <si>
    <t>NEOCINE CREME 15GR.</t>
  </si>
  <si>
    <t>FG02151</t>
  </si>
  <si>
    <t>NEODEXIN COLLYRE 5ML FL</t>
  </si>
  <si>
    <t>FG02152</t>
  </si>
  <si>
    <t>NEOGYNAX 12 CAPS VAGINAL</t>
  </si>
  <si>
    <t>FG02153</t>
  </si>
  <si>
    <t>NEOGYNAX 6 OVULES VAG.</t>
  </si>
  <si>
    <t>FG02154</t>
  </si>
  <si>
    <t>NEOPRED 5ML COLLTRE (FR)</t>
  </si>
  <si>
    <t>FG02155</t>
  </si>
  <si>
    <t>NEPKIN</t>
  </si>
  <si>
    <t>FG02156</t>
  </si>
  <si>
    <t>NERISONE C CREME 30GR (FR)</t>
  </si>
  <si>
    <t>FG02158</t>
  </si>
  <si>
    <t>NERVOCAINE 0.5% (BUPIVACAINE) INJ 20ML B/1 VIAL</t>
  </si>
  <si>
    <t>FG02159</t>
  </si>
  <si>
    <t>NESIVINE GTTES PEDIATRIQUES 0.025% (FR)</t>
  </si>
  <si>
    <t>FG02160</t>
  </si>
  <si>
    <t>NEULEPTIL 1% GTTES 30ML</t>
  </si>
  <si>
    <t>FG02161</t>
  </si>
  <si>
    <t>NEURO CENTRUM BUVABLE B/10FL</t>
  </si>
  <si>
    <t>FG02162</t>
  </si>
  <si>
    <t>NEURODOC B/10 CES</t>
  </si>
  <si>
    <t>FG02163</t>
  </si>
  <si>
    <t>NEURODOC INJECTABLE B/5 AMP</t>
  </si>
  <si>
    <t>FG02164</t>
  </si>
  <si>
    <t>NEUROGIL-75 (PREGABALIN 75MG) B/20 CAP</t>
  </si>
  <si>
    <t>FG02166</t>
  </si>
  <si>
    <t>NEUTROSEC LIQUID 200 ML</t>
  </si>
  <si>
    <t>FG02167</t>
  </si>
  <si>
    <t>NEWMEX FORTE B/10CES</t>
  </si>
  <si>
    <t>FG02168</t>
  </si>
  <si>
    <t>NEWMEX-500 10CES</t>
  </si>
  <si>
    <t>FG02169</t>
  </si>
  <si>
    <t>NEWMEX-P B/10CES</t>
  </si>
  <si>
    <t>FG02170</t>
  </si>
  <si>
    <t>NEWMEX-SPAS 10CES</t>
  </si>
  <si>
    <t>FG02171</t>
  </si>
  <si>
    <t>NEXAM (ACIDE TRANEXAMIQE) 5ML I.V B/1AMP</t>
  </si>
  <si>
    <t>FG02172</t>
  </si>
  <si>
    <t>NEZ CLAIR 0.1% (XYLOMETAZ) DROPS</t>
  </si>
  <si>
    <t>FG02173</t>
  </si>
  <si>
    <t>NEZ CLAIR 0.05% (XYLOMET) 10ML DROPS</t>
  </si>
  <si>
    <t>FG02174</t>
  </si>
  <si>
    <t>NICARDEX 10MG/10ML (NICARDIPINE) INJ. B/5 AMP</t>
  </si>
  <si>
    <t>Nicardex</t>
  </si>
  <si>
    <t>FG02175</t>
  </si>
  <si>
    <t>NIDO 2270G</t>
  </si>
  <si>
    <t>FG02176</t>
  </si>
  <si>
    <t>NIFEDI DENK 10MG RETARD PL/(10)CES</t>
  </si>
  <si>
    <t>FG02177</t>
  </si>
  <si>
    <t>NIFEDI DENK 20MG RETARD B/30 CES</t>
  </si>
  <si>
    <t>FG02178</t>
  </si>
  <si>
    <t>NIFERINOL @@PLUS@@ B/10CES</t>
  </si>
  <si>
    <t>FG02179</t>
  </si>
  <si>
    <t>NIFERINOL GOUTTE OTIQUE 10ML</t>
  </si>
  <si>
    <t>FG02180</t>
  </si>
  <si>
    <t>NIFERINOL SP AD 100ML</t>
  </si>
  <si>
    <t>FG02181</t>
  </si>
  <si>
    <t>NIFERINOL SP ENF 100ML</t>
  </si>
  <si>
    <t>FG02182</t>
  </si>
  <si>
    <t>NIFLURIL 250MG 30 GELULES (FR)</t>
  </si>
  <si>
    <t>FG02183</t>
  </si>
  <si>
    <t>NIFLURIL 400 MG 8 SUPPOS ENF. (FR)</t>
  </si>
  <si>
    <t>FG02184</t>
  </si>
  <si>
    <t>NIFLURIL 700 MG 8 SUPPOS AD. (FR)</t>
  </si>
  <si>
    <t>FG02185</t>
  </si>
  <si>
    <t>NIZORAL SHAMPOOING 100ML (FR)</t>
  </si>
  <si>
    <t>FG02186</t>
  </si>
  <si>
    <t>NO SPA --FORTE --80MG--20CES (FR)</t>
  </si>
  <si>
    <t>FG02187</t>
  </si>
  <si>
    <t>NO SPA 40 INJ B/5AMP (FR)</t>
  </si>
  <si>
    <t>FG02188</t>
  </si>
  <si>
    <t>NO SPA 40MG B/2 X 10 CES</t>
  </si>
  <si>
    <t>FG02189</t>
  </si>
  <si>
    <t>NO SPA 40MG PL/10CES</t>
  </si>
  <si>
    <t>FG02190</t>
  </si>
  <si>
    <t>NO-GRIPPE SIROP ADULT 100ML</t>
  </si>
  <si>
    <t>FG02191</t>
  </si>
  <si>
    <t>NO-GRIPPE SIROP ENF 100ML</t>
  </si>
  <si>
    <t>FG02192</t>
  </si>
  <si>
    <t>NO-GRIPPE SIROP NOURISSON 100ML</t>
  </si>
  <si>
    <t>FG02193</t>
  </si>
  <si>
    <t>NOBACTER SAVON DERMATO. 100 GR</t>
  </si>
  <si>
    <t>FG02194</t>
  </si>
  <si>
    <t>NOCI KIT (LANSO.+CLARI.+TINIDA.) 1 KIT DE COMBI</t>
  </si>
  <si>
    <t>FG02196</t>
  </si>
  <si>
    <t>NODON 5MG B/30CES</t>
  </si>
  <si>
    <t>FG02197</t>
  </si>
  <si>
    <t>NOLVADEX 10MG 30CES (EO)</t>
  </si>
  <si>
    <t>FG02198</t>
  </si>
  <si>
    <t>NOMAL B/6 CES</t>
  </si>
  <si>
    <t>FG02199</t>
  </si>
  <si>
    <t>NOMAL SUSP 60ML</t>
  </si>
  <si>
    <t>FG02202</t>
  </si>
  <si>
    <t>NOOPRYL 1 GR IM/IV B/12AMP</t>
  </si>
  <si>
    <t>FG02203</t>
  </si>
  <si>
    <t>NOOPRYL 400MG BT/60CES</t>
  </si>
  <si>
    <t>FG02204</t>
  </si>
  <si>
    <t>NOOPRYL 800MG BT/60CES</t>
  </si>
  <si>
    <t>FG02205</t>
  </si>
  <si>
    <t>NOOTROPIL SIROP 125ML (EO)</t>
  </si>
  <si>
    <t>FG02206</t>
  </si>
  <si>
    <t>NORADRENALIME 4MG/4ML 10AMP(STEROP)</t>
  </si>
  <si>
    <t>FG02207</t>
  </si>
  <si>
    <t>NORCIN - M 30ML SIROP</t>
  </si>
  <si>
    <t>FG02208</t>
  </si>
  <si>
    <t>NOREX 1MG/ML (NORADRENALINE) 4ML INJ. B/1AMP</t>
  </si>
  <si>
    <t>FG02209</t>
  </si>
  <si>
    <t>NORFEN 400MG B/10CES</t>
  </si>
  <si>
    <t>FG02210</t>
  </si>
  <si>
    <t>NORFEN TZ B/20CES</t>
  </si>
  <si>
    <t>FG02211</t>
  </si>
  <si>
    <t>NORFLAGYL B/10CES</t>
  </si>
  <si>
    <t>FG02212</t>
  </si>
  <si>
    <t>NORFLAGYL SUSP.60ML</t>
  </si>
  <si>
    <t>FG02213</t>
  </si>
  <si>
    <t>NORLEVO 1.5MG 1CES (FR)</t>
  </si>
  <si>
    <t>FG02214</t>
  </si>
  <si>
    <t>NORMACOL 30 SACHETS</t>
  </si>
  <si>
    <t>FG02215</t>
  </si>
  <si>
    <t>NORMACOL LAVEMENT 130ML (FR)</t>
  </si>
  <si>
    <t>FG02216</t>
  </si>
  <si>
    <t>NORMEGYL (NOR.+METRO.) B/10CES</t>
  </si>
  <si>
    <t>FG02217</t>
  </si>
  <si>
    <t>NORMEGYL **60 ML** SIROP</t>
  </si>
  <si>
    <t>FG02218</t>
  </si>
  <si>
    <t>NORMEGYL SUSP 30ML</t>
  </si>
  <si>
    <t>FG02219</t>
  </si>
  <si>
    <t>NORMEGYL-DP B/10CES</t>
  </si>
  <si>
    <t>FG02220</t>
  </si>
  <si>
    <t>NORMET 200MG B/10CES</t>
  </si>
  <si>
    <t>FG02221</t>
  </si>
  <si>
    <t>NORMET 400MG BT/10CES</t>
  </si>
  <si>
    <t>FG02222</t>
  </si>
  <si>
    <t>NORMET SIROP FL DE 60ML (G.F)</t>
  </si>
  <si>
    <t>FG02223</t>
  </si>
  <si>
    <t>NORMET SUSP FL/30ML(P.M.)</t>
  </si>
  <si>
    <t>FG02224</t>
  </si>
  <si>
    <t>NORPLAT 75MG (CLOPIDOGREL) B/30 CES</t>
  </si>
  <si>
    <t>FG02225</t>
  </si>
  <si>
    <t>NORZOL 400MG 10CES (FR)</t>
  </si>
  <si>
    <t>FG02226</t>
  </si>
  <si>
    <t>NOZINAN 100MG 20CES (FR)</t>
  </si>
  <si>
    <t>FG02227</t>
  </si>
  <si>
    <t>NOZINAN INJ 5AMP 25MG 1ML (FR)</t>
  </si>
  <si>
    <t>FG02228</t>
  </si>
  <si>
    <t>NSANSIPHOS (ANTI-MALARIA) SIROP 100ML</t>
  </si>
  <si>
    <t>FG02229</t>
  </si>
  <si>
    <t>NSANSIPHOS (ANTI-MALARIA) 100MF B/30 CES</t>
  </si>
  <si>
    <t>FG02230</t>
  </si>
  <si>
    <t>NUCLEO CMP FRT 30GELULES (FR)</t>
  </si>
  <si>
    <t>FG02231</t>
  </si>
  <si>
    <t>NUICOLD B/ 2 X 12 CAPSULE</t>
  </si>
  <si>
    <t>FG02232</t>
  </si>
  <si>
    <t>NUICOLD SP 200ML</t>
  </si>
  <si>
    <t>FG02233</t>
  </si>
  <si>
    <t>NUROVIT (VIT B1+B6+B12) 30CES</t>
  </si>
  <si>
    <t>FG02234</t>
  </si>
  <si>
    <t>NUROVIT (VIT B1+B6+B12) SP 100 ML</t>
  </si>
  <si>
    <t>FG02235</t>
  </si>
  <si>
    <t>NUTRILINE B/10 X10 CES</t>
  </si>
  <si>
    <t>FG02236</t>
  </si>
  <si>
    <t>NUTRILINE SP 100ML</t>
  </si>
  <si>
    <t>FG02237</t>
  </si>
  <si>
    <t>NUTRISANG TONIQUE 200ML</t>
  </si>
  <si>
    <t>FG02238</t>
  </si>
  <si>
    <t>NYLON NO.0 --PCS/1 (UNIQUE)</t>
  </si>
  <si>
    <t>FG02239</t>
  </si>
  <si>
    <t>NYLON NO.1 PCS/1 (UNIQUE)</t>
  </si>
  <si>
    <t>FG02240</t>
  </si>
  <si>
    <t>NYLON NO.2 PCS/1 (UNIQUE)</t>
  </si>
  <si>
    <t>FG02241</t>
  </si>
  <si>
    <t>NYLON NO.2/0...PCS/1 (UNIQUE)</t>
  </si>
  <si>
    <t>FG02242</t>
  </si>
  <si>
    <t>NYSTATIN 500.000 U.I.16CES (EO)</t>
  </si>
  <si>
    <t>FG02243</t>
  </si>
  <si>
    <t>OB-SPAS (PHLOROGLUCINOL AND TRIMETHYL) 4ML B/6AMP</t>
  </si>
  <si>
    <t>FG02244</t>
  </si>
  <si>
    <t>OBJECTIF 10 X OLUMPUS</t>
  </si>
  <si>
    <t>FG02245</t>
  </si>
  <si>
    <t>OBJECTIF 100 X OLUMPUS</t>
  </si>
  <si>
    <t>FG02247</t>
  </si>
  <si>
    <t>OFFICE TABLE</t>
  </si>
  <si>
    <t>FG02248</t>
  </si>
  <si>
    <t>OFLOCARE 100ML</t>
  </si>
  <si>
    <t>FG02249</t>
  </si>
  <si>
    <t>OFLOCET SOL.AURICULAIRE 15MG/05ML</t>
  </si>
  <si>
    <t>FG02250</t>
  </si>
  <si>
    <t>OFLOPRIN - OZ (OFLOXACINE) 200MG B/10 CES</t>
  </si>
  <si>
    <t>FG02251</t>
  </si>
  <si>
    <t>OFLOPRIN-OZ B/10CES</t>
  </si>
  <si>
    <t>FG02252</t>
  </si>
  <si>
    <t>OFLOPRIN-OZ SIROP FL/30ML</t>
  </si>
  <si>
    <t>FG02259</t>
  </si>
  <si>
    <t>OFLOSWIZ O (OFLO+ORNI) B\10CES</t>
  </si>
  <si>
    <t>FG02260</t>
  </si>
  <si>
    <t>OFLOXACINE COLLYRE 0.3% 10ML</t>
  </si>
  <si>
    <t>FG02261</t>
  </si>
  <si>
    <t>OFLOXIN 200MG 10CES SEC.(OFLOXACINE)</t>
  </si>
  <si>
    <t>FG02262</t>
  </si>
  <si>
    <t>OFLOZOL 10CES</t>
  </si>
  <si>
    <t>FG02263</t>
  </si>
  <si>
    <t>OFLOZOL 60ML SIROP</t>
  </si>
  <si>
    <t>FG02264</t>
  </si>
  <si>
    <t>OFORE (OFLOX+ORNI) SUSP. 60ML</t>
  </si>
  <si>
    <t>FG02265</t>
  </si>
  <si>
    <t>OFORNI SUSPENSION 60ML</t>
  </si>
  <si>
    <t>FG02266</t>
  </si>
  <si>
    <t>OFORNI TABLETS B/10CES</t>
  </si>
  <si>
    <t>FG02267</t>
  </si>
  <si>
    <t>OLAMAG (OLANZAPAIN UPS5MG) B/3 X 10 CES</t>
  </si>
  <si>
    <t>FG02268</t>
  </si>
  <si>
    <t>OMBILICAL PINCE DE CORDON 1 PCS</t>
  </si>
  <si>
    <t>FG02269</t>
  </si>
  <si>
    <t>OMEGACOM 500MG B/30CES</t>
  </si>
  <si>
    <t>FG02270</t>
  </si>
  <si>
    <t>OMEGACOM SIROP 125ML</t>
  </si>
  <si>
    <t>FG02271</t>
  </si>
  <si>
    <t>OMEKAR (OMEPRAZOLE) 20MG B/10 CAP</t>
  </si>
  <si>
    <t>FG02272</t>
  </si>
  <si>
    <t>OMEKAR (OMEPRAZOLE) 40MG B/1AMP</t>
  </si>
  <si>
    <t>FG02273</t>
  </si>
  <si>
    <t>OMEPREN (OMEPRAZOLE) B/10CAP</t>
  </si>
  <si>
    <t>FG02274</t>
  </si>
  <si>
    <t>OMNIBIONTA PRONATAL PLUS DHA 60CAPS (EO)</t>
  </si>
  <si>
    <t>FG02277</t>
  </si>
  <si>
    <t>ONE TOUCH SELECT SIMPLE APPAREIL</t>
  </si>
  <si>
    <t>FG02278</t>
  </si>
  <si>
    <t>ONE TOUCH ULTRA EASY APPAREIL</t>
  </si>
  <si>
    <t>FG02279</t>
  </si>
  <si>
    <t>ONE TOUCH VERIO APPAREIL</t>
  </si>
  <si>
    <t>FG02280</t>
  </si>
  <si>
    <t>ONSETROM-MD UPS 4MG BT/10CES</t>
  </si>
  <si>
    <t>FG02281</t>
  </si>
  <si>
    <t>ONSETRON (ONDA) 2MG NO B/1AMP</t>
  </si>
  <si>
    <t>FG02282</t>
  </si>
  <si>
    <t>ONSETRON SYRUP 30ML</t>
  </si>
  <si>
    <t>FG02283</t>
  </si>
  <si>
    <t>OPT IRYL 5ML COLLYRE</t>
  </si>
  <si>
    <t>FG02284</t>
  </si>
  <si>
    <t>OPT- CIPROS ( CIPROFLOXACINE) COLLYRE USP 10ML</t>
  </si>
  <si>
    <t>FG02285</t>
  </si>
  <si>
    <t>OPT- NAT (NATAMYCIN USP 5%) COLLYRE</t>
  </si>
  <si>
    <t>FG02286</t>
  </si>
  <si>
    <t>OPT-AT (ATROPINE SULFATE) COLLYRE</t>
  </si>
  <si>
    <t>FG02287</t>
  </si>
  <si>
    <t>OPT-CD (CHLORA+DEXA) COLLYRE</t>
  </si>
  <si>
    <t>FG02288</t>
  </si>
  <si>
    <t>OPT-CHLORA (CHLORAPHENICOL) COLLYRE</t>
  </si>
  <si>
    <t>FG02289</t>
  </si>
  <si>
    <t>OPT-CHROM (CROMOGLYCATE DE SO.) COLLYRE</t>
  </si>
  <si>
    <t>FG02290</t>
  </si>
  <si>
    <t>OPT-DICLO (DICLOFEAN ) COLLYRE</t>
  </si>
  <si>
    <t>FG02291</t>
  </si>
  <si>
    <t>OPT-INDO (INDOMETHASINE) COLLYRE</t>
  </si>
  <si>
    <t>FG02292</t>
  </si>
  <si>
    <t>OPT-LARM (LUBRICAN) COLLYRE 5ML</t>
  </si>
  <si>
    <t>FG02293</t>
  </si>
  <si>
    <t>OPT-ML (MOXIFLOXACIN + LOTEPREDNOL) COLLYRE</t>
  </si>
  <si>
    <t>FG02294</t>
  </si>
  <si>
    <t>OPT-MOX (MOXIFLOXACIN HCL 0.5%) COLLYRE</t>
  </si>
  <si>
    <t>FG02295</t>
  </si>
  <si>
    <t>OPT-ND (NEOMY. + DEXA.) COLLYRE</t>
  </si>
  <si>
    <t>FG02296</t>
  </si>
  <si>
    <t>OPT-O (OFLOXACIN) COLLYRE</t>
  </si>
  <si>
    <t>FG02297</t>
  </si>
  <si>
    <t>OPT-PILOCARP (PILOCARPINE NIRATE 4%) EYE DROPS</t>
  </si>
  <si>
    <t>FG02298</t>
  </si>
  <si>
    <t>OPT-PRED (PREDNISOLONE) COLLYRE</t>
  </si>
  <si>
    <t>FG02299</t>
  </si>
  <si>
    <t>OPT-PROST (LATANOPROST) COLLYRE</t>
  </si>
  <si>
    <t>FG02300</t>
  </si>
  <si>
    <t>OPTADONE (OPTALIDON) B/50CES</t>
  </si>
  <si>
    <t>FG02301</t>
  </si>
  <si>
    <t>OPTICRON 2% COLLYRE 5ML (FR)</t>
  </si>
  <si>
    <t>FG02302</t>
  </si>
  <si>
    <t>OPTIFRESH SOLUTION 10ML</t>
  </si>
  <si>
    <t>FG02303</t>
  </si>
  <si>
    <t>ORACEE FIZZ (VITAMINE C ) 1000MG B/8CES</t>
  </si>
  <si>
    <t>FG02304</t>
  </si>
  <si>
    <t>ORACIP (CIPROFLOX.) 100ML INJ AVEC TROU.</t>
  </si>
  <si>
    <t>FG02305</t>
  </si>
  <si>
    <t>ORACIP 10CES PL</t>
  </si>
  <si>
    <t>FG02306</t>
  </si>
  <si>
    <t>ORACIP GOUTTE EAR/EYE DROPS 5ML</t>
  </si>
  <si>
    <t>FG02307</t>
  </si>
  <si>
    <t>ORACIP-TZ 12CES</t>
  </si>
  <si>
    <t>FG02308</t>
  </si>
  <si>
    <t>ORANGINE SP 100ML</t>
  </si>
  <si>
    <t>FG02309</t>
  </si>
  <si>
    <t>ORCHAZIDE COLLYRE 5ML</t>
  </si>
  <si>
    <t>FG02310</t>
  </si>
  <si>
    <t>OREDOXIME 200MG B/10CES</t>
  </si>
  <si>
    <t>FG02311</t>
  </si>
  <si>
    <t>ORELOX 100MG 10CES (FR)</t>
  </si>
  <si>
    <t>FG02312</t>
  </si>
  <si>
    <t>ORELOX SUSP BUV 100ML 40MG (FR)</t>
  </si>
  <si>
    <t>FG02313</t>
  </si>
  <si>
    <t>ORGAMETRIL 5MG B/30CES (FR)</t>
  </si>
  <si>
    <t>FG02314</t>
  </si>
  <si>
    <t>ORITAXIM 1 GR. B/1AMP</t>
  </si>
  <si>
    <t>FG02315</t>
  </si>
  <si>
    <t>ORNID 500MG 10 OVULES</t>
  </si>
  <si>
    <t>FG02316</t>
  </si>
  <si>
    <t>ORNID 500MG B/10CES</t>
  </si>
  <si>
    <t>FG02317</t>
  </si>
  <si>
    <t>ORNID IV 100ML AR</t>
  </si>
  <si>
    <t>FG02318</t>
  </si>
  <si>
    <t>ORNID-OX IV INJ.100ML</t>
  </si>
  <si>
    <t>FG02319</t>
  </si>
  <si>
    <t>ORNID-OX (OFLOXA.+ORNIDA.) 10 CES</t>
  </si>
  <si>
    <t>FG02320</t>
  </si>
  <si>
    <t>ORNID-OX (OFLOXA.+ORNIDA.) 60ML SP</t>
  </si>
  <si>
    <t>FG02321</t>
  </si>
  <si>
    <t>ORNIDAZOLE IV 100ML (GENERIQUE)</t>
  </si>
  <si>
    <t>FG02322</t>
  </si>
  <si>
    <t>OROFER 150ML SP</t>
  </si>
  <si>
    <t>FG02323</t>
  </si>
  <si>
    <t>OROFER B/30CES</t>
  </si>
  <si>
    <t>FG02324</t>
  </si>
  <si>
    <t>OROKEN 100MG/ 5ML FLACON 40ML</t>
  </si>
  <si>
    <t>FG02325</t>
  </si>
  <si>
    <t>OROKEN 200MG B/8CES (FR)</t>
  </si>
  <si>
    <t>FG02326</t>
  </si>
  <si>
    <t>OROKEN SIROP 40MG/5ML BEBE+ENF 40ML</t>
  </si>
  <si>
    <t>FG02327</t>
  </si>
  <si>
    <t>OSCAL D FORT 30CES</t>
  </si>
  <si>
    <t>FG02328</t>
  </si>
  <si>
    <t>OSMONEMA 5 X 5ML</t>
  </si>
  <si>
    <t>FG02329</t>
  </si>
  <si>
    <t>OSMONEMA BEBE 5 X 3ML</t>
  </si>
  <si>
    <t>FG02330</t>
  </si>
  <si>
    <t>OSPAMOX 250MG/5ML SUSP. 60ML</t>
  </si>
  <si>
    <t>FG02331</t>
  </si>
  <si>
    <t>OTIPAX 15ML GOUTTE</t>
  </si>
  <si>
    <t>FG02333</t>
  </si>
  <si>
    <t>OTOSCOP</t>
  </si>
  <si>
    <t>FG02334</t>
  </si>
  <si>
    <t>OTOSTOP GOUTTES OTIQUES 10ML</t>
  </si>
  <si>
    <t>FG02335</t>
  </si>
  <si>
    <t>OTRIMINE ADULTE 1% 10ML</t>
  </si>
  <si>
    <t>FG02336</t>
  </si>
  <si>
    <t>OTRIMINE ENF 0.5% 10ML</t>
  </si>
  <si>
    <t>FG02337</t>
  </si>
  <si>
    <t>OTRIVAN 0.05% GOUTTE 10ML</t>
  </si>
  <si>
    <t>FG02338</t>
  </si>
  <si>
    <t>OTRIVAN 0.1% GOUTTE 10ML</t>
  </si>
  <si>
    <t>FG02339</t>
  </si>
  <si>
    <t>OTRIVIN GOUTTES 0.5% (INDE)</t>
  </si>
  <si>
    <t>FG02340</t>
  </si>
  <si>
    <t>OTRIVINE 0.05% GTTES 10ML (FR)</t>
  </si>
  <si>
    <t>FG02341</t>
  </si>
  <si>
    <t>OTRIVINE 0.1% GOUTTES 10ML (FR)</t>
  </si>
  <si>
    <t>FG02342</t>
  </si>
  <si>
    <t>OTRIZEN 0.5% GOUTTE NAZAL</t>
  </si>
  <si>
    <t>FG02343</t>
  </si>
  <si>
    <t>OTRIZEN 1% GOUTTE NAZAL</t>
  </si>
  <si>
    <t>FG02344</t>
  </si>
  <si>
    <t>OUATE 250GR. QUALITE SUPERIEURE PCS/1(UNIQUE)</t>
  </si>
  <si>
    <t>FG02345</t>
  </si>
  <si>
    <t>OUATE 100GR. QUALITE SUPERIEURE PCS/1(UNIQUE)</t>
  </si>
  <si>
    <t>FG02346</t>
  </si>
  <si>
    <t>OUATE 25G*** QUALITE SUPERIEURE PCS/1(UNIQUE)</t>
  </si>
  <si>
    <t>FG02347</t>
  </si>
  <si>
    <t>OUATE 500GR. QUALITE SUPERIEURE PCS/1(UNIQUE)</t>
  </si>
  <si>
    <t>FG02348</t>
  </si>
  <si>
    <t>OUATE 50G***QUALITE SUPERIEURE PCS/1(UNIQUE)</t>
  </si>
  <si>
    <t>FG02351</t>
  </si>
  <si>
    <t>OVA-PLUS (LETROZOLE) 2.5MG B/1X5 CES</t>
  </si>
  <si>
    <t>FG02352</t>
  </si>
  <si>
    <t>OVOGYL 500MG (METRONIDAZOLE) B/10 OVULES</t>
  </si>
  <si>
    <t>FG02353</t>
  </si>
  <si>
    <t>OXAPEN 1G 1 AMP INJ + SERINGUE (FR)</t>
  </si>
  <si>
    <t>FG02354</t>
  </si>
  <si>
    <t>OXAPEN 250MG/5ML SUSP 60ML (FR)</t>
  </si>
  <si>
    <t>FG02355</t>
  </si>
  <si>
    <t>OXAPEN 500MG 12CES (FR)</t>
  </si>
  <si>
    <t>FG02356</t>
  </si>
  <si>
    <t>OXARIN (ENOXAPARINE SODIQUE 40MG) B/ 1 INJ</t>
  </si>
  <si>
    <t>FG02357</t>
  </si>
  <si>
    <t>OXARIN (ENOXAPARINE SODIQUE 60MG) B/ 1 INJ</t>
  </si>
  <si>
    <t>FG02358</t>
  </si>
  <si>
    <t>OXARIN 20 MG (ENOXAPARINE SODIQUE) B/ 1 INJ</t>
  </si>
  <si>
    <t>FG02359</t>
  </si>
  <si>
    <t>OXARIN 80 MG (ENOXAPARINE SODIQUE) B/ 1 INJ</t>
  </si>
  <si>
    <t>FG02360</t>
  </si>
  <si>
    <t>OXIN (OFLOXACINE) 200MG B/10CAP</t>
  </si>
  <si>
    <t>FG02361</t>
  </si>
  <si>
    <t>OXYMETRE DOIGT 1 UNITE</t>
  </si>
  <si>
    <t>FG02362</t>
  </si>
  <si>
    <t>OZ (ORNIDAZOLE) PERFUSION I.V. FL/100ML</t>
  </si>
  <si>
    <t>FG02363</t>
  </si>
  <si>
    <t>OZIBEN 100MG SUSP BUV FL/30ML</t>
  </si>
  <si>
    <t>FG02364</t>
  </si>
  <si>
    <t>OZIBEN 200MG SACHET B/3</t>
  </si>
  <si>
    <t>FG02365</t>
  </si>
  <si>
    <t>OZIBEN 500MG COMP SEC B/1</t>
  </si>
  <si>
    <t>FG02366</t>
  </si>
  <si>
    <t>P-VIRIL 350MG 10CAPS</t>
  </si>
  <si>
    <t>FG02371</t>
  </si>
  <si>
    <t>PAGNE JAVA</t>
  </si>
  <si>
    <t>FG02372</t>
  </si>
  <si>
    <t>PAGNE SIMPLE</t>
  </si>
  <si>
    <t>FG02373</t>
  </si>
  <si>
    <t>PAGNE SUPERWAX</t>
  </si>
  <si>
    <t>FG02374</t>
  </si>
  <si>
    <t>PAIDOFEBRIL 100MG/5ML 200ML (FR)</t>
  </si>
  <si>
    <t>FG02375</t>
  </si>
  <si>
    <t>PAIDOTERIN SIROP 100ML (FR)</t>
  </si>
  <si>
    <t>FG02376</t>
  </si>
  <si>
    <t>PAIN OFF (DICLO+PARA+CHLORA+MAGNESIUM) B/10 CES</t>
  </si>
  <si>
    <t>FG02377</t>
  </si>
  <si>
    <t>PAIN RELIEVER (DICLO+PARA+CHLOR+MAGNE) B\10CES</t>
  </si>
  <si>
    <t>FG02378</t>
  </si>
  <si>
    <t>PALCEF (CEFOTAXIM) 1GR B/1 AMP</t>
  </si>
  <si>
    <t>FG02379</t>
  </si>
  <si>
    <t>PALINDA (CLINDAMYCIN) 600MG/4ML B/1AMP</t>
  </si>
  <si>
    <t>FG02380</t>
  </si>
  <si>
    <t>PALINDA CAPSULES 150MG B/10CAP</t>
  </si>
  <si>
    <t>FG02381</t>
  </si>
  <si>
    <t>PALINDA CAPSULES 300MG B/10CAP</t>
  </si>
  <si>
    <t>FG02382</t>
  </si>
  <si>
    <t>PALINDA INJECTION 150MG B/1AMP</t>
  </si>
  <si>
    <t>FG02383</t>
  </si>
  <si>
    <t>PALINDA INJECTION 300MG B/1AMP</t>
  </si>
  <si>
    <t>FG02384</t>
  </si>
  <si>
    <t>PALIXI-AZ(CEFIXIME+AZITHRO) B/10 X 10 CES</t>
  </si>
  <si>
    <t>FG02385</t>
  </si>
  <si>
    <t>PALIXIM (CEFIXIME) 400MG B/10 X 10 CES</t>
  </si>
  <si>
    <t>FG02386</t>
  </si>
  <si>
    <t>PALIXIM 5 100(CEFIXIME SP 100MG) 60ML</t>
  </si>
  <si>
    <t>FG02387</t>
  </si>
  <si>
    <t>PALIXIM T 200 (CEFIXIME 200MG) B/10CES</t>
  </si>
  <si>
    <t>FG02388</t>
  </si>
  <si>
    <t>PALKOF BOMBO**** B/200</t>
  </si>
  <si>
    <t>FG02389</t>
  </si>
  <si>
    <t>PALKOF EXPECTORANT 100ML</t>
  </si>
  <si>
    <t>FG02390</t>
  </si>
  <si>
    <t>PALOAPETI (CYPROHEPTADINE) CES</t>
  </si>
  <si>
    <t>FG02391</t>
  </si>
  <si>
    <t>PALOAPETI (MULTI) 100ML</t>
  </si>
  <si>
    <t>FG02392</t>
  </si>
  <si>
    <t>PALPOUX LOTION 30ML</t>
  </si>
  <si>
    <t>FG02393</t>
  </si>
  <si>
    <t>PALUCUR (ANTI-PALUDEEN) B/6CES</t>
  </si>
  <si>
    <t>FG02394</t>
  </si>
  <si>
    <t>PALUDIC INJECTION (DICLOFENAC) 75MG/3ML B/5AMP</t>
  </si>
  <si>
    <t>FG02395</t>
  </si>
  <si>
    <t>PALUDROX 250MG ORAL SUSP 100ML</t>
  </si>
  <si>
    <t>FG02396</t>
  </si>
  <si>
    <t>PALUDROX 500MG B/12CAP</t>
  </si>
  <si>
    <t>FG02397</t>
  </si>
  <si>
    <t>PALUNATE (ARTESUNATE) 120MG 1 PCE</t>
  </si>
  <si>
    <t>FG02398</t>
  </si>
  <si>
    <t>PALUNATE (ARTESUNATE) 150 MG INJ B/1AMP</t>
  </si>
  <si>
    <t>FG02399</t>
  </si>
  <si>
    <t>PALUNATE (ARTESUNATE) 180MG INJ B/1AMP</t>
  </si>
  <si>
    <t>FG02400</t>
  </si>
  <si>
    <t>PALUNATE (ARTESUNATE) 240MG INJ B/1AMP</t>
  </si>
  <si>
    <t>FG02401</t>
  </si>
  <si>
    <t>PALUNATE (ARTESUNATE) 30MG INJ B/1AMP</t>
  </si>
  <si>
    <t>FG02402</t>
  </si>
  <si>
    <t>PALUNATE (ARTESUNATE) 60MG INJ B/1AMP</t>
  </si>
  <si>
    <t>FG02403</t>
  </si>
  <si>
    <t>PAMPERS</t>
  </si>
  <si>
    <t>FG02404</t>
  </si>
  <si>
    <t>PANADOL 500MG 12CES EFF-(FR)</t>
  </si>
  <si>
    <t>FG02405</t>
  </si>
  <si>
    <t>PANADOL 500MG 16CES (FR)</t>
  </si>
  <si>
    <t>FG02406</t>
  </si>
  <si>
    <t>PANADOL ACTIFAST 500MG 20CES (FR)</t>
  </si>
  <si>
    <t>FG02407</t>
  </si>
  <si>
    <t>PANADOL EXTRA 500MG 20CES (FR)</t>
  </si>
  <si>
    <t>FG02408</t>
  </si>
  <si>
    <t>PANADOL SUSP. 100ML ENF/NOUR. (FR)</t>
  </si>
  <si>
    <t>FG02409</t>
  </si>
  <si>
    <t>PANAL 400MG 10CES PL</t>
  </si>
  <si>
    <t>FG02410</t>
  </si>
  <si>
    <t>PANAL D SIROP</t>
  </si>
  <si>
    <t>FG02411</t>
  </si>
  <si>
    <t>PANAL-D CES</t>
  </si>
  <si>
    <t>FG02412</t>
  </si>
  <si>
    <t>PANDIL</t>
  </si>
  <si>
    <t>FG02413</t>
  </si>
  <si>
    <t>PANLOMA-D (PANTOPRAZOLE + DOMPERIDONE) B/10 X 10</t>
  </si>
  <si>
    <t>FG02414</t>
  </si>
  <si>
    <t>PANO OMEGA 150W</t>
  </si>
  <si>
    <t>FG02415</t>
  </si>
  <si>
    <t>PANOSOLEI</t>
  </si>
  <si>
    <t>FG02416</t>
  </si>
  <si>
    <t>PANTAC-20 (PANTOPRAZOLE 20MG) B/30CES</t>
  </si>
  <si>
    <t>FG02417</t>
  </si>
  <si>
    <t>PANTAC-40 (PANTOPRAZOLE) B/30CES</t>
  </si>
  <si>
    <t>FG02418</t>
  </si>
  <si>
    <t>PANTEC (PANTOGRAZOLE) 40MG IV B/1 AMP</t>
  </si>
  <si>
    <t>FG02419</t>
  </si>
  <si>
    <t>PANTEC-20MG (PANTOPRAZOLE ) CES</t>
  </si>
  <si>
    <t>FG02420</t>
  </si>
  <si>
    <t>PANTEC-40 (PANTOPRAZOLE) CES</t>
  </si>
  <si>
    <t>FG02422</t>
  </si>
  <si>
    <t>PANTO-DENK 20 B/28 CES(FR)</t>
  </si>
  <si>
    <t>FG02423</t>
  </si>
  <si>
    <t>PANTO-DENK 40MG B/28CES(FR)</t>
  </si>
  <si>
    <t>FG02424</t>
  </si>
  <si>
    <t>PAPAVERINE 40MG 10 X10CES</t>
  </si>
  <si>
    <t>FG02425</t>
  </si>
  <si>
    <t>PAPER LISTING</t>
  </si>
  <si>
    <t>FG02426</t>
  </si>
  <si>
    <t>PARA C SIROP 100ML</t>
  </si>
  <si>
    <t>FG02427</t>
  </si>
  <si>
    <t>PARA C POCH/4CES</t>
  </si>
  <si>
    <t>FG02428</t>
  </si>
  <si>
    <t>PARA DENK 250 B/10SUPPOS</t>
  </si>
  <si>
    <t>FG02429</t>
  </si>
  <si>
    <t>PARA DENK 500MG B/20CES (FR)</t>
  </si>
  <si>
    <t>FG02430</t>
  </si>
  <si>
    <t>PARA PLUS C SP 100ML</t>
  </si>
  <si>
    <t>FG02431</t>
  </si>
  <si>
    <t>PARA PLUS POCH/4CES</t>
  </si>
  <si>
    <t>FG02432</t>
  </si>
  <si>
    <t>PARA-C EFFERVESCENT 500MG B/10CES</t>
  </si>
  <si>
    <t>FG02433</t>
  </si>
  <si>
    <t>PARACEL (PARA 750MG)I.M/5ML B/5AMP</t>
  </si>
  <si>
    <t>FG02434</t>
  </si>
  <si>
    <t>PARACEL 100ML IV</t>
  </si>
  <si>
    <t>FG02435</t>
  </si>
  <si>
    <t>PARACEL POCH/4CES</t>
  </si>
  <si>
    <t>FG02436</t>
  </si>
  <si>
    <t>PARACEL SIROP 100ML</t>
  </si>
  <si>
    <t>FG02437</t>
  </si>
  <si>
    <t>PARACETAMOL 125MG B/6SUPPOS</t>
  </si>
  <si>
    <t>FG02438</t>
  </si>
  <si>
    <t>PARACETAMOL 250MG B/10SUPPOS</t>
  </si>
  <si>
    <t>FG02439</t>
  </si>
  <si>
    <t>PARACETAMOL 500MG B/1000CES</t>
  </si>
  <si>
    <t>FG02440</t>
  </si>
  <si>
    <t>PARACETAMOL 500MG B/10X10CES</t>
  </si>
  <si>
    <t>FG02441</t>
  </si>
  <si>
    <t>PARACETAMOL BIOGARAN 500MG B/16 CES</t>
  </si>
  <si>
    <t>FG02442</t>
  </si>
  <si>
    <t>PARACETAMOL SIROP (LOCAL)</t>
  </si>
  <si>
    <t>FG02443</t>
  </si>
  <si>
    <t>PARACETAMOL SP 100ML (PHATKIN)</t>
  </si>
  <si>
    <t>FG02444</t>
  </si>
  <si>
    <t>PARACETAMOL+VIT.C SIROP 100ML</t>
  </si>
  <si>
    <t>FG02445</t>
  </si>
  <si>
    <t>PARACO DENK 500/30 20CES</t>
  </si>
  <si>
    <t>FG02446</t>
  </si>
  <si>
    <t>PARACO-DENK 1000/60 B/10 SUPPO (F.R.)</t>
  </si>
  <si>
    <t>FG02447</t>
  </si>
  <si>
    <t>PARADEX INFUSION 1000MG/100ML</t>
  </si>
  <si>
    <t>FG02448</t>
  </si>
  <si>
    <t>PARAFLAM SP (IBU+PARA) SP 60ML</t>
  </si>
  <si>
    <t>FG02449</t>
  </si>
  <si>
    <t>PARAFUSION 1G (PARACETAMOL) IV 100ML</t>
  </si>
  <si>
    <t>FG02450</t>
  </si>
  <si>
    <t>PARAGESIC C ( PARA+VITAMIN C ) SP 100ML</t>
  </si>
  <si>
    <t>FG02451</t>
  </si>
  <si>
    <t>PARALGAN 1G EFF B/10CES</t>
  </si>
  <si>
    <t>FG02452</t>
  </si>
  <si>
    <t>PARALGAN 500MG EFF B/10CES</t>
  </si>
  <si>
    <t>FG02453</t>
  </si>
  <si>
    <t>PARALGAN IV 1000MG</t>
  </si>
  <si>
    <t>FG02454</t>
  </si>
  <si>
    <t>PARALGAN PED (PARACETAMOL) 120MG/5ML SP</t>
  </si>
  <si>
    <t>FG02455</t>
  </si>
  <si>
    <t>PARAVANT</t>
  </si>
  <si>
    <t>FG02456</t>
  </si>
  <si>
    <t>PARAVENT 3 PANNEAUX AVEC ROUES 1 PCS</t>
  </si>
  <si>
    <t>FG02457</t>
  </si>
  <si>
    <t>PARAVENT 4 PANNEAUX AVEC ROUES 1 PCS</t>
  </si>
  <si>
    <t>FG02458</t>
  </si>
  <si>
    <t>PARLODEL 2.5MG B/30CES (FR)</t>
  </si>
  <si>
    <t>FG02459</t>
  </si>
  <si>
    <t>PAROL 500MG CES B/30 (FR)</t>
  </si>
  <si>
    <t>FG02460</t>
  </si>
  <si>
    <t>PAROL PLUS (PARA) 250MG/ML 150ML SIROP</t>
  </si>
  <si>
    <t>FG02461</t>
  </si>
  <si>
    <t>PARTHER 150MG B/3AMP</t>
  </si>
  <si>
    <t>FG02462</t>
  </si>
  <si>
    <t>PARTHER 225MG B/3AMP</t>
  </si>
  <si>
    <t>FG02463</t>
  </si>
  <si>
    <t>PARTHER 75MG B/3AMP</t>
  </si>
  <si>
    <t>FG02464</t>
  </si>
  <si>
    <t>PASMEX B/10CES</t>
  </si>
  <si>
    <t>FG02465</t>
  </si>
  <si>
    <t>PASSEDYL EN/BB SP FL/125ML (FR)</t>
  </si>
  <si>
    <t>FG02466</t>
  </si>
  <si>
    <t>PASVERS PLUS SUSPENSION 10ML</t>
  </si>
  <si>
    <t>FG02467</t>
  </si>
  <si>
    <t>PATOUX PASTILLEES BT/80CES</t>
  </si>
  <si>
    <t>FG02468</t>
  </si>
  <si>
    <t>PATRIMOL PLUS 10CES</t>
  </si>
  <si>
    <t>FG02469</t>
  </si>
  <si>
    <t>PAYRAMAX 60/20MG ***3 SACHET</t>
  </si>
  <si>
    <t>FG02470</t>
  </si>
  <si>
    <t>PCLIN TZ INJ</t>
  </si>
  <si>
    <t>FG02471</t>
  </si>
  <si>
    <t>PEDIAVIT 100ML SIROP(FR)</t>
  </si>
  <si>
    <t>FG02472</t>
  </si>
  <si>
    <t>PEDIFEN B/30 (FR)</t>
  </si>
  <si>
    <t>FG02473</t>
  </si>
  <si>
    <t>PEDIFEN IBUPROFEN SP 100ML (FR)</t>
  </si>
  <si>
    <t>FG02474</t>
  </si>
  <si>
    <t>PEITEL CRÈME T/30GR</t>
  </si>
  <si>
    <t>FG02475</t>
  </si>
  <si>
    <t>PENIFLOT EXTRA LARGE (40MM) 1 PCS</t>
  </si>
  <si>
    <t>FG02476</t>
  </si>
  <si>
    <t>PENIFLOT LARGE (35MM) 1 PCS</t>
  </si>
  <si>
    <t>FG02477</t>
  </si>
  <si>
    <t>PENIFLOT MOYEN (30MM) 1 PCS</t>
  </si>
  <si>
    <t>FG02478</t>
  </si>
  <si>
    <t>PENIFLOT PETIT(25MM) 1 PCS</t>
  </si>
  <si>
    <t>FG02479</t>
  </si>
  <si>
    <t>PENTAZOCINE 30MG B/1AMP</t>
  </si>
  <si>
    <t>FG02480</t>
  </si>
  <si>
    <t>PENTINOX (ALBENDAZOL) 1CES A CROQUER</t>
  </si>
  <si>
    <t>FG02481</t>
  </si>
  <si>
    <t>PENTOKAR(PANTOPRAZOLE) 40MG B/1AMP</t>
  </si>
  <si>
    <t>FG02482</t>
  </si>
  <si>
    <t>PERACEF S (CEFO) 1.5MG B/1AMP</t>
  </si>
  <si>
    <t>FG02483</t>
  </si>
  <si>
    <t>PERACEF S (CEFO) 1G B/1AMP</t>
  </si>
  <si>
    <t>FG02484</t>
  </si>
  <si>
    <t>PERDOLAN 500MG B/30CES (EO)</t>
  </si>
  <si>
    <t>FG02485</t>
  </si>
  <si>
    <t>PERDOLAN AD B/12SUPPOS</t>
  </si>
  <si>
    <t>FG02486</t>
  </si>
  <si>
    <t>PERDOLAN BB B/12SUPPOS (FR)&amp;&amp;&amp;</t>
  </si>
  <si>
    <t>FG02487</t>
  </si>
  <si>
    <t>PERDOLAN ENF B/12SUPPOS (FR)</t>
  </si>
  <si>
    <t>FG02493</t>
  </si>
  <si>
    <t>PERFORATED SPARADRA 18CM X 5M (HOT MELT GLUE)</t>
  </si>
  <si>
    <t>FG02494</t>
  </si>
  <si>
    <t>PERFORATED SPARADRA 18CM X 5M (ZINC OXIDE)</t>
  </si>
  <si>
    <t>FG02495</t>
  </si>
  <si>
    <t>PERISPASM 80MG B/10CES(FR)</t>
  </si>
  <si>
    <t>FG02496</t>
  </si>
  <si>
    <t>PERMAGANATE 500MG B/100CES</t>
  </si>
  <si>
    <t>FG02497</t>
  </si>
  <si>
    <t>PERMIXON 160MG B/60 GELULES AFR</t>
  </si>
  <si>
    <t>FG02498</t>
  </si>
  <si>
    <t>PETAL DERMICIDE 50G</t>
  </si>
  <si>
    <t>FG02499</t>
  </si>
  <si>
    <t>PETAL LEMON TALC @ PM @ 50GM</t>
  </si>
  <si>
    <t>FG02500</t>
  </si>
  <si>
    <t>PETAL LEMON TALC @PP@ 25GM</t>
  </si>
  <si>
    <t>FG02501</t>
  </si>
  <si>
    <t>PETAL LEMON TALC GM 125</t>
  </si>
  <si>
    <t>FG02502</t>
  </si>
  <si>
    <t>PETAL POUDRE BEBE 125GM</t>
  </si>
  <si>
    <t>FG02503</t>
  </si>
  <si>
    <t>PETAL SAVON AU CITON 100GR</t>
  </si>
  <si>
    <t>FG02504</t>
  </si>
  <si>
    <t>PETAL SAVON BEBE 100GR</t>
  </si>
  <si>
    <t>FG02505</t>
  </si>
  <si>
    <t>PEVAGINE 150 MG OVULE B/3 (FR)</t>
  </si>
  <si>
    <t>FG02506</t>
  </si>
  <si>
    <t>PEVARYL CREME 30GR (FR)</t>
  </si>
  <si>
    <t>FG02507</t>
  </si>
  <si>
    <t>PHANTOM 8 TECNO</t>
  </si>
  <si>
    <t>FG02508</t>
  </si>
  <si>
    <t>PHATRIX (CEFTRIXON) USP 1GR IM / IV B/1AMP</t>
  </si>
  <si>
    <t>FG02509</t>
  </si>
  <si>
    <t>PHATRIX - FORTE (CEFTRI+SULBAC) IM/IV B/AMP</t>
  </si>
  <si>
    <t>FG02510</t>
  </si>
  <si>
    <t>PHATRIX - TZ (CEFTRI+TAZO) IM/IV B/1AMP</t>
  </si>
  <si>
    <t>FG02511</t>
  </si>
  <si>
    <t>PHENERGAN 0 1% SP FL/150ML (FR)</t>
  </si>
  <si>
    <t>FG02512</t>
  </si>
  <si>
    <t>PHENERGAN 2% CREME DER T/30G (FR)</t>
  </si>
  <si>
    <t>FG02513</t>
  </si>
  <si>
    <t>PHENERGAN 20CES 25MG (FR)</t>
  </si>
  <si>
    <t>FG02514</t>
  </si>
  <si>
    <t>PHENERGAN 50MG/2ML B/5AMP (FR)</t>
  </si>
  <si>
    <t>FG02515</t>
  </si>
  <si>
    <t>PHENOBARBITAL 10AMP</t>
  </si>
  <si>
    <t>FG02516</t>
  </si>
  <si>
    <t>PHENORBARBITON 100MG 10 X 10 CES</t>
  </si>
  <si>
    <t>FG02517</t>
  </si>
  <si>
    <t>PHENYTOIN 100MG 1000 CES</t>
  </si>
  <si>
    <t>FG02518</t>
  </si>
  <si>
    <t>PHLEBODIA 600MG 15CES DIOSMINE</t>
  </si>
  <si>
    <t>FG02519</t>
  </si>
  <si>
    <t>PHOSPHALUGEL 20MG SUSP. 2 SACHETS</t>
  </si>
  <si>
    <t>FG02520</t>
  </si>
  <si>
    <t>PHYSIODOSE+ B/15 UNIDOSE 5ML</t>
  </si>
  <si>
    <t>FG02521</t>
  </si>
  <si>
    <t>PHYSIODOSE+ B/30 UNIDOSE 5ML1</t>
  </si>
  <si>
    <t>FG02522</t>
  </si>
  <si>
    <t>PILO ISOPTO-CARPINE 4% 15ML (FR)</t>
  </si>
  <si>
    <t>FG02523</t>
  </si>
  <si>
    <t>PILOCARPINE 4% COLLYRE 10ML (GENERIQUE)</t>
  </si>
  <si>
    <t>FG02524</t>
  </si>
  <si>
    <t>PILULE-S (LEVONORGESTREL)1.5MG 1CES</t>
  </si>
  <si>
    <t>FG02525</t>
  </si>
  <si>
    <t>PINAX (DIHYDRO+PIPERA) 60ML</t>
  </si>
  <si>
    <t>FG02526</t>
  </si>
  <si>
    <t>PINAX (DIHYDROART+PIPERAQUINE) B/9CES</t>
  </si>
  <si>
    <t>FG02527</t>
  </si>
  <si>
    <t>PINCE DE KOCHER COURBE 1*2 DENTS 14 CM</t>
  </si>
  <si>
    <t>FG02528</t>
  </si>
  <si>
    <t>PIPETTE A VS</t>
  </si>
  <si>
    <t>FG02529</t>
  </si>
  <si>
    <t>PIPETTES GRADUEES</t>
  </si>
  <si>
    <t>FG02530</t>
  </si>
  <si>
    <t>PIPORTIL 25MG L4 3AMP (FR)</t>
  </si>
  <si>
    <t>FG02531</t>
  </si>
  <si>
    <t>PIPORTIL L4 100MG/4ML B/1AMP (FR)</t>
  </si>
  <si>
    <t>FG02532</t>
  </si>
  <si>
    <t>PIPOX 2.25G (PIPERA.+TAZOBAC.) INJ.B/1AMP</t>
  </si>
  <si>
    <t>FG02533</t>
  </si>
  <si>
    <t>PIPTAZ (PIPERACILLIN+TAZOBACTAM) I.V B/1AMP</t>
  </si>
  <si>
    <t>FG02534</t>
  </si>
  <si>
    <t>PISSETTE EN PLASTIQUE</t>
  </si>
  <si>
    <t>FG02535</t>
  </si>
  <si>
    <t>PITIMOL 5ML COLLYRE</t>
  </si>
  <si>
    <t>FG02536</t>
  </si>
  <si>
    <t>PIVIDOC (PARACETAMOL) 1.0% 100ML INFUSION</t>
  </si>
  <si>
    <t>FG02537</t>
  </si>
  <si>
    <t>PLAFONIYER</t>
  </si>
  <si>
    <t>FG02538</t>
  </si>
  <si>
    <t>PLANETO B/20CES</t>
  </si>
  <si>
    <t>FG02539</t>
  </si>
  <si>
    <t>PLANFAM (LEVONORGESTREL) BP 1.5MG B/1CES</t>
  </si>
  <si>
    <t>FG02540</t>
  </si>
  <si>
    <t>PLAQUENIL 200MG CES B/30</t>
  </si>
  <si>
    <t>FG02542</t>
  </si>
  <si>
    <t>PLAVIX 75MG 30CES(FR)</t>
  </si>
  <si>
    <t>FG02543</t>
  </si>
  <si>
    <t>PLAZI (AZITHROMYCINE 500MG) B/5 CES</t>
  </si>
  <si>
    <t>FG02544</t>
  </si>
  <si>
    <t>POCHE DE SANG 250CC. 1 SACHET</t>
  </si>
  <si>
    <t>FG02545</t>
  </si>
  <si>
    <t>POCHE DE SANG 450CC. 1 SACHET</t>
  </si>
  <si>
    <t>FG02546</t>
  </si>
  <si>
    <t>POCHE DE SANG DOUBLE 450CC PCS/1</t>
  </si>
  <si>
    <t>FG02547</t>
  </si>
  <si>
    <t>POCHE DE SANG QUADRUPLE 450CC PCS/1</t>
  </si>
  <si>
    <t>FG02548</t>
  </si>
  <si>
    <t>POCHE DE SANG TRIPLER 450CC PCS/1</t>
  </si>
  <si>
    <t>FG02549</t>
  </si>
  <si>
    <t>POIR BEBE 1 PCS</t>
  </si>
  <si>
    <t>FG02550</t>
  </si>
  <si>
    <t>POIRE NO.2...1PCS</t>
  </si>
  <si>
    <t>FG02551</t>
  </si>
  <si>
    <t>POIRE NO.4...1PCS</t>
  </si>
  <si>
    <t>FG02552</t>
  </si>
  <si>
    <t>POIRE NO.6...1PCS</t>
  </si>
  <si>
    <t>FG02553</t>
  </si>
  <si>
    <t>POIRE NO.8...1PCS</t>
  </si>
  <si>
    <t>FG02554</t>
  </si>
  <si>
    <t>POLYCAP B/4 X 7CAP</t>
  </si>
  <si>
    <t>FG02555</t>
  </si>
  <si>
    <t>POLYDEXA SOL AURIC FL 10ML (EO)</t>
  </si>
  <si>
    <t>FG02556</t>
  </si>
  <si>
    <t>POLYDEXACINE COLLYRE 5ML</t>
  </si>
  <si>
    <t>FG02557</t>
  </si>
  <si>
    <t>POLYFRESH COLLYRE 10ML (FR)</t>
  </si>
  <si>
    <t>FG02558</t>
  </si>
  <si>
    <t>POLYGEL (ANTIACIDE) B/10X10CES</t>
  </si>
  <si>
    <t>FG02559</t>
  </si>
  <si>
    <t>POLYGEL *** SUSP. ***. 200ML</t>
  </si>
  <si>
    <t>FG02560</t>
  </si>
  <si>
    <t>POLYGEL SUSP. MANGO 120 ML</t>
  </si>
  <si>
    <t>FG02561</t>
  </si>
  <si>
    <t>POLYGYNAX B/12 OVULES (FR)</t>
  </si>
  <si>
    <t>FG02562</t>
  </si>
  <si>
    <t>POLYGYNAX B/6 OVULES (FR)</t>
  </si>
  <si>
    <t>FG02563</t>
  </si>
  <si>
    <t>POLYSILANE 15GR GEL B/12 SACHETS</t>
  </si>
  <si>
    <t>FG02564</t>
  </si>
  <si>
    <t>POLYTOUX SP 100ML</t>
  </si>
  <si>
    <t>FG02565</t>
  </si>
  <si>
    <t>POMMADE ANTIGALE 50GR.</t>
  </si>
  <si>
    <t>FG02566</t>
  </si>
  <si>
    <t>POMMADE AU DITHRANOL 50GR.</t>
  </si>
  <si>
    <t>FG02567</t>
  </si>
  <si>
    <t>POMMADE CAMPHREE 10% 50GR</t>
  </si>
  <si>
    <t>FG02568</t>
  </si>
  <si>
    <t>POMMADE CHRYSOPHANIQUE 35 GM</t>
  </si>
  <si>
    <t>FG02569</t>
  </si>
  <si>
    <t>POMMADE DR.COLD 50GR</t>
  </si>
  <si>
    <t>FG02570</t>
  </si>
  <si>
    <t>POMMADE ICHOLEE 50GR.</t>
  </si>
  <si>
    <t>FG02571</t>
  </si>
  <si>
    <t>POMMADE SULPHAMIDE 50GR.</t>
  </si>
  <si>
    <t>FG02572</t>
  </si>
  <si>
    <t>POMMADE WAKSON 75GR</t>
  </si>
  <si>
    <t>FG02573</t>
  </si>
  <si>
    <t>POPCORN MACHIN 4005</t>
  </si>
  <si>
    <t>FG02574</t>
  </si>
  <si>
    <t>POPCORN MACHIN 6007</t>
  </si>
  <si>
    <t>FG02575</t>
  </si>
  <si>
    <t>PORTE-SERUM BASE INOX 2CROCHETS INOX FS514</t>
  </si>
  <si>
    <t>FG02576</t>
  </si>
  <si>
    <t>PORTIQUE TUBE</t>
  </si>
  <si>
    <t>FG02577</t>
  </si>
  <si>
    <t>POSITON CREME T/3OGR (FR)</t>
  </si>
  <si>
    <t>FG02578</t>
  </si>
  <si>
    <t>POT POUR ECHANTILLONS DE SELLES 60ML</t>
  </si>
  <si>
    <t>FG02579</t>
  </si>
  <si>
    <t>POUBELLES POUR AIGUILLES ET LAME</t>
  </si>
  <si>
    <t>FG02580</t>
  </si>
  <si>
    <t>POUCH 1 ZIPPER</t>
  </si>
  <si>
    <t>FG02583</t>
  </si>
  <si>
    <t>POUTOX POMMADE 50GR.</t>
  </si>
  <si>
    <t>FG02584</t>
  </si>
  <si>
    <t>POWER BANK</t>
  </si>
  <si>
    <t>FG02585</t>
  </si>
  <si>
    <t>POWER PLUS (ANTI DOULEUR) B/10CES</t>
  </si>
  <si>
    <t>FG02586</t>
  </si>
  <si>
    <t>POWER RUB T/25GR</t>
  </si>
  <si>
    <t>FG02587</t>
  </si>
  <si>
    <t>POWER RUB TUBE 10GM</t>
  </si>
  <si>
    <t>FG02588</t>
  </si>
  <si>
    <t>PRAZOLE (OMEPRAZOLE) B/10X10CES</t>
  </si>
  <si>
    <t>FG02589</t>
  </si>
  <si>
    <t>PRAZOLE 40MG B/1AMP</t>
  </si>
  <si>
    <t>FG02590</t>
  </si>
  <si>
    <t>PRAZOLE KIT (OM3+CLAR+TINI) B/ 7X6 CES</t>
  </si>
  <si>
    <t>FG02591</t>
  </si>
  <si>
    <t>PRAZOLE-D B/10 CAP</t>
  </si>
  <si>
    <t>FG02593</t>
  </si>
  <si>
    <t>PREDNISOLONE CY 15ML</t>
  </si>
  <si>
    <t>FG02594</t>
  </si>
  <si>
    <t>PREDNOL-VISION (PREDNISOLONE) COLLYRE 10ML</t>
  </si>
  <si>
    <t>FG02597</t>
  </si>
  <si>
    <t>PRENATAL DENK B/30 CES (FR)</t>
  </si>
  <si>
    <t>FG02598</t>
  </si>
  <si>
    <t>PRENATAL DENK DHA B/30 CES (EO)</t>
  </si>
  <si>
    <t>FG02599</t>
  </si>
  <si>
    <t>PRESERVATIF OK B/24X3</t>
  </si>
  <si>
    <t>FG02600</t>
  </si>
  <si>
    <t>OK (CHIK) PRESERVATIF</t>
  </si>
  <si>
    <t>FG02601</t>
  </si>
  <si>
    <t>PRESERVATIF OK CHOCOLAT B/24X3</t>
  </si>
  <si>
    <t>FG02602</t>
  </si>
  <si>
    <t>PRESERVATIF OK FRAISE B/24X3</t>
  </si>
  <si>
    <t>FG02603</t>
  </si>
  <si>
    <t>PRESERVATIF OK MENTHOLE B/24X3</t>
  </si>
  <si>
    <t>FG02604</t>
  </si>
  <si>
    <t>PRESERVATIF OK POINTILLES B/24X3</t>
  </si>
  <si>
    <t>FG02605</t>
  </si>
  <si>
    <t>PRESERVATIF OK RETARD B/24X3</t>
  </si>
  <si>
    <t>FG02608</t>
  </si>
  <si>
    <t>PREVOLITHAR 100ML SP</t>
  </si>
  <si>
    <t>FG02609</t>
  </si>
  <si>
    <t>PREZON (PREDNIZOLEN) 10ML COLLYRE</t>
  </si>
  <si>
    <t>FG02610</t>
  </si>
  <si>
    <t>PRIMACARD 1 TEST DE GROSSESSE</t>
  </si>
  <si>
    <t>FG02611</t>
  </si>
  <si>
    <t>PRIMALAN 14CES 10MG (EO)</t>
  </si>
  <si>
    <t>FG02612</t>
  </si>
  <si>
    <t>PRIMALAN 5MG 14CES (FR)</t>
  </si>
  <si>
    <t>FG02613</t>
  </si>
  <si>
    <t>PRIMALAN SP 60ML (FR)</t>
  </si>
  <si>
    <t>FG02614</t>
  </si>
  <si>
    <t>PRIMPERAN 10MG/2ML B/12AMP (FR)</t>
  </si>
  <si>
    <t>FG02615</t>
  </si>
  <si>
    <t>PRINCI-B FORT 30 CES (FR)</t>
  </si>
  <si>
    <t>FG02616</t>
  </si>
  <si>
    <t>PROCEDOL B/20CES EFF</t>
  </si>
  <si>
    <t>FG02617</t>
  </si>
  <si>
    <t>PROCEF 1000 MG INJ B/1AMP</t>
  </si>
  <si>
    <t>FG02618</t>
  </si>
  <si>
    <t>PROCOMIL 5MG 30CES (FR)</t>
  </si>
  <si>
    <t>FG02619</t>
  </si>
  <si>
    <t>PROCOMIL CREME 5GM</t>
  </si>
  <si>
    <t>FG02620</t>
  </si>
  <si>
    <t>PROCOMIL SPRAY 15 GR (EO)</t>
  </si>
  <si>
    <t>FG02621</t>
  </si>
  <si>
    <t>PRODOLAN 100MG BT/10SUPPOS BB</t>
  </si>
  <si>
    <t>FG02622</t>
  </si>
  <si>
    <t>PRODOXIL (CEFADROXIL) 500MG B\12 CAPS</t>
  </si>
  <si>
    <t>FG02623</t>
  </si>
  <si>
    <t>PRODOXIL (CEFADROXIL) SIROP</t>
  </si>
  <si>
    <t>FG02624</t>
  </si>
  <si>
    <t>PROFENID 100MG SUPPOS B/12 (FR)</t>
  </si>
  <si>
    <t>FG02625</t>
  </si>
  <si>
    <t>PROFENID INJ 100MG............6AMP (FR)</t>
  </si>
  <si>
    <t>FG02626</t>
  </si>
  <si>
    <t>PROFER - Z SIROP 200ML</t>
  </si>
  <si>
    <t>FG02627</t>
  </si>
  <si>
    <t>PROFERONE SP 100ML</t>
  </si>
  <si>
    <t>FG02628</t>
  </si>
  <si>
    <t>PROJECTOR</t>
  </si>
  <si>
    <t>FG02629</t>
  </si>
  <si>
    <t>PROLGYN DEPOT (ESTRADIOL) B\3AMP</t>
  </si>
  <si>
    <t>FG02630</t>
  </si>
  <si>
    <t>PROLOPA 125MG 100CES (EO)</t>
  </si>
  <si>
    <t>FG02631</t>
  </si>
  <si>
    <t>PROLOPA 250MG 100CES (EO)</t>
  </si>
  <si>
    <t>FG02632</t>
  </si>
  <si>
    <t>PROLUTON DEPO 3AMP INJ</t>
  </si>
  <si>
    <t>FG02633</t>
  </si>
  <si>
    <t>PROMAG (FLUXETINE) 20MG B/30CAPS</t>
  </si>
  <si>
    <t>FG02634</t>
  </si>
  <si>
    <t>PROMETHAZINE EXP SP 100 ML(PHATKIN)</t>
  </si>
  <si>
    <t>FG02635</t>
  </si>
  <si>
    <t>PROMETHAZINE SP EXP. 100ML</t>
  </si>
  <si>
    <t>FG02636</t>
  </si>
  <si>
    <t>PROPARA-VISION 0.5% (PROPARACAINE) COLLYRE 5ML</t>
  </si>
  <si>
    <t>FG02637</t>
  </si>
  <si>
    <t>FG02638</t>
  </si>
  <si>
    <t>PROPYLTHIOURACILE 60CES (FR)</t>
  </si>
  <si>
    <t>FG02639</t>
  </si>
  <si>
    <t>PROTEC PILL CP B/1</t>
  </si>
  <si>
    <t>FG02640</t>
  </si>
  <si>
    <t>PROTONIC SP 100ML</t>
  </si>
  <si>
    <t>FG02641</t>
  </si>
  <si>
    <t>PROTOQ 40MG (PANTOPRAZOLE) B/10 CES</t>
  </si>
  <si>
    <t>FG02643</t>
  </si>
  <si>
    <t>PROVIDONE SOLUTION 100ML</t>
  </si>
  <si>
    <t>FG02644</t>
  </si>
  <si>
    <t>PROVIT SUSP 200ML</t>
  </si>
  <si>
    <t>FG02645</t>
  </si>
  <si>
    <t>PRUDENCE ***BANANE** B/12X2 PCS</t>
  </si>
  <si>
    <t>FG02646</t>
  </si>
  <si>
    <t>PRUDENCE ***CLASSIC** B/12X2 PCS</t>
  </si>
  <si>
    <t>FG02647</t>
  </si>
  <si>
    <t>PRUDENCE ***FRAISE** B/12X2 PCS</t>
  </si>
  <si>
    <t>FG02648</t>
  </si>
  <si>
    <t>PULMINE SP 100ML</t>
  </si>
  <si>
    <t>FG02649</t>
  </si>
  <si>
    <t>PULMINE SUPPOS BB</t>
  </si>
  <si>
    <t>FG02650</t>
  </si>
  <si>
    <t>PULMINE SUPPOS ENF</t>
  </si>
  <si>
    <t>FG02651</t>
  </si>
  <si>
    <t>PULMOCEF (CEFYROXIME) 500MG B/10CES</t>
  </si>
  <si>
    <t>FG02652</t>
  </si>
  <si>
    <t>PUR***12SACHETS</t>
  </si>
  <si>
    <t>FG02653</t>
  </si>
  <si>
    <t>PYARAMAX 180/60MG PL/10CES</t>
  </si>
  <si>
    <t>FG02654</t>
  </si>
  <si>
    <t>PYLORIMEX 7 KIT</t>
  </si>
  <si>
    <t>FG02655</t>
  </si>
  <si>
    <t>PYRAMEX 180/60MG B/90CES</t>
  </si>
  <si>
    <t>FG02656</t>
  </si>
  <si>
    <t>PYRANTEL 125MG PL/6CES</t>
  </si>
  <si>
    <t>FG02657</t>
  </si>
  <si>
    <t>PYRANTEL 250 MG 15ML SUSPENSION</t>
  </si>
  <si>
    <t>FG02658</t>
  </si>
  <si>
    <t>PYRANTOX 125MG PL DE 6CES</t>
  </si>
  <si>
    <t>FG02659</t>
  </si>
  <si>
    <t>PYRANTOX SUSP 30ML...P</t>
  </si>
  <si>
    <t>FG02660</t>
  </si>
  <si>
    <t>PYRAVER SP 30ML</t>
  </si>
  <si>
    <t>FG02670</t>
  </si>
  <si>
    <t>QUESTRAN 4MG SACHETS/ 1 PCS</t>
  </si>
  <si>
    <t>FG02671</t>
  </si>
  <si>
    <t>QUICK 120 (ARTESU) IM/IV B/1AMP</t>
  </si>
  <si>
    <t>FG02672</t>
  </si>
  <si>
    <t>QUICK 150 (ARTESU) IM/IV B/1AMP</t>
  </si>
  <si>
    <t>FG02673</t>
  </si>
  <si>
    <t>QUICK 180 (ARTESU) IM/IV B/1AMP</t>
  </si>
  <si>
    <t>FG02674</t>
  </si>
  <si>
    <t>QUICK 240 (ARTESU) IM/IV B/1AMP</t>
  </si>
  <si>
    <t>FG02675</t>
  </si>
  <si>
    <t>QUICK 30 (ARTESU) IM/IV B/1AMP</t>
  </si>
  <si>
    <t>FG02676</t>
  </si>
  <si>
    <t>QUICK 60 (ARTESU) IM/IV B/1AMP</t>
  </si>
  <si>
    <t>FG02677</t>
  </si>
  <si>
    <t>QUICK 90 (ARTESU) IM/IV B/1AMP</t>
  </si>
  <si>
    <t>FG02678</t>
  </si>
  <si>
    <t>QUICKSCAL DP</t>
  </si>
  <si>
    <t>FG02679</t>
  </si>
  <si>
    <t>QUINIMEX GOUTTE 10ML</t>
  </si>
  <si>
    <t>FG02680</t>
  </si>
  <si>
    <t>QUINIMEX SP 100ML</t>
  </si>
  <si>
    <t>FG02681</t>
  </si>
  <si>
    <t>QUININE 100MG B/10SUPPOS (GENERIQUE)</t>
  </si>
  <si>
    <t>FG02682</t>
  </si>
  <si>
    <t>QUININE 250MG 10CES PL (PK)</t>
  </si>
  <si>
    <t>FG02683</t>
  </si>
  <si>
    <t>QUININE 300MG 10CES PL (PK)</t>
  </si>
  <si>
    <t>FG02684</t>
  </si>
  <si>
    <t>QUININE 500MG 10AMP (PHARMAKINA)</t>
  </si>
  <si>
    <t>FG02685</t>
  </si>
  <si>
    <t>QUININE 500MG PL/10CES (PK)</t>
  </si>
  <si>
    <t>FG02686</t>
  </si>
  <si>
    <t>QUININE GOUTTES (LOCAL)</t>
  </si>
  <si>
    <t>FG02687</t>
  </si>
  <si>
    <t>QUININE SIROP ***LOCAL***</t>
  </si>
  <si>
    <t>FG02688</t>
  </si>
  <si>
    <t>QUININE SIROP 100ML (GENERIQUE)</t>
  </si>
  <si>
    <t>FG02689</t>
  </si>
  <si>
    <t>QUININE SOLUTION PEDIATRIQUE 15ML (P.K.)</t>
  </si>
  <si>
    <t>FG02690</t>
  </si>
  <si>
    <t>QUININE SP 100ML (PK)</t>
  </si>
  <si>
    <t>FG02691</t>
  </si>
  <si>
    <t>RABEKAR (RABEPRAZOLE) 20MG B/1AMP</t>
  </si>
  <si>
    <t>FG02692</t>
  </si>
  <si>
    <t>RABELOC (RABEPRAZOLE) 20MG 10CES</t>
  </si>
  <si>
    <t>FG02693</t>
  </si>
  <si>
    <t>RABELOCK (RABEPRAZOL) INJ AMP B/1</t>
  </si>
  <si>
    <t>FG02697</t>
  </si>
  <si>
    <t>RACIFINE B/5AMP</t>
  </si>
  <si>
    <t>FG02698</t>
  </si>
  <si>
    <t>RACINE 5% COLLYRE</t>
  </si>
  <si>
    <t>FG02699</t>
  </si>
  <si>
    <t>RADIO</t>
  </si>
  <si>
    <t>FG02703</t>
  </si>
  <si>
    <t>RAMSHAL (RAMIPRIL) 10MG B\30CES</t>
  </si>
  <si>
    <t>FG02704</t>
  </si>
  <si>
    <t>RAMSHAL (RAMIPRIL) 2.5MG B\30CES</t>
  </si>
  <si>
    <t>FG02705</t>
  </si>
  <si>
    <t>RAMSHAL (RAMIPRIL) 5M B\30CES</t>
  </si>
  <si>
    <t>FG02706</t>
  </si>
  <si>
    <t>RAMSHAL (RAMIPRIL) 5MG/12.5MG M B\30CES</t>
  </si>
  <si>
    <t>FG02707</t>
  </si>
  <si>
    <t>RAMSHAL--H 10MG (RAMIPRIL) B\30CES</t>
  </si>
  <si>
    <t>FG02708</t>
  </si>
  <si>
    <t>RAMSHAL-H (RAMIPRIL)2.5MG/12.5MG NO 30/CES</t>
  </si>
  <si>
    <t>FG02709</t>
  </si>
  <si>
    <t>RAPIDOL 1GM IV 100ML</t>
  </si>
  <si>
    <t>FG02710</t>
  </si>
  <si>
    <t>RAPIDOL 300MG SUPPO B/10</t>
  </si>
  <si>
    <t>FG02711</t>
  </si>
  <si>
    <t>RAPIDOL FIZZ (PARACETAMOL) ** 500MG*** EFF B/8CES</t>
  </si>
  <si>
    <t>FG02712</t>
  </si>
  <si>
    <t>RAPIDOL FIZZ (PARACETAMOL) 1000MG EFF B/8CES</t>
  </si>
  <si>
    <t>FG02713</t>
  </si>
  <si>
    <t>RECHAU CUSSINER 4 PLQ</t>
  </si>
  <si>
    <t>FG02714</t>
  </si>
  <si>
    <t>RECHAU CUSSINER 6 PLQ</t>
  </si>
  <si>
    <t>FG02715</t>
  </si>
  <si>
    <t>RECHAUD 2 PLQ</t>
  </si>
  <si>
    <t>FG02716</t>
  </si>
  <si>
    <t>RECTAIDE CREAM 20GR</t>
  </si>
  <si>
    <t>FG02717</t>
  </si>
  <si>
    <t>RECTAIDE HC CREME 20GR</t>
  </si>
  <si>
    <t>FG02718</t>
  </si>
  <si>
    <t>RECTOSOL 10SUPPOS</t>
  </si>
  <si>
    <t>FG02719</t>
  </si>
  <si>
    <t>RECTOSOL HC 10SUPPOS</t>
  </si>
  <si>
    <t>FG02720</t>
  </si>
  <si>
    <t>RECTOSTOP HC SUPPO B/10</t>
  </si>
  <si>
    <t>FG02721</t>
  </si>
  <si>
    <t>RECTOSTOP SUPPO B/10 (CATO)</t>
  </si>
  <si>
    <t>FG02722</t>
  </si>
  <si>
    <t>REDIN PIN LIQUID 200ML</t>
  </si>
  <si>
    <t>FG02723</t>
  </si>
  <si>
    <t>RECTOSTOP HC SUPPO</t>
  </si>
  <si>
    <t>FG02724</t>
  </si>
  <si>
    <t>REGULATER 20A</t>
  </si>
  <si>
    <t>FG02725</t>
  </si>
  <si>
    <t>RELAX 5GM B/10SACHET</t>
  </si>
  <si>
    <t>FG02726</t>
  </si>
  <si>
    <t>RELCER GEL 180ML SP</t>
  </si>
  <si>
    <t>FG02727</t>
  </si>
  <si>
    <t>RELIEF LIQUED 3.5 G ROUGE</t>
  </si>
  <si>
    <t>FG02728</t>
  </si>
  <si>
    <t>RELIEF 10CES</t>
  </si>
  <si>
    <t>FG02729</t>
  </si>
  <si>
    <t>RELIEF ANIT MOSTIQUES LIQ</t>
  </si>
  <si>
    <t>FG02730</t>
  </si>
  <si>
    <t>RELIEF CREME 50GM</t>
  </si>
  <si>
    <t>FG02731</t>
  </si>
  <si>
    <t>RELIEF POMMADE 10G ROUGE</t>
  </si>
  <si>
    <t>FG02732</t>
  </si>
  <si>
    <t>RELIEF SPRAY</t>
  </si>
  <si>
    <t>FG02733</t>
  </si>
  <si>
    <t>RELIFLAM B/10 CES</t>
  </si>
  <si>
    <t>FG02734</t>
  </si>
  <si>
    <t>RENNIE SANS SUCRE 48CES</t>
  </si>
  <si>
    <t>FG02735</t>
  </si>
  <si>
    <t>REPHAPLAIE 5GR</t>
  </si>
  <si>
    <t>FG02736</t>
  </si>
  <si>
    <t>RESIFURAN SUSP ORAL 200ML</t>
  </si>
  <si>
    <t>FG02737</t>
  </si>
  <si>
    <t>RESO</t>
  </si>
  <si>
    <t>FG02738</t>
  </si>
  <si>
    <t>REVELATEUR POUDRE (22.5)</t>
  </si>
  <si>
    <t>FG02739</t>
  </si>
  <si>
    <t>REVITALOSE 20AMP BUV (FR)</t>
  </si>
  <si>
    <t>FG02740</t>
  </si>
  <si>
    <t>RHINALURT 5MG B/10CES</t>
  </si>
  <si>
    <t>FG02741</t>
  </si>
  <si>
    <t>RHINATHIOL PROMETH SP 125ML (FR)</t>
  </si>
  <si>
    <t>FG02742</t>
  </si>
  <si>
    <t>RHINOCRON 2% GOUTTES NASALES</t>
  </si>
  <si>
    <t>FG02743</t>
  </si>
  <si>
    <t>RHINOFENYL ADULTE GOUTTES NASALES 10ML</t>
  </si>
  <si>
    <t>FG02744</t>
  </si>
  <si>
    <t>RHINOFENYL ENFANT GOUTTES NASALES 10ML</t>
  </si>
  <si>
    <t>FG02745</t>
  </si>
  <si>
    <t>RHINOPAROL B/20CES</t>
  </si>
  <si>
    <t>FG02746</t>
  </si>
  <si>
    <t>RHINOSPRAY MICRODOSEUR (FR)</t>
  </si>
  <si>
    <t>FG02747</t>
  </si>
  <si>
    <t>RHUMALGAN (DICLOFENAC) COLLYRE 10ML</t>
  </si>
  <si>
    <t>FG02748</t>
  </si>
  <si>
    <t>RHUMALGAN 10 SUPPOS 100MG</t>
  </si>
  <si>
    <t>FG02749</t>
  </si>
  <si>
    <t>RHUMEX 0.5% 10ML</t>
  </si>
  <si>
    <t>FG02750</t>
  </si>
  <si>
    <t>RHUMEX 1% 10ML</t>
  </si>
  <si>
    <t>FG02751</t>
  </si>
  <si>
    <t>RHUMFIX 0.5% GOUTTE NAZAL</t>
  </si>
  <si>
    <t>FG02752</t>
  </si>
  <si>
    <t>RHUMFIX 1% GOUTTE NAZAL</t>
  </si>
  <si>
    <t>FG02753</t>
  </si>
  <si>
    <t>RHUMFIX BABY 5ML</t>
  </si>
  <si>
    <t>FG02754</t>
  </si>
  <si>
    <t>RHUMINE 0.5% 10ML</t>
  </si>
  <si>
    <t>FG02755</t>
  </si>
  <si>
    <t>RHUMINE 1.0% 10ML</t>
  </si>
  <si>
    <t>FG02756</t>
  </si>
  <si>
    <t>RIAXONE 1GR INJ B/1FLC</t>
  </si>
  <si>
    <t>FG02757</t>
  </si>
  <si>
    <t>RIAXONE-S 1500GR INJ B/1FLC</t>
  </si>
  <si>
    <t>FG02758</t>
  </si>
  <si>
    <t>RIAXONE-S 750GR INJ B/1FLC</t>
  </si>
  <si>
    <t>FG02759</t>
  </si>
  <si>
    <t>RICE MAKER</t>
  </si>
  <si>
    <t>FG02760</t>
  </si>
  <si>
    <t>RIFAMYCINE CHIBRET COLLYRE FL/10ML</t>
  </si>
  <si>
    <t>FG02761</t>
  </si>
  <si>
    <t>RIFAMYCINE CHIBRET POMD T/5G (FR)</t>
  </si>
  <si>
    <t>FG02762</t>
  </si>
  <si>
    <t>RIMETAR FORTE 225MG 3AMP</t>
  </si>
  <si>
    <t>FG02763</t>
  </si>
  <si>
    <t>RIMETHAR ADULT 150MG B/3 AMP</t>
  </si>
  <si>
    <t>FG02764</t>
  </si>
  <si>
    <t>RIMETHAR ENF. 75MG B/3 AMP</t>
  </si>
  <si>
    <t>FG02765</t>
  </si>
  <si>
    <t>RINGER LACTATE 1LTR1</t>
  </si>
  <si>
    <t>FG02766</t>
  </si>
  <si>
    <t>RINGER LACTATE 500ML ##</t>
  </si>
  <si>
    <t>FG02767</t>
  </si>
  <si>
    <t>RINOGRIP SACHET</t>
  </si>
  <si>
    <t>FG02768</t>
  </si>
  <si>
    <t>RINOGRIP SANS SUCRE</t>
  </si>
  <si>
    <t>FG02769</t>
  </si>
  <si>
    <t>RISPERDAL 60 CES 2 MG (FR0 $$</t>
  </si>
  <si>
    <t>FG02770</t>
  </si>
  <si>
    <t>RIVATAS 10MG (RIVAROXABAN) B/30 CES</t>
  </si>
  <si>
    <t>FG02771</t>
  </si>
  <si>
    <t>RIVATAS 15MG (RIVAROXABAN) B/30 CES</t>
  </si>
  <si>
    <t>FG02772</t>
  </si>
  <si>
    <t>RIVOTRIL 2MG 40CES (FR)</t>
  </si>
  <si>
    <t>FG02773</t>
  </si>
  <si>
    <t>ROACCUTANE 20MG B/30 CES (ROSHE)</t>
  </si>
  <si>
    <t>FG02774</t>
  </si>
  <si>
    <t>ROCEPHINE 1GR...IV...B/1AMP</t>
  </si>
  <si>
    <t>FG02775</t>
  </si>
  <si>
    <t>ROCMALINE 10ML BUV AMP BT/20 (FR)</t>
  </si>
  <si>
    <t>FG02776</t>
  </si>
  <si>
    <t>RODOGYL 250MG 20CES (FR)</t>
  </si>
  <si>
    <t>FG02777</t>
  </si>
  <si>
    <t>ROFUXIME (CEFUROXIME) 750MG IV/IM B\1AMP</t>
  </si>
  <si>
    <t>FG02778</t>
  </si>
  <si>
    <t>ROFUXIME-125 ( CEFUROXIME) 60ML SIROP</t>
  </si>
  <si>
    <t>FG02779</t>
  </si>
  <si>
    <t>ROFUXIME-250(CEFUROXIME) 250MG B\10CES</t>
  </si>
  <si>
    <t>FG02780</t>
  </si>
  <si>
    <t>ROSHAL (ROSUVASTATINE) 10MG B/30CES</t>
  </si>
  <si>
    <t>FG02781</t>
  </si>
  <si>
    <t>ROSHAL (ROSUVASTATINE) 20MG B/30CES</t>
  </si>
  <si>
    <t>FG02782</t>
  </si>
  <si>
    <t>ROSHAL (ROSUVASTATINE) 5MG B/30CES</t>
  </si>
  <si>
    <t>FG02783</t>
  </si>
  <si>
    <t>ROSTAT 10MG (ROSUVASTATINEA) B/30</t>
  </si>
  <si>
    <t>FG02784</t>
  </si>
  <si>
    <t>ROSTAT 20 MG (ROSUVASTATINEA) B/30</t>
  </si>
  <si>
    <t>FG02785</t>
  </si>
  <si>
    <t>ROSTAT 5 MG (ROSUVASTATINEA) B/30</t>
  </si>
  <si>
    <t>FG02786</t>
  </si>
  <si>
    <t>ROSUMEX 10 (ROSUVASTATINE10MG) B/30CES</t>
  </si>
  <si>
    <t>FG02787</t>
  </si>
  <si>
    <t>ROSUMEX 20 (ROSUVASTATINE20MG) B/30CES</t>
  </si>
  <si>
    <t>FG02788</t>
  </si>
  <si>
    <t>ROSUMEX F 200MG B/30CES</t>
  </si>
  <si>
    <t>FG02789</t>
  </si>
  <si>
    <t>ROSUVASTATIN DENK 10MG B\30CES</t>
  </si>
  <si>
    <t>FG02790</t>
  </si>
  <si>
    <t>ROSUVASTATIN DENK 20MG B\30CES</t>
  </si>
  <si>
    <t>FG02791</t>
  </si>
  <si>
    <t>ROSUVASTATIN DENK 5MG B\30CES</t>
  </si>
  <si>
    <t>FG02792</t>
  </si>
  <si>
    <t>ROVAMYCINE 1.5M UI CES B/16 &amp; 12 (EO)</t>
  </si>
  <si>
    <t>FG02793</t>
  </si>
  <si>
    <t>ROVAMYCINE 3MILLION CES B/10 (FR)</t>
  </si>
  <si>
    <t>FG02797</t>
  </si>
  <si>
    <t>ROVIGON B-24 CAP (VITAMINE -A + E)</t>
  </si>
  <si>
    <t>FG02798</t>
  </si>
  <si>
    <t>ROVIGON B/30CES (BAYRE)</t>
  </si>
  <si>
    <t>FG02799</t>
  </si>
  <si>
    <t>ROVISTA 10MG 30 CES</t>
  </si>
  <si>
    <t>FG02800</t>
  </si>
  <si>
    <t>ROVISTA 20 MG B/30 CES</t>
  </si>
  <si>
    <t>FG02801</t>
  </si>
  <si>
    <t>ROVISTA 5 MG B/30 CES</t>
  </si>
  <si>
    <t>FG02802</t>
  </si>
  <si>
    <t>ROXYL 300MG COMP B/5</t>
  </si>
  <si>
    <t>FG02803</t>
  </si>
  <si>
    <t>ROZALIN B/7 VAG SUPPO</t>
  </si>
  <si>
    <t>FG02804</t>
  </si>
  <si>
    <t>RPR TEST KIT</t>
  </si>
  <si>
    <t>FG02805</t>
  </si>
  <si>
    <t>RUBILON 100MG (EPIRUBICIN) INJ. B/1 VIAL</t>
  </si>
  <si>
    <t>FG02806</t>
  </si>
  <si>
    <t>RUBILON 50MG (EPIRUBICIN) INJ. B/1 VIAL</t>
  </si>
  <si>
    <t>FG02807</t>
  </si>
  <si>
    <t>RUFEDOL BT/10X10CES</t>
  </si>
  <si>
    <t>FG02808</t>
  </si>
  <si>
    <t>RUFEDOL FORTE TABS 1X10T</t>
  </si>
  <si>
    <t>FG02809</t>
  </si>
  <si>
    <t>RUFEDOL PLUS 10 X 10 CES</t>
  </si>
  <si>
    <t>FG02810</t>
  </si>
  <si>
    <t>RUFENAC B/10X10 CES</t>
  </si>
  <si>
    <t>FG02811</t>
  </si>
  <si>
    <t>RUFENAC CREAM 30GR</t>
  </si>
  <si>
    <t>FG02812</t>
  </si>
  <si>
    <t>RUFENAC SPRAY 70ML</t>
  </si>
  <si>
    <t>FG02813</t>
  </si>
  <si>
    <t>RUNATE 60MG (ARTESUNATE) B/1 AMP</t>
  </si>
  <si>
    <t>FG02814</t>
  </si>
  <si>
    <t>RXPRIONE 2MG (RISPERIDONE) B/30CES</t>
  </si>
  <si>
    <t>FG02815</t>
  </si>
  <si>
    <t>RXPRIONE 4MG (RISPERIDONE) B/30CES</t>
  </si>
  <si>
    <t>FG02816</t>
  </si>
  <si>
    <t>RYTHMODAN 100MG 40CAPS</t>
  </si>
  <si>
    <t>FG02817</t>
  </si>
  <si>
    <t>SAC MEN &amp; WOMENS</t>
  </si>
  <si>
    <t>FG02818</t>
  </si>
  <si>
    <t>SAC UNIQUE</t>
  </si>
  <si>
    <t>FG02819</t>
  </si>
  <si>
    <t>SACHET PLASTIC POUR MEDICAMENT PKT/100PCS</t>
  </si>
  <si>
    <t>FG02820</t>
  </si>
  <si>
    <t>SACHT 1 SAC</t>
  </si>
  <si>
    <t>FG02821</t>
  </si>
  <si>
    <t>SAFIDERM BEBE SAVON 120GM</t>
  </si>
  <si>
    <t>FG02822</t>
  </si>
  <si>
    <t>SAFIDERM CREME BABY 100GR</t>
  </si>
  <si>
    <t>FG02823</t>
  </si>
  <si>
    <t>SAFIDERM CREME ECLAT 100GR</t>
  </si>
  <si>
    <t>FG02824</t>
  </si>
  <si>
    <t>SAFIDERM CREME MEDICAL 100G</t>
  </si>
  <si>
    <t>FG02825</t>
  </si>
  <si>
    <t>SAFIDERM CREME MEDICAL 100GR</t>
  </si>
  <si>
    <t>FG02826</t>
  </si>
  <si>
    <t>SAFIDERM CREME NEUTRAL 100GR</t>
  </si>
  <si>
    <t>FG02827</t>
  </si>
  <si>
    <t>SAFIDERM ECLAT DE BEAUTE LOTION 250ML</t>
  </si>
  <si>
    <t>FG02828</t>
  </si>
  <si>
    <t>SAFIDERM LOTION BABY 250ML</t>
  </si>
  <si>
    <t>FG02829</t>
  </si>
  <si>
    <t>SAFIDERM LOTION BEBE</t>
  </si>
  <si>
    <t>FG02830</t>
  </si>
  <si>
    <t>SAFIDERM LOTION ECLAT 250ML</t>
  </si>
  <si>
    <t>FG02831</t>
  </si>
  <si>
    <t>SAFIDERM LOTION MEDICAL 250ML</t>
  </si>
  <si>
    <t>FG02832</t>
  </si>
  <si>
    <t>SAFIDERM LOTION NEUTRAL 250ML</t>
  </si>
  <si>
    <t>FG02833</t>
  </si>
  <si>
    <t>SAFIDERM MEDICAL LAIT CORPOREL LOTION</t>
  </si>
  <si>
    <t>FG02834</t>
  </si>
  <si>
    <t>SAFIDERM NEUTRAL LOTION 250ML</t>
  </si>
  <si>
    <t>FG02835</t>
  </si>
  <si>
    <t>SAFIDERM POMADE NUTRAL 100GR</t>
  </si>
  <si>
    <t>FG02836</t>
  </si>
  <si>
    <t>SAFIDERM POMMADE BABY 100G</t>
  </si>
  <si>
    <t>FG02837</t>
  </si>
  <si>
    <t>SAFIDERM POMMADE BEBE 100GR</t>
  </si>
  <si>
    <t>FG02838</t>
  </si>
  <si>
    <t>SAFIDERM POMMADE EUCLATE</t>
  </si>
  <si>
    <t>FG02839</t>
  </si>
  <si>
    <t>SAFIDERM POUDRE BABY 100G</t>
  </si>
  <si>
    <t>FG02840</t>
  </si>
  <si>
    <t>SAFIDERM POUDRE MEDICAL 100G</t>
  </si>
  <si>
    <t>FG02841</t>
  </si>
  <si>
    <t>SAFIDERM SAVON BABY 90G</t>
  </si>
  <si>
    <t>FG02842</t>
  </si>
  <si>
    <t>SAFIDERM SAVON ECLAT 90G</t>
  </si>
  <si>
    <t>FG02843</t>
  </si>
  <si>
    <t>SAFIDERM SAVON MEDICAL 90G</t>
  </si>
  <si>
    <t>FG02844</t>
  </si>
  <si>
    <t>SAFIDERM SAVON NEUTRAL 90G</t>
  </si>
  <si>
    <t>FG02845</t>
  </si>
  <si>
    <t>SAFIDERM TUBE ECLAT 50G</t>
  </si>
  <si>
    <t>FG02846</t>
  </si>
  <si>
    <t>SAFIDERM TUBE MEDICAL</t>
  </si>
  <si>
    <t>FG02847</t>
  </si>
  <si>
    <t>SAFIDERM TUBE MEDICAL 50G</t>
  </si>
  <si>
    <t>FG02848</t>
  </si>
  <si>
    <t>SALBUMOL INJ. 6AMP. 5ML (EO)</t>
  </si>
  <si>
    <t>FG02849</t>
  </si>
  <si>
    <t>SALBUTAMOL 2MG B/10 X 10 CES *</t>
  </si>
  <si>
    <t>FG02850</t>
  </si>
  <si>
    <t>SALBUTAMOL 4MG B/10X10CES</t>
  </si>
  <si>
    <t>FG02851</t>
  </si>
  <si>
    <t>SALBUTAMOL 6 SUPOO ( |LOCAL)</t>
  </si>
  <si>
    <t>FG02852</t>
  </si>
  <si>
    <t>SALBUTAMOL SP 100ML (PHATKIN)</t>
  </si>
  <si>
    <t>FG02853</t>
  </si>
  <si>
    <t>SALBUTAMOL SP 100ML GENERIQUE</t>
  </si>
  <si>
    <t>FG02854</t>
  </si>
  <si>
    <t>SALTER ELECTRONIC WEIGHING SCALE 20 KG</t>
  </si>
  <si>
    <t>FG02855</t>
  </si>
  <si>
    <t>SALTER MEDIWEIGH SCALE 130 KG</t>
  </si>
  <si>
    <t>FG02856</t>
  </si>
  <si>
    <t>SALTER SUPER SAMSON SCALE</t>
  </si>
  <si>
    <t>FG02857</t>
  </si>
  <si>
    <t>SALTER WEIGHING SCALE WITH TROUSER</t>
  </si>
  <si>
    <t>FG02858</t>
  </si>
  <si>
    <t>SALTRA INHALER 25/125MG FL</t>
  </si>
  <si>
    <t>FG02859</t>
  </si>
  <si>
    <t>SALTRA INHALER 25MG+250MCG 1 FL</t>
  </si>
  <si>
    <t>FG02860</t>
  </si>
  <si>
    <t>SAMSUNG A60</t>
  </si>
  <si>
    <t>FG02861</t>
  </si>
  <si>
    <t>SAMSUNG J1 MOBILE</t>
  </si>
  <si>
    <t>FG02862</t>
  </si>
  <si>
    <t>SAMSUNG J110</t>
  </si>
  <si>
    <t>FG02863</t>
  </si>
  <si>
    <t>SAMSUNG J3 MOBILE</t>
  </si>
  <si>
    <t>FG02864</t>
  </si>
  <si>
    <t>SAMSUNG TAB</t>
  </si>
  <si>
    <t>FG02865</t>
  </si>
  <si>
    <t>SAMSUNG TAB A 515</t>
  </si>
  <si>
    <t>FG02866</t>
  </si>
  <si>
    <t>SANDWICH MAKER</t>
  </si>
  <si>
    <t>FG02867</t>
  </si>
  <si>
    <t>SANFOTAX (CEFOTAXIME) 1000MG IV/IM B/1 AMP</t>
  </si>
  <si>
    <t>FG02868</t>
  </si>
  <si>
    <t>SANTRIAX ( CEFTRI+TAZO) T-1000MG IV/IM B/1 AMP</t>
  </si>
  <si>
    <t>FG02869</t>
  </si>
  <si>
    <t>SANTRIAX (CEFTRIAXONE) 1000MG B/ AMP</t>
  </si>
  <si>
    <t>FG02870</t>
  </si>
  <si>
    <t>SAPHNATE (ARTESUNAYE ) 120MG B/1 AMP</t>
  </si>
  <si>
    <t>FG02871</t>
  </si>
  <si>
    <t>SAPHNATE (ARTESUNAYE ) 30MG B/1 AMP</t>
  </si>
  <si>
    <t>FG02872</t>
  </si>
  <si>
    <t>SATUROMETRE DE POUILS</t>
  </si>
  <si>
    <t>FG02873</t>
  </si>
  <si>
    <t>SAVON LIQUIDE A MAIN 1 PCS</t>
  </si>
  <si>
    <t>FG02874</t>
  </si>
  <si>
    <t>SAVON PETIT MARS 300G</t>
  </si>
  <si>
    <t>FG02875</t>
  </si>
  <si>
    <t>SCABOMA LOTION 100ML</t>
  </si>
  <si>
    <t>FG02876</t>
  </si>
  <si>
    <t>SCHERIPROCT POMMADE 30GR(FR)</t>
  </si>
  <si>
    <t>FG02877</t>
  </si>
  <si>
    <t>SEACLAVIN (AMOXICILLINE+CLAVU) 457 SUSPENSION 70ML</t>
  </si>
  <si>
    <t>FG02878</t>
  </si>
  <si>
    <t>SEDASPIR 20MG 20CES (FR)</t>
  </si>
  <si>
    <t>FG02879</t>
  </si>
  <si>
    <t>SEDATOUX SP 100ML</t>
  </si>
  <si>
    <t>FG02880</t>
  </si>
  <si>
    <t>SEDORRHOIDE 8 SUPPO (FR)</t>
  </si>
  <si>
    <t>FG02881</t>
  </si>
  <si>
    <t>SEDORRHOIDE CREME (FR)</t>
  </si>
  <si>
    <t>FG02882</t>
  </si>
  <si>
    <t>SEKISAN SIROP 120ML (FR)</t>
  </si>
  <si>
    <t>FG02883</t>
  </si>
  <si>
    <t>SEKROL AD 30MG 150ML (FR)</t>
  </si>
  <si>
    <t>FG02884</t>
  </si>
  <si>
    <t>SEKROL PEDIATRIQUE 15GM 100ML (FR)</t>
  </si>
  <si>
    <t>FG02885</t>
  </si>
  <si>
    <t>SEL ANGLAIE 50GR.</t>
  </si>
  <si>
    <t>FG02886</t>
  </si>
  <si>
    <t>SENSODYNE DENTIFRICE RAPIDE(FR)</t>
  </si>
  <si>
    <t>FG02887</t>
  </si>
  <si>
    <t>SENSODYNE FRESH MINT DENTIFRICE 75ML</t>
  </si>
  <si>
    <t>FG02888</t>
  </si>
  <si>
    <t>SENSURE LOTION 50ML</t>
  </si>
  <si>
    <t>FG02889</t>
  </si>
  <si>
    <t>SENSURE REB TUBE 15GR.</t>
  </si>
  <si>
    <t>FG02890</t>
  </si>
  <si>
    <t>SENSURE RUB TUBE 30GR</t>
  </si>
  <si>
    <t>FG02891</t>
  </si>
  <si>
    <t>SEPGERM 50ML</t>
  </si>
  <si>
    <t>FG02892</t>
  </si>
  <si>
    <t>SEPGERM GEL 100ML</t>
  </si>
  <si>
    <t>FG02893</t>
  </si>
  <si>
    <t>SEPTOGYNE OVULES</t>
  </si>
  <si>
    <t>FG02894</t>
  </si>
  <si>
    <t>SERENG WATTER ELECTRIC</t>
  </si>
  <si>
    <t>FG02895</t>
  </si>
  <si>
    <t>SERENG WTTER MANUAL</t>
  </si>
  <si>
    <t>FG02896</t>
  </si>
  <si>
    <t>SERETIDE 100/50 MG 60 DOSES (FR)</t>
  </si>
  <si>
    <t>FG02897</t>
  </si>
  <si>
    <t>SERETIDE 250/50MCG 60DOSE (EO)</t>
  </si>
  <si>
    <t>FG02898</t>
  </si>
  <si>
    <t>SERINGE 60CC 1PCS(LONG)</t>
  </si>
  <si>
    <t>FG02899</t>
  </si>
  <si>
    <t>SERINGUE 10CC..1PCS (UNIQUE)</t>
  </si>
  <si>
    <t>FG02900</t>
  </si>
  <si>
    <t>SERINGUE 10ML AUTO - DISABLE 21G PCS/1</t>
  </si>
  <si>
    <t>FG02901</t>
  </si>
  <si>
    <t>SERINGUE 20CC AVEC AIG. 1 PCS (UNIQUE)</t>
  </si>
  <si>
    <t>FG02902</t>
  </si>
  <si>
    <t>SERINGUE 2CC...1PCS (UNIQUE)</t>
  </si>
  <si>
    <t>FG02903</t>
  </si>
  <si>
    <t>SERINGUE 2ML AUTO - DISABLE 23G PCS/1</t>
  </si>
  <si>
    <t>FG02904</t>
  </si>
  <si>
    <t>SERINGUE 50CC AVEC AIGUILLE PCS/1 (UNIQUE)</t>
  </si>
  <si>
    <t>FG02905</t>
  </si>
  <si>
    <t>SERINGUE 5CC B/1PCS (UNIQUE)</t>
  </si>
  <si>
    <t>FG02906</t>
  </si>
  <si>
    <t>SERINGUE 5ML AUTO - DISABLE 22G PCS/1</t>
  </si>
  <si>
    <t>FG02907</t>
  </si>
  <si>
    <t>SERINGUE INSULINE 1ML***100UI*** 1 PCS (UNIQUE)</t>
  </si>
  <si>
    <t>FG02908</t>
  </si>
  <si>
    <t>SERINGUE INSULINE 40 UI PCS/1 (UNIQUE)</t>
  </si>
  <si>
    <t>FG02909</t>
  </si>
  <si>
    <t>SERONAC (ACECLO+PARA+SERRAT) B10 CES</t>
  </si>
  <si>
    <t>FG02910</t>
  </si>
  <si>
    <t>SERUM GLUCOSE 10% 1LTR1</t>
  </si>
  <si>
    <t>FG02911</t>
  </si>
  <si>
    <t>SERUM GLUCOSE 5% 1LTR1</t>
  </si>
  <si>
    <t>FG02912</t>
  </si>
  <si>
    <t>SERUM GLUCOSE 5%...500ML ###1</t>
  </si>
  <si>
    <t>FG02913</t>
  </si>
  <si>
    <t>SERUM MIXTE 1LTR1</t>
  </si>
  <si>
    <t>FG02914</t>
  </si>
  <si>
    <t>SERUM MIXTE 500ML ##</t>
  </si>
  <si>
    <t>FG02915</t>
  </si>
  <si>
    <t>SERUM PHYSIO 1LTR1</t>
  </si>
  <si>
    <t>FG02916</t>
  </si>
  <si>
    <t>SERUM PHYSIO...500ML ##</t>
  </si>
  <si>
    <t>FG02917</t>
  </si>
  <si>
    <t>SERUM VERGETURES 45ML</t>
  </si>
  <si>
    <t>FG02918</t>
  </si>
  <si>
    <t>SETRON INJ B/1AMP</t>
  </si>
  <si>
    <t>FG02919</t>
  </si>
  <si>
    <t>SETRON (ONDANSETRON) 30ML SP</t>
  </si>
  <si>
    <t>FG02920</t>
  </si>
  <si>
    <t>SETRON 4MG SUPPO B\5PC</t>
  </si>
  <si>
    <t>FG02921</t>
  </si>
  <si>
    <t>SETRON-MD B/4 CES</t>
  </si>
  <si>
    <t>FG02923</t>
  </si>
  <si>
    <t>SHAKFORMINE(METFORMINE) G500MG B/30CES</t>
  </si>
  <si>
    <t>FG02924</t>
  </si>
  <si>
    <t>SHALBACTAM 1G INJ</t>
  </si>
  <si>
    <t>FG02925</t>
  </si>
  <si>
    <t>SHALBACTAM TZ INJ</t>
  </si>
  <si>
    <t>FG02926</t>
  </si>
  <si>
    <t>SHALCIP 100ML INJ (SAN TROUSSE)</t>
  </si>
  <si>
    <t>FG02927</t>
  </si>
  <si>
    <t>SHALCIP 500MG B/10CES</t>
  </si>
  <si>
    <t>FG02928</t>
  </si>
  <si>
    <t>SHALCIP TZ BT/10CES</t>
  </si>
  <si>
    <t>FG02929</t>
  </si>
  <si>
    <t>SHALDEX COLLYRE 10ML</t>
  </si>
  <si>
    <t>FG02930</t>
  </si>
  <si>
    <t>SHALFLOX B/10CES PL</t>
  </si>
  <si>
    <t>FG02931</t>
  </si>
  <si>
    <t>SHALFORMIN (METFORMINE) 500MG B/30CES</t>
  </si>
  <si>
    <t>FG02932</t>
  </si>
  <si>
    <t>SHALFORMIN-G B/30CES</t>
  </si>
  <si>
    <t>FG02933</t>
  </si>
  <si>
    <t>SHALSPIRIN CV (ASPIRINE) 75MG B/30CES</t>
  </si>
  <si>
    <t>FG02934</t>
  </si>
  <si>
    <t>SHALTOUX EXP. SP 125ML</t>
  </si>
  <si>
    <t>FG02935</t>
  </si>
  <si>
    <t>SHALTOUX HERBAL COUGH SYRP 100ML</t>
  </si>
  <si>
    <t>FG02936</t>
  </si>
  <si>
    <t>SHALTOUX RAPIDE 100ML</t>
  </si>
  <si>
    <t>FG02937</t>
  </si>
  <si>
    <t>SHALTOUX RHUME &amp; TOUX CESML</t>
  </si>
  <si>
    <t>FG02938</t>
  </si>
  <si>
    <t>SHALTOX ORNGE LOZENGE</t>
  </si>
  <si>
    <t>FG02939</t>
  </si>
  <si>
    <t>SHALVIT B/1000CES</t>
  </si>
  <si>
    <t>FG02940</t>
  </si>
  <si>
    <t>SHALVIT FRUIT SIROP 120ML</t>
  </si>
  <si>
    <t>FG02941</t>
  </si>
  <si>
    <t>SHIRT</t>
  </si>
  <si>
    <t>FG02942</t>
  </si>
  <si>
    <t>SHOES COVER B/50 PAIR</t>
  </si>
  <si>
    <t>FG02943</t>
  </si>
  <si>
    <t>SIBELIUM 10MG 30CES(FR)</t>
  </si>
  <si>
    <t>FG02944</t>
  </si>
  <si>
    <t>SICOMBILIC POUDRE (LOCAL)</t>
  </si>
  <si>
    <t>FG02945</t>
  </si>
  <si>
    <t>SILYBON ( SILYMARIN 140MG ) B/30 CES</t>
  </si>
  <si>
    <t>FG02946</t>
  </si>
  <si>
    <t>SILYBON 140MG 10CES</t>
  </si>
  <si>
    <t>FG02947</t>
  </si>
  <si>
    <t>SIMANOL (TIMOLOL) SML COLLYRE</t>
  </si>
  <si>
    <t>FG02948</t>
  </si>
  <si>
    <t>SIMBA KOF 200 PASTILLES</t>
  </si>
  <si>
    <t>FG02949</t>
  </si>
  <si>
    <t>SIMBA KOF SIROP 100ML ANTI-TUSSIF</t>
  </si>
  <si>
    <t>FG02950</t>
  </si>
  <si>
    <t>SIMDEX (DEXAMETHASONE) COLLYRE</t>
  </si>
  <si>
    <t>FG02951</t>
  </si>
  <si>
    <t>SIMDX (DEXAMETHASONE) COLLYRE</t>
  </si>
  <si>
    <t>FG02952</t>
  </si>
  <si>
    <t>SIMULATEUR ACCOUCHEMENT</t>
  </si>
  <si>
    <t>FG02953</t>
  </si>
  <si>
    <t>SIMULATEUR REANIMATION NOUVEAU-NE</t>
  </si>
  <si>
    <t>FG02954</t>
  </si>
  <si>
    <t>SIMVA DENK 20MG 30CES (FR)</t>
  </si>
  <si>
    <t>FG02955</t>
  </si>
  <si>
    <t>SIMVA DENK 40MG B/30CES (FR)</t>
  </si>
  <si>
    <t>FG02956</t>
  </si>
  <si>
    <t>SINTRON 4MG 30CES (FR)</t>
  </si>
  <si>
    <t>FG02957</t>
  </si>
  <si>
    <t>SINUTAB 500/30MG B/15CES (FR)</t>
  </si>
  <si>
    <t>FG02958</t>
  </si>
  <si>
    <t>SINUTAB FORTE 20CES (FR)</t>
  </si>
  <si>
    <t>FG02959</t>
  </si>
  <si>
    <t>SIOMETRE AVEC BRASSARD PEDIATRIQUE</t>
  </si>
  <si>
    <t>FG02960</t>
  </si>
  <si>
    <t>SIROP DE FER 100ML</t>
  </si>
  <si>
    <t>FG02961</t>
  </si>
  <si>
    <t>SIROP DE FER 100ML (PHATKIN)</t>
  </si>
  <si>
    <t>FG02962</t>
  </si>
  <si>
    <t>SKYCOLD B/80CES</t>
  </si>
  <si>
    <t>FG02963</t>
  </si>
  <si>
    <t>SKYCOLD SYRUP 100ML</t>
  </si>
  <si>
    <t>FG02964</t>
  </si>
  <si>
    <t>SMECTA B/30 SACHET*****</t>
  </si>
  <si>
    <t>FG02965</t>
  </si>
  <si>
    <t>SOCOMOL GEL 30G</t>
  </si>
  <si>
    <t>FG02966</t>
  </si>
  <si>
    <t>SOCOMOL (PARA-DICLO-CAFE) B/10 CES</t>
  </si>
  <si>
    <t>FG02967</t>
  </si>
  <si>
    <t>SOCOMOL 1GM (PARACETAMOL) EFF B/8 CES</t>
  </si>
  <si>
    <t>FG02968</t>
  </si>
  <si>
    <t>SOCOMOL 500MG (PARACETAMOL) EFF B/16 CES</t>
  </si>
  <si>
    <t>FG02969</t>
  </si>
  <si>
    <t>SOCOMOL PLUS B/10 CES</t>
  </si>
  <si>
    <t>FG02970</t>
  </si>
  <si>
    <t>SOCOMOL SPRAY 100ML</t>
  </si>
  <si>
    <t>FG02971</t>
  </si>
  <si>
    <t>SOCOMOL SUSPENSION 100ML</t>
  </si>
  <si>
    <t>FG02972</t>
  </si>
  <si>
    <t>SOIE NO.0...PCS/1 (UNIQUE)</t>
  </si>
  <si>
    <t>FG02973</t>
  </si>
  <si>
    <t>SOIE NO.1...PCS/1 (UNIQUE)</t>
  </si>
  <si>
    <t>FG02974</t>
  </si>
  <si>
    <t>SOIE NO.2...PCS/1 (UNIQUE)</t>
  </si>
  <si>
    <t>FG02975</t>
  </si>
  <si>
    <t>SOIE NO.2/0...PCS/1 (UNIQUE)</t>
  </si>
  <si>
    <t>FG02976</t>
  </si>
  <si>
    <t>SOIE NO.3...PCS/1 (UNIQUE)</t>
  </si>
  <si>
    <t>FG02977</t>
  </si>
  <si>
    <t>SOIE NO.3/0...PCS/1 (UNIQUE)</t>
  </si>
  <si>
    <t>FG02978</t>
  </si>
  <si>
    <t>SOLIFEN 5 MG B/10 CES</t>
  </si>
  <si>
    <t>FG02979</t>
  </si>
  <si>
    <t>SOLOTONE (MULTIVITAMINE) B/30 CES</t>
  </si>
  <si>
    <t>FG02980</t>
  </si>
  <si>
    <t>SOLU MEDROL 120MG MIX V 2ML (FR)</t>
  </si>
  <si>
    <t>FG02982</t>
  </si>
  <si>
    <t>SOLU-MEDROL 40MG INJ AMP B/1 (FR)</t>
  </si>
  <si>
    <t>FG02983</t>
  </si>
  <si>
    <t>SOLUDENT (BAIN DE BOUCHE) 100ML</t>
  </si>
  <si>
    <t>FG02984</t>
  </si>
  <si>
    <t>SOLUTION DAKIN 60ML</t>
  </si>
  <si>
    <t>FG02985</t>
  </si>
  <si>
    <t>SOLUTION DE CITRATE DE SOUDE 3.8 %1KG</t>
  </si>
  <si>
    <t>FG02986</t>
  </si>
  <si>
    <t>SOLUTION DE TURK 1LTR</t>
  </si>
  <si>
    <t>FG02987</t>
  </si>
  <si>
    <t>SOLUTION ESBACH</t>
  </si>
  <si>
    <t>FG02988</t>
  </si>
  <si>
    <t>SOLUTION PHYSIO 15ML</t>
  </si>
  <si>
    <t>FG02989</t>
  </si>
  <si>
    <t>SOLUTION PHYSIOLOGIQUE 1LTR</t>
  </si>
  <si>
    <t>FG02990</t>
  </si>
  <si>
    <t>SOMAZINA 1GR INJ B/5AMP (FR)</t>
  </si>
  <si>
    <t>FG02991</t>
  </si>
  <si>
    <t>SOMAZINA 30ML SOLU.VOIE ORAL (CITICOLIN)</t>
  </si>
  <si>
    <t>FG02992</t>
  </si>
  <si>
    <t>SOMAZINA SACHET B/6(FR)</t>
  </si>
  <si>
    <t>FG02993</t>
  </si>
  <si>
    <t>SONADERM CREME 10GR</t>
  </si>
  <si>
    <t>FG02994</t>
  </si>
  <si>
    <t>SONDE ASPIRATION NO-10 1 PCS</t>
  </si>
  <si>
    <t>FG02995</t>
  </si>
  <si>
    <t>SONDE ASPIRATION NO-12 1 PCS</t>
  </si>
  <si>
    <t>FG02996</t>
  </si>
  <si>
    <t>SONDE ASPIRATION NO-14 1 PCS</t>
  </si>
  <si>
    <t>FG02997</t>
  </si>
  <si>
    <t>SONDE ASPIRATION NO-16 1 PCS</t>
  </si>
  <si>
    <t>FG02998</t>
  </si>
  <si>
    <t>SONDE ASPIRATION NO-18 1 PCS</t>
  </si>
  <si>
    <t>FG02999</t>
  </si>
  <si>
    <t>SONDE ASPIRATION NO-20 1 PCS</t>
  </si>
  <si>
    <t>FG03000</t>
  </si>
  <si>
    <t>SONDE ASPIRATION NO-6 1 PCS</t>
  </si>
  <si>
    <t>FG03001</t>
  </si>
  <si>
    <t>SONDE ASPIRATION NO-8 1 PCS</t>
  </si>
  <si>
    <t>FG03002</t>
  </si>
  <si>
    <t>SONDE DRAINAGE-T NO. 10 FR (16 X 38CM)</t>
  </si>
  <si>
    <t>FG03003</t>
  </si>
  <si>
    <t>SONDE DRAINAGE-T NO. 12 FR (16 X 38CM)</t>
  </si>
  <si>
    <t>FG03004</t>
  </si>
  <si>
    <t>SONDE DRAINAGE-T NO. 14 FR (16 X 38CM)</t>
  </si>
  <si>
    <t>FG03005</t>
  </si>
  <si>
    <t>SONDE DRAINAGE-T NO. 16 FR (16 X 38CM)</t>
  </si>
  <si>
    <t>FG03006</t>
  </si>
  <si>
    <t>SONDE DRAINAGE-T NO. 18 FR (16 X 38CM)</t>
  </si>
  <si>
    <t>FG03007</t>
  </si>
  <si>
    <t>SONDE NASO GASTRIL NO-10 1 PCS</t>
  </si>
  <si>
    <t>FG03008</t>
  </si>
  <si>
    <t>SONDE NASO GASTRIL NO-12 1 PCS</t>
  </si>
  <si>
    <t>FG03009</t>
  </si>
  <si>
    <t>SONDE NASO GASTRIL NO-14 1 PCS</t>
  </si>
  <si>
    <t>FG03010</t>
  </si>
  <si>
    <t>SONDE NASO GASTRIL NO-16 1 PCS</t>
  </si>
  <si>
    <t>FG03011</t>
  </si>
  <si>
    <t>SONDE NASO GASTRIL NO-18 1 PCS</t>
  </si>
  <si>
    <t>FG03012</t>
  </si>
  <si>
    <t>SONDE NASO GASTRIL NO-20 1 PCS</t>
  </si>
  <si>
    <t>FG03013</t>
  </si>
  <si>
    <t>SONDE NASO GASTRIL NO-5 1 PCS</t>
  </si>
  <si>
    <t>FG03014</t>
  </si>
  <si>
    <t>SONDE NASO GASTRIL NO-6 1 PCS</t>
  </si>
  <si>
    <t>FG03015</t>
  </si>
  <si>
    <t>SONDE NASO GASTRIL NO-8 1 PCS</t>
  </si>
  <si>
    <t>FG03016</t>
  </si>
  <si>
    <t>SONDE NELATON NO-10 1 PCS</t>
  </si>
  <si>
    <t>FG03017</t>
  </si>
  <si>
    <t>SONDE NELATON NO-12 1 PCS</t>
  </si>
  <si>
    <t>FG03018</t>
  </si>
  <si>
    <t>SONDE NELATON NO-14 1 PCS</t>
  </si>
  <si>
    <t>FG03019</t>
  </si>
  <si>
    <t>SONDE NELATON NO-16 1 PCS</t>
  </si>
  <si>
    <t>FG03020</t>
  </si>
  <si>
    <t>SONDE NELATON NO-18 1 PCS</t>
  </si>
  <si>
    <t>FG03021</t>
  </si>
  <si>
    <t>SONDE NELATON NO-20 1 PCS</t>
  </si>
  <si>
    <t>FG03022</t>
  </si>
  <si>
    <t>SONDE NELATON NO-8 1 PCS</t>
  </si>
  <si>
    <t>FG03023</t>
  </si>
  <si>
    <t>SONDE RECTAL 40CM NO-20 1 PCS</t>
  </si>
  <si>
    <t>FG03024</t>
  </si>
  <si>
    <t>SONDE RECTAL 40CM NO-22 1 PCS</t>
  </si>
  <si>
    <t>FG03025</t>
  </si>
  <si>
    <t>SONDE RECTAL 40CM NO-24 1 PCS</t>
  </si>
  <si>
    <t>FG03026</t>
  </si>
  <si>
    <t>SONDE RECTAL 40CM NO-26 1 PCS</t>
  </si>
  <si>
    <t>FG03027</t>
  </si>
  <si>
    <t>SONDE RECTAL 40CM NO-28 1 PCS</t>
  </si>
  <si>
    <t>FG03028</t>
  </si>
  <si>
    <t>SONDE RECTAL 40CM NO-30 1 PCS</t>
  </si>
  <si>
    <t>FG03029</t>
  </si>
  <si>
    <t>SONDE URINAIRE 3VOIES NO-16 1 PCS</t>
  </si>
  <si>
    <t>FG03030</t>
  </si>
  <si>
    <t>SONDE URINAIRE 3VOIES NO-18 1 PCS</t>
  </si>
  <si>
    <t>FG03031</t>
  </si>
  <si>
    <t>SONDE URINAIRE 3VOIES NO-20 1 PCS</t>
  </si>
  <si>
    <t>FG03032</t>
  </si>
  <si>
    <t>SONDE URINAIRE 3VOIES NO-22 1 PCS</t>
  </si>
  <si>
    <t>FG03033</t>
  </si>
  <si>
    <t>SONDE URINAIRE 3VOIES NO-24 1 PCS</t>
  </si>
  <si>
    <t>FG03034</t>
  </si>
  <si>
    <t>SONDE URINAIRE NO-10 2VOIES PCS/1</t>
  </si>
  <si>
    <t>FG03035</t>
  </si>
  <si>
    <t>SONDE URINAIRE NO-12 2VOIES PCS/1</t>
  </si>
  <si>
    <t>FG03036</t>
  </si>
  <si>
    <t>SONDE URINAIRE NO-14 2VOIES PCS/1</t>
  </si>
  <si>
    <t>FG03037</t>
  </si>
  <si>
    <t>SONDE URINAIRE NO-16 2VOIES PCS/1</t>
  </si>
  <si>
    <t>FG03038</t>
  </si>
  <si>
    <t>SONDE URINAIRE NO-18 2VOIES PCS/1</t>
  </si>
  <si>
    <t>FG03039</t>
  </si>
  <si>
    <t>SONDE URINAIRE NO-22 2VOIES PCS/1</t>
  </si>
  <si>
    <t>FG03040</t>
  </si>
  <si>
    <t>SONDE URINAIRE NO. 6 2VOIES PCS/1</t>
  </si>
  <si>
    <t>FG03041</t>
  </si>
  <si>
    <t>SONDE URINAIRE NO. 8 2VOIES PCS/1</t>
  </si>
  <si>
    <t>FG03042</t>
  </si>
  <si>
    <t>SONDE URINAIRE NO.20 2VOIES PCS/1</t>
  </si>
  <si>
    <t>FG03043</t>
  </si>
  <si>
    <t>SONDE URINAIRE...NO-24 2VOIES PCS/1</t>
  </si>
  <si>
    <t>FG03044</t>
  </si>
  <si>
    <t>SONDES ENDOTRACHEALES AVEC BALLONNET NO 6.5</t>
  </si>
  <si>
    <t>FG03045</t>
  </si>
  <si>
    <t>SONDES ENDOTRACHEALES AVEC BALLONNET NO. 5.5</t>
  </si>
  <si>
    <t>FG03046</t>
  </si>
  <si>
    <t>SONDES ENDOTRACHEALES AVEC BALLONNET NO.3</t>
  </si>
  <si>
    <t>FG03047</t>
  </si>
  <si>
    <t>SONDES ENDOTRACHEALES AVEC BALLONNET NO.3.5</t>
  </si>
  <si>
    <t>FG03048</t>
  </si>
  <si>
    <t>SONDES ENDOTRACHEALES AVEC BALLONNET NO.4</t>
  </si>
  <si>
    <t>FG03049</t>
  </si>
  <si>
    <t>SONDES ENDOTRACHEALES AVEC BALLONNET NO.4.5</t>
  </si>
  <si>
    <t>FG03050</t>
  </si>
  <si>
    <t>SONDES ENDOTRACHEALES AVEC BALLONNET NO.5</t>
  </si>
  <si>
    <t>FG03051</t>
  </si>
  <si>
    <t>SONDES ENDOTRACHEALES AVEC BALLONNET NO.6</t>
  </si>
  <si>
    <t>FG03052</t>
  </si>
  <si>
    <t>SONDES ENDOTRACHEALES AVEC BALLONNET NO.7</t>
  </si>
  <si>
    <t>FG03053</t>
  </si>
  <si>
    <t>SONDES ENDOTRACHEALES AVEC BALLONNET NO.7.5</t>
  </si>
  <si>
    <t>FG03054</t>
  </si>
  <si>
    <t>SONDES ENDOTRACHEALES AVEC BALLONNET NO.8</t>
  </si>
  <si>
    <t>FG03055</t>
  </si>
  <si>
    <t>SONDES ENDOTRACHEALES AVEC BALLONNET NO.8.5</t>
  </si>
  <si>
    <t>FG03056</t>
  </si>
  <si>
    <t>SPARADRA 2.5CM X 5CM PCS/1</t>
  </si>
  <si>
    <t>FG03057</t>
  </si>
  <si>
    <t>SPARADRA-MEDIFIX 10CM X 10M PCS/1</t>
  </si>
  <si>
    <t>FG03058</t>
  </si>
  <si>
    <t>SPARADRA-MEDIFIX 15CM X 10M PCS/1</t>
  </si>
  <si>
    <t>FG03059</t>
  </si>
  <si>
    <t>SPARADRA-MEDIFIX 20CM X 10M PCS/1</t>
  </si>
  <si>
    <t>FG03060</t>
  </si>
  <si>
    <t>SPARADRA-MEDIFIX 5CM X 10M PCS/1</t>
  </si>
  <si>
    <t>FG03061</t>
  </si>
  <si>
    <t>SPARADRA-SILK 2.5CM X 5Y PCS/1</t>
  </si>
  <si>
    <t>FG03062</t>
  </si>
  <si>
    <t>SPARADRA-SILK 5CM X 5Y PCS/1</t>
  </si>
  <si>
    <t>FG03063</t>
  </si>
  <si>
    <t>SPARADRAP 10CMX5M PCS(UNIQUE)</t>
  </si>
  <si>
    <t>FG03064</t>
  </si>
  <si>
    <t>SPARADRAP 5CMX5M PCS(UNIQUE)</t>
  </si>
  <si>
    <t>FG03065</t>
  </si>
  <si>
    <t>SPARADRAP 7.5CMX5M PCS(UNIQUE)</t>
  </si>
  <si>
    <t>FG03066</t>
  </si>
  <si>
    <t>SPARADRAP HYPOALLERGENIC @@ 10 CM @@X 5M (UNIUQE)</t>
  </si>
  <si>
    <t>FG03067</t>
  </si>
  <si>
    <t>SPARADRAP HYPOALLERGENIC # 5 CM ## X 5M (UNIUQE )</t>
  </si>
  <si>
    <t>FG03068</t>
  </si>
  <si>
    <t>SPARADRAP HYPOALLERGENIC 2.5CM (UNIQUE)</t>
  </si>
  <si>
    <t>FG03072</t>
  </si>
  <si>
    <t>SPASFON INJ. B/6AMP (FR)</t>
  </si>
  <si>
    <t>FG03073</t>
  </si>
  <si>
    <t>SPASFON LYOC ****** 160MG B/5CES****** (FR)</t>
  </si>
  <si>
    <t>FG03074</t>
  </si>
  <si>
    <t>SPASMINE B/10 CES</t>
  </si>
  <si>
    <t>FG03075</t>
  </si>
  <si>
    <t>SPASMOMEN 40MG 30CES</t>
  </si>
  <si>
    <t>FG03076</t>
  </si>
  <si>
    <t>SPASTA -10 ( DICYLOMINE ) B / 1 X 10 CES</t>
  </si>
  <si>
    <t>FG03077</t>
  </si>
  <si>
    <t>SPASTA SIROP 100ML</t>
  </si>
  <si>
    <t>FG03078</t>
  </si>
  <si>
    <t>SPASTA-20 (DICYCLOMINE ) B\ 1 X 10 CES</t>
  </si>
  <si>
    <t>FG03079</t>
  </si>
  <si>
    <t>SPEAKER</t>
  </si>
  <si>
    <t>FG03080</t>
  </si>
  <si>
    <t>SPECIA PATE GINGIVALE 75 ML</t>
  </si>
  <si>
    <t>FG03081</t>
  </si>
  <si>
    <t>SPILANTHOL A.H.T B/10SUPPOS</t>
  </si>
  <si>
    <t>FG03082</t>
  </si>
  <si>
    <t>STABILIZER 2000WL</t>
  </si>
  <si>
    <t>FG03083</t>
  </si>
  <si>
    <t>STAMP MINI</t>
  </si>
  <si>
    <t>FG03084</t>
  </si>
  <si>
    <t>STARDEX COLLYRE 10ML</t>
  </si>
  <si>
    <t>FG03085</t>
  </si>
  <si>
    <t>START-120MG (ARTESUNATE) INJECTABLE B/ 1 KIT</t>
  </si>
  <si>
    <t>FG03086</t>
  </si>
  <si>
    <t>START-150MG (ARTESUNATE) INJECTABLE B/ 1 KIT</t>
  </si>
  <si>
    <t>FG03087</t>
  </si>
  <si>
    <t>START-180MG (ARTESUNATE) INJECTABLE B/ 1 KIT</t>
  </si>
  <si>
    <t>FG03088</t>
  </si>
  <si>
    <t>START-210MG (ARTESUNATE) INJECTABLE B/ 1 KIT</t>
  </si>
  <si>
    <t>FG03089</t>
  </si>
  <si>
    <t>START-240MG (ARTESUNATE) INJECTABLE B/ 1 KIT</t>
  </si>
  <si>
    <t>FG03090</t>
  </si>
  <si>
    <t>START-30MG (ARTESUNATE) INJECTABLE B/ 1 KIT</t>
  </si>
  <si>
    <t>FG03091</t>
  </si>
  <si>
    <t>START-60MG (ARTESUNATE) INJECTABLE B/ 1 KIT</t>
  </si>
  <si>
    <t>FG03092</t>
  </si>
  <si>
    <t>START-90MG (ARTESUNATE) INJECTABLE B/ 1 KIT</t>
  </si>
  <si>
    <t>FG03093</t>
  </si>
  <si>
    <t>STEBILASR 1000W</t>
  </si>
  <si>
    <t>FG03094</t>
  </si>
  <si>
    <t>STERIMAR BEBE SOL NASAL 50ML(FR)</t>
  </si>
  <si>
    <t>FG03095</t>
  </si>
  <si>
    <t>STERIPLAIE 5GR. POUDRE</t>
  </si>
  <si>
    <t>FG03096</t>
  </si>
  <si>
    <t>STERIZONE (CEFTRIAXONE 1G) IM IV B/1AMP</t>
  </si>
  <si>
    <t>FG03097</t>
  </si>
  <si>
    <t>STERIZONE S 1500 B/A 1AMP</t>
  </si>
  <si>
    <t>FG03098</t>
  </si>
  <si>
    <t>STERIZONE T 1125 B/1AMP</t>
  </si>
  <si>
    <t>FG03099</t>
  </si>
  <si>
    <t>STEROVIT SIROP 100ML</t>
  </si>
  <si>
    <t>FG03100</t>
  </si>
  <si>
    <t>STETHOSCOPE DOUBLE (UNIQUE)</t>
  </si>
  <si>
    <t>FG03101</t>
  </si>
  <si>
    <t>STETHOSCOPE DOUBLE DELUXE (UNIQUE)</t>
  </si>
  <si>
    <t>FG03102</t>
  </si>
  <si>
    <t>STETHOSCOPE SIMPLE (UNIQUE)</t>
  </si>
  <si>
    <t>FG03103</t>
  </si>
  <si>
    <t>STIMUFORT SP 100ML</t>
  </si>
  <si>
    <t>FG03104</t>
  </si>
  <si>
    <t>STIMULEX B/10CAPS</t>
  </si>
  <si>
    <t>FG03105</t>
  </si>
  <si>
    <t>STIMULEX-TONIQUE 100ML SP</t>
  </si>
  <si>
    <t>FG03106</t>
  </si>
  <si>
    <t>STREPSIL MIEL CITRON 24 PASTILLES</t>
  </si>
  <si>
    <t>FG03107</t>
  </si>
  <si>
    <t>STREPSILS LIDOCAINE ....SPRAY 20ML</t>
  </si>
  <si>
    <t>FG03108</t>
  </si>
  <si>
    <t>STREPSILS SANS SUCRE CITRON 16 PASTILLES</t>
  </si>
  <si>
    <t>FG03109</t>
  </si>
  <si>
    <t>STREPSILS SANS SUCRE CITRON 36PASTILLES</t>
  </si>
  <si>
    <t>FG03110</t>
  </si>
  <si>
    <t>STRIALEXIN $ 500 MG (CEFALEXIN) B/20CPS</t>
  </si>
  <si>
    <t>FG03111</t>
  </si>
  <si>
    <t>STRIALEXIN 125MG (CEFALEXIN) SIROP</t>
  </si>
  <si>
    <t>FG03112</t>
  </si>
  <si>
    <t>STRIALEXIN @ 250 MG (CEFALEXIN) SIROP</t>
  </si>
  <si>
    <t>FG03114</t>
  </si>
  <si>
    <t>SUCRAFIL O GEL SUSP 100ML</t>
  </si>
  <si>
    <t>FG03115</t>
  </si>
  <si>
    <t>SUDROX 100MG (CEFADROXYL) SUSP. GOUTTE 10ML</t>
  </si>
  <si>
    <t>FG03119</t>
  </si>
  <si>
    <t>SULFA DE FER 10X10 CES</t>
  </si>
  <si>
    <t>FG03120</t>
  </si>
  <si>
    <t>SULFADOX PL 3CES</t>
  </si>
  <si>
    <t>FG03121</t>
  </si>
  <si>
    <t>SULFAT DE FER+ACID FOLIC B/10X10CES</t>
  </si>
  <si>
    <t>FG03122</t>
  </si>
  <si>
    <t>SULFATE DE FER B/1000CES</t>
  </si>
  <si>
    <t>FG03123</t>
  </si>
  <si>
    <t>SULFATE DE MAGNESIUM 1GM B/1AMP (STEROP)</t>
  </si>
  <si>
    <t>FG03124</t>
  </si>
  <si>
    <t>SULFATE DE MAGNESIUM 2.5MG B\1AMP (STEROP)</t>
  </si>
  <si>
    <t>FG03125</t>
  </si>
  <si>
    <t>SULFATRIM 480MG B/10CES X 25PL</t>
  </si>
  <si>
    <t>FG03126</t>
  </si>
  <si>
    <t>SULFATRIM FORTE B/10CES</t>
  </si>
  <si>
    <t>FG03127</t>
  </si>
  <si>
    <t>SULFATRIM SP 100ML</t>
  </si>
  <si>
    <t>FG03128</t>
  </si>
  <si>
    <t>SULFAZINE COOLYRE 10ML</t>
  </si>
  <si>
    <t>FG03129</t>
  </si>
  <si>
    <t>SULFENYL COLLYRE 5ML</t>
  </si>
  <si>
    <t>FG03130</t>
  </si>
  <si>
    <t>SULFOBACTIN (THIAMPHENICOL) 500MG B/20CES</t>
  </si>
  <si>
    <t>FG03131</t>
  </si>
  <si>
    <t>SUN 120 (ARTESUNATE 120MG) B/1AMP</t>
  </si>
  <si>
    <t>FG03132</t>
  </si>
  <si>
    <t>SUN 30 (ARTESUNATE 30MG) B/1AMP</t>
  </si>
  <si>
    <t>FG03133</t>
  </si>
  <si>
    <t>SUN 60 (ARTESUNATE 60MG) B/1AMP</t>
  </si>
  <si>
    <t>FG03134</t>
  </si>
  <si>
    <t>SUN GLASS</t>
  </si>
  <si>
    <t>FG03135</t>
  </si>
  <si>
    <t>SUNAT 60MG INJ. B/1AMP</t>
  </si>
  <si>
    <t>FG03136</t>
  </si>
  <si>
    <t>SUNAT A FORTE BT/6CES</t>
  </si>
  <si>
    <t>FG03137</t>
  </si>
  <si>
    <t>SUNAT INJ 120MG COMBI PACK</t>
  </si>
  <si>
    <t>FG03138</t>
  </si>
  <si>
    <t>SUNAT INJ 180MG COMBI PACK</t>
  </si>
  <si>
    <t>FG03139</t>
  </si>
  <si>
    <t>SUNAT INJ 30MG COMBI PACK</t>
  </si>
  <si>
    <t>FG03140</t>
  </si>
  <si>
    <t>SUNAT-A KIT (ARTESU.+AMODIAQ.) 6CES</t>
  </si>
  <si>
    <t>FG03141</t>
  </si>
  <si>
    <t>SUPER APETI B/20CES</t>
  </si>
  <si>
    <t>FG03142</t>
  </si>
  <si>
    <t>SUPER APETI PLUS 20CES</t>
  </si>
  <si>
    <t>FG03143</t>
  </si>
  <si>
    <t>SUPER APETI PLUS SP 200ML</t>
  </si>
  <si>
    <t>FG03144</t>
  </si>
  <si>
    <t>SUPRADYN B/10CES EFF. (FR)</t>
  </si>
  <si>
    <t>FG03145</t>
  </si>
  <si>
    <t>SUPRADYN ENERGY 30CES SANS SUCRE (FR)</t>
  </si>
  <si>
    <t>FG03146</t>
  </si>
  <si>
    <t>SUPRADYN ENERGY B/30CES EFF.</t>
  </si>
  <si>
    <t>FG03147</t>
  </si>
  <si>
    <t>SURAPPETIT 100ML SP</t>
  </si>
  <si>
    <t>FG03148</t>
  </si>
  <si>
    <t>SURGAM 200MG 20CES (FR)</t>
  </si>
  <si>
    <t>FG03149</t>
  </si>
  <si>
    <t>SURGICAL KIT</t>
  </si>
  <si>
    <t>FG03150</t>
  </si>
  <si>
    <t>SURMENALIT 200MG B/30CES (FR)</t>
  </si>
  <si>
    <t>FG03151</t>
  </si>
  <si>
    <t>SURQUINA 250MG B/18CES (FR)</t>
  </si>
  <si>
    <t>FG03152</t>
  </si>
  <si>
    <t>SWISS CLAV 457MG SIROP</t>
  </si>
  <si>
    <t>FG03153</t>
  </si>
  <si>
    <t>SYMOSPAZ 30CES</t>
  </si>
  <si>
    <t>FG03154</t>
  </si>
  <si>
    <t>SYMOSPAZ 6AMP</t>
  </si>
  <si>
    <t>FG03155</t>
  </si>
  <si>
    <t>SYMPATHYL 40CES (FR)</t>
  </si>
  <si>
    <t>FG03156</t>
  </si>
  <si>
    <t>SYNZOPIP (PIPERACILINE &amp; TAZO) 4.5 G INJECTION USP</t>
  </si>
  <si>
    <t>FG03157</t>
  </si>
  <si>
    <t>SYSCHOL 500MG 1 PCS</t>
  </si>
  <si>
    <t>FG03158</t>
  </si>
  <si>
    <t>SYSURIXAL (CITRATE DE SOD) 120ML</t>
  </si>
  <si>
    <t>FG03159</t>
  </si>
  <si>
    <t>T SHIT</t>
  </si>
  <si>
    <t>FG03160</t>
  </si>
  <si>
    <t>T V 50</t>
  </si>
  <si>
    <t>FG03161</t>
  </si>
  <si>
    <t>T-SUN 240MG INJ</t>
  </si>
  <si>
    <t>FG03162</t>
  </si>
  <si>
    <t>TABLE BAR</t>
  </si>
  <si>
    <t>FG03163</t>
  </si>
  <si>
    <t>TABLE DE CHEVETS</t>
  </si>
  <si>
    <t>FG03164</t>
  </si>
  <si>
    <t>TABLIERS MATERNITE</t>
  </si>
  <si>
    <t>FG03165</t>
  </si>
  <si>
    <t>TACEF (CEFTRIAXONE+TAZOBACTAM) IV/IM INJ</t>
  </si>
  <si>
    <t>FG03166</t>
  </si>
  <si>
    <t>TACEF POWDER SOLUTION 1G B/1AMP</t>
  </si>
  <si>
    <t>FG03167</t>
  </si>
  <si>
    <t>TAHOR 10MG B/28CES (ATORVASTATINE)</t>
  </si>
  <si>
    <t>FG03168</t>
  </si>
  <si>
    <t>TAHOR 20MG B/28CES (ATORVASTTINE)</t>
  </si>
  <si>
    <t>FG03169</t>
  </si>
  <si>
    <t>TAMBAC (CEFPODOXIME) 50 DRY SYRUP</t>
  </si>
  <si>
    <t>FG03170</t>
  </si>
  <si>
    <t>TAMOXILON 10MG (TAMOXIFEN) PLT DE 10CES</t>
  </si>
  <si>
    <t>FG03171</t>
  </si>
  <si>
    <t>TAMOXILON 20MG (TAMOXIFEN ) PLS DE 10CES</t>
  </si>
  <si>
    <t>FG03172</t>
  </si>
  <si>
    <t>TAMOZ 5% 5ML COLLYRE</t>
  </si>
  <si>
    <t>FG03173</t>
  </si>
  <si>
    <t>TANZOL B/20CES</t>
  </si>
  <si>
    <t>FG03174</t>
  </si>
  <si>
    <t>TANZOL SUSP. 10ML</t>
  </si>
  <si>
    <t>FG03175</t>
  </si>
  <si>
    <t>TAPOXIA 100 (TAPENTADOL 100 MG ) B/10CES</t>
  </si>
  <si>
    <t>FG03176</t>
  </si>
  <si>
    <t>TAPOXIA 50 (TAPENTADOL 50 MG ) B/10CES</t>
  </si>
  <si>
    <t>FG03177</t>
  </si>
  <si>
    <t>TAPOXIA 75 (TAPENTADOL 75 MG ) B/10CES</t>
  </si>
  <si>
    <t>FG03178</t>
  </si>
  <si>
    <t>TARA IV (LEVOFLOXACINE) 500MG 100ML</t>
  </si>
  <si>
    <t>FG03179</t>
  </si>
  <si>
    <t>TARA-500 (LEVOFLOX.) BT/10CES</t>
  </si>
  <si>
    <t>FG03180</t>
  </si>
  <si>
    <t>TARDYFERON B 9 30 CES (EO)</t>
  </si>
  <si>
    <t>FG03181</t>
  </si>
  <si>
    <t>TAREG 160MG B/28CES (FR)</t>
  </si>
  <si>
    <t>FG03182</t>
  </si>
  <si>
    <t>TASCURE 30GM CREME</t>
  </si>
  <si>
    <t>FG03183</t>
  </si>
  <si>
    <t>TAXIM -1 (CEFOTAXIME) 1GM B/1AMP</t>
  </si>
  <si>
    <t>FG03184</t>
  </si>
  <si>
    <t>TAXIM-FS (CEFOTAXIME) 1.5MG IM/IV B/1AMP</t>
  </si>
  <si>
    <t>FG03185</t>
  </si>
  <si>
    <t>TAZEX 1125MG INJ</t>
  </si>
  <si>
    <t>FG03186</t>
  </si>
  <si>
    <t>TAZOCEF INJ B/1AMP</t>
  </si>
  <si>
    <t>FG03187</t>
  </si>
  <si>
    <t>TECHNOCID SP (ANTIACID) SP 100ML</t>
  </si>
  <si>
    <t>FG03188</t>
  </si>
  <si>
    <t>TEEN DERM ALPHA PURE CREA 30ML</t>
  </si>
  <si>
    <t>FG03189</t>
  </si>
  <si>
    <t>TEEN DERM AQUA 200ML (FR)</t>
  </si>
  <si>
    <t>FG03190</t>
  </si>
  <si>
    <t>TEEN DERM GEL 150 ML</t>
  </si>
  <si>
    <t>FG03191</t>
  </si>
  <si>
    <t>TEEN DERM K CONCENTRATE NUIT 30ML</t>
  </si>
  <si>
    <t>FG03192</t>
  </si>
  <si>
    <t>TEEN DERM K GEL-CREAN 30ML</t>
  </si>
  <si>
    <t>FG03193</t>
  </si>
  <si>
    <t>TEGREPINE (CARBAMAZEPINE) UPS 200MG B/30CES</t>
  </si>
  <si>
    <t>FG03194</t>
  </si>
  <si>
    <t>TEGRETOL SUSP. BUV. 150 ML (FR)</t>
  </si>
  <si>
    <t>FG03195</t>
  </si>
  <si>
    <t>TEINTURE DE BELLADON</t>
  </si>
  <si>
    <t>FG03196</t>
  </si>
  <si>
    <t>TELEBREX 35 INJ 50ML (FR)</t>
  </si>
  <si>
    <t>FG03197</t>
  </si>
  <si>
    <t>TELESHAL (TELMISARTAN) 20MG B\30CES</t>
  </si>
  <si>
    <t>FG03198</t>
  </si>
  <si>
    <t>TELESHAL (TELMISARTAN) 80MG B\30CES</t>
  </si>
  <si>
    <t>FG03199</t>
  </si>
  <si>
    <t>TELESHAL (TELMISARTAN)40MG B/30CES</t>
  </si>
  <si>
    <t>FG03200</t>
  </si>
  <si>
    <t>TELESHAL-H (TELMISARTAN) 40MG/12.5MG B/30CES</t>
  </si>
  <si>
    <t>FG03201</t>
  </si>
  <si>
    <t>TELESHAL-H (TELMISARTAN) 80MG/12.5MG B/30CES</t>
  </si>
  <si>
    <t>FG03202</t>
  </si>
  <si>
    <t>TELESHAL-H(TELMISARTAN) 80MG/25MG B/30 CES</t>
  </si>
  <si>
    <t>FG03203</t>
  </si>
  <si>
    <t>TELI 40H (TELMISA+HYDROCHLO) B/10CES</t>
  </si>
  <si>
    <t>FG03204</t>
  </si>
  <si>
    <t>TELI 40MG (TELMISARTAN) B/10CES</t>
  </si>
  <si>
    <t>FG03205</t>
  </si>
  <si>
    <t>TELI 80MG (TELMISARTAN) B/10CES</t>
  </si>
  <si>
    <t>FG03206</t>
  </si>
  <si>
    <t>TELMI-H (TELMI 40MG &amp; HYDRO 12.5MG) B30CES</t>
  </si>
  <si>
    <t>FG03207</t>
  </si>
  <si>
    <t>TELMINDOC -20 (TELMISATAN) 20MG B/30 CES</t>
  </si>
  <si>
    <t>FG03208</t>
  </si>
  <si>
    <t>TELMINDOC -40 (TELMISATAN) 40MG B/30 CES</t>
  </si>
  <si>
    <t>FG03216</t>
  </si>
  <si>
    <t>TEMERIT 5MG 30CES</t>
  </si>
  <si>
    <t>FG03217</t>
  </si>
  <si>
    <t>TEMERIT DUO (NEBIVOLO/HYDRO) 5/12.5MG B/30CES</t>
  </si>
  <si>
    <t>FG03218</t>
  </si>
  <si>
    <t>TEMERIT DUO (NEBIVOLO/HYDRO)**5/25MG** B/30CES</t>
  </si>
  <si>
    <t>FG03219</t>
  </si>
  <si>
    <t>TEMESTA 1MG B/20&amp;30CES (FR)</t>
  </si>
  <si>
    <t>FG03220</t>
  </si>
  <si>
    <t>TEMPAR (PARACETAMOL 750MG) B/5AMP</t>
  </si>
  <si>
    <t>FG03221</t>
  </si>
  <si>
    <t>TEMPAR B/4CES</t>
  </si>
  <si>
    <t>FG03222</t>
  </si>
  <si>
    <t>TEMPERINE (PARA.300MG)I.M/2ML B/5AMP PED</t>
  </si>
  <si>
    <t>FG03223</t>
  </si>
  <si>
    <t>TEMPERINE (PARA.750MG)I.M/5ML B/5AMP</t>
  </si>
  <si>
    <t>FG03224</t>
  </si>
  <si>
    <t>TEMPERINE C SIROP (PARA.+VIT C) FL 100ML</t>
  </si>
  <si>
    <t>FG03225</t>
  </si>
  <si>
    <t>TEMPERINE GOUTTE 15ML.(ACETAMINOPHEN)</t>
  </si>
  <si>
    <t>FG03226</t>
  </si>
  <si>
    <t>TEMPERINE PLUS POCH/4CES</t>
  </si>
  <si>
    <t>FG03227</t>
  </si>
  <si>
    <t>TENOFOVIR 300MG B/30CES</t>
  </si>
  <si>
    <t>FG03228</t>
  </si>
  <si>
    <t>TENOFOVIR RITONAVIR 100/25MG B/60CES</t>
  </si>
  <si>
    <t>FG03229</t>
  </si>
  <si>
    <t>TENOFOVIRILAMIVUDINE 300/150MG B/30CES</t>
  </si>
  <si>
    <t>FG03230</t>
  </si>
  <si>
    <t>TENORMIN MITIS 50MG 30COMP.</t>
  </si>
  <si>
    <t>FG03231</t>
  </si>
  <si>
    <t>TENORMIN MITIS 56CES 50MG</t>
  </si>
  <si>
    <t>FG03232</t>
  </si>
  <si>
    <t>TENORMINE 100MG B/30CES (FR)</t>
  </si>
  <si>
    <t>FG03233</t>
  </si>
  <si>
    <t>TENORMINE 50MG 30CES(FR)</t>
  </si>
  <si>
    <t>FG03234</t>
  </si>
  <si>
    <t>TENSIOMETRE ANEROIDE + STETHOSCOPE 1PCS (UNIQUE)</t>
  </si>
  <si>
    <t>FG03235</t>
  </si>
  <si>
    <t>TENSIOMETRE DIGITAL B/1PCS..G.F...(UNIQUE)</t>
  </si>
  <si>
    <t>FG03236</t>
  </si>
  <si>
    <t>TENSIOMETRE DIGITEL B/1PCS...P.M...(UNIQUE)</t>
  </si>
  <si>
    <t>FG03237</t>
  </si>
  <si>
    <t>TENSIOMETRE SANS STHETOSCOP B/1PCS (UNIQUE)</t>
  </si>
  <si>
    <t>FG03238</t>
  </si>
  <si>
    <t>TERBINOL 1/100 15GR CREM (FR)</t>
  </si>
  <si>
    <t>FG03239</t>
  </si>
  <si>
    <t>TERBINOL 250MG B/14CES (FR)</t>
  </si>
  <si>
    <t>FG03240</t>
  </si>
  <si>
    <t>TERCOTEX ADULTE SIROP ANTI-TUSSIF 100ML</t>
  </si>
  <si>
    <t>FG03241</t>
  </si>
  <si>
    <t>TERCOTEX ENF SIROP ANTI-TUSSIF 100ML</t>
  </si>
  <si>
    <t>FG03242</t>
  </si>
  <si>
    <t>TERGYNAN VAGINAL B/10 (FR)</t>
  </si>
  <si>
    <t>FG03243</t>
  </si>
  <si>
    <t>TERLOMEXIN 3CES GYNECO 200MG</t>
  </si>
  <si>
    <t>FG03244</t>
  </si>
  <si>
    <t>TERPINE CODEINE PLS DE 10CES</t>
  </si>
  <si>
    <t>FG03245</t>
  </si>
  <si>
    <t>TERPONE SIROP ADULTES FL/180ML (FR)</t>
  </si>
  <si>
    <t>FG03246</t>
  </si>
  <si>
    <t>TERPONE SIROP ENFANTS FL/180ML FR//</t>
  </si>
  <si>
    <t>FG03247</t>
  </si>
  <si>
    <t>TERRA-CORTRIL SUSP OPHT &amp; OTI.5ML (FR)</t>
  </si>
  <si>
    <t>FG03248</t>
  </si>
  <si>
    <t>TEST DE GROSSESSE 1 PCS</t>
  </si>
  <si>
    <t>FG03249</t>
  </si>
  <si>
    <t>TEST H PYLORI</t>
  </si>
  <si>
    <t>FG03250</t>
  </si>
  <si>
    <t>TEST HEPATITE B AGHBS B/50</t>
  </si>
  <si>
    <t>FG03251</t>
  </si>
  <si>
    <t>TEST MALARIA</t>
  </si>
  <si>
    <t>FG03252</t>
  </si>
  <si>
    <t>TEST URNINE 1 BANDAL B/10</t>
  </si>
  <si>
    <t>FG03253</t>
  </si>
  <si>
    <t>TESTOVIRON DEPO 250MG B/3AMP (LOCAL)</t>
  </si>
  <si>
    <t>FG03254</t>
  </si>
  <si>
    <t>TETS NEW</t>
  </si>
  <si>
    <t>FG03255</t>
  </si>
  <si>
    <t>THERADROX (CEFADROXIL) 250MG/5ML SUSP.</t>
  </si>
  <si>
    <t>FG03256</t>
  </si>
  <si>
    <t>THERADROX (CEFADROXIL) 500MG B\12CAP</t>
  </si>
  <si>
    <t>FG03257</t>
  </si>
  <si>
    <t>THERASIL 2X12 CES</t>
  </si>
  <si>
    <t>FG03258</t>
  </si>
  <si>
    <t>THERASIL PASTILLE ****B/250PCS****</t>
  </si>
  <si>
    <t>FG03259</t>
  </si>
  <si>
    <t>THERMOMETHE MEDICAL MERCURY PCS/1</t>
  </si>
  <si>
    <t>FG03260</t>
  </si>
  <si>
    <t>THERMOMETRE DIGITAL MEDICAL 1PCS (UNIQUE)</t>
  </si>
  <si>
    <t>FG03261</t>
  </si>
  <si>
    <t>THERMOMETRE FRIGO</t>
  </si>
  <si>
    <t>FG03262</t>
  </si>
  <si>
    <t>THERMOMETRE INFRAROUGE 1 PCS</t>
  </si>
  <si>
    <t>FG03263</t>
  </si>
  <si>
    <t>THROMBAAS (ASPIRANE) 8MG B/30CES</t>
  </si>
  <si>
    <t>FG03264</t>
  </si>
  <si>
    <t>TIAPRIDAL 20CES (EO)</t>
  </si>
  <si>
    <t>FG03265</t>
  </si>
  <si>
    <t>TILCOTIL 15CES 20MG (FR)</t>
  </si>
  <si>
    <t>FG03266</t>
  </si>
  <si>
    <t>TILCOTIL 20MG B/30CES (FR)</t>
  </si>
  <si>
    <t>FG03267</t>
  </si>
  <si>
    <t>TIMOLOL 0.5% COLLYRE 10ML (GENERIQUE)</t>
  </si>
  <si>
    <t>FG03268</t>
  </si>
  <si>
    <t>TIMOP COLLYRE 0.5% 5ML</t>
  </si>
  <si>
    <t>FG03269</t>
  </si>
  <si>
    <t>TIMOPTIN (TIMOLOL) 0.5% COLLYRE 5ML</t>
  </si>
  <si>
    <t>FG03270</t>
  </si>
  <si>
    <t>TIMOPTOL 0.25% COLLYRE 3ML (FR)</t>
  </si>
  <si>
    <t>FG03271</t>
  </si>
  <si>
    <t>TINIZOLE 500MG B/4CES</t>
  </si>
  <si>
    <t>FG03272</t>
  </si>
  <si>
    <t>TINOFLOX 60ML ORAL SUSP</t>
  </si>
  <si>
    <t>FG03273</t>
  </si>
  <si>
    <t>TINOFLOX B/10CES</t>
  </si>
  <si>
    <t>FG03274</t>
  </si>
  <si>
    <t>TINOFLOX ORAL SUSP 30ML</t>
  </si>
  <si>
    <t>FG03275</t>
  </si>
  <si>
    <t>TITANORINE + LIDOCAINE CREME ( FR )</t>
  </si>
  <si>
    <t>FG03276</t>
  </si>
  <si>
    <t>TNA - PERI 1000ML</t>
  </si>
  <si>
    <t>FG03277</t>
  </si>
  <si>
    <t>TOBRA-VISION 0.3% (TOBRAMYCINE) COLLYRE 10ML</t>
  </si>
  <si>
    <t>FG03278</t>
  </si>
  <si>
    <t>TOBRADEX POMMADE 3.5GR (FR)</t>
  </si>
  <si>
    <t>FG03279</t>
  </si>
  <si>
    <t>TOBRASON-VISION (TOBRA.+DEXA.) CY 10ML</t>
  </si>
  <si>
    <t>FG03280</t>
  </si>
  <si>
    <t>TONER 5A</t>
  </si>
  <si>
    <t>FG03281</t>
  </si>
  <si>
    <t>TONER 83A</t>
  </si>
  <si>
    <t>FG03282</t>
  </si>
  <si>
    <t>TONNER 83A</t>
  </si>
  <si>
    <t>FG03283</t>
  </si>
  <si>
    <t>TONNER 85A</t>
  </si>
  <si>
    <t>FG03284</t>
  </si>
  <si>
    <t>TOPICIDAL ANTISEPTIQUE 175ML SOLUTION</t>
  </si>
  <si>
    <t>FG03285</t>
  </si>
  <si>
    <t>TOPICREM UH CORPS UH CREME MAINS 50ML</t>
  </si>
  <si>
    <t>FG03286</t>
  </si>
  <si>
    <t>TOPICREM UH CREME VISAGE RICHE 40ML</t>
  </si>
  <si>
    <t>FG03287</t>
  </si>
  <si>
    <t>TOPICREM UP-10CR PIEDS ANTI - CALLOSITES</t>
  </si>
  <si>
    <t>FG03288</t>
  </si>
  <si>
    <t>TOPLEXIL SP 150ML (FR)</t>
  </si>
  <si>
    <t>FG03289</t>
  </si>
  <si>
    <t>TORAS DENK 10MG B/30CES(FR)</t>
  </si>
  <si>
    <t>FG03290</t>
  </si>
  <si>
    <t>TORINE 5ML COLLYRE</t>
  </si>
  <si>
    <t>FG03293</t>
  </si>
  <si>
    <t>TOSSIL (EXPECTO.) 100ML</t>
  </si>
  <si>
    <t>FG03294</t>
  </si>
  <si>
    <t>TOU CALM SIROP 100ML</t>
  </si>
  <si>
    <t>FG03295</t>
  </si>
  <si>
    <t>TOUX CONQUER SIROP 100ML</t>
  </si>
  <si>
    <t>FG03296</t>
  </si>
  <si>
    <t>TOUXIL 100ML SP</t>
  </si>
  <si>
    <t>FG03297</t>
  </si>
  <si>
    <t>TOUXIL BOMBO B/80 CES (GINGER)</t>
  </si>
  <si>
    <t>FG03298</t>
  </si>
  <si>
    <t>TOUXIL BOMBO B/80CES (ORANGE)</t>
  </si>
  <si>
    <t>FG03299</t>
  </si>
  <si>
    <t>TRACEDOL (TRAMADOL) B/16 CES EFF</t>
  </si>
  <si>
    <t>FG03300</t>
  </si>
  <si>
    <t>TRAMADOL 50MG (AVEC AMBAL.) B/10CAP</t>
  </si>
  <si>
    <t>FG03301</t>
  </si>
  <si>
    <t>TRAMADOL B/5AMP</t>
  </si>
  <si>
    <t>FG03302</t>
  </si>
  <si>
    <t>TRAMADOL DENK 50MG B/10 CES EFF</t>
  </si>
  <si>
    <t>FG03303</t>
  </si>
  <si>
    <t>TRAMADOL-DENK 100MG ING 2ML</t>
  </si>
  <si>
    <t>FG03304</t>
  </si>
  <si>
    <t>TRAMAPA 37.5 MG / 325MG B/20 CES</t>
  </si>
  <si>
    <t>FG03305</t>
  </si>
  <si>
    <t>TRANGEL ULTRA 20G CREME</t>
  </si>
  <si>
    <t>FG03306</t>
  </si>
  <si>
    <t>TRANSPERANT VERRE ECHELLE DE PESEE PCS/1</t>
  </si>
  <si>
    <t>FG03307</t>
  </si>
  <si>
    <t>TRANXENE 5MG 30 GELULES (FR)</t>
  </si>
  <si>
    <t>FG03308</t>
  </si>
  <si>
    <t>TRANZMOL B/10CES</t>
  </si>
  <si>
    <t>FG03309</t>
  </si>
  <si>
    <t>TRAUSAN GOUTTES 50ML (E.O.)</t>
  </si>
  <si>
    <t>FG03310</t>
  </si>
  <si>
    <t>TRAVISIL 16CES</t>
  </si>
  <si>
    <t>FG03311</t>
  </si>
  <si>
    <t>TRAVISIL SYROP 100ML</t>
  </si>
  <si>
    <t>FG03312</t>
  </si>
  <si>
    <t>TREFORCE PLUS 100NG TAB</t>
  </si>
  <si>
    <t>FG03313</t>
  </si>
  <si>
    <t>TREFORCE(SILDENAFIL 50MG) B/2CES</t>
  </si>
  <si>
    <t>FG03314</t>
  </si>
  <si>
    <t>TRES ORIX FORT 100ML SIROP (FR)</t>
  </si>
  <si>
    <t>FG03315</t>
  </si>
  <si>
    <t>TRES ORIX FORTE B/20CAP (FR)</t>
  </si>
  <si>
    <t>FG03316</t>
  </si>
  <si>
    <t>TREVIA 100MG B/5X7 CES</t>
  </si>
  <si>
    <t>FG03317</t>
  </si>
  <si>
    <t>TREVIA 50MG B/5X7 CES</t>
  </si>
  <si>
    <t>FG03318</t>
  </si>
  <si>
    <t>TREVIAMET 50MG+100MG B/5X7</t>
  </si>
  <si>
    <t>FG03319</t>
  </si>
  <si>
    <t>TREVIAMET 50MG+500MG B/5X7 CES</t>
  </si>
  <si>
    <t>FG03320</t>
  </si>
  <si>
    <t>TRIALGIC 24GELULES(FR)</t>
  </si>
  <si>
    <t>FG03321</t>
  </si>
  <si>
    <t>TRIAM DENK 40 INJ B/1 AMP</t>
  </si>
  <si>
    <t>FG03322</t>
  </si>
  <si>
    <t>TRIATEC 10MG B/30CES (FR)</t>
  </si>
  <si>
    <t>FG03323</t>
  </si>
  <si>
    <t>TRIATEC 2.5MG B/30 GELULES (FR)</t>
  </si>
  <si>
    <t>FG03324</t>
  </si>
  <si>
    <t>TRIATEC 5MG 30CES (FR)</t>
  </si>
  <si>
    <t>FG03325</t>
  </si>
  <si>
    <t>TRIAX-1 ( CEFTRIAXON ) 1GR 1 FLC</t>
  </si>
  <si>
    <t>FG03326</t>
  </si>
  <si>
    <t>TRIAX-FS 750GM @@ 1 FL</t>
  </si>
  <si>
    <t>FG03327</t>
  </si>
  <si>
    <t>TRIAX-FS INJ</t>
  </si>
  <si>
    <t>FG03328</t>
  </si>
  <si>
    <t>TRIBEX FORTE (B1B6B12) B/5AMP 3ML</t>
  </si>
  <si>
    <t>FG03329</t>
  </si>
  <si>
    <t>TRIBEX FORTE (VIT.B1 B6 B12) SIROP 100ML</t>
  </si>
  <si>
    <t>FG03330</t>
  </si>
  <si>
    <t>TRIBEX FORTE B/30CES</t>
  </si>
  <si>
    <t>FG03331</t>
  </si>
  <si>
    <t>TRIBUTINE 0.787% SP F/250ML (FR)</t>
  </si>
  <si>
    <t>FG03332</t>
  </si>
  <si>
    <t>TRIBUTINE 150 MG B/20 SACH (FR)</t>
  </si>
  <si>
    <t>FG03333</t>
  </si>
  <si>
    <t>TRIBUTINE 150MG B/20 GEL (FR)</t>
  </si>
  <si>
    <t>FG03334</t>
  </si>
  <si>
    <t>TRIDEX 5ML COLLYRE</t>
  </si>
  <si>
    <t>FG03335</t>
  </si>
  <si>
    <t>TRIFORT (VIT B1.B6.B12) SIROP 100ML</t>
  </si>
  <si>
    <t>FG03336</t>
  </si>
  <si>
    <t>TRIFORT 50MG B/30CES (NUROVIT)</t>
  </si>
  <si>
    <t>FG03337</t>
  </si>
  <si>
    <t>TRIMEX SIROP 100ML</t>
  </si>
  <si>
    <t>FG03339</t>
  </si>
  <si>
    <t>TRIOMEGA 30CAPS(FR)</t>
  </si>
  <si>
    <t>FG03340</t>
  </si>
  <si>
    <t>TRIPI-VISION 1% (TROPICAMIDE) COLLYRE 10ML</t>
  </si>
  <si>
    <t>FG03341</t>
  </si>
  <si>
    <t>TRIPLIXAM 10/1.25/10MG B/30CES (FR)</t>
  </si>
  <si>
    <t>FG03342</t>
  </si>
  <si>
    <t>TRIPLIXAM 10/2.5/10 MG B/30 CES (FR )</t>
  </si>
  <si>
    <t>FG03343</t>
  </si>
  <si>
    <t>TRIPLIXAM 10/2.5/5MG B/30 CES (FR )</t>
  </si>
  <si>
    <t>FG03344</t>
  </si>
  <si>
    <t>TRIPLIXAM 5/1.25/ 5MG B/30CES (FR)</t>
  </si>
  <si>
    <t>FG03345</t>
  </si>
  <si>
    <t>TRIPLIXAM 5/1.25/10MG B/30CES (FR)</t>
  </si>
  <si>
    <t>FG03346</t>
  </si>
  <si>
    <t>TRISHAL B/30CES</t>
  </si>
  <si>
    <t>FG03347</t>
  </si>
  <si>
    <t>TRISPORIN 300MG B/10CES</t>
  </si>
  <si>
    <t>FG03348</t>
  </si>
  <si>
    <t>TRISPORIN SUSP ORAL 125MG/5ML 100ML</t>
  </si>
  <si>
    <t>FG03349</t>
  </si>
  <si>
    <t>TRITAZIDE 5/25MG ....28CES (FR)</t>
  </si>
  <si>
    <t>FG03351</t>
  </si>
  <si>
    <t>TRIXON-2G (CEFTRIAXONE) INJ. B/1 VIAL</t>
  </si>
  <si>
    <t>FG03356</t>
  </si>
  <si>
    <t>TROBICINE (SPECTINOMYCINE) 2GR. B/1 AMP (GENREQUE)</t>
  </si>
  <si>
    <t>FG03357</t>
  </si>
  <si>
    <t>TROUSSE DE PERIFUSION PCS (NORMALE)</t>
  </si>
  <si>
    <t>FG03358</t>
  </si>
  <si>
    <t>TROUSSE DE TRANSFUSION PCS/1</t>
  </si>
  <si>
    <t>FG03359</t>
  </si>
  <si>
    <t>TRUSOPT COLLYRE</t>
  </si>
  <si>
    <t>FG03360</t>
  </si>
  <si>
    <t>TUBE A HEMOLYSE B/100</t>
  </si>
  <si>
    <t>FG03361</t>
  </si>
  <si>
    <t>TUBE A VS UNITE</t>
  </si>
  <si>
    <t>FG03362</t>
  </si>
  <si>
    <t>TUBE DE PRÉLÈVEMENT SANGUIN ( JAUNE) B/100PCS</t>
  </si>
  <si>
    <t>FG03363</t>
  </si>
  <si>
    <t>TUBE DE PRÉLÈVEMENT SANGUIN ( NOIR ) B/100PCS</t>
  </si>
  <si>
    <t>FG03364</t>
  </si>
  <si>
    <t>TUBE DE PRÉLÈVEMENT SANGUIN ( ORANGE) B/100 PCS</t>
  </si>
  <si>
    <t>FG03365</t>
  </si>
  <si>
    <t>TUBE DE PRÉLÈVEMENT SANGUIN ( ROUGE) B/100PCS</t>
  </si>
  <si>
    <t>FG03366</t>
  </si>
  <si>
    <t>TUBE DE PRÉLÈVEMENT SANGUIN (GRIS) B/100PCS</t>
  </si>
  <si>
    <t>FG03367</t>
  </si>
  <si>
    <t>TUBE DE PRÉLÈVEMENT SANGUIN (VERT) SODIUM B/100PCS</t>
  </si>
  <si>
    <t>FG03368</t>
  </si>
  <si>
    <t>TUBE DE PRÉLÈVEMENT SANGUIN (VERT)LITHIUMB/100PCS</t>
  </si>
  <si>
    <t>FG03369</t>
  </si>
  <si>
    <t>TUBE DE PRÉLÈVEMENT SANGUIN (VIOLET ) B/100 PCS</t>
  </si>
  <si>
    <t>FG03370</t>
  </si>
  <si>
    <t>TUBE DE PRÉLÈVEMENT CITRATE(HEMOSTASE) B/100 PCS</t>
  </si>
  <si>
    <t>FG03371</t>
  </si>
  <si>
    <t>TUBE DE PRÉLÈVEMENT SEC AVEC GEL B/100 PCS</t>
  </si>
  <si>
    <t>FG03372</t>
  </si>
  <si>
    <t>TUBE PROLONGATEUR 150CM 1 PCS</t>
  </si>
  <si>
    <t>FG03373</t>
  </si>
  <si>
    <t>TUBE PROLONGATEUR 190CM 1 PCS</t>
  </si>
  <si>
    <t>FG03374</t>
  </si>
  <si>
    <t>TUBE VISSEES</t>
  </si>
  <si>
    <t>FG03375</t>
  </si>
  <si>
    <t>TUBLE HOPITAL G F</t>
  </si>
  <si>
    <t>FG03376</t>
  </si>
  <si>
    <t>TUGEREME POMMADE ANTISEPTIQUE 15GR</t>
  </si>
  <si>
    <t>FG03377</t>
  </si>
  <si>
    <t>TULL GRASS 10CM X 10CM B/10PCS</t>
  </si>
  <si>
    <t>FG03378</t>
  </si>
  <si>
    <t>TURBOVAS 10 (ROSUVASTATINE) B/3 X 10CES</t>
  </si>
  <si>
    <t>FG03379</t>
  </si>
  <si>
    <t>TURBOVAS 20 (ROSUVASTATINE) B/30CES</t>
  </si>
  <si>
    <t>FG03380</t>
  </si>
  <si>
    <t>TUSQ-DX B/20CES</t>
  </si>
  <si>
    <t>FG03381</t>
  </si>
  <si>
    <t>TUSQ-DX EXP SP 100ML</t>
  </si>
  <si>
    <t>FG03382</t>
  </si>
  <si>
    <t>TUSQ-X EXP SP 100ML</t>
  </si>
  <si>
    <t>FG03383</t>
  </si>
  <si>
    <t>TUSSAREXIL 10ML SP</t>
  </si>
  <si>
    <t>FG03384</t>
  </si>
  <si>
    <t>TUSSINE SIROP 100ML (ANTI-TUSSIF)</t>
  </si>
  <si>
    <t>FG03385</t>
  </si>
  <si>
    <t>TUSSIPLEX SP 100ML</t>
  </si>
  <si>
    <t>FG03386</t>
  </si>
  <si>
    <t>TWINZOL COLLYRE 5 ML(FR)</t>
  </si>
  <si>
    <t>FG03387</t>
  </si>
  <si>
    <t>TYPHIM VACCIN B/1 SERINGUE</t>
  </si>
  <si>
    <t>FG03388</t>
  </si>
  <si>
    <t>U C J ELECTROD</t>
  </si>
  <si>
    <t>FG03389</t>
  </si>
  <si>
    <t>UCOX 90MG (ETORICOXIB) B/10 CES</t>
  </si>
  <si>
    <t>FG03390</t>
  </si>
  <si>
    <t>ULGICID (ANTIACID) SUSP 200ML</t>
  </si>
  <si>
    <t>FG03392</t>
  </si>
  <si>
    <t>ULTRA LEVURE 250 SACH B/10 (FR)</t>
  </si>
  <si>
    <t>FG03393</t>
  </si>
  <si>
    <t>ULTRACEF (CEFTRIAXONE1G) B/1AMP</t>
  </si>
  <si>
    <t>FG03394</t>
  </si>
  <si>
    <t>ULTRAPIM INJECTION 1G B/1AMP</t>
  </si>
  <si>
    <t>FG03395</t>
  </si>
  <si>
    <t>ULTRASOUND TRANSMISSION GEL 250ML</t>
  </si>
  <si>
    <t>FG03398</t>
  </si>
  <si>
    <t>UNICLAV 112.5MG BEBE (AMOXICLAV) GOUTTES 10ML+EAU</t>
  </si>
  <si>
    <t>FG03411</t>
  </si>
  <si>
    <t>UNIKOF (REMEDE COMPLET DE LA TOUX) SIROP 100ML</t>
  </si>
  <si>
    <t>FG03413</t>
  </si>
  <si>
    <t>UPRADONE 30/40MG B/30 CES</t>
  </si>
  <si>
    <t>FG03414</t>
  </si>
  <si>
    <t>UPS 1500</t>
  </si>
  <si>
    <t>FG03415</t>
  </si>
  <si>
    <t>UPS 650</t>
  </si>
  <si>
    <t>FG03416</t>
  </si>
  <si>
    <t>UPSA C 1GR. 10CES EFF.</t>
  </si>
  <si>
    <t>FG03417</t>
  </si>
  <si>
    <t>URELLA GEL 200 ML</t>
  </si>
  <si>
    <t>FG03418</t>
  </si>
  <si>
    <t>URINE CULTURE BOUTEILLE ( PACK INDIVIDUEL ) 1 PCS</t>
  </si>
  <si>
    <t>FG03419</t>
  </si>
  <si>
    <t>URINE CULTURE BOUTEILLE 60ML ( PACK BULK ) 1 PCS</t>
  </si>
  <si>
    <t>FG03420</t>
  </si>
  <si>
    <t>UROPIRINE 30CES</t>
  </si>
  <si>
    <t>FG03421</t>
  </si>
  <si>
    <t>UTROGESTAN 100MG 30CES (EO)</t>
  </si>
  <si>
    <t>FG03422</t>
  </si>
  <si>
    <t>UTROGESTAN 200MG 15CES (FR)</t>
  </si>
  <si>
    <t>FG03423</t>
  </si>
  <si>
    <t>V-FORCE 100MG B/1CAP</t>
  </si>
  <si>
    <t>FG03424</t>
  </si>
  <si>
    <t>V-FORCE 50MG B/1CAPS</t>
  </si>
  <si>
    <t>FG03426</t>
  </si>
  <si>
    <t>VAGI-CLAIR (CLOTRIMAZOLE) CREAM 30GM</t>
  </si>
  <si>
    <t>FG03427</t>
  </si>
  <si>
    <t>VAGID-CL OVULES</t>
  </si>
  <si>
    <t>FG03428</t>
  </si>
  <si>
    <t>VAGIKLIN (CLINDA.+CLOTRI.) B/ 3 OVULES</t>
  </si>
  <si>
    <t>FG03430</t>
  </si>
  <si>
    <t>VAGYNAX 6 OVULES</t>
  </si>
  <si>
    <t>FG03431</t>
  </si>
  <si>
    <t>VALSAR DENK 80MG B/28CES (FR)</t>
  </si>
  <si>
    <t>FG03434</t>
  </si>
  <si>
    <t>VASELINE BLANCHE</t>
  </si>
  <si>
    <t>FG03435</t>
  </si>
  <si>
    <t>VASELINE SALICYLEE 10%</t>
  </si>
  <si>
    <t>FG03436</t>
  </si>
  <si>
    <t>VASELINE SALICYLEE 15% 50G</t>
  </si>
  <si>
    <t>FG03437</t>
  </si>
  <si>
    <t>VASELINE SALICYLEE 20% 50G</t>
  </si>
  <si>
    <t>FG03438</t>
  </si>
  <si>
    <t>VASELINE SALICYLEE 5% 50G</t>
  </si>
  <si>
    <t>FG03439</t>
  </si>
  <si>
    <t>VASOCAR - TH B/30CES</t>
  </si>
  <si>
    <t>FG03440</t>
  </si>
  <si>
    <t>VASOCAR -10 ( AMLODIPINE ) 10MG B\ 1 X 14 CES</t>
  </si>
  <si>
    <t>FG03441</t>
  </si>
  <si>
    <t>VASOCAR -5 (AMLODIPINE ) 5 MG B \ 1 X 14 CES</t>
  </si>
  <si>
    <t>FG03442</t>
  </si>
  <si>
    <t>VASOCAR-T (AMLODIPINE) B\T1 X 14 CES</t>
  </si>
  <si>
    <t>FG03443</t>
  </si>
  <si>
    <t>VASTAREL LM 35MG 60CES (FR)</t>
  </si>
  <si>
    <t>FG03444</t>
  </si>
  <si>
    <t>VEGEBOM BAUME 45 GR BEBE</t>
  </si>
  <si>
    <t>FG03445</t>
  </si>
  <si>
    <t>VEGEBOM DR MIOT BAUME 45GR (EO)</t>
  </si>
  <si>
    <t>FG03446</t>
  </si>
  <si>
    <t>VEINTONEX (DIOSMINE 450MG) B/30 CES</t>
  </si>
  <si>
    <t>FG03448</t>
  </si>
  <si>
    <t>VENILATEUR</t>
  </si>
  <si>
    <t>FG03449</t>
  </si>
  <si>
    <t>VENOSMIL 200MG B/20GELULES (FR)</t>
  </si>
  <si>
    <t>FG03450</t>
  </si>
  <si>
    <t>VENTOLINE AER. 100UG 200 DOSES (EO) (SPARY)</t>
  </si>
  <si>
    <t>FG03451</t>
  </si>
  <si>
    <t>VERMOX 100MG B/6CES(EO)</t>
  </si>
  <si>
    <t>FG03452</t>
  </si>
  <si>
    <t>VERMOX 2% SUSP BUVABLE FL 30ML (EO)</t>
  </si>
  <si>
    <t>FG03453</t>
  </si>
  <si>
    <t>VERMOX 500MG B/1CES(EO)</t>
  </si>
  <si>
    <t>FG03454</t>
  </si>
  <si>
    <t>VERRUMAL SOL POUR 100GR 0.5 GR (E0)</t>
  </si>
  <si>
    <t>FG03455</t>
  </si>
  <si>
    <t>VERVE (ARTE+LUMEFA) B/6CES</t>
  </si>
  <si>
    <t>FG03456</t>
  </si>
  <si>
    <t>VI GEL CREME 25GR.</t>
  </si>
  <si>
    <t>FG03457</t>
  </si>
  <si>
    <t>VIANDINE Z SIROP 200ML</t>
  </si>
  <si>
    <t>FG03458</t>
  </si>
  <si>
    <t>VIBROCIL GOUTTE NASAL 15ML (FR)</t>
  </si>
  <si>
    <t>FG03459</t>
  </si>
  <si>
    <t>VICKS LEOPARD DZ</t>
  </si>
  <si>
    <t>FG03460</t>
  </si>
  <si>
    <t>VICKS VAPORUB 100G</t>
  </si>
  <si>
    <t>FG03461</t>
  </si>
  <si>
    <t>VICRYL NO-3/0 PCS/1</t>
  </si>
  <si>
    <t>FG03462</t>
  </si>
  <si>
    <t>VICRYL NO-0 PCS/1</t>
  </si>
  <si>
    <t>FG03463</t>
  </si>
  <si>
    <t>VICRYL NO-1 PCS/1</t>
  </si>
  <si>
    <t>FG03464</t>
  </si>
  <si>
    <t>VICRYL NO-1/0 PCS/1</t>
  </si>
  <si>
    <t>FG03465</t>
  </si>
  <si>
    <t>VICRYL NO-2 PCS/1</t>
  </si>
  <si>
    <t>FG03466</t>
  </si>
  <si>
    <t>VICRYL NO-2/0 PCS/1</t>
  </si>
  <si>
    <t>FG03467</t>
  </si>
  <si>
    <t>VICRYL NO-4/0 1 PCS</t>
  </si>
  <si>
    <t>FG03468</t>
  </si>
  <si>
    <t>VIFEX (ANTITOUX) SP 100ML SALBUTAMOL</t>
  </si>
  <si>
    <t>FG03469</t>
  </si>
  <si>
    <t>VIFEX PASTILLES****B/200PCS***</t>
  </si>
  <si>
    <t>FG03470</t>
  </si>
  <si>
    <t>VIGORAL FOD (SILDENFIL 50MG)1 FOD</t>
  </si>
  <si>
    <t>FG03471</t>
  </si>
  <si>
    <t>VIGORAL RAPIDE 1 CES</t>
  </si>
  <si>
    <t>FG03472</t>
  </si>
  <si>
    <t>VIGORAL-50 (SILDENAFIL-50MG) 2CES</t>
  </si>
  <si>
    <t>FG03473</t>
  </si>
  <si>
    <t>VIGORAL100MG ***FORT*** CES</t>
  </si>
  <si>
    <t>FG03474</t>
  </si>
  <si>
    <t>VILONG (TADAKAFIL 20MG + DAPOXETINE 60MG ) B/2CES</t>
  </si>
  <si>
    <t>FG03475</t>
  </si>
  <si>
    <t>VINLON 1MG (VINCRISTINE) INJ B/1 VIAL</t>
  </si>
  <si>
    <t>FG03476</t>
  </si>
  <si>
    <t>VIOLET DE GENTIANE 5...1LTR</t>
  </si>
  <si>
    <t>FG03477</t>
  </si>
  <si>
    <t>VIT B DENK 10CES PL (EO)</t>
  </si>
  <si>
    <t>FG03478</t>
  </si>
  <si>
    <t>VIT B DENK B/20CES</t>
  </si>
  <si>
    <t>FG03479</t>
  </si>
  <si>
    <t>VIT E FORT 400MG B/30CES (FR)</t>
  </si>
  <si>
    <t>FG03480</t>
  </si>
  <si>
    <t>VITACEE EFF B/20XES</t>
  </si>
  <si>
    <t>FG03481</t>
  </si>
  <si>
    <t>VITACOLIR 0.05% (VIT B12) COLLYRE</t>
  </si>
  <si>
    <t>FG03482</t>
  </si>
  <si>
    <t>VITADOC ( MULTI GUT) 15ML</t>
  </si>
  <si>
    <t>FG03483</t>
  </si>
  <si>
    <t>VITADOC (MULTIVITAMINS) SIROP 100ML</t>
  </si>
  <si>
    <t>FG03484</t>
  </si>
  <si>
    <t>VITADOC B/30CAP</t>
  </si>
  <si>
    <t>FG03485</t>
  </si>
  <si>
    <t>VITAL (MULTIVITAMIN) SIROP 100ML</t>
  </si>
  <si>
    <t>FG03486</t>
  </si>
  <si>
    <t>VITAMAX SP 100ML (MULTIVITAMINES)</t>
  </si>
  <si>
    <t>FG03487</t>
  </si>
  <si>
    <t>VITAMINE B COMPLEX B/10X10CES</t>
  </si>
  <si>
    <t>FG03488</t>
  </si>
  <si>
    <t>VITAMINE B COMPLEX SP (PHATKIN)</t>
  </si>
  <si>
    <t>FG03489</t>
  </si>
  <si>
    <t>VITAMINE B COMPLEXE SIROP 100ML</t>
  </si>
  <si>
    <t>FG03490</t>
  </si>
  <si>
    <t>VITAMINE B6 50MG B/10X10CES</t>
  </si>
  <si>
    <t>FG03491</t>
  </si>
  <si>
    <t>VITAMINE C SP 100ML</t>
  </si>
  <si>
    <t>FG03492</t>
  </si>
  <si>
    <t>VITAMINE C SP 100ML (PHATKIN)</t>
  </si>
  <si>
    <t>FG03493</t>
  </si>
  <si>
    <t>VITAMINO SP 200ML</t>
  </si>
  <si>
    <t>FG03494</t>
  </si>
  <si>
    <t>VITATONE B/30CES</t>
  </si>
  <si>
    <t>FG03495</t>
  </si>
  <si>
    <t>VITAXIN SOL BUV FL 200ML B/1</t>
  </si>
  <si>
    <t>FG03496</t>
  </si>
  <si>
    <t>VITAZINK SIROP 200ML</t>
  </si>
  <si>
    <t>FG03497</t>
  </si>
  <si>
    <t>VITOSSAMIN D3 (60000 INJ) 4 GEL</t>
  </si>
  <si>
    <t>FG03498</t>
  </si>
  <si>
    <t>VITRON-Z 3X10CES</t>
  </si>
  <si>
    <t>FG03499</t>
  </si>
  <si>
    <t>VITRON-Z GOUTTE FL/30ML</t>
  </si>
  <si>
    <t>FG03500</t>
  </si>
  <si>
    <t>VITRON-Z SIROP FL/150ML</t>
  </si>
  <si>
    <t>FG03501</t>
  </si>
  <si>
    <t>VOGALENE 15MG CAPS B/20 (FR)</t>
  </si>
  <si>
    <t>FG03502</t>
  </si>
  <si>
    <t>VOGALENE INJ 1ML B/10ML (FR)</t>
  </si>
  <si>
    <t>FG03503</t>
  </si>
  <si>
    <t>VOLPA (DICLO.+PARA.) BT/10X10CES</t>
  </si>
  <si>
    <t>FG03504</t>
  </si>
  <si>
    <t>VOLT FAST 50MG SACHETS B/9 (FR)</t>
  </si>
  <si>
    <t>FG03505</t>
  </si>
  <si>
    <t>VOLTAREN 25MG BT/30CES (FR)</t>
  </si>
  <si>
    <t>FG03506</t>
  </si>
  <si>
    <t>VOLTAREN 50MG B/30CES (FR)</t>
  </si>
  <si>
    <t>FG03507</t>
  </si>
  <si>
    <t>VOLTAREN LP 100MG 15CES (FR)</t>
  </si>
  <si>
    <t>FG03508</t>
  </si>
  <si>
    <t>VOLTARENE EMUGEL TB 50GR (FR)</t>
  </si>
  <si>
    <t>FG03509</t>
  </si>
  <si>
    <t>VOLTARENE LP 75MG 20CES (FR)</t>
  </si>
  <si>
    <t>FG03510</t>
  </si>
  <si>
    <t>VOMARET (ONDANSETRON) 30ML SIROP</t>
  </si>
  <si>
    <t>FG03511</t>
  </si>
  <si>
    <t>VOMARET (ONDANSETRON) 4MG/2ML INJ</t>
  </si>
  <si>
    <t>FG03512</t>
  </si>
  <si>
    <t>WALL CLOCK</t>
  </si>
  <si>
    <t>FG03513</t>
  </si>
  <si>
    <t>WARFARINE 5MG B/30 CES</t>
  </si>
  <si>
    <t>FG03514</t>
  </si>
  <si>
    <t>WASHING MACHINE</t>
  </si>
  <si>
    <t>FG03515</t>
  </si>
  <si>
    <t>WATCH ALL</t>
  </si>
  <si>
    <t>FG03516</t>
  </si>
  <si>
    <t>WATER BOTTLE</t>
  </si>
  <si>
    <t>FG03517</t>
  </si>
  <si>
    <t>WATER DISPENSER</t>
  </si>
  <si>
    <t>FG03519</t>
  </si>
  <si>
    <t>WOMIBAN (ALBENDAZOLE) B/1CES</t>
  </si>
  <si>
    <t>FG03520</t>
  </si>
  <si>
    <t>WORMEX 100MG BOITE DE 25X6CES</t>
  </si>
  <si>
    <t>FG03521</t>
  </si>
  <si>
    <t>WORMEX 500MG BT/1CES</t>
  </si>
  <si>
    <t>FG03522</t>
  </si>
  <si>
    <t>WORMEX SP 30ML</t>
  </si>
  <si>
    <t>FG03523</t>
  </si>
  <si>
    <t>WORMINIX PLUS (ALBENDAZOLE+IVERMECTIN) B\1 CES</t>
  </si>
  <si>
    <t>FG03524</t>
  </si>
  <si>
    <t>X-1 ( TADALAFIL ) 20MG B/2 CAP</t>
  </si>
  <si>
    <t>FG03525</t>
  </si>
  <si>
    <t>XAL SEL DE REGIME (FR)</t>
  </si>
  <si>
    <t>FG03526</t>
  </si>
  <si>
    <t>XALACOM OPTH. 2.5MLX1 (FR)</t>
  </si>
  <si>
    <t>FG03527</t>
  </si>
  <si>
    <t>XATRAL LP 10MG 30CES (EO)</t>
  </si>
  <si>
    <t>FG03528</t>
  </si>
  <si>
    <t>XELOCEL-500MG (CAPECITABINE) PLT DE 10CES</t>
  </si>
  <si>
    <t>FG03529</t>
  </si>
  <si>
    <t>XENTOL ANTIBACTERIEN 100ML</t>
  </si>
  <si>
    <t>FG03530</t>
  </si>
  <si>
    <t>XENTOL CREAM 15G</t>
  </si>
  <si>
    <t>FG03531</t>
  </si>
  <si>
    <t>XENTOL POUDRE 50GM</t>
  </si>
  <si>
    <t>FG03532</t>
  </si>
  <si>
    <t>XENTOL SAVON 75GR</t>
  </si>
  <si>
    <t>FG03533</t>
  </si>
  <si>
    <t>XTRAFORCE-10MG 1GELULE</t>
  </si>
  <si>
    <t>FG03534</t>
  </si>
  <si>
    <t>XTRAFORCE-20MG 1GELULE</t>
  </si>
  <si>
    <t>FG03535</t>
  </si>
  <si>
    <t>XYLOCAINE GEL 2% 30GR (FR)</t>
  </si>
  <si>
    <t>FG03536</t>
  </si>
  <si>
    <t>XYZALL 5MG 14 CES (FR)</t>
  </si>
  <si>
    <t>FG03537</t>
  </si>
  <si>
    <t>YOMESAN 4CES 500MG (FR)</t>
  </si>
  <si>
    <t>FG03538</t>
  </si>
  <si>
    <t>ZADYCINE (AZITHROMYCINE) 500MG B/3CES</t>
  </si>
  <si>
    <t>FG03539</t>
  </si>
  <si>
    <t>ZADYCINE DUPRNSION BUV 100MG/5ML</t>
  </si>
  <si>
    <t>FG03540</t>
  </si>
  <si>
    <t>ZALAIN (SERTACONAZOL NITRATO ) B/1 OVULE</t>
  </si>
  <si>
    <t>FG03541</t>
  </si>
  <si>
    <t>ZAPAIN 10CES PL</t>
  </si>
  <si>
    <t>FG03542</t>
  </si>
  <si>
    <t>ZAPHITOUX SP 100ML</t>
  </si>
  <si>
    <t>FG03543</t>
  </si>
  <si>
    <t>ZEBU B/ 10 X10 CES</t>
  </si>
  <si>
    <t>FG03544</t>
  </si>
  <si>
    <t>ZEBU-1000MG (PARACETAMOL) B/12 CES</t>
  </si>
  <si>
    <t>FG03545</t>
  </si>
  <si>
    <t>ZEBU-500MG (PARACETAMOL) B/16 CES</t>
  </si>
  <si>
    <t>FG03546</t>
  </si>
  <si>
    <t>ZELITREX 500MG 10CES (FR)</t>
  </si>
  <si>
    <t>FG03547</t>
  </si>
  <si>
    <t>ZEMA 30G CREAM</t>
  </si>
  <si>
    <t>FG03548</t>
  </si>
  <si>
    <t>ZENAPETI SUPER SP 100ML</t>
  </si>
  <si>
    <t>FG03549</t>
  </si>
  <si>
    <t>ZENAPETIT SUPER BT 10 X10 CES (CYPROHEPTADINE)</t>
  </si>
  <si>
    <t>FG03550</t>
  </si>
  <si>
    <t>ZENDEX B\55 X 2CES</t>
  </si>
  <si>
    <t>FG03551</t>
  </si>
  <si>
    <t>ZENERGY EFF B/20 CES</t>
  </si>
  <si>
    <t>FG03552</t>
  </si>
  <si>
    <t>ZENKOF 55 X 2</t>
  </si>
  <si>
    <t>FG03553</t>
  </si>
  <si>
    <t>ZENKOF SP 100ML</t>
  </si>
  <si>
    <t>FG03554</t>
  </si>
  <si>
    <t>ZENTEL 400MG B/1CES (FR)</t>
  </si>
  <si>
    <t>FG03555</t>
  </si>
  <si>
    <t>ZEROBACT CREAM 15GM</t>
  </si>
  <si>
    <t>FG03556</t>
  </si>
  <si>
    <t>ZEROBACT CREAM 30GM</t>
  </si>
  <si>
    <t>FG03557</t>
  </si>
  <si>
    <t>ZEROBACT SAVON 75GM</t>
  </si>
  <si>
    <t>FG03558</t>
  </si>
  <si>
    <t>ZESTRIL BT/28 CES 5 MG</t>
  </si>
  <si>
    <t>FG03559</t>
  </si>
  <si>
    <t>ZIDOVUDINE 100MG B/30 CES</t>
  </si>
  <si>
    <t>FG03560</t>
  </si>
  <si>
    <t>ZINC SULFATE (ZINCOS) 20MG B/10 X10 CES</t>
  </si>
  <si>
    <t>FG03561</t>
  </si>
  <si>
    <t>ZINGINALIS (ANTI-HEMORROIDAIRE) 30CES</t>
  </si>
  <si>
    <t>FG03562</t>
  </si>
  <si>
    <t>ZINGINALIS (ANTI-HEMORROIDAIRE) 500MG B/10 SUPPO</t>
  </si>
  <si>
    <t>FG03563</t>
  </si>
  <si>
    <t>ZINKASOL (SULFATE DE ZINC) SIROP 60ML</t>
  </si>
  <si>
    <t>FG03564</t>
  </si>
  <si>
    <t>ZINNAT 500MG 10CES (FR)</t>
  </si>
  <si>
    <t>FG03565</t>
  </si>
  <si>
    <t>ZINNAT INJ. 750MG 1FL I.V/I.M (FR)</t>
  </si>
  <si>
    <t>FG03571</t>
  </si>
  <si>
    <t>ZITHROMAX 200GM 22.5ML SUSP(FR)</t>
  </si>
  <si>
    <t>FG03572</t>
  </si>
  <si>
    <t>ZITHROMAX 500MG BT/3CES (FR)</t>
  </si>
  <si>
    <t>FG03573</t>
  </si>
  <si>
    <t>ZOFLOX 750MG 10CES (EO)</t>
  </si>
  <si>
    <t>FG03574</t>
  </si>
  <si>
    <t>ZOIDE - PLUS (ADENOSINE+ASTAXANTHINE)B/1SACHET</t>
  </si>
  <si>
    <t>FG03575</t>
  </si>
  <si>
    <t>ZOLIN 0.1% COLLYRE</t>
  </si>
  <si>
    <t>FG03576</t>
  </si>
  <si>
    <t>ZOLON 4MG (ZOLEDRONIC) INJ B/1 VIAL</t>
  </si>
  <si>
    <t>FG03577</t>
  </si>
  <si>
    <t>ZOPEX - F B/10CES</t>
  </si>
  <si>
    <t>FG03578</t>
  </si>
  <si>
    <t>ZOPEX 10 MG (MONTELUKAST) B/10CES</t>
  </si>
  <si>
    <t>FG03579</t>
  </si>
  <si>
    <t>ZOPEX 5MG (MONTELUKAST) B/10CES</t>
  </si>
  <si>
    <t>FG03580</t>
  </si>
  <si>
    <t>ZORA IV (RABEPRAZOLE 20MG) B/1 FLC</t>
  </si>
  <si>
    <t>FG03586</t>
  </si>
  <si>
    <t>ZOSEC 20MG CES</t>
  </si>
  <si>
    <t>FG03587</t>
  </si>
  <si>
    <t>ZOVIRAX 25CES 200MG (FR)</t>
  </si>
  <si>
    <t>FG03588</t>
  </si>
  <si>
    <t>ZOVIRAX 200MG B/25CES... (GR)</t>
  </si>
  <si>
    <t>FG03589</t>
  </si>
  <si>
    <t>ZUVADYL 10 MG (ROSUVASTATINE) B/3 X10CES</t>
  </si>
  <si>
    <t>FG03590</t>
  </si>
  <si>
    <t>ZUVADYL 20MG (ROSUVASTATINE) B/3 X10CES</t>
  </si>
  <si>
    <t>FG03591</t>
  </si>
  <si>
    <t>ZUVADYL 5 MG (ROSUVASTATINE) B/3 X10CES</t>
  </si>
  <si>
    <t>FG03592</t>
  </si>
  <si>
    <t>ZWITSAL LOTION CORPORELLE 200ML</t>
  </si>
  <si>
    <t>FG03593</t>
  </si>
  <si>
    <t>ZWITSAL LOTION CORPORELLE 400ML</t>
  </si>
  <si>
    <t>FG03594</t>
  </si>
  <si>
    <t>ZWITSAL POUDRE 100GR BIOTE</t>
  </si>
  <si>
    <t>FG03595</t>
  </si>
  <si>
    <t>ZWITSAL SAVON 2X90GR</t>
  </si>
  <si>
    <t>FG03596</t>
  </si>
  <si>
    <t>ZYLORIC 200MG CES B/28 (FR)</t>
  </si>
  <si>
    <t>FG03597</t>
  </si>
  <si>
    <t>ZYLORIC 28CES 100MG (FR)</t>
  </si>
  <si>
    <t>FG03598</t>
  </si>
  <si>
    <t>ZYLORIC 300MG B/28CES (FR)</t>
  </si>
  <si>
    <t>FG03599</t>
  </si>
  <si>
    <t>ZYLPREX SUSP FL 30ML</t>
  </si>
  <si>
    <t>FG03600</t>
  </si>
  <si>
    <t>ZYPREX COMP PELL B/10</t>
  </si>
  <si>
    <t>FG03601</t>
  </si>
  <si>
    <t>ZYRTEC SIROP 200ML</t>
  </si>
  <si>
    <t>FG06842</t>
  </si>
  <si>
    <t>DIPIFER GOUTTES 15 ML</t>
  </si>
  <si>
    <t>FG06848</t>
  </si>
  <si>
    <t>IMI-LUX (IMIPE.500MG + CILAS. 500MG) B/1 INJ</t>
  </si>
  <si>
    <t>FG06849</t>
  </si>
  <si>
    <t>PARA-LUX (PARACETAMOL 1000MG/100ML) 100ML INFUSION</t>
  </si>
  <si>
    <t>FG06850</t>
  </si>
  <si>
    <t>AMOCLAV 1.2 (CO-AMOXICLAV 1.2G) B/1 INJ</t>
  </si>
  <si>
    <t>FG06851</t>
  </si>
  <si>
    <t>CEFTRI-LUX (CEFTRIAXONE 1000MG) B/1</t>
  </si>
  <si>
    <t>FG06853</t>
  </si>
  <si>
    <t>AROBACTER 125 ML SOLUTION CLOSE</t>
  </si>
  <si>
    <t>FG06864</t>
  </si>
  <si>
    <t>MICRO OVEN</t>
  </si>
  <si>
    <t>FG06879</t>
  </si>
  <si>
    <t>ETHOMER 500MG (2X10 CAP)</t>
  </si>
  <si>
    <t>FG06880</t>
  </si>
  <si>
    <t>FUCANOL GELLULE 500MG</t>
  </si>
  <si>
    <t>FG06881</t>
  </si>
  <si>
    <t>CHLOROMBYL GEL 22G</t>
  </si>
  <si>
    <t>FG06884</t>
  </si>
  <si>
    <t>ZEBU 30MG GEL</t>
  </si>
  <si>
    <t>FG06885</t>
  </si>
  <si>
    <t>DIOVAN 160 MG 28 CES</t>
  </si>
  <si>
    <t>FG06886</t>
  </si>
  <si>
    <t>DIOVAN 80 MG 28 CES</t>
  </si>
  <si>
    <t>FG06887</t>
  </si>
  <si>
    <t>KEPRA 1000 MG 50 TAB</t>
  </si>
  <si>
    <t>FG06892</t>
  </si>
  <si>
    <t>@DENK FERTILO FORTE CAPS B/60</t>
  </si>
  <si>
    <t>FG06901</t>
  </si>
  <si>
    <t>BILOR B/10 CES</t>
  </si>
  <si>
    <t>FG06902</t>
  </si>
  <si>
    <t>ESTROFEM 2 MG 28 TAB</t>
  </si>
  <si>
    <t>FG06903</t>
  </si>
  <si>
    <t>TUBE A ESSAI COINQUES GRADUES PP 50ML Ø 30*15MM ESTERIL - SACHET/25 PC</t>
  </si>
  <si>
    <t>FG06904</t>
  </si>
  <si>
    <t>HYDREA 500MG 20 CAPSULES (FR)</t>
  </si>
  <si>
    <t>FG06905</t>
  </si>
  <si>
    <t>LAMOX-CV 1.2 INJ</t>
  </si>
  <si>
    <t>FG06909</t>
  </si>
  <si>
    <t>ALCOOL IODE 1 LTR</t>
  </si>
  <si>
    <t>FG06927</t>
  </si>
  <si>
    <t>GROUP 2 KVA</t>
  </si>
  <si>
    <t>FG06928</t>
  </si>
  <si>
    <t>GROUP 3 KVA</t>
  </si>
  <si>
    <t>FG06929</t>
  </si>
  <si>
    <t>GROUP 4 KVA</t>
  </si>
  <si>
    <t>FG06930</t>
  </si>
  <si>
    <t>GROUP 5.5 KVA</t>
  </si>
  <si>
    <t>FG06931</t>
  </si>
  <si>
    <t>FRIGO 90 LTR</t>
  </si>
  <si>
    <t>FG06932</t>
  </si>
  <si>
    <t>CONGILATEUR 200 LTR</t>
  </si>
  <si>
    <t>FG06933</t>
  </si>
  <si>
    <t>CONGILATEUR 600 LTR</t>
  </si>
  <si>
    <t>FG06934</t>
  </si>
  <si>
    <t>T V 50 INCH</t>
  </si>
  <si>
    <t>FG06935</t>
  </si>
  <si>
    <t>FRIGO 150 LTR 2 DOOR</t>
  </si>
  <si>
    <t>FG06936</t>
  </si>
  <si>
    <t>FRIGO 200 LTR 2 DOOR</t>
  </si>
  <si>
    <t>FG06937</t>
  </si>
  <si>
    <t>CONFLATER 160LT</t>
  </si>
  <si>
    <t>FG06938</t>
  </si>
  <si>
    <t>FRIGO 350 LTR 2 DOOR</t>
  </si>
  <si>
    <t>FG06939</t>
  </si>
  <si>
    <t>RADIO+BLOOTOOTH</t>
  </si>
  <si>
    <t>FG06940</t>
  </si>
  <si>
    <t>FRIGO 300 LTR 2 DOOR</t>
  </si>
  <si>
    <t>FG06946</t>
  </si>
  <si>
    <t>DIAZEP 10MG (DIAZEPAM) 25X10CES</t>
  </si>
  <si>
    <t>FG06947</t>
  </si>
  <si>
    <t>SPASMOSYL SUPPO B/10</t>
  </si>
  <si>
    <t>FG06948</t>
  </si>
  <si>
    <t>BAUME DE RELIEF 50GR</t>
  </si>
  <si>
    <t>FG06949</t>
  </si>
  <si>
    <t>BED</t>
  </si>
  <si>
    <t>FG07013</t>
  </si>
  <si>
    <t>ALDACTONE 50CES 100MG(FR)</t>
  </si>
  <si>
    <t>FG07031</t>
  </si>
  <si>
    <t>NAOMI TRIPLE ACTION 50G CREAM</t>
  </si>
  <si>
    <t>FG07161</t>
  </si>
  <si>
    <t>JANUMET 50/1000MG B/56CES (FR)</t>
  </si>
  <si>
    <t>FG07162</t>
  </si>
  <si>
    <t>LORAZEPAM 2 MG 20 CES</t>
  </si>
  <si>
    <t>FG07227</t>
  </si>
  <si>
    <t>ZADITEN 1 MG 30 TB</t>
  </si>
  <si>
    <t>FG07253</t>
  </si>
  <si>
    <t>MIXER GRINDER</t>
  </si>
  <si>
    <t>FG07254</t>
  </si>
  <si>
    <t>DIPROSPAN 1 ML 1 AMP</t>
  </si>
  <si>
    <t>FG07255</t>
  </si>
  <si>
    <t>KEEPRA LEVETAM 500 MG/5 ML INJ</t>
  </si>
  <si>
    <t>FG07265</t>
  </si>
  <si>
    <t>AMVA DENK 10/160MG B/28CES</t>
  </si>
  <si>
    <t>FG07370</t>
  </si>
  <si>
    <t>PIPET PASTER</t>
  </si>
  <si>
    <t>FG07782</t>
  </si>
  <si>
    <t>COLOUR 20 LTR</t>
  </si>
  <si>
    <t>FG07785</t>
  </si>
  <si>
    <t>DAVIGRA CONDOMS CLASSIC B/3</t>
  </si>
  <si>
    <t>FG07786</t>
  </si>
  <si>
    <t>CORTAIR PILMICORT 0.25MG 2ML 20 UNIDOSES</t>
  </si>
  <si>
    <t>FG07787</t>
  </si>
  <si>
    <t>URSOFALK 250MG 20CAPS</t>
  </si>
  <si>
    <t>FG08126</t>
  </si>
  <si>
    <t>PLATO</t>
  </si>
  <si>
    <t>FG08127</t>
  </si>
  <si>
    <t>PLATO MAKASI</t>
  </si>
  <si>
    <t>FG08148</t>
  </si>
  <si>
    <t>GALVUS 50 MG B/56 CES</t>
  </si>
  <si>
    <t>FG08149</t>
  </si>
  <si>
    <t>SCHERIPROCT POMMADE 30 GR (FR)</t>
  </si>
  <si>
    <t>FG08150</t>
  </si>
  <si>
    <t>SEDIPROCT CREME 20 GM</t>
  </si>
  <si>
    <t>FG08151</t>
  </si>
  <si>
    <t>TONER 19A</t>
  </si>
  <si>
    <t>FG08152</t>
  </si>
  <si>
    <t>JANUMET 100MG B/28 CES</t>
  </si>
  <si>
    <t>FG08160</t>
  </si>
  <si>
    <t>VENTOLINE 2.5MG/2.5ML B/20 UNIDOSES</t>
  </si>
  <si>
    <t>FG08249</t>
  </si>
  <si>
    <t>ELASTIC</t>
  </si>
  <si>
    <t>FG08255</t>
  </si>
  <si>
    <t>PINCE POZZI</t>
  </si>
  <si>
    <t>FG08256</t>
  </si>
  <si>
    <t>HYSTEROMETRE</t>
  </si>
  <si>
    <t>FG08257</t>
  </si>
  <si>
    <t>LAVE MAIN</t>
  </si>
  <si>
    <t>FG08278</t>
  </si>
  <si>
    <t>SEAU AVEC ROBINET+PETIT BASSIN</t>
  </si>
  <si>
    <t>FG08287</t>
  </si>
  <si>
    <t>CARTE DE RENDUS DE RESULATS</t>
  </si>
  <si>
    <t>FG08288</t>
  </si>
  <si>
    <t>CARTE DE RENDEZ VOUS INDIVIDUAL</t>
  </si>
  <si>
    <t>FG08301</t>
  </si>
  <si>
    <t>FLAMINGO - AIR CAST CAM BOOT LONG XL</t>
  </si>
  <si>
    <t>FG08302</t>
  </si>
  <si>
    <t>FLAMINGO - AIR CAST CAM BOOT LONG L</t>
  </si>
  <si>
    <t>FG08670</t>
  </si>
  <si>
    <t>FIL A CORDON</t>
  </si>
  <si>
    <t>FG08671</t>
  </si>
  <si>
    <t>LUNETTES POUR OXYGÈNE ADULT</t>
  </si>
  <si>
    <t>FG08672</t>
  </si>
  <si>
    <t>LUNETTES POUR OXYGÈNE PAEDIATRIC</t>
  </si>
  <si>
    <t>FG08755</t>
  </si>
  <si>
    <t>AMIDOL 1G 100ML IV</t>
  </si>
  <si>
    <t>FG08756</t>
  </si>
  <si>
    <t>ALPRAZOLAM 0.5MG 10X10 CES</t>
  </si>
  <si>
    <t>FG08758</t>
  </si>
  <si>
    <t>DIPROSON INJECTABLE 1 ML 1 AMP</t>
  </si>
  <si>
    <t>FG08759</t>
  </si>
  <si>
    <t>LOCASALANE POMMADE 30GR (FR)</t>
  </si>
  <si>
    <t>FG08760</t>
  </si>
  <si>
    <t>NOVONORM 2MG 30CES (FR)</t>
  </si>
  <si>
    <t>FG08761</t>
  </si>
  <si>
    <t>ZESTRIL 20MG CES B/10</t>
  </si>
  <si>
    <t>FG06975</t>
  </si>
  <si>
    <t>MC - GELOSE L'ETHYLE-VIOLET AZIDE DEXTROSE 500G</t>
  </si>
  <si>
    <t>FG06976</t>
  </si>
  <si>
    <t>MC - GELOSE INFUSION COEUR-CERVEAU 500G</t>
  </si>
  <si>
    <t>FG06977</t>
  </si>
  <si>
    <t>MC - BHI AVEC 0,1% GELOSE INFUSION COEUR-CERVEAU AVEC 0,1% AGA 500G</t>
  </si>
  <si>
    <t>FG06978</t>
  </si>
  <si>
    <t>MC - AGAR AGAR TYPE-I 500G</t>
  </si>
  <si>
    <t>FG06979</t>
  </si>
  <si>
    <t>MC - GELOSE ENTERIQUE HEKTOEN 500G</t>
  </si>
  <si>
    <t>FG06981</t>
  </si>
  <si>
    <t>MC - GELOSE EMB, LEVINE (GELOSE LEVINE-EOSINE- BLEU DE METHYLENE) 500G</t>
  </si>
  <si>
    <t>FG06982</t>
  </si>
  <si>
    <t>MC - GELOSE EMB 500G</t>
  </si>
  <si>
    <t>FG06984</t>
  </si>
  <si>
    <t>MC - GELOSE NUTRIMENTAIRE (AVEC 1 % DE PEPTONE) 500G</t>
  </si>
  <si>
    <t>FG06985</t>
  </si>
  <si>
    <t>MC - GELOSE NUTRIMENTAIRE 500G</t>
  </si>
  <si>
    <t>FG06986</t>
  </si>
  <si>
    <t>MC - GELOSE VOGEL-JOHNSON (SELON USP) 500G</t>
  </si>
  <si>
    <t>FG06987</t>
  </si>
  <si>
    <t>MC - MILIEU DE DIGESTION DE CASÉINE DE SOJA (BOUILLON TRYPTONE SOJA) 500G</t>
  </si>
  <si>
    <t>FG06988</t>
  </si>
  <si>
    <t>MC - EAU PEPTONE 500G</t>
  </si>
  <si>
    <t>FG06989</t>
  </si>
  <si>
    <t>MC - EAU PEPTONE ALCALINE (PH 8,6) (ISO) 500G</t>
  </si>
  <si>
    <t>FG06990</t>
  </si>
  <si>
    <t>MC - ASPERGILLUS DIFFÉRENCIATION BASE MOYENNE 500G</t>
  </si>
  <si>
    <t>FG06991</t>
  </si>
  <si>
    <t>MC - BASE DE BOUILLON MIDDLEBROOK 7H9 500G</t>
  </si>
  <si>
    <t>FG06992</t>
  </si>
  <si>
    <t>MC - PEPTONE-TBL 500G</t>
  </si>
  <si>
    <t>FG06993</t>
  </si>
  <si>
    <t>MC - FUCHSINE BASIQUE 100G</t>
  </si>
  <si>
    <t>FG06994</t>
  </si>
  <si>
    <t>MC - CHLORURE DE SODIUM, EXTRA PURE 500G</t>
  </si>
  <si>
    <t>FG06995</t>
  </si>
  <si>
    <t>MC - DIHYDRATE DE TRISODIUM CITRATE (AR) 500G</t>
  </si>
  <si>
    <t>FG06997</t>
  </si>
  <si>
    <t>MC - COTON LACTOPHENOL BLEU 500G</t>
  </si>
  <si>
    <t>FG06998</t>
  </si>
  <si>
    <t>KIT DE COLORATION DE GRAM 4*125ML</t>
  </si>
  <si>
    <t>FG07003</t>
  </si>
  <si>
    <t>DISQUES ANTIBIOGRAMMES - CEFIXIME BT/50</t>
  </si>
  <si>
    <t>FG07004</t>
  </si>
  <si>
    <t>TDR SICKLE CELL - CASSETTE -ST, B/25 TEST</t>
  </si>
  <si>
    <t>FG07016</t>
  </si>
  <si>
    <t>MEDICAL ULTRASOUND GEL 2.5LTR</t>
  </si>
  <si>
    <t>FG07017</t>
  </si>
  <si>
    <t>MEDICAL ULTRASOUND GEL 5LTR</t>
  </si>
  <si>
    <t>FG07018</t>
  </si>
  <si>
    <t>EXTENSION TUBE 150CM</t>
  </si>
  <si>
    <t>FG07019</t>
  </si>
  <si>
    <t>EXTENSION TUBE 190CM</t>
  </si>
  <si>
    <t>FG07020</t>
  </si>
  <si>
    <t>MALE EXTERNAL CATHETER (EXTRA LARGE) 40MM</t>
  </si>
  <si>
    <t>FG07021</t>
  </si>
  <si>
    <t>MALE EXTERNAL CATHETER (EXTRA LARGE) 35MM</t>
  </si>
  <si>
    <t>FG07022</t>
  </si>
  <si>
    <t>MALE EXTERNAL CATHETER (EXTRA LARGE) 30MM</t>
  </si>
  <si>
    <t>FG07023</t>
  </si>
  <si>
    <t>ROLLED BANDAGE 10CM X 4YRD</t>
  </si>
  <si>
    <t>FG07024</t>
  </si>
  <si>
    <t>ROLLED BANDAGE 15CM X 4YRD</t>
  </si>
  <si>
    <t>FG07025</t>
  </si>
  <si>
    <t>PARACETAMOL 500MG B/10CES X 25PL (UNIQUE) B/10CESX25PL</t>
  </si>
  <si>
    <t>FG07027</t>
  </si>
  <si>
    <t>DERMACIDAL (CHLORHEXIDINE 7.1%) GEL TUBE/20G</t>
  </si>
  <si>
    <t>FG07028</t>
  </si>
  <si>
    <t>UNIPURE 67MG (PURIFICATION DE L'EAU) PLS 8 CES</t>
  </si>
  <si>
    <t>FG07029</t>
  </si>
  <si>
    <t>RIVELTOX PRESCRIPTION PADS</t>
  </si>
  <si>
    <t>FG07030</t>
  </si>
  <si>
    <t>TACLIS PRESCRIPTION PADS</t>
  </si>
  <si>
    <t>FG07032</t>
  </si>
  <si>
    <t>U-CEE (VITAMINE C) 100MG/5ML SIROP 100ML</t>
  </si>
  <si>
    <t>FG07033</t>
  </si>
  <si>
    <t>MEF-PA (MEF+PARA) SUSP 100ML</t>
  </si>
  <si>
    <t>FG07034</t>
  </si>
  <si>
    <t>BROMOVAN-PLUS (BROM.+SAL.+GUA.+MEN.) SIROP 100ML</t>
  </si>
  <si>
    <t>FG07035</t>
  </si>
  <si>
    <t>KAONIQUE (KAOLIN) SIROP 100ML</t>
  </si>
  <si>
    <t>FG07036</t>
  </si>
  <si>
    <t>PYRANIQUE (PYRANTEL PAMOATE) SUSP.15ML</t>
  </si>
  <si>
    <t>FG07037</t>
  </si>
  <si>
    <t>NOCIGEL-0 (ANTIACIDE+OXETACAINE) SUSP.200ML</t>
  </si>
  <si>
    <t>FG07038</t>
  </si>
  <si>
    <t>VALNA (SODIUM VALPROATE) 200MG/5ML SOLUTION 150ML</t>
  </si>
  <si>
    <t>FG07039</t>
  </si>
  <si>
    <t>CYPROPLEX-PLUS (CYPROHEP.+TRICHOLINE) SIROP 100ML</t>
  </si>
  <si>
    <t>FG07040</t>
  </si>
  <si>
    <t>FORTOMEGA (HUILE DE FOIE DE MORUE) SOL.BUV. 100ML</t>
  </si>
  <si>
    <t>FG07041</t>
  </si>
  <si>
    <t>Q-ENZY (DIASTASE FONGIQUE PEPSINE) SIROP 200ML</t>
  </si>
  <si>
    <t>FG07042</t>
  </si>
  <si>
    <t>STOP-LITHIASE (P.CITRATE.+MAG.+VIT.B6) ORALE SOLUTION 200ML</t>
  </si>
  <si>
    <t>FG07043</t>
  </si>
  <si>
    <t>PH-ALKA (S.CITRATE + CITRIC) ORALE SOLUTION 120ML</t>
  </si>
  <si>
    <t>FG07044</t>
  </si>
  <si>
    <t>SORTOUX ( LEVODROPROPIZINE) 30MG/5ML SIROP 120ML</t>
  </si>
  <si>
    <t>FG07045</t>
  </si>
  <si>
    <t>NOCIGEL (ANTIACIDE) ORAL SUSP. 1X15ML SACHETS</t>
  </si>
  <si>
    <t>FG07046</t>
  </si>
  <si>
    <t>LOOZE 10MG (LACTULOSE) ORALE SOLUTION 1X15ML SACHETS</t>
  </si>
  <si>
    <t>FG07047</t>
  </si>
  <si>
    <t>Q-AMINO ( ACIDE AMINO+VITAMINS) SIROP 200ML</t>
  </si>
  <si>
    <t>FG07048</t>
  </si>
  <si>
    <t>APS ( ACECLO.+PARA.+SERRATIOPEPTIDASE) B/10 CES</t>
  </si>
  <si>
    <t>FG07049</t>
  </si>
  <si>
    <t>S.O.S (MIFEPRISTONE 200MG + MISOPROSTOL 200MCG) KIT DE 5 CES</t>
  </si>
  <si>
    <t>FG07050</t>
  </si>
  <si>
    <t>NOTROFIT (PIRACETAM) 400MG B/60CES</t>
  </si>
  <si>
    <t>FG07051</t>
  </si>
  <si>
    <t>NOTROFIT (PIRACETAM) 800MG B/60CES</t>
  </si>
  <si>
    <t>FG07053</t>
  </si>
  <si>
    <t>MON-LC (MONTE.+LEVOCET.) SIROP 100ML</t>
  </si>
  <si>
    <t>FG07054</t>
  </si>
  <si>
    <t>DELABACT CREME A TRIPLE ACTION TUBE/15G***</t>
  </si>
  <si>
    <t>FG07055</t>
  </si>
  <si>
    <t>DELABACT CREME A TRIPLE ACTION TUBE/30G</t>
  </si>
  <si>
    <t>FG07056</t>
  </si>
  <si>
    <t>BICARBONATE DE SODIUM 8,4%/10ML SOLUTION INJECTABLE B/5 AMP</t>
  </si>
  <si>
    <t>FG07057</t>
  </si>
  <si>
    <t>CHLORURE DE POTASSIUM (KCL) 1G/10ML B/ 5 AMP</t>
  </si>
  <si>
    <t>FG07058</t>
  </si>
  <si>
    <t>CHLORURE DE SODIUM 1G/10ML (NACL) B/5 AMP</t>
  </si>
  <si>
    <t>FG07059</t>
  </si>
  <si>
    <t>VELTAM-PLUS (TAM.0.4MG+DUTA.0.5MG) B/3X10 CAPS.</t>
  </si>
  <si>
    <t>FG07060</t>
  </si>
  <si>
    <t>PSYGEST-3.4GM (PSYLLIUM HUSK) POUDRE POUR SUSP. BUV. B/10 SACHETS</t>
  </si>
  <si>
    <t>FG07061</t>
  </si>
  <si>
    <t>UNIMOL (PARA.+DIC.+CAF.) EFF. B/3X4 CES</t>
  </si>
  <si>
    <t>FG07062</t>
  </si>
  <si>
    <t>NO COLD (PARA.+VIT.C+CAF.+PHENYLEPH..+PHENIRA.) EFF. B/4 CES</t>
  </si>
  <si>
    <t>FG07063</t>
  </si>
  <si>
    <t>Q-ENZY (PAPAÏNE + ALPHA-AMYLASE + SIMÉTHICONE) EFF. B/4X4 CES</t>
  </si>
  <si>
    <t>FG07064</t>
  </si>
  <si>
    <t>UNO-CID (SOULAG. RAPIDE DE L'ACIDITÉ ET GAS) B/10 SACHETS</t>
  </si>
  <si>
    <t>FG07065</t>
  </si>
  <si>
    <t>A TO Z -ENFANT (MULTIVITAMINE) EFF.B/10CES</t>
  </si>
  <si>
    <t>FG07066</t>
  </si>
  <si>
    <t>BONNE NUIT (SILDENAFILE 100MG) EFF. B/4 CES</t>
  </si>
  <si>
    <t>FG07067</t>
  </si>
  <si>
    <t>BONNE NUIT-PLUS (SILDENAFIL 50MG+GINSENG 10MG) EFF. B/4 CES</t>
  </si>
  <si>
    <t>FG07068</t>
  </si>
  <si>
    <t>CALCIDOS (CAL.1000MG + VIT D3 880IU) EFF. B/10 CES</t>
  </si>
  <si>
    <t>FG07069</t>
  </si>
  <si>
    <t>A TO Z-ENERGY (ENERGY DRINK) EFF.B/10 CES</t>
  </si>
  <si>
    <t>FG07070</t>
  </si>
  <si>
    <t>DIASTOP (DIOSMECITE) 3G PDR POUR ORAL SUSP. B/10 SACHETS</t>
  </si>
  <si>
    <t>FG07071</t>
  </si>
  <si>
    <t>CHARIOT À ROULETTES MONITEUR DE SURVEILLANCE</t>
  </si>
  <si>
    <t>FG07072</t>
  </si>
  <si>
    <t>CHARIOT BRANCARD POUR AMBULANCES</t>
  </si>
  <si>
    <t>FG07073</t>
  </si>
  <si>
    <t>COLONNE DE LAPAROSCOPIE ET ENDOSCOPIE - SANS APPAREIL</t>
  </si>
  <si>
    <t>FG07074</t>
  </si>
  <si>
    <t>TABLE DE MASSAGE - PHYSIOTHÉRAPIE</t>
  </si>
  <si>
    <t>FG07075</t>
  </si>
  <si>
    <t>THERMOMÈTRE FRONTAL CONTEC TP500</t>
  </si>
  <si>
    <t>FG07076</t>
  </si>
  <si>
    <t>THERMO-HYGROMETRE NUMERIQUE INTERIEUR-EXTERIEUR PC</t>
  </si>
  <si>
    <t>FG07077</t>
  </si>
  <si>
    <t>COMPTEUR D'EAU - TDS/EC/PH/SALINITÉ/TEM 5 EN 1</t>
  </si>
  <si>
    <t>FG07078</t>
  </si>
  <si>
    <t>SALTER TYPE HANGING WEIGHING SCALE ML-D2002 BABY SALTER WITH 2 BAGS</t>
  </si>
  <si>
    <t>FG07079</t>
  </si>
  <si>
    <t>APPAREIL ELECTROSTIMULATION MUSCULAIRE</t>
  </si>
  <si>
    <t>FG07080</t>
  </si>
  <si>
    <t>MINUTERIE - MECANIQUE 60 MINUTES</t>
  </si>
  <si>
    <t>FG07081</t>
  </si>
  <si>
    <t>TENS EMS 5*5CM 2MM PLUG</t>
  </si>
  <si>
    <t>FG07082</t>
  </si>
  <si>
    <t>APPAREIL DE MASSAGE PC</t>
  </si>
  <si>
    <t>FG07083</t>
  </si>
  <si>
    <t>CATHÉTER DE DRAINAGE PLEURAL-POITRINE - 10F</t>
  </si>
  <si>
    <t>FG07084</t>
  </si>
  <si>
    <t>CATHÉTER DE DRAINAGE PLEURAL-POITRINE - 12F</t>
  </si>
  <si>
    <t>FG07085</t>
  </si>
  <si>
    <t>CATHÉTER DE DRAINAGE PLEURAL-POITRINE - 14F</t>
  </si>
  <si>
    <t>FG07086</t>
  </si>
  <si>
    <t>CATHÉTER DE DRAINAGE PLEURAL-POITRINE - 16F</t>
  </si>
  <si>
    <t>FG07087</t>
  </si>
  <si>
    <t>CATHÉTER DE DRAINAGE PLEURAL-POITRINE - 20F</t>
  </si>
  <si>
    <t>FG07088</t>
  </si>
  <si>
    <t>CATHÉTER DE DRAINAGE PLEURAL-POITRINE - 24F</t>
  </si>
  <si>
    <t>FG07089</t>
  </si>
  <si>
    <t>CATHÉTER DE DRAINAGE PLEURAL-POITRINE - 28F</t>
  </si>
  <si>
    <t>FG07090</t>
  </si>
  <si>
    <t>CATHÉTER DE DRAINAGE PLEURAL-POITRINE - 32F</t>
  </si>
  <si>
    <t>FG07091</t>
  </si>
  <si>
    <t>CATHÉTER DE DRAINAGE PLEURAL-POITRINE - 36F</t>
  </si>
  <si>
    <t>FG07092</t>
  </si>
  <si>
    <t>BEC BUNSEN</t>
  </si>
  <si>
    <t>FG07093</t>
  </si>
  <si>
    <t>TABLEAU LUMINEUX MURAL POUR ILLETRES "E" - 5M UNITE</t>
  </si>
  <si>
    <t>FG07094</t>
  </si>
  <si>
    <t>PORTOIRS TUBES WESTERGREEN 10 PLACES PC</t>
  </si>
  <si>
    <t>FG07095</t>
  </si>
  <si>
    <t>BOITE PETRI VERRE BOROSILICATE 3.3 50X17MM Ø90 MM</t>
  </si>
  <si>
    <t>FG07096</t>
  </si>
  <si>
    <t>CELLULES DE NUMERATION, MALASSEZ PC</t>
  </si>
  <si>
    <t>FG07097</t>
  </si>
  <si>
    <t>HEMOCYTOMETER, MALASSEZ - KIT</t>
  </si>
  <si>
    <t>FG07098</t>
  </si>
  <si>
    <t>RADIO - DÉVELOPPEUR, POUDRE</t>
  </si>
  <si>
    <t>FG07099</t>
  </si>
  <si>
    <t>RADIO - FIXATEUR, POUDRE</t>
  </si>
  <si>
    <t>FG07100</t>
  </si>
  <si>
    <t>RADIO - FILM, BLEU, 35*43CM, B/100</t>
  </si>
  <si>
    <t>FG07101</t>
  </si>
  <si>
    <t>RADIO - FILM, BLEU, 35*35CM, B/100</t>
  </si>
  <si>
    <t>FG07102</t>
  </si>
  <si>
    <t>RADIO - FILM, BLEU, 30*40CM, B/100</t>
  </si>
  <si>
    <t>FG07103</t>
  </si>
  <si>
    <t>RADIO - FILM, BLEU, 24*30CM, B/100</t>
  </si>
  <si>
    <t>FG07104</t>
  </si>
  <si>
    <t>RADIO - FILM, BLEU, 18*24CM, B/100</t>
  </si>
  <si>
    <t>FG07105</t>
  </si>
  <si>
    <t>LAMPE SCIALYTIQUE DOUBLE COUPOLE</t>
  </si>
  <si>
    <t>FG07106</t>
  </si>
  <si>
    <t>TABLE D'ACCOUCHEMENT OBSTÉTRICALE MULTIFONCTIONNELLE</t>
  </si>
  <si>
    <t>FG07107</t>
  </si>
  <si>
    <t>AUTOCLAVE HORIZONTALE 200 LITRES</t>
  </si>
  <si>
    <t>FG07108</t>
  </si>
  <si>
    <t>SUPER MANGER PLUS (CYPROHEPTADINE+MULTIVITAMIN) B/3X10 CAPLETS</t>
  </si>
  <si>
    <t>FG07109</t>
  </si>
  <si>
    <t>SUPER MANGER (CYPROHEPTADINE) 2MG/5ML SIROP 100ML</t>
  </si>
  <si>
    <t>FG07110</t>
  </si>
  <si>
    <t>SUPER MANGER (CYPROHEPTADINE) 4MG B/2X10 CES</t>
  </si>
  <si>
    <t>FG07111</t>
  </si>
  <si>
    <t>SUPER MANGER (CYPROHEPTADINE) 4MG B/10X10 CES***</t>
  </si>
  <si>
    <t>FG07112</t>
  </si>
  <si>
    <t>PABU (PARA.+DIC.+CAF.) B/1X10 CES</t>
  </si>
  <si>
    <t>FG07113</t>
  </si>
  <si>
    <t>PABU GEL (POUR SOULAGER LA DOULEUR) TUBE DE 30G</t>
  </si>
  <si>
    <t>FG07114</t>
  </si>
  <si>
    <t>DICQUE-100 (DICLOFENAC) B/1X10 CES</t>
  </si>
  <si>
    <t>FG07116</t>
  </si>
  <si>
    <t>UNIZEMA (TRIPLE ACTION) TUBE DE 30G</t>
  </si>
  <si>
    <t>FG07117</t>
  </si>
  <si>
    <t>CLIQUE -55 ( PARA.500MG+CAF.30MG) B/2X12 CES</t>
  </si>
  <si>
    <t>FG07118</t>
  </si>
  <si>
    <t>DICQUEFEN FORTE ( DICLOFENAC 75MG + PARA.325MG) B/2X10 CES</t>
  </si>
  <si>
    <t>FG07119</t>
  </si>
  <si>
    <t>UD3 (CHOLECALCIFEROL) 600000 IU (15MG/ML) 5ML B/5 AMP.</t>
  </si>
  <si>
    <t>FG07120</t>
  </si>
  <si>
    <t>DOXYNIC 100MG (DOXYCILINE) INJECTABLE B/ 1 VIAL</t>
  </si>
  <si>
    <t>FG07121</t>
  </si>
  <si>
    <t>MONNAD (NADIFLO.MICO.+MOMEN.) CREAM DE 30G</t>
  </si>
  <si>
    <t>FG07122</t>
  </si>
  <si>
    <t>MINO 2 (MINOXIDIL + AMINEXIL) TROPICAL SOLUTION 60ML</t>
  </si>
  <si>
    <t>FG07123</t>
  </si>
  <si>
    <t>MINO 5 (MINOXIDIL + AMINEXIL) TROPICAL SOLUTION 60ML</t>
  </si>
  <si>
    <t>FG07124</t>
  </si>
  <si>
    <t>ARH 480MG (ARTE.+LUMEFAN.) B/6 CAPSULE MOLLE</t>
  </si>
  <si>
    <t>FG07125</t>
  </si>
  <si>
    <t>MON-KID (MONTELUKAST 4MG) B/1X10 CES CROQUER</t>
  </si>
  <si>
    <t>FG07126</t>
  </si>
  <si>
    <t>MON-5 (MONTELUKAST) B/1X10 CES CROQUER</t>
  </si>
  <si>
    <t>FG07127</t>
  </si>
  <si>
    <t>MON-10 (MONTELUKAST) B/1X10 CES</t>
  </si>
  <si>
    <t>FG07128</t>
  </si>
  <si>
    <t>MON-LC FORTE (MONTE. 10MG+LEVOCETRI. 5MG) B/1X10 CES DISPERSIBLE</t>
  </si>
  <si>
    <t>FG07129</t>
  </si>
  <si>
    <t>MON-LC (MONTE. 5MG+LEVOCETRI. 2.5MG) B/1X10 CES DISPERSIBLE</t>
  </si>
  <si>
    <t>FG07130</t>
  </si>
  <si>
    <t>APPAREIL DE MASSAGE PROFESSIONNEL - 20 VITESSES, 6 OPTIONS PC</t>
  </si>
  <si>
    <t>FG07131</t>
  </si>
  <si>
    <t>SALTER TYPE HANGING WEIGHING SCALE BABY SALTER WITH 1 BAGS</t>
  </si>
  <si>
    <t>FG07132</t>
  </si>
  <si>
    <t>DOZEM-50 (TRAMADOL 50MG) EFF. B/4X4 CES</t>
  </si>
  <si>
    <t>FG07133</t>
  </si>
  <si>
    <t>DOZEM-100 (TRAMADOL 100MG) EFF. B/4X4 CES</t>
  </si>
  <si>
    <t>FG07134</t>
  </si>
  <si>
    <t>DOZEM-100*** (TRAMADOL) B/10CAPS</t>
  </si>
  <si>
    <t>FG07135</t>
  </si>
  <si>
    <t>DOZEM-200 (TRAMADOL) B/10CAPS***</t>
  </si>
  <si>
    <t>FG07136</t>
  </si>
  <si>
    <t>ANDROBOOST (TESTOSTERONE 40MG) B/3X10 CAPS. MOLLES</t>
  </si>
  <si>
    <t>FG07137</t>
  </si>
  <si>
    <t>V-LAVAGE (ACIDE LACTIQUE + GLYCOGENE) B/7 OVULE.</t>
  </si>
  <si>
    <t>FG07141</t>
  </si>
  <si>
    <t>DAKTACORT CREME 30GR. (FR)</t>
  </si>
  <si>
    <t>FG07144</t>
  </si>
  <si>
    <t>LABEL (INSERT)</t>
  </si>
  <si>
    <t>FG07145</t>
  </si>
  <si>
    <t>LABEL</t>
  </si>
  <si>
    <t>FG07146</t>
  </si>
  <si>
    <t>ERYFLUID LOTION (ERYTHROMYCINE BASE ) ****100ML*** (FR)</t>
  </si>
  <si>
    <t>FG07150</t>
  </si>
  <si>
    <t>DORA DIALYZER?1.6 (SKU: DOR?DIA?1.6)</t>
  </si>
  <si>
    <t>FG07151</t>
  </si>
  <si>
    <t>DORA DIALYZER?1.8 (SKU: DOR?DIA?1.8)</t>
  </si>
  <si>
    <t>FG07152</t>
  </si>
  <si>
    <t>SHORT TERM D.L HEMO CATHETER KIT (12X16)</t>
  </si>
  <si>
    <t>FG07153</t>
  </si>
  <si>
    <t>SHORT TERM D.L.HEMO CATHETER KIT (12X20)</t>
  </si>
  <si>
    <t>FG07154</t>
  </si>
  <si>
    <t>DIALYSIS ON OFF KIT(1 X1)</t>
  </si>
  <si>
    <t>FG07155</t>
  </si>
  <si>
    <t>HAEMODI.BICARB.CARTRIDGE(BI BAG)900GM</t>
  </si>
  <si>
    <t>FG07156</t>
  </si>
  <si>
    <t>HOT DISINFECTANT HEMODIALYSIS MACHINE</t>
  </si>
  <si>
    <t>FG07157</t>
  </si>
  <si>
    <t>BIO CARD FLUID 10 LTR. PACK?CD</t>
  </si>
  <si>
    <t>FG07158</t>
  </si>
  <si>
    <t>HEMOBICARB PART B (820 GM)</t>
  </si>
  <si>
    <t>FG07159</t>
  </si>
  <si>
    <t>CARTID.FILTERS(MICR.FILT.NO=2)20INCH?CD</t>
  </si>
  <si>
    <t>FG07160</t>
  </si>
  <si>
    <t>NALIGYL SUSP. 30ML***</t>
  </si>
  <si>
    <t>FG07163</t>
  </si>
  <si>
    <t>CALENDAR WALL ALL PRODUCTS</t>
  </si>
  <si>
    <t>FG07164</t>
  </si>
  <si>
    <t>LEAFLETS</t>
  </si>
  <si>
    <t>FG07166</t>
  </si>
  <si>
    <t>TDR HPV DOT IGG - CASSETTE - SERUM, B/20 TEST</t>
  </si>
  <si>
    <t>FG07167</t>
  </si>
  <si>
    <t>TDR HPV DOT IGM - CASSETTE - SERUM, B/20 TEST</t>
  </si>
  <si>
    <t>FG07168</t>
  </si>
  <si>
    <t>TDR PANNEAU TORCH IGM/IGG 10 EN 1 - CASSETTE - S/P, B/20 TEST</t>
  </si>
  <si>
    <t>FG07169</t>
  </si>
  <si>
    <t>MONITEUR DE SURVEILLANCE MEDICALE MH8 AVEC CO2 CAPNOMETRE 1 UNITE HWATIME H8</t>
  </si>
  <si>
    <t>FG07170</t>
  </si>
  <si>
    <t>APPAREIL RESPIRATOIRE AUTO CPAP 1 UNITE BEYOND C20A</t>
  </si>
  <si>
    <t>FG07171</t>
  </si>
  <si>
    <t>KIT MÉDICAL DE CRICOTHYROÏDOTOMIE ADULTE VBM</t>
  </si>
  <si>
    <t>FG07172</t>
  </si>
  <si>
    <t>KIT MÉDICAL DE CRICOTHYROÏDOTOMIE ENFANT VBM</t>
  </si>
  <si>
    <t>FG07173</t>
  </si>
  <si>
    <t>APPAREIL EEG 32 CANAUX 1 UNITE CONTEC KT88</t>
  </si>
  <si>
    <t>FG07174</t>
  </si>
  <si>
    <t>APPAREIL SPIROMETRE DE TABLE 1 UNITE CONTEC SP100</t>
  </si>
  <si>
    <t>FG07175</t>
  </si>
  <si>
    <t>APPAREIL CAPNOGRAPHIE PORTABLE/DE POCHE SPO2 COMPLET 1 UNITE CONTEC CA105</t>
  </si>
  <si>
    <t>FG07176</t>
  </si>
  <si>
    <t>HOLTER TENSIONNEL CONTEC ABPM50</t>
  </si>
  <si>
    <t>FG07177</t>
  </si>
  <si>
    <t>EXTRACTEUR MANUEL DE PLASMA 1 UNITE BIOBASE BJPX-FJ</t>
  </si>
  <si>
    <t>FG07178</t>
  </si>
  <si>
    <t>DEFIBRILLATEUR AED 200 PROMED AED-200</t>
  </si>
  <si>
    <t>FG07179</t>
  </si>
  <si>
    <t>RADIO - FILM AGFA, BLEU, 20*25CM, B/100</t>
  </si>
  <si>
    <t>FG07180</t>
  </si>
  <si>
    <t>RADIO - FILM AGFA, BLEU, 25*30CM, B/100</t>
  </si>
  <si>
    <t>FG07181</t>
  </si>
  <si>
    <t>RADIO - FILM AGFA, BLEU, 28*35CM, B/100</t>
  </si>
  <si>
    <t>FG07182</t>
  </si>
  <si>
    <t>RADIO - FILM AGFA, BLEU, 35*43CM, B/100</t>
  </si>
  <si>
    <t>FG07183</t>
  </si>
  <si>
    <t>RADIO - FILM FUJIFILM, BLEU, 20*25CM, B/150</t>
  </si>
  <si>
    <t>FG07184</t>
  </si>
  <si>
    <t>RADIO - FILM FUJIFILM, BLEU, 25*30CM, B/150</t>
  </si>
  <si>
    <t>FG07185</t>
  </si>
  <si>
    <t>RADIO - FILM FUJIFILM, BLEU, 26*36CM, B/100</t>
  </si>
  <si>
    <t>FG07186</t>
  </si>
  <si>
    <t>RADIO - FILM FUJIFILM, BLEU, 35*43CM, B/100</t>
  </si>
  <si>
    <t>FG07187</t>
  </si>
  <si>
    <t>ECHOGRAPHIE PORTABLE - ECO 6 CARDIO</t>
  </si>
  <si>
    <t>FG07191</t>
  </si>
  <si>
    <t>FLUCIREQ ENF. 2% (CARBOCYSTEINE) SIROP 100ML</t>
  </si>
  <si>
    <t>FG07192</t>
  </si>
  <si>
    <t>FLUCIREQ AD 5% (CARBOCYSTEINE) SIROP 100ML</t>
  </si>
  <si>
    <t>FG07193</t>
  </si>
  <si>
    <t>LETROVIE 2.5MG (LETROZOLE) B/3X10 CES</t>
  </si>
  <si>
    <t>FG07194</t>
  </si>
  <si>
    <t>CLOMIQUE 50MG (CLOMIFENE) B/10 CES</t>
  </si>
  <si>
    <t>FG07195</t>
  </si>
  <si>
    <t>UNIGEL-PLUS (MAGNESIUM + ALUMINIUM) B/10X10 CES</t>
  </si>
  <si>
    <t>FG07196</t>
  </si>
  <si>
    <t>WERMOQUE 500MG (MEBENDAZOLE) B/1 CES</t>
  </si>
  <si>
    <t>FG07197</t>
  </si>
  <si>
    <t>CITRO?H(HOT STERI.SKU:HIS?DIA?HOT?STE?CD</t>
  </si>
  <si>
    <t>FG07198</t>
  </si>
  <si>
    <t>ROCK SALT</t>
  </si>
  <si>
    <t>FG07199</t>
  </si>
  <si>
    <t>DORA DIASAFE PLUS FILTER</t>
  </si>
  <si>
    <t>FG07201</t>
  </si>
  <si>
    <t>RABEQUE (RABEPRAZOLE 20MG) PDR SUSP. B/10 SACHETS</t>
  </si>
  <si>
    <t>FG07202</t>
  </si>
  <si>
    <t>PROTOQ 40MG (PANTOPRAZOLE) B/10 SACHETS DE 0.5G</t>
  </si>
  <si>
    <t>FG07203</t>
  </si>
  <si>
    <t>PERFAC-C (ANTI-GRIPPAUX) B/10 SACHETS</t>
  </si>
  <si>
    <t>FG07208</t>
  </si>
  <si>
    <t>H-NAT (EMULSION GRASSE/AMINO) 1250ML</t>
  </si>
  <si>
    <t>FG07209</t>
  </si>
  <si>
    <t>BIOCHIMIE - HDL-C R1:30ML×2, R2:10 ML×2, PC</t>
  </si>
  <si>
    <t>FG07210</t>
  </si>
  <si>
    <t>BIOCHIMIE - LDL-C R1:30ML×2, R2:10 ML×2, PC</t>
  </si>
  <si>
    <t>FG07211</t>
  </si>
  <si>
    <t>BIOCHIMIE - CHOLESTEROL TOTAL R1:28ML×2, R2:7ML×2, PC</t>
  </si>
  <si>
    <t>FG07212</t>
  </si>
  <si>
    <t>BIOCHIMIE - TRIGLYCERIDES R1:28ML×2, R2:7ML×2, PC</t>
  </si>
  <si>
    <t>FG07213</t>
  </si>
  <si>
    <t>BIOCHIMIE - BILIRUBINE TOTALE R1:28ML×2, R2:7ML×2, PC</t>
  </si>
  <si>
    <t>FG07214</t>
  </si>
  <si>
    <t>BIOCHIMIE - BILIRUBINE DIRECTE R1:28ML×2, R2:7ML×2, PC</t>
  </si>
  <si>
    <t>FG07215</t>
  </si>
  <si>
    <t>BIOCHIMIE - PROTEINES TOTALES R:30MLX2, PC</t>
  </si>
  <si>
    <t>FG07216</t>
  </si>
  <si>
    <t>BIOCHIMIE - ALBUMINE R:30MLX2, PC</t>
  </si>
  <si>
    <t>FG07217</t>
  </si>
  <si>
    <t>BIOCHIMIE - CREATININE R1:30ML×2, R2:10ML×2, PC</t>
  </si>
  <si>
    <t>FG07218</t>
  </si>
  <si>
    <t>BIOCHIMIE - ACIDE URIQUE R1:28ML×2, R2:7ML×2, PC</t>
  </si>
  <si>
    <t>FG07219</t>
  </si>
  <si>
    <t>BIOCHIMIE - UREE R1:28ML×2, R2:7ML×2, PC</t>
  </si>
  <si>
    <t>FG07220</t>
  </si>
  <si>
    <t>BIOCHIMIE - LDH R1:28ML×2, R2:7ML×2, PC</t>
  </si>
  <si>
    <t>FG07221</t>
  </si>
  <si>
    <t>BIOCHIMIE - ALKALINE WASH 2000G, PC</t>
  </si>
  <si>
    <t>FG07222</t>
  </si>
  <si>
    <t>BIOCHIMIE - ACID WASH 500G, PC</t>
  </si>
  <si>
    <t>FG07223</t>
  </si>
  <si>
    <t>BIOCHIMIE - HITERGENT 500G, PC</t>
  </si>
  <si>
    <t>FG07224</t>
  </si>
  <si>
    <t>BIOCHIMIE - ISE-CLEANER 20MLX1, PC</t>
  </si>
  <si>
    <t>FG07225</t>
  </si>
  <si>
    <t>BIOCHIMIE - ISE-REAGENT PACK, CA:1600ML, CB:500ML, QC:10ML, PCK</t>
  </si>
  <si>
    <t>FG07226</t>
  </si>
  <si>
    <t>BIOCHIMIE - C01 LEVEL 2?1×5ML, PC</t>
  </si>
  <si>
    <t>FG07228</t>
  </si>
  <si>
    <t>TDR HBCAB, BANDELETTE, ST/S/P, B/50 TEST</t>
  </si>
  <si>
    <t>FG07229</t>
  </si>
  <si>
    <t>TDR MALARIA PF/PAN, CASSETTE, ST, B/20 TEST</t>
  </si>
  <si>
    <t>FG07230</t>
  </si>
  <si>
    <t>TDR OVULATION LH - BANDELETTE - URINE, ****B/50**** TEST</t>
  </si>
  <si>
    <t>FG07231</t>
  </si>
  <si>
    <t>ANALYSEUR D'URINE 500 - UNITE</t>
  </si>
  <si>
    <t>FG07234</t>
  </si>
  <si>
    <t>FLAMINGO QUADRIPOD-METAL HIGH BASE</t>
  </si>
  <si>
    <t>FG07235</t>
  </si>
  <si>
    <t>FLAMINGO DIABETIC SOCKS ANTI SKID - GREY</t>
  </si>
  <si>
    <t>FG07236</t>
  </si>
  <si>
    <t>FLAMINGO FOOT DROP SPLINT LEFT (SMALL)</t>
  </si>
  <si>
    <t>FG07237</t>
  </si>
  <si>
    <t>FLAMINGO FOOT DROP SPLINT RIGHT (SMALL)</t>
  </si>
  <si>
    <t>FG07238</t>
  </si>
  <si>
    <t>FLAMINGO ANTI EMBOLISM MONO STOCKINGS LEFT (MEDIUM)</t>
  </si>
  <si>
    <t>FG07239</t>
  </si>
  <si>
    <t>FLAMINGO ANTI EMBOLISM MONO STOCKINGS LEFT (LARGE)</t>
  </si>
  <si>
    <t>FG07240</t>
  </si>
  <si>
    <t>FLAMINGO ANTI EMBOLISM MONO STOCKINGS LEFT (XL)</t>
  </si>
  <si>
    <t>FG07241</t>
  </si>
  <si>
    <t>FLAMINGO ANTI EMBOLISM MONO STOCKINGS LEFT (XXL)</t>
  </si>
  <si>
    <t>FG07242</t>
  </si>
  <si>
    <t>FLAMINGO ANTI EMBOLISM MONO STOCKINGS RIGHT (MEDIUM)</t>
  </si>
  <si>
    <t>FG07243</t>
  </si>
  <si>
    <t>FLAMINGO ANTI EMBOLISM MONO STOCKINGS RIGHT (LARGE)</t>
  </si>
  <si>
    <t>FG07244</t>
  </si>
  <si>
    <t>FLAMINGO ANTI EMBOLISM MONO STOCKINGS RIGHT (XL)</t>
  </si>
  <si>
    <t>FG07245</t>
  </si>
  <si>
    <t>FLAMINGO ANTI EMBOLISM MONO STOCKINGS RIGHT (XXL)</t>
  </si>
  <si>
    <t>FG07246</t>
  </si>
  <si>
    <t>FLAMINGO CLASSIC ELBOW STICK OPEN LOOP (U)</t>
  </si>
  <si>
    <t>FG07247</t>
  </si>
  <si>
    <t>FLAMINGO ELASTICATED TUBULAR BANDAGE 10CM 4X1 MTR</t>
  </si>
  <si>
    <t>FG07248</t>
  </si>
  <si>
    <t>FLAMINGO ELASTICATED TUBULAR BANDAGE 10CM ***4X10*** MTR</t>
  </si>
  <si>
    <t>FG07249</t>
  </si>
  <si>
    <t>FLAMINGO CALF SUPPORT (EXTRA LARGE)</t>
  </si>
  <si>
    <t>FG07250</t>
  </si>
  <si>
    <t>FLAMINGO CALF SUPPORT (XXL)</t>
  </si>
  <si>
    <t>FG07256</t>
  </si>
  <si>
    <t>MC - GELOSE COMPTAGE SUR PLAQUE STANDARD 500G</t>
  </si>
  <si>
    <t>FG07257</t>
  </si>
  <si>
    <t>MC - GELOSE THIOGLYCOLATE 500G</t>
  </si>
  <si>
    <t>FG07258</t>
  </si>
  <si>
    <t>MC- BASE DE GELOSE VERT BRILLANT, MODIFIEE 500G</t>
  </si>
  <si>
    <t>FG07259</t>
  </si>
  <si>
    <t>MC - MILIEU LIQUIDE THIOGLYCOLATE (USP) 500G</t>
  </si>
  <si>
    <t>FG07260</t>
  </si>
  <si>
    <t>MC - BOUILLON VERT M-BRILLIANT 500G</t>
  </si>
  <si>
    <t>FG07261</t>
  </si>
  <si>
    <t>MC - BOUILLON VERT BRILLANT BILE 2% 500G</t>
  </si>
  <si>
    <t>FG07262</t>
  </si>
  <si>
    <t>MC - MILIEU THIOGLYCOLLATE AVEC GÉLO K 500G</t>
  </si>
  <si>
    <t>FG07263</t>
  </si>
  <si>
    <t>DISQUES ANTIBIOGRAMMES - CEFUROXIME BT/50</t>
  </si>
  <si>
    <t>FG07266</t>
  </si>
  <si>
    <t>CPAP - TUBE</t>
  </si>
  <si>
    <t>FG07267</t>
  </si>
  <si>
    <t>CPAP - MASQUE ADULTE (M)</t>
  </si>
  <si>
    <t>FG07268</t>
  </si>
  <si>
    <t>CPAP - MASQUE ADULTE (L)</t>
  </si>
  <si>
    <t>FG07269</t>
  </si>
  <si>
    <t>CPAP - MASQUE ENFANT (L)</t>
  </si>
  <si>
    <t>FG07270</t>
  </si>
  <si>
    <t>CPAP - MASQUE ENFANT (M)</t>
  </si>
  <si>
    <t>FG07271</t>
  </si>
  <si>
    <t>CONGELATEUR DE -86? CELCIUS</t>
  </si>
  <si>
    <t>FG07272</t>
  </si>
  <si>
    <t>CONGELATEUR DE (-15?-25?) CELCIUS</t>
  </si>
  <si>
    <t>FG07273</t>
  </si>
  <si>
    <t>CONGELATEUR DE (-15?-40?) CELCIUS</t>
  </si>
  <si>
    <t>FG07274</t>
  </si>
  <si>
    <t>REFRIGERATEUR DE VOITURE 0 À 65 DEGRES - 18L</t>
  </si>
  <si>
    <t>FG07275</t>
  </si>
  <si>
    <t>LAMPE INFRAROUGE CHAUFFANTE SUPPORT DE SOL 250W</t>
  </si>
  <si>
    <t>FG07276</t>
  </si>
  <si>
    <t>LAMPE INFRAROUGE CHAUFFANTE SUPPORT DE SOL 150W LY609C</t>
  </si>
  <si>
    <t>FG07277</t>
  </si>
  <si>
    <t>LAMPE INFRAROUGE CHAUFFANTE SUPPORT DE SOL 150W LY609E</t>
  </si>
  <si>
    <t>FG07278</t>
  </si>
  <si>
    <t>LAMPE INFRAROUGE CHAUFFANTE SUPPORT DE TABLE 100W</t>
  </si>
  <si>
    <t>FG07279</t>
  </si>
  <si>
    <t>MARTEAU A REFLEXE, UNITE</t>
  </si>
  <si>
    <t>FG07280</t>
  </si>
  <si>
    <t>PAPIER INDICATEUR PH (5.5-9.0) 3*5M, PC</t>
  </si>
  <si>
    <t>FG07281</t>
  </si>
  <si>
    <t>BOITE PETRI POLYSTYRENE STERILIN Ø100 MM, B/10</t>
  </si>
  <si>
    <t>FG07282</t>
  </si>
  <si>
    <t>EPANDEUR DE CELLULES 60*238MM, PC</t>
  </si>
  <si>
    <t>FG07283</t>
  </si>
  <si>
    <t>TUBE A ESSAI, VERRE, 1.5CM*10CM, B/100</t>
  </si>
  <si>
    <t>FG07284</t>
  </si>
  <si>
    <t>FIOLE JAUGEE 100 ML, PC</t>
  </si>
  <si>
    <t>FG07285</t>
  </si>
  <si>
    <t>FIOLE JAUGEE 250 ML, PC</t>
  </si>
  <si>
    <t>FG07286</t>
  </si>
  <si>
    <t>FIOLE JAUGEE 500 ML, PC</t>
  </si>
  <si>
    <t>FG07287</t>
  </si>
  <si>
    <t>FIOLE JAUGEE 1000 ML, PC</t>
  </si>
  <si>
    <t>FG07288</t>
  </si>
  <si>
    <t>EPROUVETTE GRADUEE VERRE BORO - 10ML, PC</t>
  </si>
  <si>
    <t>FG07289</t>
  </si>
  <si>
    <t>EPROUVETTE GRADUEE VERRE BORO - 25ML, PC</t>
  </si>
  <si>
    <t>FG07290</t>
  </si>
  <si>
    <t>EPROUVETTE GRADUEE VERRE BORO - 100ML, PC</t>
  </si>
  <si>
    <t>FG07291</t>
  </si>
  <si>
    <t>EPROUVETTE GRADUEE VERRE BORO - 500ML, PC</t>
  </si>
  <si>
    <t>FG07292</t>
  </si>
  <si>
    <t>EPROUVETTE GRADUEE VERRE BORO - 1000ML, PC</t>
  </si>
  <si>
    <t>FG07293</t>
  </si>
  <si>
    <t>BURETTE GRADUEE 10ML, PC</t>
  </si>
  <si>
    <t>FG07294</t>
  </si>
  <si>
    <t>BURETTE GRADUEE 25ML, PC</t>
  </si>
  <si>
    <t>FG07295</t>
  </si>
  <si>
    <t>BURETTE GRADUEE 50ML, PC</t>
  </si>
  <si>
    <t>FG07296</t>
  </si>
  <si>
    <t>FIOLE ERLENMEYER, COL ETROIT, 100 ML, PC</t>
  </si>
  <si>
    <t>FG07297</t>
  </si>
  <si>
    <t>FIOLE ERLENMEYER, COL ETROIT, 200 ML, PC</t>
  </si>
  <si>
    <t>FG07298</t>
  </si>
  <si>
    <t>FIOLE ERLENMEYER, COL ETROIT, 1000 ML, PC</t>
  </si>
  <si>
    <t>FG07299</t>
  </si>
  <si>
    <t>BALLON A FOND PLAT 16*5 - 100ML, PC</t>
  </si>
  <si>
    <t>FG07300</t>
  </si>
  <si>
    <t>BALLON A FOND PLAT 16*5 - 250ML, PC</t>
  </si>
  <si>
    <t>FG07301</t>
  </si>
  <si>
    <t>BALLON A FOND PLAT 16*5 - 500ML, PC</t>
  </si>
  <si>
    <t>FG07302</t>
  </si>
  <si>
    <t>FIOLE ERLENMEYER, COL ETROIT, 500 ML, PC</t>
  </si>
  <si>
    <t>FG07303</t>
  </si>
  <si>
    <t>BALLON A FOND PLAT 16*5 - 1000ML, PC</t>
  </si>
  <si>
    <t>FG07304</t>
  </si>
  <si>
    <t>BALLON A FOND PLAT 16*5 - 2000ML, PC</t>
  </si>
  <si>
    <t>FG07305</t>
  </si>
  <si>
    <t>BECHER EN VERRE (30*5) - 100ML, PC</t>
  </si>
  <si>
    <t>FG07306</t>
  </si>
  <si>
    <t>BECHER EN VERRE (30*5) - 500ML, PC</t>
  </si>
  <si>
    <t>FG07307</t>
  </si>
  <si>
    <t>BECHER EN VERRE (30*5) - 1000ML, PC</t>
  </si>
  <si>
    <t>FG07308</t>
  </si>
  <si>
    <t>BECHER EN VERRE (30*5) - 2000ML, PC</t>
  </si>
  <si>
    <t>FG07309</t>
  </si>
  <si>
    <t>BOITE METAL PREMIERS SECOURS - MULTI COMPARTIMENTS, UNITE</t>
  </si>
  <si>
    <t>FG07310</t>
  </si>
  <si>
    <t>BOITE METAL PREMIERS SECOURS - MURAL - MULTI COMPARTIMENTS, UNITE</t>
  </si>
  <si>
    <t>FG07311</t>
  </si>
  <si>
    <t>ARMOIRE MURALE EN METAL POUR DÉFIBRILLATEUR AED, UNITE</t>
  </si>
  <si>
    <t>FG07312</t>
  </si>
  <si>
    <t>KIT D'ASPIRATION MANUELLE INTRA UTERINE (AMIU), PC</t>
  </si>
  <si>
    <t>FG07313</t>
  </si>
  <si>
    <t>SYSTEME DE DRAINAGE THORACIQUE, UNITE</t>
  </si>
  <si>
    <t>FG07314</t>
  </si>
  <si>
    <t>RUBAN INDICATEUR POUR AUTOCLAVE, PC</t>
  </si>
  <si>
    <t>FG07315</t>
  </si>
  <si>
    <t>SAC DE STERILISATION, 90MM*165MM, B/200</t>
  </si>
  <si>
    <t>FG07316</t>
  </si>
  <si>
    <t>SAC DE STERILISATION, 90MM*260MM, B/200</t>
  </si>
  <si>
    <t>FG07317</t>
  </si>
  <si>
    <t>SAC DE STERILISATION, 135MM*280MM, B/200</t>
  </si>
  <si>
    <t>FG07318</t>
  </si>
  <si>
    <t>SAC DE STERILISATION, 190MM*360MM, B/200</t>
  </si>
  <si>
    <t>FG07319</t>
  </si>
  <si>
    <t>CHAMP OPERATOIRE POUR CHIRURGIE GENERALE, PC</t>
  </si>
  <si>
    <t>FG07320</t>
  </si>
  <si>
    <t>CHAMP OPERATOIRE POUR CHIRURGIE OPHTALMIQUE, PC</t>
  </si>
  <si>
    <t>FG07321</t>
  </si>
  <si>
    <t>CHAMP OPERATOIRE POUR CHIRURGIE ORTHOPEDIQUE, PC</t>
  </si>
  <si>
    <t>FG07322</t>
  </si>
  <si>
    <t>CHAMP CHIRURGICAL, PC</t>
  </si>
  <si>
    <t>FG07323</t>
  </si>
  <si>
    <t>MANODETENDEUR AVEC BARBOTEUR ET DEBITMETRE, MALE, UNITE</t>
  </si>
  <si>
    <t>FG07324</t>
  </si>
  <si>
    <t>MANODETENDEUR AVEC BARBOTEUR ET DEBITMETRE, FEMELLE, UNITE</t>
  </si>
  <si>
    <t>FG07325</t>
  </si>
  <si>
    <t>TV (ROUGE) SEC VERRE 13*100, 6ML, B/100PCS</t>
  </si>
  <si>
    <t>FG07326</t>
  </si>
  <si>
    <t>TV (ROUGE) SEC VERRE 16*100, 6ML, B/100PCS</t>
  </si>
  <si>
    <t>FG07327</t>
  </si>
  <si>
    <t>TV (JAUNE) GEL/ACTIV-COA VERRE 13*75, 4ML, B/100PCS</t>
  </si>
  <si>
    <t>FG07328</t>
  </si>
  <si>
    <t>SERINGUE DENTAIRE, UNITE</t>
  </si>
  <si>
    <t>FG07329</t>
  </si>
  <si>
    <t>SUPPORT MURAL POUR MONITEUR PATIENT, PC</t>
  </si>
  <si>
    <t>FG07330</t>
  </si>
  <si>
    <t>ANSES D'INOCULATION PLASTIQUE A USAGE UNIQUE, STERILE, PC</t>
  </si>
  <si>
    <t>FG07331</t>
  </si>
  <si>
    <t>SPIROMETRE INCITATIF A TROIS BALLES TRI-BALL, UNITE</t>
  </si>
  <si>
    <t>FG07332</t>
  </si>
  <si>
    <t>SCIE A PLATRE ELECTRIQUE, UNITE</t>
  </si>
  <si>
    <t>FG07333</t>
  </si>
  <si>
    <t>LAMPE STYLO DE DIAGNOSTIC MÉDICAL LED, UNITE</t>
  </si>
  <si>
    <t>FG07334</t>
  </si>
  <si>
    <t>TABLEAU DE SNELLEN, UNITE</t>
  </si>
  <si>
    <t>FG07335</t>
  </si>
  <si>
    <t>COMPTEUR DE CELLULES 1 TOUCHE MANUEL, UNITE</t>
  </si>
  <si>
    <t>FG07336</t>
  </si>
  <si>
    <t>AGRAFEUSE CHIRURGICALE CUTANEE STERILE 35W, UNITE</t>
  </si>
  <si>
    <t>FG07337</t>
  </si>
  <si>
    <t>MASQUE D'ANESTHESIE 01, INFANT, PC</t>
  </si>
  <si>
    <t>FG07338</t>
  </si>
  <si>
    <t>MASQUE D'ANESTHESIE 02, PEDIATRIQUE, PC</t>
  </si>
  <si>
    <t>FG07339</t>
  </si>
  <si>
    <t>MASQUE D'ANESTHESIE 03, ADULTE-S, PC</t>
  </si>
  <si>
    <t>FG07340</t>
  </si>
  <si>
    <t>MASQUE D'ANESTHESIE 04, ADULTE-M, PC</t>
  </si>
  <si>
    <t>FG07341</t>
  </si>
  <si>
    <t>MASQUE D'ANESTHESIE 05, ADULTE-L, PC</t>
  </si>
  <si>
    <t>FG07342</t>
  </si>
  <si>
    <t>MASQUE D'ANESTHESIE 06, ADULTE-L, PC</t>
  </si>
  <si>
    <t>FG07343</t>
  </si>
  <si>
    <t>CIRCUIT DE VENTILATEUR, UNITE</t>
  </si>
  <si>
    <t>FG07344</t>
  </si>
  <si>
    <t>CONTENEUR D'OBJETS TRANCHANTS, 10L, PC</t>
  </si>
  <si>
    <t>FG07345</t>
  </si>
  <si>
    <t>TABLIER PLOMBE POUR RADIOLOGIE, UNITE</t>
  </si>
  <si>
    <t>FG07346</t>
  </si>
  <si>
    <t>SABOT MEDICAL (M,36-37), PAIRE</t>
  </si>
  <si>
    <t>FG07347</t>
  </si>
  <si>
    <t>SABOT MEDICAL (L,38-39), PAIRE</t>
  </si>
  <si>
    <t>FG07348</t>
  </si>
  <si>
    <t>SABOT MEDICAL (XL,40-41), PAIRE</t>
  </si>
  <si>
    <t>FG07349</t>
  </si>
  <si>
    <t>SABOT MEDICAL (XXL,42-43), PAIRE</t>
  </si>
  <si>
    <t>FG07350</t>
  </si>
  <si>
    <t>SABOT MEDICAL (3XL,44-45), PAIRE</t>
  </si>
  <si>
    <t>FG07351</t>
  </si>
  <si>
    <t>SABOT MEDICAL (4XL,46-47), PAIRE</t>
  </si>
  <si>
    <t>FG07352</t>
  </si>
  <si>
    <t>PAPIER TEST NST/ERF, PC</t>
  </si>
  <si>
    <t>FG07353</t>
  </si>
  <si>
    <t>FILM DE PROTECTION PARAFILM, 4INX125FT(10CMX38M), PC</t>
  </si>
  <si>
    <t>FG07354</t>
  </si>
  <si>
    <t>STG 25MG (SITAGLIPTIN) B/2X14 CES</t>
  </si>
  <si>
    <t>FG07355</t>
  </si>
  <si>
    <t>STG 50MG (SITAGLIPTIN) B/2X14 CES</t>
  </si>
  <si>
    <t>FG07356</t>
  </si>
  <si>
    <t>STG *100MG* (SITAGLIPTIN) B/2X14 CES</t>
  </si>
  <si>
    <t>FG07357</t>
  </si>
  <si>
    <t>STG-M 50/500 (SITAGLIP.+METFOR.) B/4X7 CES</t>
  </si>
  <si>
    <t>FG07358</t>
  </si>
  <si>
    <t>STG-M 50/1000 (SITAGLIP.+METFOR.) B/4X7 CES</t>
  </si>
  <si>
    <t>FG07359</t>
  </si>
  <si>
    <t>UNIKOF HERBAL PASTILLES B/200 PCS</t>
  </si>
  <si>
    <t>FG07360</t>
  </si>
  <si>
    <t>UNIKOF HERBAL PASTILLES B/2X12</t>
  </si>
  <si>
    <t>FG07361</t>
  </si>
  <si>
    <t>UNIKOF VICKS PASTILLES B/200 PCS</t>
  </si>
  <si>
    <t>FG07362</t>
  </si>
  <si>
    <t>SECOURS PASTILLES B/200 PCS</t>
  </si>
  <si>
    <t>FG07363</t>
  </si>
  <si>
    <t>SECOURS PASTILLES VIT C ORANGE B/2X12***</t>
  </si>
  <si>
    <t>FG07364</t>
  </si>
  <si>
    <t>SECOURS PLUS AVEC.LIDOCAINE PASTILLES *B/2X12*</t>
  </si>
  <si>
    <t>FG07365</t>
  </si>
  <si>
    <t>SORTOUX PASTILLES B/8X10</t>
  </si>
  <si>
    <t>FG07367</t>
  </si>
  <si>
    <t>A TO Z (MULTIVITAMIN) SIROP **100ML**</t>
  </si>
  <si>
    <t>FG07368</t>
  </si>
  <si>
    <t>POUPINEL - STERILISATEUR A CHALEUR 70L</t>
  </si>
  <si>
    <t>FG07369</t>
  </si>
  <si>
    <t>BOITE ISOTHERME 48H 2-8°C 12L</t>
  </si>
  <si>
    <t>FG07371</t>
  </si>
  <si>
    <t>REFRIGERATEUR BANQUE DE SANG +4°C -136L</t>
  </si>
  <si>
    <t>FG07372</t>
  </si>
  <si>
    <t>REFRIGERATEUR BANQUE DE SANG +4°C -210L</t>
  </si>
  <si>
    <t>FG07373</t>
  </si>
  <si>
    <t>TABLE A LANGER - TABLE PEDIATRIQUE</t>
  </si>
  <si>
    <t>FG07374</t>
  </si>
  <si>
    <t>LAMPE SCIALYTIQUE AVEC BATTERIE INTÉGRÉE 5 REFLECTEURS</t>
  </si>
  <si>
    <t>FG07375</t>
  </si>
  <si>
    <t>CONTENEUR D'OBJETS TRANCHANTS, 5L, PC</t>
  </si>
  <si>
    <t>FG07376</t>
  </si>
  <si>
    <t>ARTIFICIAL RESUSCITATOR - SILICONE WITH FACE MASK NO 4 - AMBU (ADULT)</t>
  </si>
  <si>
    <t>FG07377</t>
  </si>
  <si>
    <t>ARTIFICIAL RESUSCITATOR - SILICONE WITH FACE MASK NO 1 - AMBU (CHILD)</t>
  </si>
  <si>
    <t>FG07378</t>
  </si>
  <si>
    <t>ARTIFICIAL RESUSCITATOR - SILICONE WITH FACE MASK NO 0 - AMBU (INFANT)</t>
  </si>
  <si>
    <t>FG07379</t>
  </si>
  <si>
    <t>BATTERY OPERATED CANNULATED BONE DRILL</t>
  </si>
  <si>
    <t>FG07382</t>
  </si>
  <si>
    <t>STREPSIL MIEL CITRON 36 PASTILLES</t>
  </si>
  <si>
    <t>FG07383</t>
  </si>
  <si>
    <t>BIOCHIMIE S - GLUCOSE 5X100 ML</t>
  </si>
  <si>
    <t>FG07384</t>
  </si>
  <si>
    <t>CHARIOT D'ANESTHESIE HOPITAL, UNITE</t>
  </si>
  <si>
    <t>FG07386</t>
  </si>
  <si>
    <t>ACT-COMBITHER 80/480MG AD B/6 CES</t>
  </si>
  <si>
    <t>FG07391</t>
  </si>
  <si>
    <t>TBM - 360 DIL 20 LIT 121740</t>
  </si>
  <si>
    <t>FG07392</t>
  </si>
  <si>
    <t>SAC MEDICAL DE PREMIERS SECOURS ET D'INTERVENTION, PC</t>
  </si>
  <si>
    <t>FG07393</t>
  </si>
  <si>
    <t>POLO T-SHIRT</t>
  </si>
  <si>
    <t>FG07394</t>
  </si>
  <si>
    <t>PANSEMENT IV FORME U, B/50</t>
  </si>
  <si>
    <t>FG07395</t>
  </si>
  <si>
    <t>APPAREIL RADIOGRAPHIE DENTAIRE, UNITE</t>
  </si>
  <si>
    <t>FG07399</t>
  </si>
  <si>
    <t>SODIUM BICARBONATE 50KG</t>
  </si>
  <si>
    <t>FG07433</t>
  </si>
  <si>
    <t>AMYLASE 200 U.CEIP/ML (ALFA-AMYLASE) SIROP 150ML</t>
  </si>
  <si>
    <t>FG07773</t>
  </si>
  <si>
    <t>ECHOGRAPHIE CHARIOT COULEUR QBIT7, 2 SONDE</t>
  </si>
  <si>
    <t>FG07774</t>
  </si>
  <si>
    <t>ECHOGRAPHIE CHARIOT COULEUR CBIT4, 2 SONDE</t>
  </si>
  <si>
    <t>FG07831</t>
  </si>
  <si>
    <t>PH-MÈTRE DE PAILLASSE</t>
  </si>
  <si>
    <t>FG07832</t>
  </si>
  <si>
    <t>POCHE À EAU CHAUDE 2 LITRE, 1 PC</t>
  </si>
  <si>
    <t>FG07833</t>
  </si>
  <si>
    <t>RÉANIMATEUR POUR BÉBÉ T-PIÈCE, MODÈLE NEO-I</t>
  </si>
  <si>
    <t>FG07834</t>
  </si>
  <si>
    <t>BILIRUBINOMÈTRE</t>
  </si>
  <si>
    <t>FG07835</t>
  </si>
  <si>
    <t>BLOUSE MÉDICALE - APRON, M</t>
  </si>
  <si>
    <t>FG07836</t>
  </si>
  <si>
    <t>BLOUSE MÉDICALE - APRON, L</t>
  </si>
  <si>
    <t>FG07837</t>
  </si>
  <si>
    <t>BLOUSE MÉDICALE - APRON, XL</t>
  </si>
  <si>
    <t>FG07838</t>
  </si>
  <si>
    <t>BLOUSE MÉDICALE - APRON, 2XL</t>
  </si>
  <si>
    <t>FG07839</t>
  </si>
  <si>
    <t>BLOUSE MÉDICALE PAIRE - BLOUSE ET PANTALON, M</t>
  </si>
  <si>
    <t>FG07840</t>
  </si>
  <si>
    <t>PARURE DE DRAPS MÉDICAL, 3 PIÈCES/ENSEMBLE (2 HOUSSES+1 PLAT) 140X250</t>
  </si>
  <si>
    <t>FG07841</t>
  </si>
  <si>
    <t>PARURE DE DRAPS MÉDICAL, 3 PIÈCES/ENSEMBLE (2 HOUSSES+1 PLAT) 160X270</t>
  </si>
  <si>
    <t>FG07842</t>
  </si>
  <si>
    <t>TENSIOMETRE ÉLECTRONIQUE, HAUT DU BRAS, BATTERIE RECHARGEABLE</t>
  </si>
  <si>
    <t>FG07843</t>
  </si>
  <si>
    <t>NÉBULISEUR MESH (ADULTE-ENFANT)</t>
  </si>
  <si>
    <t>FG07844</t>
  </si>
  <si>
    <t>TDR URINE -12T - BANDELETTE, B/100 TEST</t>
  </si>
  <si>
    <t>FG07845</t>
  </si>
  <si>
    <t>DÉSINFECTANT À L'ACIDE CITRIQUE (5L)</t>
  </si>
  <si>
    <t>FG07846</t>
  </si>
  <si>
    <t>PATIENT STRETCHER TROLLEY, ELECTRONIC</t>
  </si>
  <si>
    <t>FG07847</t>
  </si>
  <si>
    <t>TOISE ADULTE - TOISE MURALE ADULTE 2M AVEC CURSEUR NYLON</t>
  </si>
  <si>
    <t>FG07848</t>
  </si>
  <si>
    <t>FAUTEUIL - LIT DE REPOS</t>
  </si>
  <si>
    <t>FG07849</t>
  </si>
  <si>
    <t>FILM RADIOGRAPHIQUE DENTAIRE</t>
  </si>
  <si>
    <t>FG07850</t>
  </si>
  <si>
    <t>MONOBAIN DENTAIRE</t>
  </si>
  <si>
    <t>FG07851</t>
  </si>
  <si>
    <t>BALANCE DE PRECISION LABORATOIRE 500G - 0.001G</t>
  </si>
  <si>
    <t>FG07852</t>
  </si>
  <si>
    <t>STÉRILISATEUR INFRAROUGE</t>
  </si>
  <si>
    <t>FG07853</t>
  </si>
  <si>
    <t>AGITATEUR MAGNÉTIQUE NUMÉRIQUE À PLAQUE CHAUFFANTE</t>
  </si>
  <si>
    <t>FG07854</t>
  </si>
  <si>
    <t>BAIN-MARIE, 20 LITRE</t>
  </si>
  <si>
    <t>FG07861</t>
  </si>
  <si>
    <t>ECG HOLTER</t>
  </si>
  <si>
    <t>FG07862</t>
  </si>
  <si>
    <t>TENSIOMETRE ÉLECTRONIQUE, HAUT DU BRAS</t>
  </si>
  <si>
    <t>FG06817</t>
  </si>
  <si>
    <t>ULTRA-DOZEM (PARA.+TRAMADOL) EFF. B/16 CES</t>
  </si>
  <si>
    <t>FG06818</t>
  </si>
  <si>
    <t>MC - TSA GELOSE TRYPTONE SOJA (DIGESTION DE CASÉINE SOJA) 500G</t>
  </si>
  <si>
    <t>FG06819</t>
  </si>
  <si>
    <t>MC - TSI GELOSE TRIPLE SUCRE FER 500G</t>
  </si>
  <si>
    <t>FG06820</t>
  </si>
  <si>
    <t>MC - EAU PEPTONÉE TAMPONNÉE (ISO), PH 7,0 - 500G</t>
  </si>
  <si>
    <t>FG06821</t>
  </si>
  <si>
    <t>MC - MILIEU UREE INDOLE (ISO 10273) 500G</t>
  </si>
  <si>
    <t>FG06822</t>
  </si>
  <si>
    <t>MC - BOUILLON MULLER-KAUFFMANN AU TETRATHIONATE-NOVOBIOCINE (MKTTN) 500G</t>
  </si>
  <si>
    <t>FG06823</t>
  </si>
  <si>
    <t>MC - NIGROSINE, (W/S) 100G</t>
  </si>
  <si>
    <t>FG06824</t>
  </si>
  <si>
    <t>BACTERI - KOVAC' S REAGENT 100ML</t>
  </si>
  <si>
    <t>FG06825</t>
  </si>
  <si>
    <t>BACTERI - KIT DE ZIEHL NEELSEN 3*125ML</t>
  </si>
  <si>
    <t>FG06826</t>
  </si>
  <si>
    <t>DISQUES ANTIBIOGRAMMES - COLISTINE (METHANESULFONATE) BT/50</t>
  </si>
  <si>
    <t>FG06827</t>
  </si>
  <si>
    <t>DISQUES ANTIBIOGRAMMES - GENTAMICINE BT/50</t>
  </si>
  <si>
    <t>FG06828</t>
  </si>
  <si>
    <t>DISQUES ANTIBIOGRAMMES - CO-TRIMOXAZOLE (SULFAMÉTHOXAZOLE/TRIMÉTHOPRIME) BT/50</t>
  </si>
  <si>
    <t>FG06829</t>
  </si>
  <si>
    <t>DISQUES ANTIBIOGRAMMES - CIPROFLOXACINE BT/50</t>
  </si>
  <si>
    <t>FG06830</t>
  </si>
  <si>
    <t>DISQUES ANTIBIOGRAMMES - CEFOTAXIME BT/50</t>
  </si>
  <si>
    <t>FG06831</t>
  </si>
  <si>
    <t>DISQUES ANTIBIOGRAMMES - CEFTAZIDIME BT/50</t>
  </si>
  <si>
    <t>FG06832</t>
  </si>
  <si>
    <t>DISQUES ANTIBIOGRAMMES - ERYTHROMYCINE BT/50</t>
  </si>
  <si>
    <t>FG06833</t>
  </si>
  <si>
    <t>DISQUES ANTIBIOGRAMMES - OXACILLINE BT/50</t>
  </si>
  <si>
    <t>FG06834</t>
  </si>
  <si>
    <t>DISQUES ANTIBIOGRAMMES - ACIDE NALIDIXIQUE BT/50</t>
  </si>
  <si>
    <t>FG06835</t>
  </si>
  <si>
    <t>DISQUES ANTIBIOGRAMMES - AMOXICLAV BT/50</t>
  </si>
  <si>
    <t>FG06836</t>
  </si>
  <si>
    <t>EOSINE (SPIRIT SOLUBLE)</t>
  </si>
  <si>
    <t>FG06840</t>
  </si>
  <si>
    <t>BIOCHIMIE S - ALBUMINE 1X100 ML</t>
  </si>
  <si>
    <t>FG06852</t>
  </si>
  <si>
    <t>CHECK-75 OGTT TOLERANCE DIABÈTE GESTATIONNEL</t>
  </si>
  <si>
    <t>FG06871</t>
  </si>
  <si>
    <t>OVOCYPLUS GELU BT60 (FR)</t>
  </si>
  <si>
    <t>FG06872</t>
  </si>
  <si>
    <t>FERTIMAX 2 HOMME GELU BT60 (FR)</t>
  </si>
  <si>
    <t>FG06873</t>
  </si>
  <si>
    <t>OXYMETRE DE POULS PORTATIF (SP02/TEMPÉRATURE)</t>
  </si>
  <si>
    <t>FG06874</t>
  </si>
  <si>
    <t>TDR FOB AG - CASSETTE - FECES , B/20 TEST</t>
  </si>
  <si>
    <t>FG06875</t>
  </si>
  <si>
    <t>TDR OVULATION LH - BANDELETTE - URINE, B/25 TEST</t>
  </si>
  <si>
    <t>FG06876</t>
  </si>
  <si>
    <t>BISTOURI ELECTRIQUE : BIPOLAIRE / MONOPOLAIRE - 03</t>
  </si>
  <si>
    <t>FG06877</t>
  </si>
  <si>
    <t>BISTOURI ELECTRIQUE : BIPOLAIRE / MONOPOLAIRE - 05</t>
  </si>
  <si>
    <t>FG06888</t>
  </si>
  <si>
    <t>VERTOIN 50MG/ML (PHENYTOINE) 5ML INJ.B/1AMP</t>
  </si>
  <si>
    <t>FG06893</t>
  </si>
  <si>
    <t>DISTILLATEUR D'EAU LABORATOIRE 4L/H</t>
  </si>
  <si>
    <t>FG06950</t>
  </si>
  <si>
    <t>BOITE A INSTRUMENTS POUR ACCOUCHMENTS/EPISTOMIE 20PCS</t>
  </si>
  <si>
    <t>FG06951</t>
  </si>
  <si>
    <t>BOITE D'INSTRUMENT POUR CIRCONCISION</t>
  </si>
  <si>
    <t>FG06952</t>
  </si>
  <si>
    <t>BOITE DE SPECULUM</t>
  </si>
  <si>
    <t>FG06953</t>
  </si>
  <si>
    <t>BOITE ORL DE BASE</t>
  </si>
  <si>
    <t>FG06954</t>
  </si>
  <si>
    <t>TINIDAZOLE 500MG B/4 CES (UNIQUE)</t>
  </si>
  <si>
    <t>FG06956</t>
  </si>
  <si>
    <t>LBL - RIVELTOX</t>
  </si>
  <si>
    <t>FG06957</t>
  </si>
  <si>
    <t>LBL - TACLIS</t>
  </si>
  <si>
    <t>FG06958</t>
  </si>
  <si>
    <t>SMART WATCH (RIVELTOX, TACLIS)</t>
  </si>
  <si>
    <t>FG06972</t>
  </si>
  <si>
    <t>MC - GÉLOSE CPC - BASE (CELLOBIOSE, POLYMYXINE ET COLISTINE)</t>
  </si>
  <si>
    <t>FG08766</t>
  </si>
  <si>
    <t>FRIGO 120 LTR</t>
  </si>
  <si>
    <t>FG08799</t>
  </si>
  <si>
    <t>CISEAUX DROIT, MOUSSE/MOUSSE, 16CM,PIèCE, UNITé</t>
  </si>
  <si>
    <t>FG08800</t>
  </si>
  <si>
    <t>CISEAUX DROIT, MOUSSE/MOUSSE, 20CM,PIèCE, UNITé</t>
  </si>
  <si>
    <t>FG08801</t>
  </si>
  <si>
    <t>CISEAUX DROIT, MOUSSE/MOUSSE, 23CM,PIèCE, UNITé</t>
  </si>
  <si>
    <t>FG08802</t>
  </si>
  <si>
    <t>PINCE HéMOSTATIQUE DE KOCHER,12.5CM,DROITE, AVEC DENT, UNITé</t>
  </si>
  <si>
    <t>FG08812</t>
  </si>
  <si>
    <t>CANULE RECTAL</t>
  </si>
  <si>
    <t>FG08825</t>
  </si>
  <si>
    <t>COMFORT SUPER EXTRA (SERVIETTES HYGINIQUES)1P</t>
  </si>
  <si>
    <t>FG08831</t>
  </si>
  <si>
    <t>TOSSEGO SIROP 100ML F/P</t>
  </si>
  <si>
    <t>FG08904</t>
  </si>
  <si>
    <t>AMITRIP-25 (AMITRIPTYLINE) 25MG TABLETS B/10X10</t>
  </si>
  <si>
    <t>FG08905</t>
  </si>
  <si>
    <t>VENTOUSE OBSTETRICALE</t>
  </si>
  <si>
    <t>FG08906</t>
  </si>
  <si>
    <t>COMPTEUR FL 5 TOUCHES</t>
  </si>
  <si>
    <t>FG08907</t>
  </si>
  <si>
    <t>BAGUETTE EN VERRE</t>
  </si>
  <si>
    <t>FG08912</t>
  </si>
  <si>
    <t>NAOMI TRIPLE ACTION CREAM 15GM</t>
  </si>
  <si>
    <t>FG08913</t>
  </si>
  <si>
    <t>HYALGAN INJECTABLE</t>
  </si>
  <si>
    <t>FG04936</t>
  </si>
  <si>
    <t>GYNANFORT OVULES B/10</t>
  </si>
  <si>
    <t>FG04937</t>
  </si>
  <si>
    <t>DIAFORMINE 500MG B/30 CES</t>
  </si>
  <si>
    <t>FG04938</t>
  </si>
  <si>
    <t>DIAFORMINE 850MG B/30 CES</t>
  </si>
  <si>
    <t>FG04939</t>
  </si>
  <si>
    <t>FLAGYL 500MG 14CES (FR)</t>
  </si>
  <si>
    <t>FG04941</t>
  </si>
  <si>
    <t>TITANOREINE B/12SUPPOS (FR)</t>
  </si>
  <si>
    <t>FG04942</t>
  </si>
  <si>
    <t>AMIFER SIROP 200ML (FR)</t>
  </si>
  <si>
    <t>FG04943</t>
  </si>
  <si>
    <t>LARGATIL 25MG B/50 CES (ESP)</t>
  </si>
  <si>
    <t>FG04944</t>
  </si>
  <si>
    <t>FORTALINE OMEGA3 SIROP (FR)</t>
  </si>
  <si>
    <t>FG04965</t>
  </si>
  <si>
    <t>FLUCAZOL SP 50MG/5ML 60ML ( EO)</t>
  </si>
  <si>
    <t>FG04966</t>
  </si>
  <si>
    <t>APRANAX 550MG B/16CES (FR)</t>
  </si>
  <si>
    <t>FG04967</t>
  </si>
  <si>
    <t>NURAVIT SP 125ML (FR)</t>
  </si>
  <si>
    <t>FG04968</t>
  </si>
  <si>
    <t>ZOLADEX 10.8MG IMOLANT KIT (FR)</t>
  </si>
  <si>
    <t>FG05054</t>
  </si>
  <si>
    <t>UNIPURE ( PURIFIANT D'EAU) 1 SACHETS</t>
  </si>
  <si>
    <t>FG05057</t>
  </si>
  <si>
    <t>STIMOL AMP BUV B/18</t>
  </si>
  <si>
    <t>FG05059</t>
  </si>
  <si>
    <t>DOXY 200MG 8CES (EO)</t>
  </si>
  <si>
    <t>FG05060</t>
  </si>
  <si>
    <t>LANTUS SOLOSTAR 100UI/ML 1 STYLOS (FR)</t>
  </si>
  <si>
    <t>FG05061</t>
  </si>
  <si>
    <t>TORAS DENK (TORASEMIDE) 5MG 30CES(EO)</t>
  </si>
  <si>
    <t>FG05062</t>
  </si>
  <si>
    <t>DESLORA DENK (DESLORATADINE) 5 B/10CES</t>
  </si>
  <si>
    <t>FG05063</t>
  </si>
  <si>
    <t>IBEX 200MG B/24CAPS(FR)</t>
  </si>
  <si>
    <t>FG05064</t>
  </si>
  <si>
    <t>FLUCONA-DENK 100MG B/10CAP(FR)</t>
  </si>
  <si>
    <t>FG05065</t>
  </si>
  <si>
    <t>FLUOMIZIN 10MG B6CES VAG (FR)</t>
  </si>
  <si>
    <t>FG05067</t>
  </si>
  <si>
    <t>CLAMOXYL 125MG/5ML SIROP 60ML</t>
  </si>
  <si>
    <t>FG05068</t>
  </si>
  <si>
    <t>PROZAC 20MG 14CAPS (FR)</t>
  </si>
  <si>
    <t>FG05069</t>
  </si>
  <si>
    <t>TANAKAN 40MG B/30CES (EO)</t>
  </si>
  <si>
    <t>FG05070</t>
  </si>
  <si>
    <t>TOBRADEX COLLYRE 5ML (FR)</t>
  </si>
  <si>
    <t>FG05071</t>
  </si>
  <si>
    <t>XYLOCAINE 2% 20ML INJ B/1AMP (FR)</t>
  </si>
  <si>
    <t>FG05072</t>
  </si>
  <si>
    <t>COSOPT OCUMETRE PLUS COLLYRE 5ML (FR)</t>
  </si>
  <si>
    <t>FG05073</t>
  </si>
  <si>
    <t>HELMINTOX SUSPENSION 15ML FLACON (FR)</t>
  </si>
  <si>
    <t>FG05074</t>
  </si>
  <si>
    <t>INNOTEX RETARDANT B/3 PCS</t>
  </si>
  <si>
    <t>FG05075</t>
  </si>
  <si>
    <t>VERZOL 400MG BT/1CES</t>
  </si>
  <si>
    <t>FG05076</t>
  </si>
  <si>
    <t>FLURIFEN B/15CES (EO)</t>
  </si>
  <si>
    <t>FG05077</t>
  </si>
  <si>
    <t>GAMALATE B6 SOL BUV 80ML (FR)</t>
  </si>
  <si>
    <t>FG05078</t>
  </si>
  <si>
    <t>CODOLIPRANE 16CES (EO)</t>
  </si>
  <si>
    <t>FG05079</t>
  </si>
  <si>
    <t>AMIFER INJ 5AMP(FR)</t>
  </si>
  <si>
    <t>FG05080</t>
  </si>
  <si>
    <t>CURAM INJECTABLE 1G/200MG IV (EO)</t>
  </si>
  <si>
    <t>FG05081</t>
  </si>
  <si>
    <t>DISLEP 25MG B/20 CES</t>
  </si>
  <si>
    <t>FG05082</t>
  </si>
  <si>
    <t>FLEXDOL B/10CES (FR)</t>
  </si>
  <si>
    <t>FG05083</t>
  </si>
  <si>
    <t>TRITAZIDE 10MG - 25MG B/28CES (FR)</t>
  </si>
  <si>
    <t>FG05086</t>
  </si>
  <si>
    <t>CURAM SIROP 125MG/31.25MG 60ML (EO)</t>
  </si>
  <si>
    <t>FG05087</t>
  </si>
  <si>
    <t>DIFRAREL E 24CES (EO)</t>
  </si>
  <si>
    <t>FG05088</t>
  </si>
  <si>
    <t>INOCLIM 30CAPS (FR)</t>
  </si>
  <si>
    <t>FG05089</t>
  </si>
  <si>
    <t>LACRYVISC GEL OPH 15GR (FR)</t>
  </si>
  <si>
    <t>FG05090</t>
  </si>
  <si>
    <t>OTOFA SOL. AURIC.10ML (FR) $$</t>
  </si>
  <si>
    <t>FG05091</t>
  </si>
  <si>
    <t>POLARAMINE 2MG 30CES (FR)</t>
  </si>
  <si>
    <t>FG05092</t>
  </si>
  <si>
    <t>RENITEC 20MG 28CES (FR)</t>
  </si>
  <si>
    <t>FG05093</t>
  </si>
  <si>
    <t>TANGANIL 500MG 5AMP(FR)</t>
  </si>
  <si>
    <t>FG05094</t>
  </si>
  <si>
    <t>CELESTENE GOUTTE 30ML ***</t>
  </si>
  <si>
    <t>FG05096</t>
  </si>
  <si>
    <t>BONAPETI **VITEX** CES B/30 CES INACTIVE</t>
  </si>
  <si>
    <t>FG05097</t>
  </si>
  <si>
    <t>APROVASC 300MG/10MG B/28CES (EO)</t>
  </si>
  <si>
    <t>FG05098</t>
  </si>
  <si>
    <t>TEGRETOL LP 400MG B/30CES (FR)</t>
  </si>
  <si>
    <t>FG05099</t>
  </si>
  <si>
    <t>DOLIRHUME B/16CES (FR)</t>
  </si>
  <si>
    <t>FG05100</t>
  </si>
  <si>
    <t>TEGRETOL LP 200MG 30CES (FR)</t>
  </si>
  <si>
    <t>FG05101</t>
  </si>
  <si>
    <t>BABYHALER CHAMBRE INHALATION</t>
  </si>
  <si>
    <t>FG05102</t>
  </si>
  <si>
    <t>COFANTRINE DISPERSIBLE 20/120MG B/6</t>
  </si>
  <si>
    <t>FG05103</t>
  </si>
  <si>
    <t>CURAM 0.5GR INJ IV 500MG B/1***(FR)</t>
  </si>
  <si>
    <t>FG05104</t>
  </si>
  <si>
    <t>ENTAMIZOLE BT/30 CES (FR)</t>
  </si>
  <si>
    <t>FG05105</t>
  </si>
  <si>
    <t>EXODERIL SOLUTION 10ML (FR)</t>
  </si>
  <si>
    <t>FG05106</t>
  </si>
  <si>
    <t>FAZOL CREME 30GR (EO)</t>
  </si>
  <si>
    <t>FG05107</t>
  </si>
  <si>
    <t>HALDOL INJ 5AMP 1M 5MG (FR)</t>
  </si>
  <si>
    <t>FG05108</t>
  </si>
  <si>
    <t>HYDRALINE SOLUTION</t>
  </si>
  <si>
    <t>FG05109</t>
  </si>
  <si>
    <t>INNOTEX CLASSIC B/3 PCS</t>
  </si>
  <si>
    <t>FG05110</t>
  </si>
  <si>
    <t>INNOTEX PLUS B/3 PCS</t>
  </si>
  <si>
    <t>FG05111</t>
  </si>
  <si>
    <t>STRESAM 24 GELULES (FR)</t>
  </si>
  <si>
    <t>FG05112</t>
  </si>
  <si>
    <t>TRITAZIDE 10MG - 12.5MG B/28CES (FR)</t>
  </si>
  <si>
    <t>FG05113</t>
  </si>
  <si>
    <t>TRITAZIDE 5-12.5 28CES (EO)</t>
  </si>
  <si>
    <t>FG05114</t>
  </si>
  <si>
    <t>VERZOL 4% SUSP FL/10ML (FR)</t>
  </si>
  <si>
    <t>FG05115</t>
  </si>
  <si>
    <t>VOLTAREN 100MG AD B/10SUPPOS (FR)</t>
  </si>
  <si>
    <t>FG05116</t>
  </si>
  <si>
    <t>ACTAPULGITE AD 30SACHET (FR)</t>
  </si>
  <si>
    <t>FG05117</t>
  </si>
  <si>
    <t>ACTIFED JOUR NUIT B/16CES (FR)</t>
  </si>
  <si>
    <t>FG05118</t>
  </si>
  <si>
    <t>ACYCLOVIR DENK 5% CREAM 5GR</t>
  </si>
  <si>
    <t>FG05119</t>
  </si>
  <si>
    <t>ASU DENK FIXED DOSES 3CES(FR)</t>
  </si>
  <si>
    <t>FG05120</t>
  </si>
  <si>
    <t>CARVEDI-DENK 6.25MG B/30CES(FR)</t>
  </si>
  <si>
    <t>FG05121</t>
  </si>
  <si>
    <t>CIPRO DENK 500MG B/10CES</t>
  </si>
  <si>
    <t>FG05122</t>
  </si>
  <si>
    <t>CO-RENITEC 28CES (FR)</t>
  </si>
  <si>
    <t>FG05123</t>
  </si>
  <si>
    <t>COLOSAR-DENK 100/12.5 28CES</t>
  </si>
  <si>
    <t>FG05124</t>
  </si>
  <si>
    <t>COLOSAR-DENK 50/12.5MG CES B/28</t>
  </si>
  <si>
    <t>FG05125</t>
  </si>
  <si>
    <t>COLPOSEPTINE 18CES GYNECO.</t>
  </si>
  <si>
    <t>FG05126</t>
  </si>
  <si>
    <t>CONTRAMAL 50MG 30CAPS (FR)</t>
  </si>
  <si>
    <t>FG05127</t>
  </si>
  <si>
    <t>DAKTACORT CREME 15GR. (FR)</t>
  </si>
  <si>
    <t>FG05128</t>
  </si>
  <si>
    <t>DAKTARIN 2% 40GR ORAL GEL (FR)</t>
  </si>
  <si>
    <t>FG05129</t>
  </si>
  <si>
    <t>DAONIL PL D 10CES (FR)</t>
  </si>
  <si>
    <t>FG05130</t>
  </si>
  <si>
    <t>DIABLE VERT POMMADE (FR)</t>
  </si>
  <si>
    <t>FG05131</t>
  </si>
  <si>
    <t>DOLIPRANE 10 SUPPOS J. ENF 150MG (FR)</t>
  </si>
  <si>
    <t>FG05132</t>
  </si>
  <si>
    <t>DOLIPRANE 200MG 10SUPPOS ENF. (FR)</t>
  </si>
  <si>
    <t>FG05133</t>
  </si>
  <si>
    <t>DOLIPRANE 500MG 16CES SEC (FR)</t>
  </si>
  <si>
    <t>FG05134</t>
  </si>
  <si>
    <t>EAU PRECIEUSE SOL EXT FL/375ML</t>
  </si>
  <si>
    <t>FG05135</t>
  </si>
  <si>
    <t>FLAGENTYL 500 MG 4 CES (FR)</t>
  </si>
  <si>
    <t>FG05136</t>
  </si>
  <si>
    <t>FLAGYL 250MG B/20CES (FR)</t>
  </si>
  <si>
    <t>FG05137</t>
  </si>
  <si>
    <t>HALDOL DECONAOS -50MG- 1AMP 1ML (FR)</t>
  </si>
  <si>
    <t>FG05138</t>
  </si>
  <si>
    <t>JOINT ACTIVE DENK B/30CES (FR)</t>
  </si>
  <si>
    <t>FG05139</t>
  </si>
  <si>
    <t>KALEORID 600MG 30CES (FR)</t>
  </si>
  <si>
    <t>FG05140</t>
  </si>
  <si>
    <t>KAYEXALATE ***CALCIUM*** 300GR (FR) $$</t>
  </si>
  <si>
    <t>FG05141</t>
  </si>
  <si>
    <t>LEVO DENK 250MG B/10CES(FR)</t>
  </si>
  <si>
    <t>FG05142</t>
  </si>
  <si>
    <t>MAGNES ACTIVE DENK B\30CES</t>
  </si>
  <si>
    <t>FG05143</t>
  </si>
  <si>
    <t>NOLVADEX **20MG** B/30 CES ##(FR)##</t>
  </si>
  <si>
    <t>FG05144</t>
  </si>
  <si>
    <t>OMIC ( TAMSUIOSINE ) 30CES 0.4MG</t>
  </si>
  <si>
    <t>FG05145</t>
  </si>
  <si>
    <t>ORELOX 200MG B/10CES (FR)</t>
  </si>
  <si>
    <t>FG05146</t>
  </si>
  <si>
    <t>OVUMIX B/6OVULES (FR)</t>
  </si>
  <si>
    <t>FG05147</t>
  </si>
  <si>
    <t>PILO 2%CY FL /9ML (FR)</t>
  </si>
  <si>
    <t>FG05148</t>
  </si>
  <si>
    <t>PROFENID 50MG 24 GELULES (FR)</t>
  </si>
  <si>
    <t>FG05149</t>
  </si>
  <si>
    <t>PROGYNOVA 28DRG 2MG (FR)</t>
  </si>
  <si>
    <t>FG05150</t>
  </si>
  <si>
    <t>PROSTA URGENIN 30CES (FR)</t>
  </si>
  <si>
    <t>FG05151</t>
  </si>
  <si>
    <t>QUINIMAX 125MG B/18CES (FR)</t>
  </si>
  <si>
    <t>FG05152</t>
  </si>
  <si>
    <t>SPORANOX 100MG 15CAP(FR)</t>
  </si>
  <si>
    <t>FG05153</t>
  </si>
  <si>
    <t>STREPSILS + VIT.C 36 &amp; 24 PASTILLES</t>
  </si>
  <si>
    <t>FG05154</t>
  </si>
  <si>
    <t>TARDYFERON 80 MG 30 CES (EO)</t>
  </si>
  <si>
    <t>FG05155</t>
  </si>
  <si>
    <t>THIOBACTIN 500MG 24CES (FR)</t>
  </si>
  <si>
    <t>FG05156</t>
  </si>
  <si>
    <t>VAGIMILT VAG B/7 CAPS</t>
  </si>
  <si>
    <t>FG05157</t>
  </si>
  <si>
    <t>VENTOLIN GOUTTES FL/10ML (FR)</t>
  </si>
  <si>
    <t>FG05158</t>
  </si>
  <si>
    <t>VICKS VAPORUB 50G POMMADE (FR)</t>
  </si>
  <si>
    <t>FG05159</t>
  </si>
  <si>
    <t>UPRAJECT 40 MG B\1AMP</t>
  </si>
  <si>
    <t>FG05161</t>
  </si>
  <si>
    <t>GAVISCON 20CES (FR)</t>
  </si>
  <si>
    <t>FG05162</t>
  </si>
  <si>
    <t>INNOTEX COCKTAIL B/3 PCS</t>
  </si>
  <si>
    <t>FG05166</t>
  </si>
  <si>
    <t>CLAVUMOCCID 1G B/20 CES</t>
  </si>
  <si>
    <t>FG05167</t>
  </si>
  <si>
    <t>VOGALENE GOUTTES 30ML (FR)</t>
  </si>
  <si>
    <t>FG05168</t>
  </si>
  <si>
    <t>ROULEAU PAPIER TABLE D EXAMEN DRAP JETABLE</t>
  </si>
  <si>
    <t>FG05169</t>
  </si>
  <si>
    <t>ALDOMET 250MG 30CES (FR)</t>
  </si>
  <si>
    <t>FG05170</t>
  </si>
  <si>
    <t>CLAFORAN....1GR....IV/IM.....1AMP (FR)</t>
  </si>
  <si>
    <t>FG05171</t>
  </si>
  <si>
    <t>VIBRA 200MG B/8CES (FR)</t>
  </si>
  <si>
    <t>FG05172</t>
  </si>
  <si>
    <t>XALATAN 0.005% COLLYRE FL/2.5ML (FR)</t>
  </si>
  <si>
    <t>FG05196</t>
  </si>
  <si>
    <t>SONDE NASO GASTRIL NO-4 1 PCS</t>
  </si>
  <si>
    <t>FG05272</t>
  </si>
  <si>
    <t>UNISPAS (PHLOROG+TRIMETHY) 4ML B/6AMP</t>
  </si>
  <si>
    <t>FG05300</t>
  </si>
  <si>
    <t>TDR H.PYLORI AB - CASSETTE - ST/S/P, B/25 TEST</t>
  </si>
  <si>
    <t>FG05301</t>
  </si>
  <si>
    <t>TDR H.PYLORI AG - CASSETTE - FECES , B/20 TEST</t>
  </si>
  <si>
    <t>FG05302</t>
  </si>
  <si>
    <t>TDR HCV - BANDELETTE - ST/S/P, B/50 TEST</t>
  </si>
  <si>
    <t>FG05303</t>
  </si>
  <si>
    <t>TDR HCV - CASSETTE - ST/S/P, B/25 TEST</t>
  </si>
  <si>
    <t>FG05304</t>
  </si>
  <si>
    <t>TDR TYPHOIDE IGG/IGM - CASSETTE - S/P, B/25 TEST</t>
  </si>
  <si>
    <t>FG05305</t>
  </si>
  <si>
    <t>TDR SYPHILIS - BANDELETTE - ST/S/P, B/50 TEST</t>
  </si>
  <si>
    <t>FG05306</t>
  </si>
  <si>
    <t>TDR HBSAG - BANDELETTE - ST/S/P, B/50 TEST</t>
  </si>
  <si>
    <t>FG05307</t>
  </si>
  <si>
    <t>TDR HBSAG - CASSETTE - ST/S/P, B/25 TEST</t>
  </si>
  <si>
    <t>FG05308</t>
  </si>
  <si>
    <t>TDR HCG - CASSETTE - URINE, B/25 TEST</t>
  </si>
  <si>
    <t>FG05309</t>
  </si>
  <si>
    <t>TDR HIV 1/2 - BANDELETTE - ST/S/P, B/50 TEST</t>
  </si>
  <si>
    <t>FG05310</t>
  </si>
  <si>
    <t>TDR URINE -10T - BANDELETTE, B/100 TEST</t>
  </si>
  <si>
    <t>FG05311</t>
  </si>
  <si>
    <t>TDR CHLAMYDIA TRACHOMATIS AG,CASSETTE-B/20 TEST</t>
  </si>
  <si>
    <t>FG05312</t>
  </si>
  <si>
    <t>TDR FILARIOSE AB IGG/IGM, S/P, CASSETTE, B/25 TEST</t>
  </si>
  <si>
    <t>FG05313</t>
  </si>
  <si>
    <t>TDR TOXO PANNEAU IGG/IGM, S/P, CASSETTE, B/25 TEST</t>
  </si>
  <si>
    <t>FG05314</t>
  </si>
  <si>
    <t>TDR RUBEOLE PANNEAU IGG/IGM S/P CASSETTE B/25 TEST</t>
  </si>
  <si>
    <t>FG05315</t>
  </si>
  <si>
    <t>TDR CMV PANNEAU IGG/IGM S/P CASSETTE B/25 TEST</t>
  </si>
  <si>
    <t>FG05316</t>
  </si>
  <si>
    <t>TDR HSV 1 IGG/IGM - CASSETTE -S/P B/25 TEST</t>
  </si>
  <si>
    <t>FG05317</t>
  </si>
  <si>
    <t>TDR HSV 2 IGG/IGM - CASSETTE -S/P B/25 TEST</t>
  </si>
  <si>
    <t>FG05318</t>
  </si>
  <si>
    <t>POMPE A VIDE - 100L/MIN</t>
  </si>
  <si>
    <t>FG05319</t>
  </si>
  <si>
    <t>OPHTALMOSCOPE AVEC POIGNEE A ECRAN LCD</t>
  </si>
  <si>
    <t>FG05320</t>
  </si>
  <si>
    <t>ANALYSEUR DE BIOCHIMIE AUTOMATIQUE BIOSSAYS 240</t>
  </si>
  <si>
    <t>FG05321</t>
  </si>
  <si>
    <t>CENTRIFUGEUSE DE LABORATOIRE 6K, 24*1.5/2ML</t>
  </si>
  <si>
    <t>FG05322</t>
  </si>
  <si>
    <t>CENTRIFUGEUSE 2-4 MICROPLAQUES, 2*96</t>
  </si>
  <si>
    <t>FG05323</t>
  </si>
  <si>
    <t>CENTRIFUGEUSE REFRIGEREE 16.5K, 24*1.5/2 ML</t>
  </si>
  <si>
    <t>FG05324</t>
  </si>
  <si>
    <t>CHRONOMETRE DIGITAL 3 CANAUX</t>
  </si>
  <si>
    <t>FG05325</t>
  </si>
  <si>
    <t>PORTOIRS DE TUBES MAGNETIQUE 16 - PLACE</t>
  </si>
  <si>
    <t>FG05326</t>
  </si>
  <si>
    <t>PAPIER ECG MÉDICAL, 210MM*20M, 1 ROULEAU</t>
  </si>
  <si>
    <t>FG05327</t>
  </si>
  <si>
    <t>PAPIER ECG MEDICAL 110MM 20M 1 ROULEAU</t>
  </si>
  <si>
    <t>FG05328</t>
  </si>
  <si>
    <t>PAPIER DIMPRESSION THERMIQUE 57MM 50MM 1 ROULEAU</t>
  </si>
  <si>
    <t>FG05329</t>
  </si>
  <si>
    <t>PAPIER DIMPRESSION THERMIQUE 57MM35MM 1 ROULEAU</t>
  </si>
  <si>
    <t>FG05330</t>
  </si>
  <si>
    <t>SECOURS (MUSCLE PAIN RELIEF) GEL DE 50G</t>
  </si>
  <si>
    <t>FG05382</t>
  </si>
  <si>
    <t>ACIPRIN (RANITIDINE) INJ B/5AMP</t>
  </si>
  <si>
    <t>FG05383</t>
  </si>
  <si>
    <t>ACTAPULGITE 1GR. PEDIATRIQUE 20 SACHETS</t>
  </si>
  <si>
    <t>FG05384</t>
  </si>
  <si>
    <t>ACTI 5 BUV B/30 AMP (FR)</t>
  </si>
  <si>
    <t>FG05385</t>
  </si>
  <si>
    <t>ACTIFED NEW SIROP 180ML (FR)</t>
  </si>
  <si>
    <t>FG05386</t>
  </si>
  <si>
    <t>AMIFER SIROP 200ML (FR) INACTIVE</t>
  </si>
  <si>
    <t>FG05387</t>
  </si>
  <si>
    <t>APROVASAC 150MG/5MG B/28CES (EO)</t>
  </si>
  <si>
    <t>FG05388</t>
  </si>
  <si>
    <t>CLAMOXYL PDRE SUSP.BUVABLE 500MG</t>
  </si>
  <si>
    <t>FG05389</t>
  </si>
  <si>
    <t>DIPROSONE LOTION 30ML (FR)</t>
  </si>
  <si>
    <t>FG05390</t>
  </si>
  <si>
    <t>DOGMATIL FORT 200MG B/12CES(FR)</t>
  </si>
  <si>
    <t>FG05391</t>
  </si>
  <si>
    <t>EFLAVYL 200UI B/50 GELULES</t>
  </si>
  <si>
    <t>FG05392</t>
  </si>
  <si>
    <t>FLEMING 1GR 1AMP(FR)</t>
  </si>
  <si>
    <t>FG05393</t>
  </si>
  <si>
    <t>FLUCAZOL SP 50MG/5ML 60ML (EO)</t>
  </si>
  <si>
    <t>FG05394</t>
  </si>
  <si>
    <t>GAZ HYDROPHYLLE G.F. PCS/1 (NIKITA)</t>
  </si>
  <si>
    <t>FG05395</t>
  </si>
  <si>
    <t>GRISEOFULVINE POMMDE 5% 15GR (FR)</t>
  </si>
  <si>
    <t>FG05396</t>
  </si>
  <si>
    <t>"HOSPITAL BASIN STAND TWO BOWL STAINLESS STEEL"</t>
  </si>
  <si>
    <t>FG05397</t>
  </si>
  <si>
    <t>"ICU BED ELECTRIC THREE FUNCTION HEIGHT ADJUSTABLE"</t>
  </si>
  <si>
    <t>FG05398</t>
  </si>
  <si>
    <t>LARGATIL 25MG B/50CES (ESP)</t>
  </si>
  <si>
    <t>FG05399</t>
  </si>
  <si>
    <t>MICARDIS PLUS 80MG/25MG B/30CPR</t>
  </si>
  <si>
    <t>FG05400</t>
  </si>
  <si>
    <t>MORPHINE 20 MG ING B\1AMP</t>
  </si>
  <si>
    <t>FG06671</t>
  </si>
  <si>
    <t>NEGATOSCOPE ULTRA SLIM BRIGHT LED ONE SCREEN ML</t>
  </si>
  <si>
    <t>FG06672</t>
  </si>
  <si>
    <t>ZITA-500 (AZITHROMYCINE ) 500MG B/5 CES</t>
  </si>
  <si>
    <t>FG06674</t>
  </si>
  <si>
    <t>FORMIMET LP 1000MG (METFORMINE) B/30CES</t>
  </si>
  <si>
    <t>FG06675</t>
  </si>
  <si>
    <t>BIOCHIMIE S - HDL CHOLESTEROL 80 ML</t>
  </si>
  <si>
    <t>FG06676</t>
  </si>
  <si>
    <t>BIOCHIMIE S - LDL CHOLESTEROL 80 ML</t>
  </si>
  <si>
    <t>FG06677</t>
  </si>
  <si>
    <t>PLASTIC PALLET</t>
  </si>
  <si>
    <t>FG06678</t>
  </si>
  <si>
    <t>HEPAQUE (HEPARIN) 25000UI/5ML INJ. B/1 VIAL</t>
  </si>
  <si>
    <t>FG06717</t>
  </si>
  <si>
    <t>ETHICON HARMONIC GEN 11 -SET</t>
  </si>
  <si>
    <t>FG06718</t>
  </si>
  <si>
    <t>GEL POUR ECHOGRAPHIE 250ML</t>
  </si>
  <si>
    <t>FG06719</t>
  </si>
  <si>
    <t>ELECTRODES ECG B/50PCS</t>
  </si>
  <si>
    <t>FG06720</t>
  </si>
  <si>
    <t>ABAISSE LANGUE ENFANT B/100PCS</t>
  </si>
  <si>
    <t>FG06721</t>
  </si>
  <si>
    <t>ABAISSE LANGUE ADULT B/100PCS</t>
  </si>
  <si>
    <t>FG06722</t>
  </si>
  <si>
    <t>BALANCE MECANIQUE 150KG</t>
  </si>
  <si>
    <t>FG06723</t>
  </si>
  <si>
    <t>ANALYSEUR D'HEMATOLOGIE A DIFFE EN 5 + RET</t>
  </si>
  <si>
    <t>FG06724</t>
  </si>
  <si>
    <t>ANALYSEUR DE BIOCHIMIE ET COAGULATION SEMI</t>
  </si>
  <si>
    <t>FG06725</t>
  </si>
  <si>
    <t>HEMATOLOGIE RET DIL-N (20L)</t>
  </si>
  <si>
    <t>FG06726</t>
  </si>
  <si>
    <t>HEMATOLOGIE RET DIN-R (1L)</t>
  </si>
  <si>
    <t>FG06727</t>
  </si>
  <si>
    <t>HEMATOLOGIE RET LYN-G (500ML) LYSE 1</t>
  </si>
  <si>
    <t>FG06728</t>
  </si>
  <si>
    <t>HEMATOLOGIE RET LYN-D (1L) LYSE 1</t>
  </si>
  <si>
    <t>FG06729</t>
  </si>
  <si>
    <t>HEMATOLOGIE RET FDN-R (12ML) DYE 1</t>
  </si>
  <si>
    <t>FG06730</t>
  </si>
  <si>
    <t>HEMATOLOGIE RET FDN-D (22ML) DYE 2</t>
  </si>
  <si>
    <t>FG06731</t>
  </si>
  <si>
    <t>HEMATOLOGIE RET CLE-P (4ML*10) CLEANSER</t>
  </si>
  <si>
    <t>FG06732</t>
  </si>
  <si>
    <t>ANALYSEUR URODYNAMIC - UROLOGIE</t>
  </si>
  <si>
    <t>FG06733</t>
  </si>
  <si>
    <t>LAMPE FRONTALE</t>
  </si>
  <si>
    <t>FG06734</t>
  </si>
  <si>
    <t>LAMPE FRONTALE - FIBRE OPTIQUE</t>
  </si>
  <si>
    <t>FG06735</t>
  </si>
  <si>
    <t>ACCESSORIES</t>
  </si>
  <si>
    <t>FG06737</t>
  </si>
  <si>
    <t>TOURNIQUETS A USAGE UNIQUE ROULEAU DE 25 GAROOTS</t>
  </si>
  <si>
    <t>FG06746</t>
  </si>
  <si>
    <t>BRACELETS D'IDENTIFICATION PATIENTS ADULTES 17CM B/100 PCS</t>
  </si>
  <si>
    <t>FG06748</t>
  </si>
  <si>
    <t>COUVRE-CHAUSSURES JETABLES 40X15CM B/100 PCS</t>
  </si>
  <si>
    <t>FG06749</t>
  </si>
  <si>
    <t>NEBULISEUR AVEC MASQUE ADULTE ET ENFANT</t>
  </si>
  <si>
    <t>FG06750</t>
  </si>
  <si>
    <t>BLOUSE CHIRURGICALE JETABLE</t>
  </si>
  <si>
    <t>FG06751</t>
  </si>
  <si>
    <t>MICROSCOPE TRINOCULAIRE EXPERT</t>
  </si>
  <si>
    <t>FG06752</t>
  </si>
  <si>
    <t>ECRAN MICROSCOPE</t>
  </si>
  <si>
    <t>FG06753</t>
  </si>
  <si>
    <t>BALANCE AVEC TOISE-180 MAX</t>
  </si>
  <si>
    <t>FG06754</t>
  </si>
  <si>
    <t>BRAND STICKER</t>
  </si>
  <si>
    <t>FG06755</t>
  </si>
  <si>
    <t>AUTOCLAVE VERTICAL 75L-OUVERTURE ROUE- AFFICHAGE</t>
  </si>
  <si>
    <t>FG06758</t>
  </si>
  <si>
    <t>BOITE MÉTAL PREMIERS SECOURS GRAND</t>
  </si>
  <si>
    <t>FG06759</t>
  </si>
  <si>
    <t>BOITE MÉTAL PREMIERS SECOURS PETIT</t>
  </si>
  <si>
    <t>FG06761</t>
  </si>
  <si>
    <t>LABO BAIN SEC AVEC 3 OPTIONS BLOC CHAUFFANT</t>
  </si>
  <si>
    <t>FG06762</t>
  </si>
  <si>
    <t>LABO BLOC CHAUFFANT POUR EPROUVETTE</t>
  </si>
  <si>
    <t>FG06763</t>
  </si>
  <si>
    <t>ECG PORTABLE</t>
  </si>
  <si>
    <t>FG06765</t>
  </si>
  <si>
    <t>A-DERM LOTION 30ML</t>
  </si>
  <si>
    <t>FG06766</t>
  </si>
  <si>
    <t>DALACLIF 600 MG INJ B/1 AMP</t>
  </si>
  <si>
    <t>FG06767</t>
  </si>
  <si>
    <t>NDOCINE 0.1% 10ML COLLYRE</t>
  </si>
  <si>
    <t>FG06776</t>
  </si>
  <si>
    <t>A TO Z (MULTIVITAMIN &amp; MINER.) B/10 CES EFF</t>
  </si>
  <si>
    <t>FG06777</t>
  </si>
  <si>
    <t>UNIVITA (CAL.+VIT.C+B6+D) B/10 CES EFF</t>
  </si>
  <si>
    <t>FG06778</t>
  </si>
  <si>
    <t>CD-Z (VIT.C+D+ZINC) B/10 CES EFF</t>
  </si>
  <si>
    <t>FG06779</t>
  </si>
  <si>
    <t>U-CEE Z (VIT.C+ZINC) B/10 CES EFF</t>
  </si>
  <si>
    <t>FG06780</t>
  </si>
  <si>
    <t>U-CEE 1000 (VIT.C) B/10 CES EFF</t>
  </si>
  <si>
    <t>FG06781</t>
  </si>
  <si>
    <t>CA-UCEE 1000 (CAL.+VIT.C) B/10 CES EFF</t>
  </si>
  <si>
    <t>FG06782</t>
  </si>
  <si>
    <t>BONNE NUIT 100MG (SILDENAFIL) B/10 CES EFF</t>
  </si>
  <si>
    <t>FG06783</t>
  </si>
  <si>
    <t>PERFAC 1000 (PARACETAMOL) B/10 CES EFF</t>
  </si>
  <si>
    <t>FG06784</t>
  </si>
  <si>
    <t>PERFAC 500 (PARACETAMOL) B/10 CES EFF</t>
  </si>
  <si>
    <t>FG06785</t>
  </si>
  <si>
    <t>PERFAC-C (PARA.+VIT.C) B/10 CES EFF</t>
  </si>
  <si>
    <t>FG06786</t>
  </si>
  <si>
    <t>SERUM GLUCOSE 10% 1 LITRE (UNIQUE)</t>
  </si>
  <si>
    <t>FG06787</t>
  </si>
  <si>
    <t>SERUM GLUCOSE 5% 1 LITRE (UNIQUE)</t>
  </si>
  <si>
    <t>FG06788</t>
  </si>
  <si>
    <t>SERUM GLUCOSE 5% +TROUSE 500ML (UNIQUE)</t>
  </si>
  <si>
    <t>FG06789</t>
  </si>
  <si>
    <t>SERUM MIXTE 1 LITRE (UNIQUE)</t>
  </si>
  <si>
    <t>FG06790</t>
  </si>
  <si>
    <t>SERUM MIXTE + TROUSE 500ML (UNIQUE)</t>
  </si>
  <si>
    <t>FG06791</t>
  </si>
  <si>
    <t>SERUM PHYSIO 0.9% 1 LITRE (UNIQUE)</t>
  </si>
  <si>
    <t>FG06792</t>
  </si>
  <si>
    <t>SERUM PHYSIO 0.9% + TROUSSE 500ML (UNIQUE)</t>
  </si>
  <si>
    <t>FG06793</t>
  </si>
  <si>
    <t>RINGER LACTATE 1LITRE (UNIQUE)</t>
  </si>
  <si>
    <t>FG06794</t>
  </si>
  <si>
    <t>RINGER LACTATE + TROUSSE 500ML (UNIQUE)</t>
  </si>
  <si>
    <t>FG06800</t>
  </si>
  <si>
    <t>ZOCID-40MG (OMEPRAZOLE) INJ. B/1 VIAL.+ 0.9% NACL)</t>
  </si>
  <si>
    <t>FG06801</t>
  </si>
  <si>
    <t>UNISPAS (PHLOROGLUCINOL 150MG+TRIMÉTHYLP.150MG) B/10 SUPPO</t>
  </si>
  <si>
    <t>FG06802</t>
  </si>
  <si>
    <t>MOX VISION (MOXYFLOXACIN) COLLYRE 10ML</t>
  </si>
  <si>
    <t>FG06803</t>
  </si>
  <si>
    <t>PILOQUE 2% VISION(PILOCARPINE) COLLYRE 10ML</t>
  </si>
  <si>
    <t>FG06804</t>
  </si>
  <si>
    <t>TROBINIQUE-2G(SPECTINOMYCIN) B/1VIAL+3.2MLE.D</t>
  </si>
  <si>
    <t>FG06805</t>
  </si>
  <si>
    <t>SUXAMETHONIUM 100MG/2ML B/10AMP</t>
  </si>
  <si>
    <t>FG06806</t>
  </si>
  <si>
    <t>OCUTIM PLUS VISION (TIMO+PILO) COLLYRE 5ML</t>
  </si>
  <si>
    <t>FG06807</t>
  </si>
  <si>
    <t>NATAQ VISION (NATAMYCINE) 5% COLLYRE 5ML</t>
  </si>
  <si>
    <t>FG06808</t>
  </si>
  <si>
    <t>MOX PLUS VISION (MOX+DEX+HYDRO) COLLYRE 5ML</t>
  </si>
  <si>
    <t>FG06809</t>
  </si>
  <si>
    <t>TRIPI FORTE VISION (TROP+PHENYLE) COLLYRE 5ML</t>
  </si>
  <si>
    <t>FG06810</t>
  </si>
  <si>
    <t>GENTAC PLUS-VISION (GEN+DEX+TET) COLLYRE 5ML</t>
  </si>
  <si>
    <t>FG06811</t>
  </si>
  <si>
    <t>UNIKORT-40 (TRIAMCINOLONE) B/1 VIAL+SER</t>
  </si>
  <si>
    <t>FG06812</t>
  </si>
  <si>
    <t>UNIKORT-80 (TRIAMCINOLONE) B/1 VIAL +SER</t>
  </si>
  <si>
    <t>FG06815</t>
  </si>
  <si>
    <t>BAUME DE SECOURD POT 90G</t>
  </si>
  <si>
    <t>FG06816</t>
  </si>
  <si>
    <t>SECOURS INHALATEUR 2 EN 1 PCS/1</t>
  </si>
  <si>
    <t>FG06841</t>
  </si>
  <si>
    <t>UNIGYNAX ( NEO.+POLY B.+NYSTA.) B/6 OVULE VAGINAL</t>
  </si>
  <si>
    <t>FG06843</t>
  </si>
  <si>
    <t>TACLIS 90MG (TICAGRELOR) B/30CES</t>
  </si>
  <si>
    <t>FG06844</t>
  </si>
  <si>
    <t>TACLIS 60MG (TICAGRELOR) B/30CES</t>
  </si>
  <si>
    <t>FG06845</t>
  </si>
  <si>
    <t>RIVELTOX 10MG (RIVAROXABEN) B/2X14 CES</t>
  </si>
  <si>
    <t>FG06846</t>
  </si>
  <si>
    <t>RIVELTOX 15MG (RIVAROXABEN) B/2X14 CES</t>
  </si>
  <si>
    <t>FG06847</t>
  </si>
  <si>
    <t>RIVELTOX 20MG (RIVAROXABEN) B/2X14 CES</t>
  </si>
  <si>
    <t>FG06854</t>
  </si>
  <si>
    <t>NEURODOC PLUS B/10 CES</t>
  </si>
  <si>
    <t>FG06855</t>
  </si>
  <si>
    <t>FIGADO 2.0 SIROP TONIQUE 200ML</t>
  </si>
  <si>
    <t>FG06856</t>
  </si>
  <si>
    <t>JANUVIA (SITAGLIPTIN) 50MG B/28</t>
  </si>
  <si>
    <t>FG06857</t>
  </si>
  <si>
    <t>JANUVIA (SITAGLIPTIN) 100MG B/28</t>
  </si>
  <si>
    <t>FG06858</t>
  </si>
  <si>
    <t>INDALUM DP DISPERSIBLES 40+480MG B/6CES</t>
  </si>
  <si>
    <t>FG06859</t>
  </si>
  <si>
    <t>INDALUM FORTE DISPERSIBLES 40+240MG B/12CES</t>
  </si>
  <si>
    <t>FG06860</t>
  </si>
  <si>
    <t>INDALUM JUNIOR DISPERSIBLES 20+120MG B/6CES</t>
  </si>
  <si>
    <t>FG06861</t>
  </si>
  <si>
    <t>AZIOCIN (AZITHROMYCINE) 500MG B/3CES</t>
  </si>
  <si>
    <t>FG06862</t>
  </si>
  <si>
    <t>LUMATE PLUS(ARTEME+LUMEFA) 80+480MG B/6CES</t>
  </si>
  <si>
    <t>FG06863</t>
  </si>
  <si>
    <t>LUMATE FORTE (ARTEME+LUMEFA) 40+240MG B/12CES</t>
  </si>
  <si>
    <t>FG06865</t>
  </si>
  <si>
    <t>DICLOFENAC 100MG B/10X10CES</t>
  </si>
  <si>
    <t>FG06866</t>
  </si>
  <si>
    <t>CESAKROL PLUS ML 100 SP</t>
  </si>
  <si>
    <t>FG06867</t>
  </si>
  <si>
    <t>DULOXETINE 60MG B/28CES</t>
  </si>
  <si>
    <t>FG06868</t>
  </si>
  <si>
    <t>PENTASA 500MG B/100CES</t>
  </si>
  <si>
    <t>FG06869</t>
  </si>
  <si>
    <t>ALVITYL **TONUS** B/10 CES EFF (FR)</t>
  </si>
  <si>
    <t>FG06870</t>
  </si>
  <si>
    <t>DELTACORTRIL 5MG B/20CES</t>
  </si>
  <si>
    <t>FG06878</t>
  </si>
  <si>
    <t>NYSTATIN 500,000 IU 10 X10 CES</t>
  </si>
  <si>
    <t>FG06882</t>
  </si>
  <si>
    <t>ARTEFORT 210MG INJ</t>
  </si>
  <si>
    <t>FG06883</t>
  </si>
  <si>
    <t>ARTEFORT 90MG INJ</t>
  </si>
  <si>
    <t>FG06889</t>
  </si>
  <si>
    <t>ALIVIO B/10 CES</t>
  </si>
  <si>
    <t>FG06894</t>
  </si>
  <si>
    <t>FORMOL 20% 5 LTR</t>
  </si>
  <si>
    <t>FG06899</t>
  </si>
  <si>
    <t>CERVOLINE (CITICOLINE) ORAL SOLUTION 30ML</t>
  </si>
  <si>
    <t>FG06900</t>
  </si>
  <si>
    <t>BETU (BETAMETHASONE) 0.05% GOUTTES 30ML</t>
  </si>
  <si>
    <t>FG06907</t>
  </si>
  <si>
    <t>UNIKAL B/10X10 CAP</t>
  </si>
  <si>
    <t>FG06908</t>
  </si>
  <si>
    <t>PENIKAL B/10X10 CAP</t>
  </si>
  <si>
    <t>FG06911</t>
  </si>
  <si>
    <t>DOCETRIX 20MG / 0.5ML (DOCETAXEL) INJECTABLE B/1 VIAL</t>
  </si>
  <si>
    <t>Docetrix</t>
  </si>
  <si>
    <t>FG06912</t>
  </si>
  <si>
    <t>DOCETRIX 80MG / 2ML (DOCETAXEL) INJECTABLE B/1 VIAL</t>
  </si>
  <si>
    <t>FG06913</t>
  </si>
  <si>
    <t>METHOTREXATE 50 MG / 2 ML INJECTABLE B/1 AMPOULE</t>
  </si>
  <si>
    <t>FG06916</t>
  </si>
  <si>
    <t>BIOCARB 450MG /45 ML (CARBOPLATIN) INJECTABLE B/1 VIAL</t>
  </si>
  <si>
    <t>FG06918</t>
  </si>
  <si>
    <t>CHEMOPLAT 100MG / 50ML (OXALIPLATIN) INJECTABLE B/1 VIAL</t>
  </si>
  <si>
    <t>FG06919</t>
  </si>
  <si>
    <t>XELORIX 500MG (CAPECITABINE) PLAQUETTE DU 10 COMPRIMÉ</t>
  </si>
  <si>
    <t>FG06920</t>
  </si>
  <si>
    <t>RUBITRIX 10MG (EPIRUBICIN) INJECTABLE B/1 VIAL</t>
  </si>
  <si>
    <t>FG06921</t>
  </si>
  <si>
    <t>BIOCARB 150MG /15 ML (CARBOPLATIN) INJECTABLE B/1 VIAL</t>
  </si>
  <si>
    <t>FG06922</t>
  </si>
  <si>
    <t>CHEMODROX 500MG (HYDROXYUREA) PLAQUETTE DE 10 CAPSULES</t>
  </si>
  <si>
    <t>FG06925</t>
  </si>
  <si>
    <t>DOCETRIX-20 MG/0.5ML DOCETAXEL INJ B/1 VIAL</t>
  </si>
  <si>
    <t>FG06926</t>
  </si>
  <si>
    <t>DOCETRIX-80 MG/0.5ML DOCETAXEL INJ B/1 VIAL</t>
  </si>
  <si>
    <t>FG06959</t>
  </si>
  <si>
    <t>A TO Z (MULTIVITAMINES) B/30 BONBONS GELIFIES</t>
  </si>
  <si>
    <t>FG06960</t>
  </si>
  <si>
    <t>CARNITONE 5GM (COMPLEMENTS ALIMENTAIRES) B/10 SACHETS</t>
  </si>
  <si>
    <t>FG06961</t>
  </si>
  <si>
    <t>PROGUT-Z 1GM (PRO ET PRÉBIOTIQUES) B/10 SACHETS</t>
  </si>
  <si>
    <t>FG06962</t>
  </si>
  <si>
    <t>BIOFLORE (PROBIOTIQUE) 10G DE POUDRE POUR 50ML DE SIROP</t>
  </si>
  <si>
    <t>FG06963</t>
  </si>
  <si>
    <t>PROGUT (PRO ET PRÉBIOTIQUES) B/10 CAPSULE</t>
  </si>
  <si>
    <t>FG06964</t>
  </si>
  <si>
    <t>UNIBIOTIC-Z 1GM (TRAITEMENT DE LA DIARRHEE) B/10 SACHETS</t>
  </si>
  <si>
    <t>FG06965</t>
  </si>
  <si>
    <t>NEURONORM 120MG (GINKGO BILOBA) B/30CES</t>
  </si>
  <si>
    <t>FG06967</t>
  </si>
  <si>
    <t>CLAMOQUE 125MG (AMOXIXILLINE) PDR SUSP.60ML</t>
  </si>
  <si>
    <t>FG06968</t>
  </si>
  <si>
    <t>CLAMOQUE 250MG (AMOXIXILLINE) PDR SUSP.60ML</t>
  </si>
  <si>
    <t>FG06969</t>
  </si>
  <si>
    <t>UNISPAS (PHLOROG.+TRIMETHYLPHLO.)80MG B/3X10 CES</t>
  </si>
  <si>
    <t>FG06970</t>
  </si>
  <si>
    <t>IRON DEXTRAN INJECTION IM/IV 250MG/ML CERAMIC PRINTING,10AMP</t>
  </si>
  <si>
    <t>FG06971</t>
  </si>
  <si>
    <t>NOCOLD INHALER. PACKING : 1-WAY</t>
  </si>
  <si>
    <t>FG07007</t>
  </si>
  <si>
    <t>PROGENIQUE DEPOT (D'HYDROXYPROGESTERONE) 250MG/ML INJ. B/3 AMP</t>
  </si>
  <si>
    <t>FG07008</t>
  </si>
  <si>
    <t>TESTOVIQUE DEPOT (TESTOSTERONE) 250MG/ML INJ. B/3AMP</t>
  </si>
  <si>
    <t>FG07015</t>
  </si>
  <si>
    <t>PALUCHECK - TEST RAPIDE MALARIA (PF/PV) - 25 TESTS</t>
  </si>
  <si>
    <t>FG07148</t>
  </si>
  <si>
    <t>FUNBACT SAVON MOSTURISING 75G</t>
  </si>
  <si>
    <t>FG07207</t>
  </si>
  <si>
    <t>SENSODYNE REPAIR &amp; PROT WHITE 75ML</t>
  </si>
  <si>
    <t>FG07232</t>
  </si>
  <si>
    <t>MEBENDAZOLE 500MG B/1CES</t>
  </si>
  <si>
    <t>FG07233</t>
  </si>
  <si>
    <t>TRIXON-L (CEFTRIAXONE+LIDOCAINE+EAU)INJ. B/1 VIAL+2AMP</t>
  </si>
  <si>
    <t>FG07251</t>
  </si>
  <si>
    <t>CONTACID ( ANTIACIDE) 10 X 10 CES</t>
  </si>
  <si>
    <t>FG07387</t>
  </si>
  <si>
    <t>MATELA</t>
  </si>
  <si>
    <t>FG07397</t>
  </si>
  <si>
    <t>AIG. DE PRÉLÈVEMENT DE SANG PAPILLON JAUNE 20G 1/PCS</t>
  </si>
  <si>
    <t>FG07398</t>
  </si>
  <si>
    <t>AIG. DE PRÉLÈVEMENT DE SANG PAPILLON NOIR 22G 1/PCS</t>
  </si>
  <si>
    <t>FG07400</t>
  </si>
  <si>
    <t>SIMAREST FORTE /4CES</t>
  </si>
  <si>
    <t>FG07401</t>
  </si>
  <si>
    <t>OSTEO B/12CES</t>
  </si>
  <si>
    <t>FG07402</t>
  </si>
  <si>
    <t>ACTION B/100CES</t>
  </si>
  <si>
    <t>FG07403</t>
  </si>
  <si>
    <t>OSTEO POMMADE 12GM</t>
  </si>
  <si>
    <t>FG07404</t>
  </si>
  <si>
    <t>AIG. DE PRÉLÈVEMENT DE SANG PAPILLON VERT 21G 1/PCS</t>
  </si>
  <si>
    <t>FG07405</t>
  </si>
  <si>
    <t>AIG. DE PRÉLÈVEMENT DE SANG PAPILLON BLEU 23G 1/PCS</t>
  </si>
  <si>
    <t>FG07406</t>
  </si>
  <si>
    <t>AIG. DE PRÉLÈVEMENT DE SANG PAPILLON ORANGE 25G 1/PCS</t>
  </si>
  <si>
    <t>FG07407</t>
  </si>
  <si>
    <t>GANTS DE GYNÉCOLOGIE MOYEN PAIR/1</t>
  </si>
  <si>
    <t>FG07409</t>
  </si>
  <si>
    <t>HEMOSTAT 250MG/2ML (ETAMSYLATE) INJ.B/4 AMP.</t>
  </si>
  <si>
    <t>FG07410</t>
  </si>
  <si>
    <t>ATARIUM 50MG/5ML (ATACURIUM ) INJ. B/5 AMP.</t>
  </si>
  <si>
    <t>FG07411</t>
  </si>
  <si>
    <t>UNITRIM 480MG/5ML (CO-TRIMOXAZOLE) INJ. B/5 AMP.</t>
  </si>
  <si>
    <t>FG07412</t>
  </si>
  <si>
    <t>DICQUE AQUA 75MG/ML (DICLOFÉNAC ) INJ. B/5 AMP</t>
  </si>
  <si>
    <t>FG07413</t>
  </si>
  <si>
    <t>H-CID 20MG/2ML (FAMOTIDINE ) INJ. B/1 VIAL</t>
  </si>
  <si>
    <t>FG07414</t>
  </si>
  <si>
    <t>SPASMOSTOP 40MG/2ML ( DROTAVÉRINE ) INJ. B/5 AMP</t>
  </si>
  <si>
    <t>FG07415</t>
  </si>
  <si>
    <t>VOMITRON 0.075 MG/1.5ML (PALONOSÉTRON) INJ. B/1 VIAL</t>
  </si>
  <si>
    <t>FG07416</t>
  </si>
  <si>
    <t>HALDOQUE DECONOAS 50MG/ML (HALOPÉRIDOL) INJ.B/5 AMP</t>
  </si>
  <si>
    <t>FG07417</t>
  </si>
  <si>
    <t>HALDOQUE 5MG/ML (HALOPÉRIDOLUM) INJ. B/5 AMP</t>
  </si>
  <si>
    <t>FG07418</t>
  </si>
  <si>
    <t>KETOFEN 100MG/2ML ( KÉTOPROFÈNE) INJ. B/5AMP</t>
  </si>
  <si>
    <t>FG07419</t>
  </si>
  <si>
    <t>LABTOL 5MG/ML (LABÉTALOL ) 5ML INJ. B/5 AMP</t>
  </si>
  <si>
    <t>FG07420</t>
  </si>
  <si>
    <t>SOLU-PREDNOL 125MG (MÉTHYLPREDNISOLONE) INJ.B/1 VIAL + SOLVENT 2ML</t>
  </si>
  <si>
    <t>FG07421</t>
  </si>
  <si>
    <t>SOLU-PREDNOL 40MG (METHYLPREDNISOLONE) INJ.B/1 VIAL+SOLVENT 2ML</t>
  </si>
  <si>
    <t>FG07422</t>
  </si>
  <si>
    <t>UNISTIGMINE 0.5MG/ML (NÉOSTIGMINE) INJ. B/5 AMP</t>
  </si>
  <si>
    <t>FG07423</t>
  </si>
  <si>
    <t>NIMOTRIX 10MG (NIMODIPINE) IV B/50ML VIAL</t>
  </si>
  <si>
    <t>FG07424</t>
  </si>
  <si>
    <t>PANCUR 4MG/2ML (PANCURONIUM) INJ. B/10 AMP</t>
  </si>
  <si>
    <t>FG07425</t>
  </si>
  <si>
    <t>PHAMINE 22,75MG/ML (MALÉATE DE PHÉNIRAMINE) 2ML INJ. B/10 AMP</t>
  </si>
  <si>
    <t>FG07426</t>
  </si>
  <si>
    <t>FELOXAM 20MG/ML (PIROXICAM) INJ. B/2AMP</t>
  </si>
  <si>
    <t>FG07427</t>
  </si>
  <si>
    <t>CORTISTAR (HEMOROIDE &amp; FISSURE) TUBE DE 30G</t>
  </si>
  <si>
    <t>FG07428</t>
  </si>
  <si>
    <t>MIDARONE 200MG (AMIODARONE) B/10CES</t>
  </si>
  <si>
    <t>FG07429</t>
  </si>
  <si>
    <t>DEPREX 20MG (FLUOXETINE) B/2X10 CAPSULE</t>
  </si>
  <si>
    <t>FG07430</t>
  </si>
  <si>
    <t>FLAVEN 500MG (DIOSMIN + FLAVONOIQUE) B/30CES</t>
  </si>
  <si>
    <t>FG07431</t>
  </si>
  <si>
    <t>ALDAQUE 25MG (SPIRONOLACTONE) B/5X10 CES</t>
  </si>
  <si>
    <t>FG07432</t>
  </si>
  <si>
    <t>GAVISIL (ANTIACIDE) SUSP.200ML</t>
  </si>
  <si>
    <t>FG07772</t>
  </si>
  <si>
    <t>CESADEX (PARA,ASPI,CAFEN) B/ 55X2 CES</t>
  </si>
  <si>
    <t>FG07778</t>
  </si>
  <si>
    <t>DAWA TATU B/100 CES</t>
  </si>
  <si>
    <t>FG07788</t>
  </si>
  <si>
    <t>CHROMIC CATGUT NO.1/0 PCS/1 (UNIQUE)</t>
  </si>
  <si>
    <t>FG07789</t>
  </si>
  <si>
    <t>BANDELET CONTOUR TS B/50</t>
  </si>
  <si>
    <t>FG07790</t>
  </si>
  <si>
    <t>CEFPODOX PLUS B/10 CES</t>
  </si>
  <si>
    <t>FG07791</t>
  </si>
  <si>
    <t>NYSTATIN B/14 CES</t>
  </si>
  <si>
    <t>FG07792</t>
  </si>
  <si>
    <t>AMVA DENK 5MG/80MG CES B/28 ( FR )</t>
  </si>
  <si>
    <t>FG07793</t>
  </si>
  <si>
    <t>AXABAN DENK 2.5MG</t>
  </si>
  <si>
    <t>FG07794</t>
  </si>
  <si>
    <t>AXABAN DENK 5 MG</t>
  </si>
  <si>
    <t>FG07795</t>
  </si>
  <si>
    <t>BAUME LEOPARD TUBE 6GM B/12PCS</t>
  </si>
  <si>
    <t>FG07796</t>
  </si>
  <si>
    <t>BON-D3 SYRUP 200ML</t>
  </si>
  <si>
    <t>FG07797</t>
  </si>
  <si>
    <t>BON-D3 B/15 CES</t>
  </si>
  <si>
    <t>FG07798</t>
  </si>
  <si>
    <t>DICLOBIS 0.1% 5ML COLLYRE</t>
  </si>
  <si>
    <t>FG07799</t>
  </si>
  <si>
    <t>EAU DISTILLEE 5LTR</t>
  </si>
  <si>
    <t>FG07800</t>
  </si>
  <si>
    <t>ELECTROLYTE DENK B/10</t>
  </si>
  <si>
    <t>FG07801</t>
  </si>
  <si>
    <t>ESIDREX 25MG B/30CES (FR)</t>
  </si>
  <si>
    <t>FG07802</t>
  </si>
  <si>
    <t>FLODENT TRIPLE ACTION TOOTHPASTE 100G</t>
  </si>
  <si>
    <t>FG07803</t>
  </si>
  <si>
    <t>GRIPE WATER 130ML</t>
  </si>
  <si>
    <t>FG07804</t>
  </si>
  <si>
    <t>INDERAL 40MG B/50CES</t>
  </si>
  <si>
    <t>FG07805</t>
  </si>
  <si>
    <t>INHALER B/1PCS</t>
  </si>
  <si>
    <t>FG07806</t>
  </si>
  <si>
    <t>LETROZOLE DENK 2.5MG B/30CES</t>
  </si>
  <si>
    <t>FG07807</t>
  </si>
  <si>
    <t>MADECASSOL ONGT 1% CREME TUBE $ 40GR # (E.O.)</t>
  </si>
  <si>
    <t>FG07808</t>
  </si>
  <si>
    <t>MONGANGA CREME 250</t>
  </si>
  <si>
    <t>FG07809</t>
  </si>
  <si>
    <t>MONHANGA LOTION ANTI-MOSTIQ 100ML</t>
  </si>
  <si>
    <t>FG07810</t>
  </si>
  <si>
    <t>MOUSTIQUAIRE R.G 6*6</t>
  </si>
  <si>
    <t>FG07811</t>
  </si>
  <si>
    <t>PAINDEX B/10 CES</t>
  </si>
  <si>
    <t>FG07812</t>
  </si>
  <si>
    <t>PERIACTINE 4MG B/30CES</t>
  </si>
  <si>
    <t>FG07813</t>
  </si>
  <si>
    <t>PILMICORT 0.25MG 2ML 20 UNIDOSES</t>
  </si>
  <si>
    <t>FG07814</t>
  </si>
  <si>
    <t>PLAMEGA PLUS (OMEGA) B/20 CAP</t>
  </si>
  <si>
    <t>FG07815</t>
  </si>
  <si>
    <t>SINUTAB ROUGE B/12CES</t>
  </si>
  <si>
    <t>FG07816</t>
  </si>
  <si>
    <t>TEST H B S AG (WB/S/P) DETERMINE B/50</t>
  </si>
  <si>
    <t>FG07817</t>
  </si>
  <si>
    <t>TRILLERG 0.4/0.5MG COLLYER 10ML</t>
  </si>
  <si>
    <t>FG07818</t>
  </si>
  <si>
    <t>VASOGRAIN B/100 CES</t>
  </si>
  <si>
    <t>FG07819</t>
  </si>
  <si>
    <t>VITAMINE E FORTE 400 U.I B/20GEL</t>
  </si>
  <si>
    <t>FG07820</t>
  </si>
  <si>
    <t>ZECUF PASTILLS</t>
  </si>
  <si>
    <t>FG07821</t>
  </si>
  <si>
    <t>ZONEX INJ 1BT</t>
  </si>
  <si>
    <t>FG07822</t>
  </si>
  <si>
    <t>ONREX ONDACETRON INJ</t>
  </si>
  <si>
    <t>FG07823</t>
  </si>
  <si>
    <t>NOR PLUS METRO B/10CES</t>
  </si>
  <si>
    <t>FG07824</t>
  </si>
  <si>
    <t>DATRAMOL 37.5/325MG B/10CES</t>
  </si>
  <si>
    <t>FG07825</t>
  </si>
  <si>
    <t>ALDOMET 250 MG B/100 CES</t>
  </si>
  <si>
    <t>FG07826</t>
  </si>
  <si>
    <t>PARAKIM 500 MG CES B/10 CES</t>
  </si>
  <si>
    <t>FG07827</t>
  </si>
  <si>
    <t>PAUSE 500MG B/3X10CES</t>
  </si>
  <si>
    <t>FG07828</t>
  </si>
  <si>
    <t>SYADIN 10 CES EFF ( IMMUNITAIRT)</t>
  </si>
  <si>
    <t>FG07829</t>
  </si>
  <si>
    <t>AZISIF ( AZITHROMYCINE ) 500MG B/5 CES</t>
  </si>
  <si>
    <t>FG07830</t>
  </si>
  <si>
    <t>NEUROTON ( CITICOLINE ) B/10 CES</t>
  </si>
  <si>
    <t>FG07855</t>
  </si>
  <si>
    <t>NEUROTON ( CITICOLINE) 50ML SYRUP</t>
  </si>
  <si>
    <t>FG07856</t>
  </si>
  <si>
    <t>SIFA COLD ENF 100 ML SYRUP</t>
  </si>
  <si>
    <t>FG07857</t>
  </si>
  <si>
    <t>SPASMASIF 30 ML GOUTTE</t>
  </si>
  <si>
    <t>FG07858</t>
  </si>
  <si>
    <t>VITASIF 360 ENF 15 ML GOUTTE</t>
  </si>
  <si>
    <t>FG07859</t>
  </si>
  <si>
    <t>VITASIF 360 SP 200 ML</t>
  </si>
  <si>
    <t>FG07860</t>
  </si>
  <si>
    <t>PATOUX ORANGE HERBAL LOZENGES JAR 100 PCS</t>
  </si>
  <si>
    <t>FG07863</t>
  </si>
  <si>
    <t>BACILUS PREBIOTIC &amp; PROBIOTIC SCH B/10</t>
  </si>
  <si>
    <t>FG07864</t>
  </si>
  <si>
    <t>LACTOLASE 15 ML SACHET B/20</t>
  </si>
  <si>
    <t>FG07865</t>
  </si>
  <si>
    <t>VOGABOS 0.3 MG B/3X10 CES</t>
  </si>
  <si>
    <t>FG07866</t>
  </si>
  <si>
    <t>OTRIMEX 0.05% ENF</t>
  </si>
  <si>
    <t>FG07867</t>
  </si>
  <si>
    <t>OTRIMEX 0.01% ADULT</t>
  </si>
  <si>
    <t>FG07868</t>
  </si>
  <si>
    <t>AROXIM 400 MG B/10 CES</t>
  </si>
  <si>
    <t>FG07869</t>
  </si>
  <si>
    <t>AROXIM 100 MG SP 60 ML</t>
  </si>
  <si>
    <t>FG07870</t>
  </si>
  <si>
    <t>AROXIM 200 MG B/10 CES</t>
  </si>
  <si>
    <t>FG07871</t>
  </si>
  <si>
    <t>AROXIM OX B/10 CES</t>
  </si>
  <si>
    <t>FG07872</t>
  </si>
  <si>
    <t>AZIRAM 500 MG B/5 CES</t>
  </si>
  <si>
    <t>FG07873</t>
  </si>
  <si>
    <t>CESADOX ( CEFPODOXIME) 100 MG DT B/10CES</t>
  </si>
  <si>
    <t>FG07874</t>
  </si>
  <si>
    <t>AROBEBE POMMAD 100GR</t>
  </si>
  <si>
    <t>FG07875</t>
  </si>
  <si>
    <t>SERUM GLUCOSE 10% 500ML</t>
  </si>
  <si>
    <t>FG07876</t>
  </si>
  <si>
    <t>RECTOSTOP CRAME 25 GR</t>
  </si>
  <si>
    <t>FG07877</t>
  </si>
  <si>
    <t>ARTE B/6CAPSULES</t>
  </si>
  <si>
    <t>FG07881</t>
  </si>
  <si>
    <t>KITOKO B/4CES</t>
  </si>
  <si>
    <t>FG07882</t>
  </si>
  <si>
    <t>KITOKO PLUS B/4CES</t>
  </si>
  <si>
    <t>FG07883</t>
  </si>
  <si>
    <t>DAVIGRA T ( TADALAFIL 20 MG) B/4 CES</t>
  </si>
  <si>
    <t>FG07884</t>
  </si>
  <si>
    <t>MC - GELOSE TCBS (AGAR SELECTIF POUR VIBRIONS) 500G</t>
  </si>
  <si>
    <t>FG07885</t>
  </si>
  <si>
    <t>MC - PSEUDOMONAS GELOSE F (POUR LA FLUORESCÉINE) 500G</t>
  </si>
  <si>
    <t>FG07886</t>
  </si>
  <si>
    <t>MC - GELOSE M-FC (FECAL COLIFORM) 500G</t>
  </si>
  <si>
    <t>FG07887</t>
  </si>
  <si>
    <t>MC - MILIEU DE MOTILITÉ INDOLE URÉE (MIU) 500G</t>
  </si>
  <si>
    <t>FG07888</t>
  </si>
  <si>
    <t>MC - MILIEU DE MOTILITÉ INDOLE LYSINE (MILIEU MIL) 500G</t>
  </si>
  <si>
    <t>FG07889</t>
  </si>
  <si>
    <t>MC - MILIEU MANNITOL-MOBILITE-NITRATE 500G</t>
  </si>
  <si>
    <t>FG07890</t>
  </si>
  <si>
    <t>MC - GLYCÉROL, EXTRA PUR 500ML</t>
  </si>
  <si>
    <t>FG07891</t>
  </si>
  <si>
    <t>DISQUES ANTIBIOGRAMMES - CHLORAMPHÉNICOL BT/50</t>
  </si>
  <si>
    <t>FG07892</t>
  </si>
  <si>
    <t>DISQUES ANTIBIOGRAMMES - NITROFURANTOÏNE BT/50</t>
  </si>
  <si>
    <t>FG07893</t>
  </si>
  <si>
    <t>DISQUES ANTIBIOGRAMMES - STREPTOMYCIN BT/50</t>
  </si>
  <si>
    <t>FG07894</t>
  </si>
  <si>
    <t>DISQUES ANTIBIOGRAMMES - PÉNICILLINE-G BT/50</t>
  </si>
  <si>
    <t>FG07895</t>
  </si>
  <si>
    <t>DISQUES ANTIBIOGRAMMES - POLYMYXINE-B BT/50</t>
  </si>
  <si>
    <t>FG07896</t>
  </si>
  <si>
    <t>DISQUES ANTIBIOGRAMMES - AMPICILLINE BT/50</t>
  </si>
  <si>
    <t>FG07897</t>
  </si>
  <si>
    <t>DISQUES ANTIBIOGRAMMES - PIPÉRACILLINE BT/50</t>
  </si>
  <si>
    <t>FG07898</t>
  </si>
  <si>
    <t>DISQUES ANTIBIOGRAMMES - PIPÉRACILLINE/TAZOBACTAM BT/50</t>
  </si>
  <si>
    <t>FG07899</t>
  </si>
  <si>
    <t>DISQUES ANTIBIOGRAMMES - CÉFÉPIME BT/50</t>
  </si>
  <si>
    <t>FG07900</t>
  </si>
  <si>
    <t>DISQUES ANTIBIOGRAMMES - STREPTOMYCINE BT/50</t>
  </si>
  <si>
    <t>FG07901</t>
  </si>
  <si>
    <t>DISQUES ANTIBIOGRAMMES - OXYDASE (50 DISQUES/VL)</t>
  </si>
  <si>
    <t>FG07907</t>
  </si>
  <si>
    <t>ABG-I15 CARTOUCHE DE TEST BG10 B/25 CARTOUCHES</t>
  </si>
  <si>
    <t>FG07999</t>
  </si>
  <si>
    <t>INS - KOCHER HAEMOSTATIC FORCEPS, STRAIGHT, 14CM</t>
  </si>
  <si>
    <t>FG08000</t>
  </si>
  <si>
    <t>H-NAT (EMULSION INJECTABLE) 1875 ML</t>
  </si>
  <si>
    <t>FG08019</t>
  </si>
  <si>
    <t>IMN - DENGUE, B/25 CARTOUCHES</t>
  </si>
  <si>
    <t>FG08020</t>
  </si>
  <si>
    <t>IMN - H. PYLORI AG, FECES, B/25 CARTOUCHES</t>
  </si>
  <si>
    <t>FG08021</t>
  </si>
  <si>
    <t>IMN - VIT B12, B/25 CARTOUCHES</t>
  </si>
  <si>
    <t>FG08022</t>
  </si>
  <si>
    <t>IMN - ASO, B/25 CARTOUCHES</t>
  </si>
  <si>
    <t>FG08023</t>
  </si>
  <si>
    <t>IMN - RF RHEUMATOID FACTOR, B/25 CARTOUCHES</t>
  </si>
  <si>
    <t>FG08024</t>
  </si>
  <si>
    <t>IMN - ANTI-CCP PEPTIDE CITRULLINé ANTICYCLIQUE, B/25 CARTOUCHES</t>
  </si>
  <si>
    <t>FG08025</t>
  </si>
  <si>
    <t>ACCESSORIES - RF CARD - HEMATOLOGIE 5 PARTIES</t>
  </si>
  <si>
    <t>FG08026</t>
  </si>
  <si>
    <t>ACCESSORIES - BARCODE - HEMATOLOGIE 3 PARTIES</t>
  </si>
  <si>
    <t>FG08028</t>
  </si>
  <si>
    <t>GALVUS MET 50MG /500MG B/30CES</t>
  </si>
  <si>
    <t>FG08029</t>
  </si>
  <si>
    <t>GALVUS MET 50MG /850MG B/30CES</t>
  </si>
  <si>
    <t>FG08030</t>
  </si>
  <si>
    <t>GALVUS 50MG B/28 CES</t>
  </si>
  <si>
    <t>FG08031</t>
  </si>
  <si>
    <t>AMOXICILLINE 125MG/5ML PDR POUR SUSP. BUV 60ML ( BILLY )</t>
  </si>
  <si>
    <t>FG08032</t>
  </si>
  <si>
    <t>AMOXICILLINE 250MG/5ML PDR POUR SUSP. BUV 60ML ( BILLY )</t>
  </si>
  <si>
    <t>FG08035</t>
  </si>
  <si>
    <t>CELEBREX 100MG B/60 CAP (FR)</t>
  </si>
  <si>
    <t>FG08036</t>
  </si>
  <si>
    <t>DELABACT SAVON ***125GM***</t>
  </si>
  <si>
    <t>FG08037</t>
  </si>
  <si>
    <t>KETOMIZ SAVON 75GM</t>
  </si>
  <si>
    <t>FG08045</t>
  </si>
  <si>
    <t>MIGRITOL 5% (ZOLMITRIPTAN) SPRAY NASAL 1.5ML</t>
  </si>
  <si>
    <t>FG08046</t>
  </si>
  <si>
    <t>UNIHAL (DISPOSITIF POUR GELULES DPI) 1 UNITE</t>
  </si>
  <si>
    <t>FG08047</t>
  </si>
  <si>
    <t>SAFLU (SALMETEROL 50MCG +FLUTICASONE 100MCG) B/30CAPSULE</t>
  </si>
  <si>
    <t>FG08048</t>
  </si>
  <si>
    <t>DELABACT (CLOTRIMAZOLE) POUDRE **50GM**</t>
  </si>
  <si>
    <t>FG08049</t>
  </si>
  <si>
    <t>DELABACT (CLOTRIMAZOLE) POUDRE ###100GM###</t>
  </si>
  <si>
    <t>FG08053</t>
  </si>
  <si>
    <t>MELANGEUR VORTEX - BICARB</t>
  </si>
  <si>
    <t>FG08054</t>
  </si>
  <si>
    <t>SYSTEME DE TRAITEMENT D'EAU 500 LPH</t>
  </si>
  <si>
    <t>FG08055</t>
  </si>
  <si>
    <t>APPAREIL DE DIALYSE</t>
  </si>
  <si>
    <t>FG08056</t>
  </si>
  <si>
    <t>UNISANG (TONIQUE ANTI-ANEMIQUE) SIROP 200ML</t>
  </si>
  <si>
    <t>FG08057</t>
  </si>
  <si>
    <t>UNIFORCE (TONIQUE) SIROP 200ML</t>
  </si>
  <si>
    <t>FG08058</t>
  </si>
  <si>
    <t>HIFER-Z (FER+VIT.B9+B COM.+ZINC) GOUTTE 30ML</t>
  </si>
  <si>
    <t>FG08059</t>
  </si>
  <si>
    <t>UNIMOL (SOULAGEMENT DE LA DOULEUR MUSCULAIRE) GEL 30G</t>
  </si>
  <si>
    <t>FG08060</t>
  </si>
  <si>
    <t>GAVISIL (ANTIACIDE ET ALGINATE) B/24 SACHETS DE 10ML</t>
  </si>
  <si>
    <t>FG08061</t>
  </si>
  <si>
    <t>PRESERVATIF BONNE NUIT (CLASSIC) B/24X3</t>
  </si>
  <si>
    <t>FG08062</t>
  </si>
  <si>
    <t>PRESERVATIF CHAMPION B/50 PCS</t>
  </si>
  <si>
    <t>FG08063</t>
  </si>
  <si>
    <t>PROGUT (SPORES DE BACILLIUS CLAUSII 2 MILLIARDS/ 5ML) B/10X5ML SOL. BUV. SUSP</t>
  </si>
  <si>
    <t>FG08064</t>
  </si>
  <si>
    <t>UD3 60000IU (CHOLECALCIFEROL) B/4X5ML SOL. BUV.</t>
  </si>
  <si>
    <t>FG08065</t>
  </si>
  <si>
    <t>UNIDENT (POTASSIUM, FLUOR, TRICLOSAN) GEL DENTAIRE 100G</t>
  </si>
  <si>
    <t>FG08066</t>
  </si>
  <si>
    <t>SENSODRIL (FLUORURE STANNEUX GEL - TRAITEMENT PREVENTIF) GEL DENTAIRE 120G</t>
  </si>
  <si>
    <t>FG08067</t>
  </si>
  <si>
    <t>MOUSTICARE CREME (ANTI-MOUSTIQUE) 50G</t>
  </si>
  <si>
    <t>FG08068</t>
  </si>
  <si>
    <t>MOUSTICARE SPRAY (ANTI-MOUSTIQUE) 100ML</t>
  </si>
  <si>
    <t>FG08069</t>
  </si>
  <si>
    <t>A TO Z-HPV (POLYVITAMINE) GOUTTE DE 20ML</t>
  </si>
  <si>
    <t>FG08070</t>
  </si>
  <si>
    <t>POWER ACTION 650 (PARA.+CAF.+ASP.) B/55X2 CES</t>
  </si>
  <si>
    <t>FG08071</t>
  </si>
  <si>
    <t>MUCOPECT (ANTITUSSIF) EXP PED. SIROP 100ML</t>
  </si>
  <si>
    <t>FG08072</t>
  </si>
  <si>
    <t>MUCOPECT (ANTITUSSIF) EXP ADULT SIROP 100ML</t>
  </si>
  <si>
    <t>FG08074</t>
  </si>
  <si>
    <t>CADRE DE TRACTION ORTHO -TABLE D'OPÉRATION, UNITE</t>
  </si>
  <si>
    <t>FG08075</t>
  </si>
  <si>
    <t>FAUTEUILS DE PRÉLÈVEMENTS SANGUIN</t>
  </si>
  <si>
    <t>FG08076</t>
  </si>
  <si>
    <t>METRE DE HAUTEUR DE 200CM</t>
  </si>
  <si>
    <t>FG08077</t>
  </si>
  <si>
    <t>RADIO - CASSETTE 18*24CM, UNITE</t>
  </si>
  <si>
    <t>FG08078</t>
  </si>
  <si>
    <t>RADIO - CASSETTE 24*30CM, UNITE</t>
  </si>
  <si>
    <t>FG08079</t>
  </si>
  <si>
    <t>RADIO - CASSETTE 30*40CM, UNITE</t>
  </si>
  <si>
    <t>FG08080</t>
  </si>
  <si>
    <t>RADIO - CASSETTE 35*35CM, UNITE</t>
  </si>
  <si>
    <t>FG08081</t>
  </si>
  <si>
    <t>RADIO - CASSETTE 35*43CM, UNITE</t>
  </si>
  <si>
    <t>FG08082</t>
  </si>
  <si>
    <t>SYSTÈME DRAINAGE 2L, UNITE</t>
  </si>
  <si>
    <t>FG08083</t>
  </si>
  <si>
    <t>BOUCLES D'INOCULATION AVEC FIL NICHROME DE 0.5 MM, PC (QTY:1000)</t>
  </si>
  <si>
    <t>FG08084</t>
  </si>
  <si>
    <t>OPTHA - LENTILLES AVEC LUNETTES D’ESSAI 266PCS, BOITE</t>
  </si>
  <si>
    <t>FG08085</t>
  </si>
  <si>
    <t>AGRAFEUSE DE CIRCONCISION EN FORME DE TIRE BOUCHON JETABLE, PC</t>
  </si>
  <si>
    <t>FG08086</t>
  </si>
  <si>
    <t>OPENER BIER BACHELO</t>
  </si>
  <si>
    <t>FG08087</t>
  </si>
  <si>
    <t>CLIP BOARD</t>
  </si>
  <si>
    <t>FG08088</t>
  </si>
  <si>
    <t>HOSPITAL BED MANUAL ABS ONE CRANK ML-M013-W</t>
  </si>
  <si>
    <t>FG08091</t>
  </si>
  <si>
    <t>STERIMAR BEBE SOL NASAL 100ML(FR)</t>
  </si>
  <si>
    <t>FG08092</t>
  </si>
  <si>
    <t>TDR - MONKEY POX AG - - CASSETTE - SWAB, B/20 TEST</t>
  </si>
  <si>
    <t>FG08093</t>
  </si>
  <si>
    <t>SP - HALOGEN LAMP BIOCHEMISTRY DP-C16</t>
  </si>
  <si>
    <t>FG08094</t>
  </si>
  <si>
    <t>SP - 1001 RBC CHAMBER ASSEMBLY</t>
  </si>
  <si>
    <t>FG08095</t>
  </si>
  <si>
    <t>SP - RBC APERTURE</t>
  </si>
  <si>
    <t>FG08096</t>
  </si>
  <si>
    <t>SP - 2-WAY VALVE?S?-?SMC?</t>
  </si>
  <si>
    <t>FG08097</t>
  </si>
  <si>
    <t>SP - 3-WAY VALVE?L?-?SMC?</t>
  </si>
  <si>
    <t>FG08102</t>
  </si>
  <si>
    <t>ANTIGRIP SIROP 100ML</t>
  </si>
  <si>
    <t>FG08103</t>
  </si>
  <si>
    <t>ARODERM GEL DOUCHE COCO MIX 1LTR</t>
  </si>
  <si>
    <t>FG08104</t>
  </si>
  <si>
    <t>ARODERM SAVO LIQUID 500ML</t>
  </si>
  <si>
    <t>FG08105</t>
  </si>
  <si>
    <t>ARODERME POUDRE CITRON ****500MG*****</t>
  </si>
  <si>
    <t>FG08106</t>
  </si>
  <si>
    <t>ARODERME PUDRE CITRON 200GR</t>
  </si>
  <si>
    <t>FG08107</t>
  </si>
  <si>
    <t>CALBON PLUS 200ML SP 1FL</t>
  </si>
  <si>
    <t>FG08108</t>
  </si>
  <si>
    <t>CHLORINE 250ML 1FL</t>
  </si>
  <si>
    <t>FG08109</t>
  </si>
  <si>
    <t>CLAIRESEME GEL DOUCHE 1LTR (COCO-CAROTTE)</t>
  </si>
  <si>
    <t>FG08110</t>
  </si>
  <si>
    <t>EFICEF (CEFIXIME) SUSPENSION 60ML</t>
  </si>
  <si>
    <t>FG08111</t>
  </si>
  <si>
    <t>FAST QUICK B/10 CES</t>
  </si>
  <si>
    <t>FG08112</t>
  </si>
  <si>
    <t>NECLAZ M FORTE B/30 CES</t>
  </si>
  <si>
    <t>FG08113</t>
  </si>
  <si>
    <t>ROSUMEX-AS 10/75MG B/30CES</t>
  </si>
  <si>
    <t>FG08114</t>
  </si>
  <si>
    <t>PRORAPID B/10 CES</t>
  </si>
  <si>
    <t>FG08115</t>
  </si>
  <si>
    <t>SIFA COLD 2 X 10 CAPS</t>
  </si>
  <si>
    <t>FG08116</t>
  </si>
  <si>
    <t>XENTOL SAVON LIQUID 500ML (CITRON/CAROT)</t>
  </si>
  <si>
    <t>FG08117</t>
  </si>
  <si>
    <t>NAMECOLD GUTTE 05%</t>
  </si>
  <si>
    <t>FG08118</t>
  </si>
  <si>
    <t>NAOMI FRESH LEMON SAVON 150GM</t>
  </si>
  <si>
    <t>FG08119</t>
  </si>
  <si>
    <t>NAOMI LOTION 30ML</t>
  </si>
  <si>
    <t>FG08120</t>
  </si>
  <si>
    <t>DR RAPID 10 CES</t>
  </si>
  <si>
    <t>FG08121</t>
  </si>
  <si>
    <t>DAVIBU PLUS CES B/10CES</t>
  </si>
  <si>
    <t>FG08122</t>
  </si>
  <si>
    <t>ALVITYL SP 100ML (FR)</t>
  </si>
  <si>
    <t>FG08123</t>
  </si>
  <si>
    <t>NEOMDEXSOL COLLYER 5 ML</t>
  </si>
  <si>
    <t>FG08264</t>
  </si>
  <si>
    <t>BOITE PETRI VERRE BOROSILICATE 3.3 50X17MM Ø100 MM</t>
  </si>
  <si>
    <t>FG08265</t>
  </si>
  <si>
    <t>SONDE ECO 6 CONVEX ?3-? 2.5MHZ-5.0MHZ, UNITE</t>
  </si>
  <si>
    <t>FG08266</t>
  </si>
  <si>
    <t>SONDE ECO 6 TRANSVAGINAL V6-A 4.5MHZ-8.0MHZ, UNITE</t>
  </si>
  <si>
    <t>FG08267</t>
  </si>
  <si>
    <t>SONDE ECO 6 PHASED ARRAY P3-A 2.5MHZ-4.5MHZ, UNITE</t>
  </si>
  <si>
    <t>FG08268</t>
  </si>
  <si>
    <t>SONDE ECO 6 LINEAR L7M-A 5.3MHZ-10.0MHZ, UNITE</t>
  </si>
  <si>
    <t>FG08269</t>
  </si>
  <si>
    <t>ÉLECTRODES POUR ÉLECTROSTIMULATEUR TENS EMS</t>
  </si>
  <si>
    <t>FG08270</t>
  </si>
  <si>
    <t>MONITEUR FOETAL - CARDIOTOCOGRAPHE GEMELLAIRE - T 10</t>
  </si>
  <si>
    <t>FG08271</t>
  </si>
  <si>
    <t>TUBES VACUTAINER (ROUGE) ACTIV-COA VERRE 13*75, 4ML, B/100PCS</t>
  </si>
  <si>
    <t>FG08272</t>
  </si>
  <si>
    <t>TUBES VACUTAINER (BLEU) EDTA K2/K3, PET 13*75, 4ML, B/100PCS</t>
  </si>
  <si>
    <t>FG08273</t>
  </si>
  <si>
    <t>MOBILE STAND</t>
  </si>
  <si>
    <t>FG08274</t>
  </si>
  <si>
    <t>PPERFUME WITH PLASTIC BOX</t>
  </si>
  <si>
    <t>FG08275</t>
  </si>
  <si>
    <t>ASPIRATEUR CHIRURGICAL PORTABLE - MANUEL MAIN</t>
  </si>
  <si>
    <t>FG08276</t>
  </si>
  <si>
    <t>TDR URINE -14T - BANDELETTE, B/100 TEST</t>
  </si>
  <si>
    <t>FG08289</t>
  </si>
  <si>
    <t>DUREX CLASSIC JEANS B/3</t>
  </si>
  <si>
    <t>FG08290</t>
  </si>
  <si>
    <t>DUREX ESSENTIAL B/10</t>
  </si>
  <si>
    <t>FG08291</t>
  </si>
  <si>
    <t>DUREX LOVE B/6</t>
  </si>
  <si>
    <t>FG08292</t>
  </si>
  <si>
    <t>DUREX NUDE EXTRA LUBRIF B/8</t>
  </si>
  <si>
    <t>FG08293</t>
  </si>
  <si>
    <t>DUREX NUDE ORIGINAL B/10</t>
  </si>
  <si>
    <t>FG08294</t>
  </si>
  <si>
    <t>DUREX NUDE SANS LATEX B/2</t>
  </si>
  <si>
    <t>FG08295</t>
  </si>
  <si>
    <t>DUREX NUDE XL B/2</t>
  </si>
  <si>
    <t>FG08296</t>
  </si>
  <si>
    <t>DUREX ORGASM INTENSE B/10</t>
  </si>
  <si>
    <t>FG08297</t>
  </si>
  <si>
    <t>DUREX PLEASURE ULTRA B/2</t>
  </si>
  <si>
    <t>FG08298</t>
  </si>
  <si>
    <t>DUREX SEXY FRAISE B/12</t>
  </si>
  <si>
    <t>FG08299</t>
  </si>
  <si>
    <t>FEELING EXTRA B/12</t>
  </si>
  <si>
    <t>FG08300</t>
  </si>
  <si>
    <t>FEELING XL B/10</t>
  </si>
  <si>
    <t>FG08307</t>
  </si>
  <si>
    <t>ARINATE 60MG (ARTESUNATE) INJ.B/1 KIT</t>
  </si>
  <si>
    <t>FG08308</t>
  </si>
  <si>
    <t>ARINATE *120MG* (ARTESUNATE) INJ.B/1 KIT</t>
  </si>
  <si>
    <t>FG08316</t>
  </si>
  <si>
    <t>LECTEUR DE LIPIDES, UNITE</t>
  </si>
  <si>
    <t>FG08317</t>
  </si>
  <si>
    <t>BANDELETTE DE LIPIDES, 25/BOITE</t>
  </si>
  <si>
    <t>FG08318</t>
  </si>
  <si>
    <t>SONDE CBIT 7 PHASE ARRAY</t>
  </si>
  <si>
    <t>FG08346</t>
  </si>
  <si>
    <t>GEL DESINECTANT ALCOOLISE 76%,500 ML</t>
  </si>
  <si>
    <t>FG08347</t>
  </si>
  <si>
    <t>TABLEAU GYNÉCOLOGIQUE-MC-C08</t>
  </si>
  <si>
    <t>FG08348</t>
  </si>
  <si>
    <t>TABLEAU GYNÉCOLOGIQUE-MC-C06</t>
  </si>
  <si>
    <t>FG08349</t>
  </si>
  <si>
    <t>TABLEAU GYNÉCOLOGIQUE-MC-C05</t>
  </si>
  <si>
    <t>FG08350</t>
  </si>
  <si>
    <t>TABLEAU GYNÉCOLOGIQUE-MC-C04</t>
  </si>
  <si>
    <t>FG08351</t>
  </si>
  <si>
    <t>PAPIER BUVARD</t>
  </si>
  <si>
    <t>FG08353</t>
  </si>
  <si>
    <t>REFRIGERATEUR DE LABORATOIRE 2 à 8 DEGRES - 238L</t>
  </si>
  <si>
    <t>FG08354</t>
  </si>
  <si>
    <t>BALANCE DE PRECISION LABORATOIRE 800G - 0.001G</t>
  </si>
  <si>
    <t>FG08355</t>
  </si>
  <si>
    <t>AGITATEUR DES PLAQUETTES-AGT-B48</t>
  </si>
  <si>
    <t>FG08356</t>
  </si>
  <si>
    <t>CONGELATEUR POUR PLASMA SANGUIN (-40°C)-362L</t>
  </si>
  <si>
    <t>FG08400</t>
  </si>
  <si>
    <t>DIAGLIZ 10MG (DAPAGLIFLOZINE) B/2X14 CES</t>
  </si>
  <si>
    <t>FG08401</t>
  </si>
  <si>
    <t>DIAGLIZ-M 5/1000 (DAPAGLIFLOZINE+MATFOR) B/4X7 CES</t>
  </si>
  <si>
    <t>FG08402</t>
  </si>
  <si>
    <t>PEN WITH MAGNATIC BOX</t>
  </si>
  <si>
    <t>FG08403</t>
  </si>
  <si>
    <t>DISTRIBUTEUR DE DISQUES ANTIBIOTIQUES 8 TROUS, UNITE</t>
  </si>
  <si>
    <t>FG08404</t>
  </si>
  <si>
    <t>DISPOSITIF DE SAUVETAGE D'ETOUFFEMENT AUTOMATIQUE, UNITE</t>
  </si>
  <si>
    <t>FG08405</t>
  </si>
  <si>
    <t>DISPOSITIF DE SAUVETAGE D'ETOUFFEMENT MANUEL, UNITE</t>
  </si>
  <si>
    <t>FG08406</t>
  </si>
  <si>
    <t>DETECTEUR DE VEINES AVEC SUPPORT MOBILE, UNITE</t>
  </si>
  <si>
    <t>FG08407</t>
  </si>
  <si>
    <t>VIDEO-LARYNGOSCOPE A 4 LAMES, UNITE</t>
  </si>
  <si>
    <t>FG08408</t>
  </si>
  <si>
    <t>AMTAQUE 10MG (AMLODIPINE) B/30CES</t>
  </si>
  <si>
    <t>FG08409</t>
  </si>
  <si>
    <t>AMTAQUE 5MG (AMLODIPINE) B/30CES</t>
  </si>
  <si>
    <t>FG08410</t>
  </si>
  <si>
    <t>XXX</t>
  </si>
  <si>
    <t>FG08411</t>
  </si>
  <si>
    <t>CLAVIQUE (CLOPIDOGREL75MG+ASPIRIN75MG) B/30CES</t>
  </si>
  <si>
    <t>FG08412</t>
  </si>
  <si>
    <t>URYL (GLIMEPIRIDE+METFORMIN) B/30CES</t>
  </si>
  <si>
    <t>FG08413</t>
  </si>
  <si>
    <t>L-ORNITHINE 10ML</t>
  </si>
  <si>
    <t>FG08414</t>
  </si>
  <si>
    <t>NANDROLONE DECANOATE 50MG 10ML</t>
  </si>
  <si>
    <t>FG08415</t>
  </si>
  <si>
    <t>ORLISTAT 60MG B/10CES</t>
  </si>
  <si>
    <t>FG08416</t>
  </si>
  <si>
    <t>MOAMI CREAM 50GM</t>
  </si>
  <si>
    <t>FG08417</t>
  </si>
  <si>
    <t>KETOMIZ (KETOCONAZOLE) 2% CREAM 15GM</t>
  </si>
  <si>
    <t>FG08418</t>
  </si>
  <si>
    <t>KETOMIZ (KETOCONAZOLE) 2% CREAM 30GM</t>
  </si>
  <si>
    <t>FG08423</t>
  </si>
  <si>
    <t>UNIGEST (COMPLEMENT PRENATAL) GELULES B/3X10</t>
  </si>
  <si>
    <t>FG08432</t>
  </si>
  <si>
    <t>SP - AUTOCLAVE TM-XB20J, HEATER COIL</t>
  </si>
  <si>
    <t>FG08433</t>
  </si>
  <si>
    <t>TENSIOMETRE DIGITEL B/1PCS - OMRON</t>
  </si>
  <si>
    <t>FG08434</t>
  </si>
  <si>
    <t>RADIO - FILM, VERT, 35*35CM, B/100</t>
  </si>
  <si>
    <t>FG08435</t>
  </si>
  <si>
    <t>RADIO - FILM, VERT, 30*40CM, B/100</t>
  </si>
  <si>
    <t>FG08436</t>
  </si>
  <si>
    <t>RADIO - FILM, VERT, 24*30CM, B/100</t>
  </si>
  <si>
    <t>FG08437</t>
  </si>
  <si>
    <t>RADIO - FILM, VERT, 18*24CM, B/100</t>
  </si>
  <si>
    <t>FG08438</t>
  </si>
  <si>
    <t>CHAMP OPERATOIRE POUR CÉSARIENNE, PC</t>
  </si>
  <si>
    <t>FG08439</t>
  </si>
  <si>
    <t>CHAMP OPERATOIRE POUR LAPAROTOMIE/ABDOMINALE, PC</t>
  </si>
  <si>
    <t>FG08440</t>
  </si>
  <si>
    <t>ADJUSTABLE MICROPIPETTE (VOL. 0.5-10)AUTOCLAVABLE</t>
  </si>
  <si>
    <t>FG08441</t>
  </si>
  <si>
    <t>INS - CISEAUX DUBOST DROITS 23CM, UNITE</t>
  </si>
  <si>
    <t>FG08442</t>
  </si>
  <si>
    <t>INS - KELLY-RANKIN HEMOSTATIC FORCEPS, STRAIGHT, 16CM, UNITE</t>
  </si>
  <si>
    <t>FG08443</t>
  </si>
  <si>
    <t>INS - LANE TOWEL CLAMP 19.5CM, UNITE</t>
  </si>
  <si>
    <t>FG08444</t>
  </si>
  <si>
    <t>INS - BACKHAUS TOWEL CLAMP - 13.5CM, UNITE</t>
  </si>
  <si>
    <t>FG08445</t>
  </si>
  <si>
    <t>INS - J.L FAURE FORCEPS CURVED 1X2 TEETH 22CM, UNITE</t>
  </si>
  <si>
    <t>FG08446</t>
  </si>
  <si>
    <t>INS - KELLY FORCEPS, CURVED, 18CM, UNITE</t>
  </si>
  <si>
    <t>FG08447</t>
  </si>
  <si>
    <t>INS - FARABEUF RETRACTOR SET, ADULT, 15CM, SET OF 2</t>
  </si>
  <si>
    <t>FG08448</t>
  </si>
  <si>
    <t>INS - GOSSET ABDOMINAL RETRACTOR, 16.5CM, UNITE</t>
  </si>
  <si>
    <t>FG08449</t>
  </si>
  <si>
    <t>BOITE - GRANDE ORTHOPEDIE</t>
  </si>
  <si>
    <t>FG08450</t>
  </si>
  <si>
    <t>BOITE ORTHOPEDIE - MEMBRES SUPERIEURS</t>
  </si>
  <si>
    <t>FG08451</t>
  </si>
  <si>
    <t>BOITE ORTHOPEDIE - MEMBRES INFERIEURS</t>
  </si>
  <si>
    <t>FG08452</t>
  </si>
  <si>
    <t>BOITE POUR AMPUTATION</t>
  </si>
  <si>
    <t>FG08453</t>
  </si>
  <si>
    <t>INS - DARTIGUES UTERINE ELEVATING FORCEPS, 25.5CM, UNITE</t>
  </si>
  <si>
    <t>FG08454</t>
  </si>
  <si>
    <t>UNIRAL (SRO) GOUT NATURE 450ML (FRANCE)</t>
  </si>
  <si>
    <t>FG08455</t>
  </si>
  <si>
    <t>UNIRAL (SRO) GOUT MULTIFRUIT 450ML (FRANCE)</t>
  </si>
  <si>
    <t>FG08456</t>
  </si>
  <si>
    <t>UNIRAL (SRO) GOUT COCO 450ML (FRANCE)</t>
  </si>
  <si>
    <t>FG08457</t>
  </si>
  <si>
    <t>FRAIS DE DOSSIER</t>
  </si>
  <si>
    <t>FG08458</t>
  </si>
  <si>
    <t>MOX 400MG (MOXIFLOXACIN) PERFUSION 100ML</t>
  </si>
  <si>
    <t>FG08459</t>
  </si>
  <si>
    <t>ELECTRORAL ORS 200ML PRET A L’EMPLOI</t>
  </si>
  <si>
    <t>FG08461</t>
  </si>
  <si>
    <t>APILTOX 2.5MG (APIXABAN) B/2X14 CES</t>
  </si>
  <si>
    <t>FG08462</t>
  </si>
  <si>
    <t>APILTOX *5MG* (APIXABAN) B/2X14 CES</t>
  </si>
  <si>
    <t>FG08463</t>
  </si>
  <si>
    <t>EMPALIZ 10MG (EMPAGLIFLOZIN B/2X14 CES</t>
  </si>
  <si>
    <t>FG08464</t>
  </si>
  <si>
    <t>EMPALIZ *25MG* (EMPAGLIFLOZIN B/2X14 CES</t>
  </si>
  <si>
    <t>FG08465</t>
  </si>
  <si>
    <t>EMPALIZ-M 5/1000MG (EMPA.+METF.) B/4X7 CES</t>
  </si>
  <si>
    <t>FG08466</t>
  </si>
  <si>
    <t>EMPALIZ-M *12.5*/1000MG (EMPA.+METF.) B/4X7 CES</t>
  </si>
  <si>
    <t>FG08468</t>
  </si>
  <si>
    <t>MOX-400 (MOXIFLOXACINE) B/5 CES</t>
  </si>
  <si>
    <t>FG08469</t>
  </si>
  <si>
    <t>CEFINIQUE-O (CEFIXIME 200MG+OFLOXACINE 200MG) B/10CES</t>
  </si>
  <si>
    <t>FG08470</t>
  </si>
  <si>
    <t>D-CORT 18MG (DEFLAZACORT) B/10 CES</t>
  </si>
  <si>
    <t>FG08471</t>
  </si>
  <si>
    <t>UNISERC-8 (BETAHISTINE) B/10 CES</t>
  </si>
  <si>
    <t>FG08472</t>
  </si>
  <si>
    <t>LINOQUE 600MG (LINEZOLIDE) B/2X7 CES</t>
  </si>
  <si>
    <t>FG08473</t>
  </si>
  <si>
    <t>CEFCLAV-625 (CEFUROXIME 500 MG + CLAV.POT 125MG) B/2X6CES</t>
  </si>
  <si>
    <t>FG08474</t>
  </si>
  <si>
    <t>IT-100 (ITRACONAZOLE) B/10 GELULE</t>
  </si>
  <si>
    <t>FG08475</t>
  </si>
  <si>
    <t>CERVOLINE 500MG (CITICOLINE) B/3X10CES</t>
  </si>
  <si>
    <t>FG08476</t>
  </si>
  <si>
    <t>INFLAMOR (TRYPSIN+BROMELAIN+RUTOSIDE+DICLOFENAC) B/10CES</t>
  </si>
  <si>
    <t>FG08477</t>
  </si>
  <si>
    <t>ALLONIC-300 (ALLOPURINOL) B/3X10 CES</t>
  </si>
  <si>
    <t>FG08478</t>
  </si>
  <si>
    <t>INDAREX-LP 1.5MG (INDAPAMIDE) B/3X10 CES</t>
  </si>
  <si>
    <t>FG08479</t>
  </si>
  <si>
    <t>ALLONIC-200 (ALLOPURINOL) B/3X10 CES</t>
  </si>
  <si>
    <t>FG08480</t>
  </si>
  <si>
    <t>ALLONIC-100 (ALLOPURINOL) B/3X10 CES</t>
  </si>
  <si>
    <t>FG08481</t>
  </si>
  <si>
    <t>MENOCALM-5 (NORETHISTERONE) B/10 CES</t>
  </si>
  <si>
    <t>FG08482</t>
  </si>
  <si>
    <t>SANODERM PLUS (CLO-OFLO-ITRA-ORNI) TUBE DE 15G</t>
  </si>
  <si>
    <t>FG08483</t>
  </si>
  <si>
    <t>GERMITTOL (NEO-CLOB-MICO) TUBE DE 10G</t>
  </si>
  <si>
    <t>FG08484</t>
  </si>
  <si>
    <t>CALMETRIX 25MG (AMITRIPTYLINE) B/3X10 CES</t>
  </si>
  <si>
    <t>FG08485</t>
  </si>
  <si>
    <t>RISPERA-2 (RISPERIDONE) B/3X10 CES</t>
  </si>
  <si>
    <t>FG08486</t>
  </si>
  <si>
    <t>VALSAC (SACUBITRIL 24 MG + VALSARTAN 26 MG) B/3X10 CES</t>
  </si>
  <si>
    <t>FG08487</t>
  </si>
  <si>
    <t>PERAM PLUS (PER-INDA-AMLO 10/2.5/10) B/3X10 CES</t>
  </si>
  <si>
    <t>FG08488</t>
  </si>
  <si>
    <t>PERAM 5/5 (PER-AMLO 5/5) B/3X10 CES</t>
  </si>
  <si>
    <t>FG08489</t>
  </si>
  <si>
    <t>PERAM 10/10 (PER-AMLO 10/10) B/3X10 CES</t>
  </si>
  <si>
    <t>FG08490</t>
  </si>
  <si>
    <t>BUCCOGEL (CHOLI-LIGNO-BENZA) GEL TUBE 10G</t>
  </si>
  <si>
    <t>FG08491</t>
  </si>
  <si>
    <t>PREGATAS-PLUS (MEC 1500 + ALA 100 + B1 10 + B6 3 + FA 1.5) B/1X10 CAPS</t>
  </si>
  <si>
    <t>FG08492</t>
  </si>
  <si>
    <t>KET-10 (KETOROLAC DISPERSIBLE) B/1X10 CES</t>
  </si>
  <si>
    <t>FG08493</t>
  </si>
  <si>
    <t>CEFRION-S 1.5MG (CEF-SUL 1G/0.5G) B/1 VIAL+EAU</t>
  </si>
  <si>
    <t>FG08494</t>
  </si>
  <si>
    <t>HALDOQUE-5 (HALOPERIDOL) B/3X10 CES</t>
  </si>
  <si>
    <t>FG08495</t>
  </si>
  <si>
    <t>BONNE-NUIT (LIDO+PRILO) GEL TUBE DE 8G</t>
  </si>
  <si>
    <t>FG08496</t>
  </si>
  <si>
    <t>LACTOSTOP (CABERGOLINE 0,5 MG) B/1X8 CES</t>
  </si>
  <si>
    <t>FG08497</t>
  </si>
  <si>
    <t>VALNA-500 (VALPROATE DE SODIUM) B/3X10 CES</t>
  </si>
  <si>
    <t>FG08498</t>
  </si>
  <si>
    <t>VALNA-200 (VALPROATE DE SODIUM) B/3X10 CES</t>
  </si>
  <si>
    <t>FG08499</t>
  </si>
  <si>
    <t>TELAM(40+10) (TELMISARTAN 40 MG + AMLODIPINE 10 MG) B/3X10 CES</t>
  </si>
  <si>
    <t>FG08500</t>
  </si>
  <si>
    <t>TELAM(80+10) (TELMISARTAN 80 MG + AMLODIPINE 10 MG) B/3X10 CES</t>
  </si>
  <si>
    <t>FG08501</t>
  </si>
  <si>
    <t>CEFINIQUE-CV 325 (CFIXIME 200 MG +CLAV 125 MG) B/1X10 CES</t>
  </si>
  <si>
    <t>FG08502</t>
  </si>
  <si>
    <t>CEFINIQUE-CV 525 (CFIXIME 400 MG +CLAV 125 MG) B/1X10 CES</t>
  </si>
  <si>
    <t>FG08503</t>
  </si>
  <si>
    <t>CEFINIQUE-CV 162.5 (CFIXIME 100 MG +CLAV 62.5 MG) SIROP 60ML</t>
  </si>
  <si>
    <t>FG08504</t>
  </si>
  <si>
    <t>CEFINIQUE-CV 81.25 (CFIXIME 50 MG +CLAV 31.5 MG) SIROP 60ML</t>
  </si>
  <si>
    <t>FG08505</t>
  </si>
  <si>
    <t>BETACLAIR 1% (BETAMETHASONE) LOTION 60ML</t>
  </si>
  <si>
    <t>FG08506</t>
  </si>
  <si>
    <t>QLINDA 1% (CLINDAMYCINE) LOTION 30ML</t>
  </si>
  <si>
    <t>FG08507</t>
  </si>
  <si>
    <t>GLIBEQUE-M (GLIME.5MG+MET.500MG) B/15 CES</t>
  </si>
  <si>
    <t>FG08508</t>
  </si>
  <si>
    <t>NEOMYCIN 5% CREAM 30G</t>
  </si>
  <si>
    <t>FG08509</t>
  </si>
  <si>
    <t>MEF-PA FORTE (MEF.500+PARA.450MG) B/10 CES</t>
  </si>
  <si>
    <t>FG08510</t>
  </si>
  <si>
    <t>WORMINIX-PLUS (ALBE.+IVER.) SIROP 10ML</t>
  </si>
  <si>
    <t>FG08511</t>
  </si>
  <si>
    <t>ASPIRIN-100 (ASPIRIN JUNIOR) B/3X10 CES</t>
  </si>
  <si>
    <t>FG08512</t>
  </si>
  <si>
    <t>KALY-LP 600MG (POTASSIUM CHLORURE) B/3X10 CES</t>
  </si>
  <si>
    <t>FG08513</t>
  </si>
  <si>
    <t>ESIDREQUE-25 (HYDROCHLOROTHIAZIDE) B/3X10 CES</t>
  </si>
  <si>
    <t>FG08514</t>
  </si>
  <si>
    <t>DUPHASFEM-10 (DYDROGESTERONE) B/1X10 CES</t>
  </si>
  <si>
    <t>FG08515</t>
  </si>
  <si>
    <t>ARTAQUE-5 (TRIHEXYPHENIDYLE) B/2X10 CES</t>
  </si>
  <si>
    <t>FG08516</t>
  </si>
  <si>
    <t>PHENER-PLUS 2% (PROMETHAZINE) TUBE DE 30G</t>
  </si>
  <si>
    <t>FG08517</t>
  </si>
  <si>
    <t>CTZ (CETIRIZINE) 5MG/5ML SIROP 60ML</t>
  </si>
  <si>
    <t>FG08518</t>
  </si>
  <si>
    <t>FONGIDERM (CLOTRI.+ GENTA.+ CLOB. + TOLN.) TUBE DE 15G</t>
  </si>
  <si>
    <t>FG08519</t>
  </si>
  <si>
    <t>SOFRANEX (FRADIOMYCINE +NEOM.) POMMDE 15G</t>
  </si>
  <si>
    <t>FG08520</t>
  </si>
  <si>
    <t>PUNCHDERM MAX (CIP+MET+TERB+CLOB) TUBE DE 15G</t>
  </si>
  <si>
    <t>FG08521</t>
  </si>
  <si>
    <t>FLAMME -GARDE (SIL.SULFA+CHLOR.GLUCO) TUBE DE 30G</t>
  </si>
  <si>
    <t>FG08522</t>
  </si>
  <si>
    <t>THIORELAX 1G (THIOPENTAL) INJECTABLE VIAL</t>
  </si>
  <si>
    <t>FG08523</t>
  </si>
  <si>
    <t>CEDO-10 (DINITRATE D'ISOSORBIDE) B/1X10 CES</t>
  </si>
  <si>
    <t>FG08524</t>
  </si>
  <si>
    <t>PREGATAS-NT (PREGABALINE+METHYLCOBALAMINE+NORTRIPTYLINE) B/1X10 CES</t>
  </si>
  <si>
    <t>FG08525</t>
  </si>
  <si>
    <t>UD-450MG LP (URSODESOXYCHOLIQUE) B/10 CES</t>
  </si>
  <si>
    <t>FG08526</t>
  </si>
  <si>
    <t>ZITHRO PLUS-500 (AZITHROMYCINE) B/5 CES</t>
  </si>
  <si>
    <t>FG08527</t>
  </si>
  <si>
    <t>UNI ASP-81 (ASPIRINE 81 MG) B/3X10 CES</t>
  </si>
  <si>
    <t>FG08528</t>
  </si>
  <si>
    <t>CLAVIQUE-AS (CLOPIDOGREL 75MG+ASPIRINE 75MG) B/3X10 CES</t>
  </si>
  <si>
    <t>FG08530</t>
  </si>
  <si>
    <t>FOIREX (L-ORNITHINE-L-ASPARTATE) INJECTABLE B/5X10ML</t>
  </si>
  <si>
    <t>FG08531</t>
  </si>
  <si>
    <t>NANDRO-DECA-50MG/ML(NANDROLONE DECANOATE) B/1 AMP</t>
  </si>
  <si>
    <t>FG08532</t>
  </si>
  <si>
    <t>MINCEOR 60 (ORLISTAT) B/10 GELULES</t>
  </si>
  <si>
    <t>FG08533</t>
  </si>
  <si>
    <t>KETOMIZ 2% (KETOCONAZOLE) CREME 15G</t>
  </si>
  <si>
    <t>FG08534</t>
  </si>
  <si>
    <t>KETOMIZ 2% (KETOCONAZOLE) CREME **30G**</t>
  </si>
  <si>
    <t>FG08535</t>
  </si>
  <si>
    <t>DERMALISS-0,05 (TRETINOINE) TUBE DE 15G</t>
  </si>
  <si>
    <t>FG08536</t>
  </si>
  <si>
    <t>DERMALISS-0,025 (TRETINOINE) TUBE DE 15G</t>
  </si>
  <si>
    <t>FG08537</t>
  </si>
  <si>
    <t>LULICONAZ 1% (LULICONAZOLE) TUBE DE 15G</t>
  </si>
  <si>
    <t>FG08538</t>
  </si>
  <si>
    <t>CICATRIX 2% (MUPIROCINE) TUBE DE 5G</t>
  </si>
  <si>
    <t>FG08539</t>
  </si>
  <si>
    <t>SCABEX 5% (PERMETHRINE) LOTION 50ML</t>
  </si>
  <si>
    <t>FG08540</t>
  </si>
  <si>
    <t>BONNE NUIT (LIDOCAINE 10%) SPRAY TOPIQUE</t>
  </si>
  <si>
    <t>FG08541</t>
  </si>
  <si>
    <t>FERTILEX PRENATAL – 30 + 30 CAPS (MULTIVITS + OMEGA-3)</t>
  </si>
  <si>
    <t>FG08542</t>
  </si>
  <si>
    <t>STOPDOUL (FIEVRE, DOULEURS CORPORELLES, MAUX DE TETE) – 1X10 COMPRIMES</t>
  </si>
  <si>
    <t>FG08543</t>
  </si>
  <si>
    <t>DEXERIQUE CREAM 250GR</t>
  </si>
  <si>
    <t>FG08544</t>
  </si>
  <si>
    <t>ALBUMINE HUMAINE 20% SOL. PERFUSION IV 20G/100ML</t>
  </si>
  <si>
    <t>FG08545</t>
  </si>
  <si>
    <t>ALBUMINE HUMAINE 20% SOL. PERF. IV 20G/@50ML@</t>
  </si>
  <si>
    <t>FG08546</t>
  </si>
  <si>
    <t>DELABACT SAVON POUR BEBE ROSE 75G (PH 5.5 – IDEAL POUR UNE PEAU SAINE)</t>
  </si>
  <si>
    <t>FG08547</t>
  </si>
  <si>
    <t>UNIBACTER SAVON 100G (PEAUX SENSIBLES &amp; À PROBLÈMES – VISAGE ET CORPS)</t>
  </si>
  <si>
    <t>FG08548</t>
  </si>
  <si>
    <t>GERMITTOL SAVON 100 GM</t>
  </si>
  <si>
    <t>FG08549</t>
  </si>
  <si>
    <t>20 DEGRE SAVON DE BEAUTE PAPAYE 75G</t>
  </si>
  <si>
    <t>FG08550</t>
  </si>
  <si>
    <t>UCOX-T (ETORICOXIB &amp; THIOCOLCHICOSIDE) 60MG/4MG B/10 CES</t>
  </si>
  <si>
    <t>FG08551</t>
  </si>
  <si>
    <t>PROTOQ -IT (PANTO + ITOPRIDE) 40MG+150MG B/10 CES</t>
  </si>
  <si>
    <t>FG08552</t>
  </si>
  <si>
    <t>EXASEAL MF (ACID TRANEXAMIC &amp; MEFENAMIC) 500MG+250MG B/10CES</t>
  </si>
  <si>
    <t>FG08553</t>
  </si>
  <si>
    <t>NICARDEX LP 50MG (NICARDIPINE) GELULES B/6X10</t>
  </si>
  <si>
    <t>FG08554</t>
  </si>
  <si>
    <t>DELABACT SAVON HYDRATANT 75G (POUR UNE PEAU DOUCE, SAINE ET RAJEUNIE)</t>
  </si>
  <si>
    <t>FG08555</t>
  </si>
  <si>
    <t>20 DEGRE TALC (NEEM+MENTHE) 100G</t>
  </si>
  <si>
    <t>FG08556</t>
  </si>
  <si>
    <t>NUTRIGLOW (HEMOGLOBIN) SIROP 200ML </t>
  </si>
  <si>
    <t>FG08558</t>
  </si>
  <si>
    <t>ALDOMET 250MG B/10X10CES</t>
  </si>
  <si>
    <t>FG08559</t>
  </si>
  <si>
    <t>BONNET USAGE UNIQUE **B/50PCS**</t>
  </si>
  <si>
    <t>FG08560</t>
  </si>
  <si>
    <t>PERFORATED SPARADRA **** 10CM X 5M **** (ZINC OXIDE)</t>
  </si>
  <si>
    <t>FG08563</t>
  </si>
  <si>
    <t>BIOCHIMIE - GPT(ALT) :R1:28MLX2,R2:7MLX2</t>
  </si>
  <si>
    <t>FG08564</t>
  </si>
  <si>
    <t>IMN- MAGLUMI 800 TOTAL T3 (CLIA), 50TEST/KIT</t>
  </si>
  <si>
    <t>FG08565</t>
  </si>
  <si>
    <t>IMN- MAGLUMI 800 TOTAL T4 (CLIA),, 50TEST/KIT</t>
  </si>
  <si>
    <t>FG08566</t>
  </si>
  <si>
    <t>IMN- MAGLUMI 800 FSH (CLIA), 50TEST/KIT</t>
  </si>
  <si>
    <t>FG08567</t>
  </si>
  <si>
    <t>IMN- MAGLUMI 800 LH (CLIA), 50TEST/KIT</t>
  </si>
  <si>
    <t>FG08568</t>
  </si>
  <si>
    <t>IMN- MAGLUMI 800 PROGESTERONE (CLIA), 50TEST/KIT</t>
  </si>
  <si>
    <t>FG08569</t>
  </si>
  <si>
    <t>IMN- MAGLUMI 800 ESTRADIOL (CLIA), 50TEST/KIT</t>
  </si>
  <si>
    <t>FG08570</t>
  </si>
  <si>
    <t>IMN- MAGLUMI 800 TESTOSTERONE (CLIA), 50TEST/KIT</t>
  </si>
  <si>
    <t>FG08571</t>
  </si>
  <si>
    <t>IMN- MAGLUMI 800 TOTAL ? HCG (CLIA), 50TEST/KIT</t>
  </si>
  <si>
    <t>FG08572</t>
  </si>
  <si>
    <t>IMN- MAGLUMI 800 CA 125 (CLIA), 50TEST/KIT</t>
  </si>
  <si>
    <t>FG08573</t>
  </si>
  <si>
    <t>IMN- MAGLUMI 800 AFP (CLIA), 50TEST/KIT</t>
  </si>
  <si>
    <t>FG08574</t>
  </si>
  <si>
    <t>IMN- MAGLUMI 800 TOTAL PSA (CLIA)</t>
  </si>
  <si>
    <t>FG08575</t>
  </si>
  <si>
    <t>IMN- MAGLUMI 800 FREE PSA (CLIA), 50TEST/KIT</t>
  </si>
  <si>
    <t>FG08576</t>
  </si>
  <si>
    <t>IMN- MAGLUMI 800 CA 19-9 (CLIA), 50TEST/KIT</t>
  </si>
  <si>
    <t>FG08577</t>
  </si>
  <si>
    <t>IMN- MAGLUMI 800 CA 15-3 (CLIA), 50TEST/KIT</t>
  </si>
  <si>
    <t>FG08578</t>
  </si>
  <si>
    <t>IMN - MAGLUMI 800 INSULIN (CLIA), 50TEST/KIT</t>
  </si>
  <si>
    <t>FG08579</t>
  </si>
  <si>
    <t>IMN- MAGLUMI 800 NT-PROBNP (CLIA), 50TEST/KIT</t>
  </si>
  <si>
    <t>FG08580</t>
  </si>
  <si>
    <t>IMN- MAGLUMI 800 HS-CTNI (CLIA), 50TEST/KIT</t>
  </si>
  <si>
    <t>FG08581</t>
  </si>
  <si>
    <t>IMN- MAGLUMI 800 ALBUMIN (CLIA), 50TEST/KIT</t>
  </si>
  <si>
    <t>FG08582</t>
  </si>
  <si>
    <t>IMN- MAGLUMI 800 IGE (CLIA), 50TEST/KIT</t>
  </si>
  <si>
    <t>FG08583</t>
  </si>
  <si>
    <t>IMN- MAGLUMI 800 HBSAG (CLIA) (NCE), 50TEST/KIT</t>
  </si>
  <si>
    <t>FG08584</t>
  </si>
  <si>
    <t>IMN- MAGLUMI 800 HBEAG (CLIA) (NCE), 50TEST/KIT</t>
  </si>
  <si>
    <t>FG08585</t>
  </si>
  <si>
    <t>IMN- MAGLUMI 800 ANTI-HCV (CLIA) (NCE), 50TEST/KIT</t>
  </si>
  <si>
    <t>FG08586</t>
  </si>
  <si>
    <t>IMN- MAGLUMI 800 HSV-1/2 IGM (CLIA), 50TEST/KIT</t>
  </si>
  <si>
    <t>FG08587</t>
  </si>
  <si>
    <t>IMN- MAGLUMI 800 TOXO IGG (CLIA), 50TEST/KIT</t>
  </si>
  <si>
    <t>FG08588</t>
  </si>
  <si>
    <t>IMN- MAGLUMI 800 RUBELLA IGG (CLIA), 50TEST/KIT</t>
  </si>
  <si>
    <t>FG08589</t>
  </si>
  <si>
    <t>IMN- MAGLUMI CMV IGG (CLIA), 50TEST/KIT</t>
  </si>
  <si>
    <t>FG08590</t>
  </si>
  <si>
    <t>IMN- MAGLUMI 800 STARTER 1+2 (1BOX=2*230ML), 50TEST/KIT</t>
  </si>
  <si>
    <t>FG08591</t>
  </si>
  <si>
    <t>IMN- MAGLUMI 800 WASH CONCENTRATE, 50TEST/KIT</t>
  </si>
  <si>
    <t>FG08592</t>
  </si>
  <si>
    <t>IMN- MAGLUMI 800 REACTION MODULES, 50TEST/KIT</t>
  </si>
  <si>
    <t>FG08593</t>
  </si>
  <si>
    <t>IMN-MAGLUMI 800 LIGHT CHECK(1BOX=5*2ML), 50TEST/KIT</t>
  </si>
  <si>
    <t>FG08594</t>
  </si>
  <si>
    <t>IMN-MAGLUMI 800 SYSTEM TUBING CLEANING SOLUTION (1BOX=1BOTTLE=1*500ML), 50TEST/KIT</t>
  </si>
  <si>
    <t>FG08595</t>
  </si>
  <si>
    <t>IMN- MAGLUMI 800 WASTE BAG(1BOX=50 PIECES)</t>
  </si>
  <si>
    <t>FG08596</t>
  </si>
  <si>
    <t>DYMIND COAGULATION CA-PT (PROTHROMBIN TIME) :2.0X10, 200TESTS/PACKAGE</t>
  </si>
  <si>
    <t>FG08597</t>
  </si>
  <si>
    <t>DYMIND COAGULATION CA-APTT (ACTIVATED PARTIAL THROMBOPLASTIN TIME) :2.0X10, 400TESTS/PACKAGE</t>
  </si>
  <si>
    <t>FG08598</t>
  </si>
  <si>
    <t>DYMIND COAGULATION CA-FIB (FIBRINOGEN) :2.0X10, 400TESTS/PACKAGE</t>
  </si>
  <si>
    <t>FG08599</t>
  </si>
  <si>
    <t>BUSCOPAQUE 10MG ( HYOSCINE ) B/10X10 CES</t>
  </si>
  <si>
    <t>FG08600</t>
  </si>
  <si>
    <t>CIPROFLOXACINE 500MG B/10 X 10CES</t>
  </si>
  <si>
    <t>FG08602</t>
  </si>
  <si>
    <t>LASIX 20MG/2ML ***B1 /AMP*** (FR)</t>
  </si>
  <si>
    <t>FG08603</t>
  </si>
  <si>
    <t>IMN- ANALYSEUR DIMMUNOANALYSE MAGLUMI 800</t>
  </si>
  <si>
    <t>FG08604</t>
  </si>
  <si>
    <t>CARTE DE DÉTECTION DE PRESSION DE PIECES DÉTACHÉES DYMIND-1116</t>
  </si>
  <si>
    <t>FG08621</t>
  </si>
  <si>
    <t>CLOXACILINE 500MG B/10X10 CAPS</t>
  </si>
  <si>
    <t>FG08622</t>
  </si>
  <si>
    <t>ERYTHROMYCINE 250MG B/10X10 CES***(ERINOCIN)</t>
  </si>
  <si>
    <t>FG08623</t>
  </si>
  <si>
    <t>ERYTHROMYCINE 500MG B/10X10 CES***(ERINOCIN)</t>
  </si>
  <si>
    <t>FG08624</t>
  </si>
  <si>
    <t>GRISEOFULVINE 500MG B/10X10 CES (UNIQUE)</t>
  </si>
  <si>
    <t>FG08625</t>
  </si>
  <si>
    <t>TERPINE CODEINE B/10X10 CES</t>
  </si>
  <si>
    <t>FG08626</t>
  </si>
  <si>
    <t>SERINGUE 10CC..100PCS (UNIQUE)</t>
  </si>
  <si>
    <t>FG08627</t>
  </si>
  <si>
    <t>SERINGUE 5CC B/100PCS (UNIQUE)</t>
  </si>
  <si>
    <t>FG08628</t>
  </si>
  <si>
    <t>EPICRANIAN 21G VERT B/100PCS</t>
  </si>
  <si>
    <t>FG08629</t>
  </si>
  <si>
    <t>EPICRANIAN 23G BLUE PCS/100PCS</t>
  </si>
  <si>
    <t>FG08632</t>
  </si>
  <si>
    <t>SECOURS – HUILE AYURVEDIQUE ANTIDOULER – PACK ECONOMIQUE (100 ML)</t>
  </si>
  <si>
    <t>FG08633</t>
  </si>
  <si>
    <t>SUPER MANGE FORTE (L-LYSINE + CYPROHEPTADINE + VIT. B COM.) SYRUP 200ML</t>
  </si>
  <si>
    <t>FG08634</t>
  </si>
  <si>
    <t>GLARGISULIN 100 UI/ML (INSULINE GLARGINE) INJECTION 1X3ML STYLO</t>
  </si>
  <si>
    <t>FG08635</t>
  </si>
  <si>
    <t>GLARGISULIN 100 UI/ML (INSULINE GLARGINE) INJECTION 1X10ML FLACON</t>
  </si>
  <si>
    <t>FG08636</t>
  </si>
  <si>
    <t>UNISULIN-M 100 UI/ML (INSULINE HUMAINE RÉGULIÈRE + INSULINE ISOPHANE) INJECTION 1X10ML FLACON</t>
  </si>
  <si>
    <t>FG08637</t>
  </si>
  <si>
    <t>UNISULIN-M 40 UI/ML (INSULINE HUMAINE RÉGULIÈRE + INSULINE ISOPHANE) INJECTION 1X10ML FLACON</t>
  </si>
  <si>
    <t>FG08638</t>
  </si>
  <si>
    <t>UNISULIN-N 100 UI/ML (INSULINE ISOPHANE) INJECTION 1X10ML FLACON</t>
  </si>
  <si>
    <t>FG08639</t>
  </si>
  <si>
    <t>UNISULIN-N 40 UI/ML (INSULINE ISOPHANE) INJECTION 1X10ML FLACON</t>
  </si>
  <si>
    <t>FG08640</t>
  </si>
  <si>
    <t>UNISULIN-N 100 UI/ML (INSULINE ISOPHANE) INJECTION 1X3ML STYLO</t>
  </si>
  <si>
    <t>FG08641</t>
  </si>
  <si>
    <t>UNISULIN-R 100 UI/ML (INSULINE HUMAINE RÉGULIÈRE) INJECTION 1X10ML FLACON</t>
  </si>
  <si>
    <t>FG08642</t>
  </si>
  <si>
    <t>UNISULIN-R 40 UI/ML (INSULINE HUMAINE RÉGULIÈRE) INJECTION 1X10ML FLACON</t>
  </si>
  <si>
    <t>FG08643</t>
  </si>
  <si>
    <t>UNISULIN-R 100 UI/ML (INSULINE HUMAINE RÉGULIÈRE) INJECTION 1X3ML STYLO</t>
  </si>
  <si>
    <t>FG08644</t>
  </si>
  <si>
    <t>FLAVEN 1000 MG (FRACTION FLAVONOIDE PURIFIEE MICRONISEE) CES 1X10 BLISTER</t>
  </si>
  <si>
    <t>FG08645</t>
  </si>
  <si>
    <t>INDAREX-AM 10 MG/1,5 MG (AMLODIPINE + INDAPAMIDE) CES 1X30 BLISTER****</t>
  </si>
  <si>
    <t>FG08646</t>
  </si>
  <si>
    <t>NOREX 1 MG (NORADRENALINE) INJECTION 5X2ML AMPOULES</t>
  </si>
  <si>
    <t>FG08647</t>
  </si>
  <si>
    <t>CEROX 750MG (CEFUROXIME) INJECTABLE B/1 VIAL+EAU.</t>
  </si>
  <si>
    <t>FG08648</t>
  </si>
  <si>
    <t>CEROX 1500MG (CEFUROXIME) INJECTABLE B/1 VIAL+EAU.</t>
  </si>
  <si>
    <t>FG08649</t>
  </si>
  <si>
    <t>VERTINIQUE 500 MG/5 ML (ACÉTYLLEUCINE) INJECTION 5X5ML AMPOULES</t>
  </si>
  <si>
    <t>FG08650</t>
  </si>
  <si>
    <t>VERTINIQUE 500MG B/1X10 CES</t>
  </si>
  <si>
    <t>FG08651</t>
  </si>
  <si>
    <t>MEMORIL 5 MG ( DONEPEZIL) COMPRIME 1X10 BLISTER</t>
  </si>
  <si>
    <t>FG08652</t>
  </si>
  <si>
    <t>MEMORIL 10 MG (DONEPEZIL) COMPRIME 1X10 BLISTER</t>
  </si>
  <si>
    <t>FG08653</t>
  </si>
  <si>
    <t>COSHU-TOL (EXPECTORANT + BRONCHODILATATEUR) SIROP 100ML FLACON</t>
  </si>
  <si>
    <t>FG08654</t>
  </si>
  <si>
    <t>STOPGRIP (RHUME + FIÈVRE + TOUX) SIROP 100ML FLACON</t>
  </si>
  <si>
    <t>FG08655</t>
  </si>
  <si>
    <t>VAGIKLIN (CLOTRIMAZOLE 2%) CREME 1X40G TUBE AVEC APPLICATEUR (ANTIFONGIQUE)</t>
  </si>
  <si>
    <t>FG08656</t>
  </si>
  <si>
    <t>KETOFEN 80MG (KETOPROFEN) EFF. B/4X4 CES</t>
  </si>
  <si>
    <t>FG08657</t>
  </si>
  <si>
    <t>KETOFEN PLUS (KETOPROFEN 80MG + PARA 325MG) EFF. B/4X4 CES</t>
  </si>
  <si>
    <t>FG08658</t>
  </si>
  <si>
    <t>ETHAMBUTOL 100 MG (ANTI-TB) COMPRIME DISPERSIBLE 1X10X10 PQ-OMS</t>
  </si>
  <si>
    <t>FG08659</t>
  </si>
  <si>
    <t>RIFAMPICINE/ISONIAZIDE/ETHAMBUTOL/PYRAZINAMIDE 150/75/275/400 MG (ANTI-TB) COMPRIMÉ 24X28 PQ-OMS</t>
  </si>
  <si>
    <t>FG08660</t>
  </si>
  <si>
    <t>RIFAMPICINE/ISONIAZIDE 150/75 MG (ANTI-TB) COMPRIMÉ 24X28 PQ-OMS</t>
  </si>
  <si>
    <t>FG08661</t>
  </si>
  <si>
    <t>RIFAMPICINE 75 MG + ISONIAZIDE 50 MG + PYRAZINAMIDE 150 MG (ANTI-TB) COMPRIMÉ DISPERSIBLE 3X28 PQ-OMS</t>
  </si>
  <si>
    <t>FG08662</t>
  </si>
  <si>
    <t>RIFAMPICINE 75 MG + ISONIAZIDE 50 MG (ANTI-TB) COMPRIMÉ DISPERSIBLE 3X28  PQ-OMS</t>
  </si>
  <si>
    <t>FG08663</t>
  </si>
  <si>
    <t>GANTS D'EXAMEN EN NITRILE SANS POUDRE (M)</t>
  </si>
  <si>
    <t>FG08664</t>
  </si>
  <si>
    <t>GANTS D'EXAMEN EN NITRILE SANS POUDRE (L)</t>
  </si>
  <si>
    <t>FG08673</t>
  </si>
  <si>
    <t>LINOQUE 600MG IV SOLUTION PERFUSION 300ML</t>
  </si>
  <si>
    <t>FG08674</t>
  </si>
  <si>
    <t>ARINATE *240MG* (ARTESUNATE) INJ.B/1 KIT</t>
  </si>
  <si>
    <t>FG08675</t>
  </si>
  <si>
    <t>DUREX EXTRA LUBRIF B/8</t>
  </si>
  <si>
    <t>FG08676</t>
  </si>
  <si>
    <t>DUREX FEELING EXTRA B/12</t>
  </si>
  <si>
    <t>FG08677</t>
  </si>
  <si>
    <t>SUPRADYN BOOST CP B/10</t>
  </si>
  <si>
    <t>FG08678</t>
  </si>
  <si>
    <t>SUPRADYN ENERGY CP B/10</t>
  </si>
  <si>
    <t>FG08679</t>
  </si>
  <si>
    <t>FOIREX (SIROP HEPATOTONIQUE A BASE DE PLANTES) – 200 ML</t>
  </si>
  <si>
    <t>FG08680</t>
  </si>
  <si>
    <t>Q-FAM (TONIFIANT DE L’UTERUS A BASE DE PLANTES) – 2X10 GELULES</t>
  </si>
  <si>
    <t>FG08681</t>
  </si>
  <si>
    <t>SORTOUX (SIROP CONTRE LA TOUX A BASE DE PLANTES MEDICINALES) – 100 ML</t>
  </si>
  <si>
    <t>FG08682</t>
  </si>
  <si>
    <t>TRANSI LAQ (SIROP TONIQUE DIGESTIF A BASE DE PLANTES) – 200 ML</t>
  </si>
  <si>
    <t>FG08684</t>
  </si>
  <si>
    <t>CARIPLA-Q (ERANDAKARKATI + BHUDHATRI + GUDUCHI + MARI) – 4X15 COMPRIMES</t>
  </si>
  <si>
    <t>FG08685</t>
  </si>
  <si>
    <t>CORTISTATE (FORMULE ANTI-HEMORROIDAIRE) – 2X10 GELULES</t>
  </si>
  <si>
    <t>FG08686</t>
  </si>
  <si>
    <t>COSHU-TOL (SIROP EXPECTORANT A BASE DE PLANTES AVEC MIEL) – 100 ML</t>
  </si>
  <si>
    <t>FG08687</t>
  </si>
  <si>
    <t>PERFECT FEMME (CAPSULE HERBAL POUR FEMME) – 2X15 CAPSULES</t>
  </si>
  <si>
    <t>FG08688</t>
  </si>
  <si>
    <t>PERFECT HOMME (CAPSULE HERBAL POUR HOMME) – 2X15 CAPSULES</t>
  </si>
  <si>
    <t>FG08689</t>
  </si>
  <si>
    <t>ACUPAQUE (NEFOPAM 20MG/2 ML IV/IM) SOL. INJ. B/5AMP</t>
  </si>
  <si>
    <t>FG08690</t>
  </si>
  <si>
    <t>CATA 150 (CHLORHYDRATE DE CLONIDINE 150 MCG/1 ML) – 5 AMPOULES DE 1 ML</t>
  </si>
  <si>
    <t>FG08691</t>
  </si>
  <si>
    <t>XX</t>
  </si>
  <si>
    <t>FG08692</t>
  </si>
  <si>
    <t>PABU-1000 (PARACETAMOL) COMPRIMES EFFERVESCENTS, 3X4 COMPRIMES</t>
  </si>
  <si>
    <t>FG08693</t>
  </si>
  <si>
    <t>PABU-500 (PARACÉTAMOL) COMPRIMES EFFERVESCENTS, 4X4 COMPRIMES</t>
  </si>
  <si>
    <t>FG08694</t>
  </si>
  <si>
    <t>AMLOZYNC 5 MG B/30 CES</t>
  </si>
  <si>
    <t>FG08697</t>
  </si>
  <si>
    <t>FORMETRIX 500 MG (METFORMINE) B/2 X 15 COMPRIMES</t>
  </si>
  <si>
    <t>FG08698</t>
  </si>
  <si>
    <t>FORMETRIX 850 MG (METFORMINE) B/2 X 15 COMPRIMES</t>
  </si>
  <si>
    <t>FG08699</t>
  </si>
  <si>
    <t>FORMETRIX 1000 MG (METFORMINE) B/2 X 15 COMPRIMES</t>
  </si>
  <si>
    <t>FG08700</t>
  </si>
  <si>
    <t>ACT-COMBITHER DT 20/120MG B/6 CES</t>
  </si>
  <si>
    <t>FG08701</t>
  </si>
  <si>
    <t>ACT-COMBITHER DT 20/120MG B/12 CES</t>
  </si>
  <si>
    <t>FG08702</t>
  </si>
  <si>
    <t>ACT-COMBITHER 20/120MG B/18 CES</t>
  </si>
  <si>
    <t>FG08703</t>
  </si>
  <si>
    <t>ACT-COMBITHER 20/120MG B/24 CES</t>
  </si>
  <si>
    <t>FG08704</t>
  </si>
  <si>
    <t>CLAMOQUE 1G DT (AMOXIXILLINE) B/2X6 CES</t>
  </si>
  <si>
    <t>FG08705</t>
  </si>
  <si>
    <t>CLAMOQUE 500MG (AMOXIXILLINE) PDR SUSP.60ML</t>
  </si>
  <si>
    <t>FG08706</t>
  </si>
  <si>
    <t>OTRINIQUE 0,05 % SPRAY NASAL (CHLORHYDRATE DE XYLOMéTAZOLINE) – 10 ML</t>
  </si>
  <si>
    <t>FG08707</t>
  </si>
  <si>
    <t>OTRINIQUE 0,1 % SPRAY NASAL (CHLORHYDRATE DE XYLOMéTAZOLINE) – 10 ML</t>
  </si>
  <si>
    <t>FG08708</t>
  </si>
  <si>
    <t>PERIN-10 (PERINDOPRIL) BOITE DE 3 X 10</t>
  </si>
  <si>
    <t>FG08709</t>
  </si>
  <si>
    <t>PERIN-5 (PERINDOPRIL) BOITE DE 3 X 10</t>
  </si>
  <si>
    <t>FG08718</t>
  </si>
  <si>
    <t>HEMO PLUS – SIROP HEMATINIQUE AVEC ZINC – FLACON DE 100 ML</t>
  </si>
  <si>
    <t>FG08719</t>
  </si>
  <si>
    <t>STOPGRIP – COMPRIMES CONTRE RHUME – BOITE DE 4</t>
  </si>
  <si>
    <t>FG08720</t>
  </si>
  <si>
    <t>CLOPIDOGREL IMPECT 75MG CES B/28 (FR)</t>
  </si>
  <si>
    <t>FG08721</t>
  </si>
  <si>
    <t>REFRIGERATEUR BANQUE DE SANG +4°C - 296L</t>
  </si>
  <si>
    <t>FG08722</t>
  </si>
  <si>
    <t>Q-AMINO INFUSION (AA CRISTALLISES + XYLITOL) FLACON 200ML</t>
  </si>
  <si>
    <t>FG08723</t>
  </si>
  <si>
    <t>NON WOVEN BAG</t>
  </si>
  <si>
    <t>FG08724</t>
  </si>
  <si>
    <t>ADVERTISING MACHINE 32-INCH</t>
  </si>
  <si>
    <t>FG08725</t>
  </si>
  <si>
    <t>ADVERTISING MACHINE 55-INCH</t>
  </si>
  <si>
    <t>FG08726</t>
  </si>
  <si>
    <t>DISPLAY STAND</t>
  </si>
  <si>
    <t>FG08727</t>
  </si>
  <si>
    <t>DISPLAY PET BACKLIGHT</t>
  </si>
  <si>
    <t>FG08730</t>
  </si>
  <si>
    <t>EAU OXYGENEE 10V 100ML (UNIQUE)</t>
  </si>
  <si>
    <t>FG08732</t>
  </si>
  <si>
    <t>CEPSHAL 500MG B/10 CES</t>
  </si>
  <si>
    <t>FG08733</t>
  </si>
  <si>
    <t>ISAPHMEX 3.4GM SACHET</t>
  </si>
  <si>
    <t>FG08734</t>
  </si>
  <si>
    <t>ONREX ONDACETRON SP 30ML</t>
  </si>
  <si>
    <t>FG08735</t>
  </si>
  <si>
    <t>SHALFLOD B/10 CES</t>
  </si>
  <si>
    <t>FG08736</t>
  </si>
  <si>
    <t>COMFRELAX ADULLT DIAPERS XL 10PC (UNIQUE)</t>
  </si>
  <si>
    <t>FG08737</t>
  </si>
  <si>
    <t>ENOXAPARIN SODIUM INJ 0.6ML 1AMP (ENOXA)</t>
  </si>
  <si>
    <t>FG08739</t>
  </si>
  <si>
    <t>NASOCLEAR – SERUM PHYSIOLOGIQUE, SOLUTION SALINE 5ML, 15 FLACONS/BOITE</t>
  </si>
  <si>
    <t>FG08740</t>
  </si>
  <si>
    <t>BANDE DE KINESIOLOGIE 5CM X 5M – NOIRE (COTON ELASTIQUE) 1 ROULEAU/BOITE</t>
  </si>
  <si>
    <t>FG08741</t>
  </si>
  <si>
    <t>SECOURS PLATRE CAPSICUM 12X18CM – 1 PCS</t>
  </si>
  <si>
    <t>FG08742</t>
  </si>
  <si>
    <t>PERFAC PATCH GEL REFROIDISSANT 5X12CM – 2PCS/BOITE</t>
  </si>
  <si>
    <t>FG08743</t>
  </si>
  <si>
    <t>UNIDEX – DEXAMETHASONE + NEOMYCINE GOUTTES OCULAIRES / OTIQUES 10 ML</t>
  </si>
  <si>
    <t>FG08750</t>
  </si>
  <si>
    <t>COPLAVIX 75MG/100MG CPR B/30CES</t>
  </si>
  <si>
    <t>FG08751</t>
  </si>
  <si>
    <t>NAZOCLEAR FORT – SPRAY HYPERTONIQUE NASAL, SEL DE L’HIMALAYA, 50 ML</t>
  </si>
  <si>
    <t>FG08752</t>
  </si>
  <si>
    <t>NAZOCLEAR – SPRAY ISOTONIQUE NASAL, SEL DE L’HIMALAYA, 100 ML</t>
  </si>
  <si>
    <t>FG08753</t>
  </si>
  <si>
    <t>NAZOCLEAR KIDS – SPRAY ISOTONIQUE NASAL ENFANTS, SEL DE L’HIMALAYA, 50 ML</t>
  </si>
  <si>
    <t>FG08754</t>
  </si>
  <si>
    <t>NAZOCLEAR PROTECT – SPRAY ISOTONIQUE NASAL ANTI-ALLERGIES, 50 ML</t>
  </si>
  <si>
    <t>FG08763</t>
  </si>
  <si>
    <t>URYL M2 (GLIMEPIRIDE+CHLORHYDRATE DE MET) 2MG/500MG/30CES</t>
  </si>
  <si>
    <t>FG08764</t>
  </si>
  <si>
    <t>I-SURE (LEVONORGESTREL 0.15 MG + ETHINYLESTRADIOL 0.03 MG) B/ 28 CES</t>
  </si>
  <si>
    <t>FG08804</t>
  </si>
  <si>
    <t>INDAREX-AM **5/1,5MG** (AMLODIPINE+INDAPAMIDE) B/3X10CES</t>
  </si>
  <si>
    <t>FG08805</t>
  </si>
  <si>
    <t>INDAREX-AM 10/1,5MG (AMLODIPINE+INDAPAMIDE) B/3X10CES</t>
  </si>
  <si>
    <t>FG08813</t>
  </si>
  <si>
    <t>BROCHURE</t>
  </si>
  <si>
    <t>FG08814</t>
  </si>
  <si>
    <t>MC- URÉE 40 % (5 ML/VL)</t>
  </si>
  <si>
    <t>FG08815</t>
  </si>
  <si>
    <t>DISQUES ANTIBIOGRAMMES - KANAMYCIN BT/50</t>
  </si>
  <si>
    <t>FG08816</t>
  </si>
  <si>
    <t>DISQUES ANTIBIOGRAMMES - LINEZOLID BT/50</t>
  </si>
  <si>
    <t>FG08817</t>
  </si>
  <si>
    <t>DYMIND COAGULATION CAL-FIB (FIBRINOGEN CALIBRATOR)</t>
  </si>
  <si>
    <t>FG08818</t>
  </si>
  <si>
    <t>DYMIND COAGULATION CTRL LEVEL1 (PT, APTT, TT, FIB)</t>
  </si>
  <si>
    <t>FG08819</t>
  </si>
  <si>
    <t>DYMIND COAGULATION CTRL LEVEL2 (PT, APTT, TT, FIB)</t>
  </si>
  <si>
    <t>FG08826</t>
  </si>
  <si>
    <t>BONNE NUIT GEL LUBRICANT 100ML</t>
  </si>
  <si>
    <t>FG08827</t>
  </si>
  <si>
    <t>BONNE NUIT INTENSE GEL 10ML</t>
  </si>
  <si>
    <t>FG08828</t>
  </si>
  <si>
    <t>PREGACOB PLUS (PREGABALINE+METHYLCOBALAMINE+ALA+BIOTINE+PYRIDOXINE+AF+CR) 3X10 GEL</t>
  </si>
  <si>
    <t>FG08829</t>
  </si>
  <si>
    <t>FOREDERM (BETAMETHASONE+GENTAMICINE+TOLNAFTATE+ICHQ) CREME 50G</t>
  </si>
  <si>
    <t>FG08832</t>
  </si>
  <si>
    <t>CHEMODROX-500 (HYDROXYUREE 500 MG), B/2X10 GELULES</t>
  </si>
  <si>
    <t>FG08833</t>
  </si>
  <si>
    <t>AMYLASE (ALFA-AMYLASE 3000 U.CEIP) B/2X15 CES</t>
  </si>
  <si>
    <t>FG08835</t>
  </si>
  <si>
    <t>UNIMORAL (TRYPSINE + CHYMOTRYPSINE [6:1] EQ. 50 000 UNITES), B/3×10 CES</t>
  </si>
  <si>
    <t>FG08836</t>
  </si>
  <si>
    <t>CTZ 10MG (CETIRIZINE) B/1×10 CES DISPERSIBLES</t>
  </si>
  <si>
    <t>FG08837</t>
  </si>
  <si>
    <t>CLAMOQUE 500 MG (AMOXICILLINE) B/1×12 GELULES</t>
  </si>
  <si>
    <t>FG08838</t>
  </si>
  <si>
    <t>I-SURE M3 (MEDROXYPROGESTERONE 150 MG/ML), B/1 FL</t>
  </si>
  <si>
    <t>FG08839</t>
  </si>
  <si>
    <t>SCSJ-I, 50GPD RO MEMBRANE</t>
  </si>
  <si>
    <t>FG08840</t>
  </si>
  <si>
    <t>SCSJ-I,10" PP FILTER</t>
  </si>
  <si>
    <t>FG08841</t>
  </si>
  <si>
    <t>SCSJ-I,10''ACTIVATED CARBON FILTER</t>
  </si>
  <si>
    <t>FG08842</t>
  </si>
  <si>
    <t>SCSJ-I,ION EXCHANGE COLUMN</t>
  </si>
  <si>
    <t>FG08843</t>
  </si>
  <si>
    <t>SONDE CBIT 4 CONVEX PROBE D3C60L 3.5MHZ, UNITE</t>
  </si>
  <si>
    <t>FG08844</t>
  </si>
  <si>
    <t>SONDE CBIT 10 CONVEX PROBE D3C60L-3.5MHZ, UNITE</t>
  </si>
  <si>
    <t>FG08845</t>
  </si>
  <si>
    <t>SONDE CBIT 4 LINEAR PROBE D7L40L-7.5MHZ, UNITE</t>
  </si>
  <si>
    <t>FG08846</t>
  </si>
  <si>
    <t>SONDE CBIT 4 TRANS-VAGINAL PROBE D6C12L-6.0MHZ, UNITE</t>
  </si>
  <si>
    <t>FG08847</t>
  </si>
  <si>
    <t>SONDE CBIT 4 PHASED ARRAY PROBE (ADULTE) D3P64L-2.5MHZ, UNITE</t>
  </si>
  <si>
    <t>FG08848</t>
  </si>
  <si>
    <t>ANALYSEUR DÉLECTROLYTE ET- AUTOMATE- EAGLENOS EN102</t>
  </si>
  <si>
    <t>FG08849</t>
  </si>
  <si>
    <t>EAGLENOS CARTOUCHE DE TEST EG10+ B/25 CARTOUCHE</t>
  </si>
  <si>
    <t>FG08850</t>
  </si>
  <si>
    <t>EAGLENOS CONTROLE QUALITE EG-C1 (NIVEAU 3)</t>
  </si>
  <si>
    <t>FG08851</t>
  </si>
  <si>
    <t>ICU VENTILATOR S1200 - OXYGEN SENSOR</t>
  </si>
  <si>
    <t>FG08852</t>
  </si>
  <si>
    <t>IMN - CA12,5, B/25 CARTOUCHES</t>
  </si>
  <si>
    <t>FG08853</t>
  </si>
  <si>
    <t>MONITEUR D'ENDOSCOPE : MONITEUR 19 POUCES</t>
  </si>
  <si>
    <t>FG08854</t>
  </si>
  <si>
    <t>SUPPORT DE BRAS POUR CHARIOT D'ENDOSCOPIE</t>
  </si>
  <si>
    <t>FG08855</t>
  </si>
  <si>
    <t>UNITé MOBILE DE RADIOGRAPHIE NUMéRIQUE</t>
  </si>
  <si>
    <t>FG08856</t>
  </si>
  <si>
    <t>PARAVENT PLOMBé (MOBILE)</t>
  </si>
  <si>
    <t>FG08857</t>
  </si>
  <si>
    <t>GANT EN PLOMB ANTI-RAYON X</t>
  </si>
  <si>
    <t>FG08858</t>
  </si>
  <si>
    <t>IMPRIMANTE DE RADIOLOGIE NUMéRIQUE</t>
  </si>
  <si>
    <t>FG08859</t>
  </si>
  <si>
    <t>SET DE PERFUSION AVEC RéGULATEUR DE DéBIT ET CHAMBRE à MICROGOUTTES</t>
  </si>
  <si>
    <t>FG08860</t>
  </si>
  <si>
    <t>UNITé COMBINéE D’OPHTALMOLOGIE ( FAUTEUIL ET COLONNE)</t>
  </si>
  <si>
    <t>FG08861</t>
  </si>
  <si>
    <t>LAMPE à FENTE</t>
  </si>
  <si>
    <t>FG08862</t>
  </si>
  <si>
    <t>APPAREIL DE RéFRACTOKéRATOMèTRE AUTOMATIQUE</t>
  </si>
  <si>
    <t>FG08863</t>
  </si>
  <si>
    <t>FOCIMèTRE</t>
  </si>
  <si>
    <t>FG08864</t>
  </si>
  <si>
    <t>CHAISE DENTAIRE</t>
  </si>
  <si>
    <t>FG08865</t>
  </si>
  <si>
    <t>APPAREIL RESPIRATOIRE AUTO CPAP 1 UNITE BEYOND B-30P</t>
  </si>
  <si>
    <t>FG08866</t>
  </si>
  <si>
    <t>POMPE à INSULINE</t>
  </si>
  <si>
    <t>FG08867</t>
  </si>
  <si>
    <t>KIT DE CANULE DE GUEDEL</t>
  </si>
  <si>
    <t>FG08868</t>
  </si>
  <si>
    <t>BRANCARD MONTE ESCALIER</t>
  </si>
  <si>
    <t>FG08869</t>
  </si>
  <si>
    <t>LIT DE CAMPING PLIABLE</t>
  </si>
  <si>
    <t>FG08870</t>
  </si>
  <si>
    <t>DERMATOME éLECTRIC</t>
  </si>
  <si>
    <t>FG08871</t>
  </si>
  <si>
    <t>CHAISE DE TRANSFéRER DE PATIENT HYDRAULIQUE</t>
  </si>
  <si>
    <t>FG08872</t>
  </si>
  <si>
    <t>HOSPITAL BED ELECTRIC ABS FIVE FUNCTION</t>
  </si>
  <si>
    <t>FG08876</t>
  </si>
  <si>
    <t>ILLIZAROV EXTERNAL FIXATOR</t>
  </si>
  <si>
    <t>FG08877</t>
  </si>
  <si>
    <t>FRAGMENT SET, ORTHOPEDIC, SMALL</t>
  </si>
  <si>
    <t>FG08878</t>
  </si>
  <si>
    <t>FRAGMENT SET, ORTHOPEDIC, LARGE</t>
  </si>
  <si>
    <t>FG08879</t>
  </si>
  <si>
    <t>UNIQUE FOLER FILE PRODUCT A</t>
  </si>
  <si>
    <t>FG08880</t>
  </si>
  <si>
    <t>ALABSTER PAPERONE SIZE 9X12</t>
  </si>
  <si>
    <t>FG08881</t>
  </si>
  <si>
    <t>ALABSTER PAPERONE SIZE 7X5</t>
  </si>
  <si>
    <t>FG08884</t>
  </si>
  <si>
    <t>CONTROL HEMATOLOGY (3ML*1) DM-5DH</t>
  </si>
  <si>
    <t>FG08885</t>
  </si>
  <si>
    <t>CONTROL HEMATOLOGY (3ML*1) DM-5DN</t>
  </si>
  <si>
    <t>FG08886</t>
  </si>
  <si>
    <t>CONTROL HEMATOLOGY (3ML*1) DM-5DL</t>
  </si>
  <si>
    <t>FG08887</t>
  </si>
  <si>
    <t>CALIBRATOR HEMATOLOGY (3ML*1) DM-CAL PLUS</t>
  </si>
  <si>
    <t>FG08888</t>
  </si>
  <si>
    <t>SYRINGE ASSEMBLY WITH MOTOR- DF-55</t>
  </si>
  <si>
    <t>FG08889</t>
  </si>
  <si>
    <t>TROIS PLUS FORTE-Z (B1+B6+B12+ZINC) SIROP 100 ML</t>
  </si>
  <si>
    <t>FG08891</t>
  </si>
  <si>
    <t>GAZELLE- HC 104 AS CONTROL SET</t>
  </si>
  <si>
    <t>FG08892</t>
  </si>
  <si>
    <t>GAZELLE- HC-111 A2 NORMAL SET</t>
  </si>
  <si>
    <t>FG08893</t>
  </si>
  <si>
    <t>STOPGRIP SIROP 100 ML (POUR RHUME, TOUX ET FIEVRE)</t>
  </si>
  <si>
    <t>FG08899</t>
  </si>
  <si>
    <t>MSC-350 MATES STORAGE CABINET,MSC-30 CABINET</t>
  </si>
  <si>
    <t>FG08900</t>
  </si>
  <si>
    <t>A10A SWADDLING TABLE A10A</t>
  </si>
  <si>
    <t>FG08901</t>
  </si>
  <si>
    <t>VP400515 VACUTAINER TUBES (GREY) GLUCOSE-FLUORIDE,100PCS</t>
  </si>
  <si>
    <t>FG08902</t>
  </si>
  <si>
    <t>MASSAGE TABLE MM-2051</t>
  </si>
  <si>
    <t>FG08903</t>
  </si>
  <si>
    <t>BEDSEDE CABINET WITH WHEELS T31 ABS</t>
  </si>
  <si>
    <t>FG08909</t>
  </si>
  <si>
    <t>PALACOS LV+G BONE CEMENT 40G</t>
  </si>
  <si>
    <t>FG08910</t>
  </si>
  <si>
    <t>PALACOS MV+G BONE CEMENT 40G</t>
  </si>
  <si>
    <t>FG08911</t>
  </si>
  <si>
    <t>ALUKON 10MG 28 CES (FR)</t>
  </si>
  <si>
    <t>FG08914</t>
  </si>
  <si>
    <t>FEMORAL PS LEFT A</t>
  </si>
  <si>
    <t>FG08915</t>
  </si>
  <si>
    <t>FEMORAL PS LEFT B</t>
  </si>
  <si>
    <t>FG08916</t>
  </si>
  <si>
    <t>FEMORAL PS LEFT C</t>
  </si>
  <si>
    <t>FG08917</t>
  </si>
  <si>
    <t>FEMORAL PS LEFT D</t>
  </si>
  <si>
    <t>FG08918</t>
  </si>
  <si>
    <t>FEMORAL PS LEFT E</t>
  </si>
  <si>
    <t>FG08919</t>
  </si>
  <si>
    <t>FEMORAL PS LEFT F</t>
  </si>
  <si>
    <t>FG08920</t>
  </si>
  <si>
    <t>FEMORAL PS LEFT G</t>
  </si>
  <si>
    <t>FG08921</t>
  </si>
  <si>
    <t>FEMORAL PS RIGHT A</t>
  </si>
  <si>
    <t>FG08922</t>
  </si>
  <si>
    <t>FEMORAL PS RIGHT B</t>
  </si>
  <si>
    <t>FG08923</t>
  </si>
  <si>
    <t>FEMORAL PS RIGHT C</t>
  </si>
  <si>
    <t>FG08924</t>
  </si>
  <si>
    <t>FEMORAL PS RIGHT D</t>
  </si>
  <si>
    <t>FG08925</t>
  </si>
  <si>
    <t>FEMORAL PS RIGHT E</t>
  </si>
  <si>
    <t>FG08926</t>
  </si>
  <si>
    <t>FEMORAL PS RIGHT F</t>
  </si>
  <si>
    <t>FG08927</t>
  </si>
  <si>
    <t>FEMORAL PS RIGHT G</t>
  </si>
  <si>
    <t>FG08928</t>
  </si>
  <si>
    <t>TIBIAL BASE 1 METALBACKED</t>
  </si>
  <si>
    <t>FG08929</t>
  </si>
  <si>
    <t>TIBIAL BASE 2 METALBACKED</t>
  </si>
  <si>
    <t>FG08930</t>
  </si>
  <si>
    <t>TIBIAL BASE 3 METALBACKED</t>
  </si>
  <si>
    <t>FG08931</t>
  </si>
  <si>
    <t>TIBIAL BASE 4 METALBACKED</t>
  </si>
  <si>
    <t>FG08932</t>
  </si>
  <si>
    <t>TIBIAL BASE 5 METALBACKED</t>
  </si>
  <si>
    <t>FG08933</t>
  </si>
  <si>
    <t>TIBIAL BASE 6 METALBACKED</t>
  </si>
  <si>
    <t>FG08934</t>
  </si>
  <si>
    <t>TIBIAL BASE 7 METALBACKED</t>
  </si>
  <si>
    <t>FG08935</t>
  </si>
  <si>
    <t>TIBIAL LINER PS A1-2 METALBACKED, 9MM</t>
  </si>
  <si>
    <t>FG08936</t>
  </si>
  <si>
    <t>TIBIAL LINER PS A1-2 METALBACKED, 11MM</t>
  </si>
  <si>
    <t>FG08937</t>
  </si>
  <si>
    <t>TIBIAL LINER PS A1-2 METALBACKED, 14MM</t>
  </si>
  <si>
    <t>FG08938</t>
  </si>
  <si>
    <t>TIBIAL LINER PS A1-2 METALBACKED, 17MM</t>
  </si>
  <si>
    <t>FG08939</t>
  </si>
  <si>
    <t>TIBIAL LINER PS B1-2 METALBACKED, 9MM</t>
  </si>
  <si>
    <t>FG08940</t>
  </si>
  <si>
    <t>TIBIAL LINER PS B1-2 METALBACKED, 11MM</t>
  </si>
  <si>
    <t>FG08941</t>
  </si>
  <si>
    <t>TIBIAL LINER PS B1-2 METALBACKED, 14MM</t>
  </si>
  <si>
    <t>FG08942</t>
  </si>
  <si>
    <t>TIBIAL LINER PS B1-2 METALBACKED, 17MM</t>
  </si>
  <si>
    <t>FG08943</t>
  </si>
  <si>
    <t>TIBIAL LINER PS C1-2 METALBACKED, 9MM</t>
  </si>
  <si>
    <t>FG08944</t>
  </si>
  <si>
    <t>TIBIAL LINER PS C1-2 METALBACKED, 11MM</t>
  </si>
  <si>
    <t>FG08945</t>
  </si>
  <si>
    <t>TIBIAL LINER PS C1-2 METALBACKED, 14MM</t>
  </si>
  <si>
    <t>FG08946</t>
  </si>
  <si>
    <t>TIBIAL LINER PS C1-2 METALBACKED, 17MM</t>
  </si>
  <si>
    <t>FG08947</t>
  </si>
  <si>
    <t>TIBIAL LINER PS C3-4METALBACKED, 11MM</t>
  </si>
  <si>
    <t>FG08948</t>
  </si>
  <si>
    <t>TIBIAL LINER PS C3-4METALBACKED, 14MM</t>
  </si>
  <si>
    <t>FG08949</t>
  </si>
  <si>
    <t>TIBIAL LINER PS C3-4METALBACKED, 17MM</t>
  </si>
  <si>
    <t>FG08950</t>
  </si>
  <si>
    <t>TIBIAL LINER PS D3-4 METALBACKED, 9MM</t>
  </si>
  <si>
    <t>FG08951</t>
  </si>
  <si>
    <t>TIBIAL LINER PS D3-4 METALBACKED, 11MM</t>
  </si>
  <si>
    <t>FG08952</t>
  </si>
  <si>
    <t>TIBIAL LINER PS D3-4 METALBACKED, 14MM</t>
  </si>
  <si>
    <t>FG08953</t>
  </si>
  <si>
    <t>TIBIAL LINER PS D3-4 METALBACKED, 17MM</t>
  </si>
  <si>
    <t>FG08954</t>
  </si>
  <si>
    <t>TIBIAL LINER PS E3-4 METALBACKED, 9MM</t>
  </si>
  <si>
    <t>FG08955</t>
  </si>
  <si>
    <t>TIBIAL LINER PS E3-4 METALBACKED, 11MM</t>
  </si>
  <si>
    <t>FG08956</t>
  </si>
  <si>
    <t>TIBIAL LINER PS E3-4 METALBACKED, 14MM</t>
  </si>
  <si>
    <t>FG08957</t>
  </si>
  <si>
    <t>TIBIAL LINER PS E3-4 METALBACKED, 17MM</t>
  </si>
  <si>
    <t>FG08958</t>
  </si>
  <si>
    <t>TIBIAL LINER PS E5-6 METALBACKED, 9MM</t>
  </si>
  <si>
    <t>FG08959</t>
  </si>
  <si>
    <t>TIBIAL LINER PS E5-6 METALBACKED, 11MM</t>
  </si>
  <si>
    <t>FG08960</t>
  </si>
  <si>
    <t>TIBIAL LINER PS F5-6 METALBACKED, 9MM</t>
  </si>
  <si>
    <t>FG08961</t>
  </si>
  <si>
    <t>TIBIAL LINER PS F7-8 METALBACKED, 11MM</t>
  </si>
  <si>
    <t>FG08962</t>
  </si>
  <si>
    <t>TIBIAL LINER PS F7-8 METALBACKED, 17MM</t>
  </si>
  <si>
    <t>FG08963</t>
  </si>
  <si>
    <t>TIBIAL LINER PS G5-6 METALBACKED, 14MM</t>
  </si>
  <si>
    <t>FG08964</t>
  </si>
  <si>
    <t>TIBIAL LINER PS G7-8 METALBACKED, 9MM</t>
  </si>
  <si>
    <t>FG08965</t>
  </si>
  <si>
    <t>TIBIAL LINER PS G7-8 METALBACKED, 11MM</t>
  </si>
  <si>
    <t>FG08966</t>
  </si>
  <si>
    <t>TIBIAL LINER PS G7-8 METALBACKED, 14MM</t>
  </si>
  <si>
    <t>FG08967</t>
  </si>
  <si>
    <t>TIBIAL LINER PS C3-4 METALBACKED, 9MM</t>
  </si>
  <si>
    <t>FG08968</t>
  </si>
  <si>
    <t>TIBIAL LINER PS E5-6 METALBACKED, 14MM</t>
  </si>
  <si>
    <t>FG08969</t>
  </si>
  <si>
    <t>TIBIAL LINER PS E5-6 METALBACKED, 17MM</t>
  </si>
  <si>
    <t>FG08970</t>
  </si>
  <si>
    <t>TIBIAL LINER PS F5-6 METALBACKED, 11MM</t>
  </si>
  <si>
    <t>FG08971</t>
  </si>
  <si>
    <t>TIBIAL LINER PS F5-6 METALBACKED, 14MM</t>
  </si>
  <si>
    <t>FG08972</t>
  </si>
  <si>
    <t>TIBIAL LINER PS F5-6 METALBACKED, 17MM</t>
  </si>
  <si>
    <t>FG08973</t>
  </si>
  <si>
    <t>TIBIAL LINER PS F7-8 METALBACKED, 9MM</t>
  </si>
  <si>
    <t>FG08974</t>
  </si>
  <si>
    <t>TIBIAL LINER PS F7-8 METALBACKED, 14MM</t>
  </si>
  <si>
    <t>FG08975</t>
  </si>
  <si>
    <t>TIBIAL LINER PS G5-6 METALBACKED, 9MM</t>
  </si>
  <si>
    <t>FG08976</t>
  </si>
  <si>
    <t>TIBIAL LINER PS G5-6 METALBACKED, 17MM</t>
  </si>
  <si>
    <t>FG08977</t>
  </si>
  <si>
    <t>TIBIAL LINER PS G7-8 METALBACKED, 17MM</t>
  </si>
  <si>
    <t>FG08978</t>
  </si>
  <si>
    <t>PATELLA 25MM UNIVERSAL</t>
  </si>
  <si>
    <t>FG08979</t>
  </si>
  <si>
    <t>PATELLA 28MM UNIVERSAL</t>
  </si>
  <si>
    <t>FG08980</t>
  </si>
  <si>
    <t>PATELLA 31MM UNIVERSAL</t>
  </si>
  <si>
    <t>FG08981</t>
  </si>
  <si>
    <t>PATELLA 34MM UNIVERSAL</t>
  </si>
  <si>
    <t>FG08982</t>
  </si>
  <si>
    <t>PATELLA 37MM UNIVERSAL</t>
  </si>
  <si>
    <t>FG08983</t>
  </si>
  <si>
    <t>MONOBLOCK SHELL ASSEMBLY 37MM (SS 316 LV)</t>
  </si>
  <si>
    <t>FG08984</t>
  </si>
  <si>
    <t>MONOBLOCK SHELL ASSEMBLY 41MM (SS 316 LV)</t>
  </si>
  <si>
    <t>FG08985</t>
  </si>
  <si>
    <t>MONOBLOCK SHELL ASSEMBLY 39MM (SS 316 LV)</t>
  </si>
  <si>
    <t>FG08986</t>
  </si>
  <si>
    <t>MONOBLOCK SHELL ASSEMBLY 42MM (SS 316 LV)</t>
  </si>
  <si>
    <t>FG08987</t>
  </si>
  <si>
    <t>MONOBLOCK SHELL ASSEMBLY 43MM (SS 316 LV)</t>
  </si>
  <si>
    <t>FG08988</t>
  </si>
  <si>
    <t>MONOBLOCK SHELL ASSEMBLY 44MM (SS 316 LV)</t>
  </si>
  <si>
    <t>FG08989</t>
  </si>
  <si>
    <t>MONOBLOCK SHELL ASSEMBLY 45MM (SS 316 LV)</t>
  </si>
  <si>
    <t>FG08990</t>
  </si>
  <si>
    <t>MONOBLOCK SHELL ASSEMBLY 46MM (SS 316 LV)</t>
  </si>
  <si>
    <t>FG08991</t>
  </si>
  <si>
    <t>MONOBLOCK SHELL ASSEMBLY 47MM (SS 316 LV)</t>
  </si>
  <si>
    <t>FG08992</t>
  </si>
  <si>
    <t>MONOBLOCK SHELL ASSEMBLY 51MM (SS 316 LV)</t>
  </si>
  <si>
    <t>FG08993</t>
  </si>
  <si>
    <t>MONOBLOCK SHELL ASSEMBLY 53MM (SS 316 LV)</t>
  </si>
  <si>
    <t>FG08994</t>
  </si>
  <si>
    <t>MONOBLOCK SHELL ASSEMBLY 49MM (SS 316 LV)</t>
  </si>
  <si>
    <t>FG08995</t>
  </si>
  <si>
    <t>CEMENTED FEMORAL STEM STANDARD SIZE 0</t>
  </si>
  <si>
    <t>FG08996</t>
  </si>
  <si>
    <t>CEMENTED FEMORAL STEM STANDARD SIZE 1</t>
  </si>
  <si>
    <t>FG08997</t>
  </si>
  <si>
    <t>CEMENTED FEMORAL STEM STANDARD SIZE 2</t>
  </si>
  <si>
    <t>FG08998</t>
  </si>
  <si>
    <t>CEMENTED FEMORAL STEM STANDARD SIZE 3</t>
  </si>
  <si>
    <t>FG08999</t>
  </si>
  <si>
    <t>CEMENTED FEMORAL STEM STANDARD SIZE 4</t>
  </si>
  <si>
    <t>FG09000</t>
  </si>
  <si>
    <t>CEMENTED FEMORAL STEM NARROW SIZE 1</t>
  </si>
  <si>
    <t>FG09001</t>
  </si>
  <si>
    <t>CEMENTED FEMORAL STEM NARROW SIZE 2</t>
  </si>
  <si>
    <t>FG09002</t>
  </si>
  <si>
    <t>CEMENTED FEMORAL STEM NARROW SIZE 3</t>
  </si>
  <si>
    <t>FG09003</t>
  </si>
  <si>
    <t>CEMENTED FEMORAL STEM NARROW SIZE 4</t>
  </si>
  <si>
    <t>FG09004</t>
  </si>
  <si>
    <t>HEAD 22_+0</t>
  </si>
  <si>
    <t>FG09005</t>
  </si>
  <si>
    <t>HEAD 22_+3.5</t>
  </si>
  <si>
    <t>FG09006</t>
  </si>
  <si>
    <t>HEAD 28_-3.5</t>
  </si>
  <si>
    <t>FG09007</t>
  </si>
  <si>
    <t>HEAD 28_+0</t>
  </si>
  <si>
    <t>FG09008</t>
  </si>
  <si>
    <t>HEAD 28_+3.5</t>
  </si>
  <si>
    <t>FG09009</t>
  </si>
  <si>
    <t>HEAD 28 _+7</t>
  </si>
  <si>
    <t>FG09010</t>
  </si>
  <si>
    <t>CEMENT RESTRICTOR MEDIUM</t>
  </si>
  <si>
    <t>FG09011</t>
  </si>
  <si>
    <t>CENTRALIZER UNIVERSAL</t>
  </si>
  <si>
    <t>FG09012</t>
  </si>
  <si>
    <t>MODULAR SHELL 42</t>
  </si>
  <si>
    <t>FG09013</t>
  </si>
  <si>
    <t>MODULAR SHELL 44</t>
  </si>
  <si>
    <t>FG09014</t>
  </si>
  <si>
    <t>MODULAR SHELL 46</t>
  </si>
  <si>
    <t>FG09015</t>
  </si>
  <si>
    <t>MODULAR SHELL 48</t>
  </si>
  <si>
    <t>FG09016</t>
  </si>
  <si>
    <t>MODULAR SHELL 50</t>
  </si>
  <si>
    <t>FG09017</t>
  </si>
  <si>
    <t>MODULAR SHELL 52</t>
  </si>
  <si>
    <t>FG09018</t>
  </si>
  <si>
    <t>MODULAR SHELL 54</t>
  </si>
  <si>
    <t>FG09019</t>
  </si>
  <si>
    <t>MODULAR SHELL 56</t>
  </si>
  <si>
    <t>FG09020</t>
  </si>
  <si>
    <t>MODULAR SHELL 58</t>
  </si>
  <si>
    <t>FG09021</t>
  </si>
  <si>
    <t>MODULAR SHELL 60</t>
  </si>
  <si>
    <t>FG09022</t>
  </si>
  <si>
    <t>LINER 10° OBLIQUE SIZE:37/28</t>
  </si>
  <si>
    <t>FG09023</t>
  </si>
  <si>
    <t>LINER 10° OBLIQUE SIZE:40/32</t>
  </si>
  <si>
    <t>FG09024</t>
  </si>
  <si>
    <t>LINER 10° OBLIQUE SIZE:44/32</t>
  </si>
  <si>
    <t>FG09025</t>
  </si>
  <si>
    <t>LINER 10° OBLIQUE SIZE:48/32</t>
  </si>
  <si>
    <t>FG09026</t>
  </si>
  <si>
    <t>LINER 10° OBLIQUE SIZE:52/32</t>
  </si>
  <si>
    <t>FG09027</t>
  </si>
  <si>
    <t>Ø6.5MM HIP BONE SCREW TI L15</t>
  </si>
  <si>
    <t>FG09028</t>
  </si>
  <si>
    <t>Ø6.5MM HIP BONE SCREW TI L20</t>
  </si>
  <si>
    <t>FG09029</t>
  </si>
  <si>
    <t>Ø6.5MM HIP BONE SCREW TI L25</t>
  </si>
  <si>
    <t>FG09030</t>
  </si>
  <si>
    <t>Ø6.5MM HIP BONE SCREW TI L30</t>
  </si>
  <si>
    <t>FG09031</t>
  </si>
  <si>
    <t>Ø6.5MM HIP BONE SCREW TI L35</t>
  </si>
  <si>
    <t>FG09032</t>
  </si>
  <si>
    <t>Ø6.5MM HIP BONE SCREW TI L40</t>
  </si>
  <si>
    <t>FG09033</t>
  </si>
  <si>
    <t>Ø6.5MM HIP BONE SCREW TI L45</t>
  </si>
  <si>
    <t>FG09034</t>
  </si>
  <si>
    <t>Ø6.5MM HIP BONE SCREW TI L50</t>
  </si>
  <si>
    <t>FG09035</t>
  </si>
  <si>
    <t>HEAD 32_-4</t>
  </si>
  <si>
    <t>FG09036</t>
  </si>
  <si>
    <t>HEAD 32_+0</t>
  </si>
  <si>
    <t>FG09037</t>
  </si>
  <si>
    <t>HEAD 32_+4</t>
  </si>
  <si>
    <t>FG09038</t>
  </si>
  <si>
    <t>HEAD 32_+7</t>
  </si>
  <si>
    <t>FG09039</t>
  </si>
  <si>
    <t>UNCEMENTED FEMORAL STEM 135° STD SIZE0</t>
  </si>
  <si>
    <t>FG09040</t>
  </si>
  <si>
    <t>UNCEMENTED FEMORAL STEM 135° STD SIZE1</t>
  </si>
  <si>
    <t>FG09041</t>
  </si>
  <si>
    <t>UNCEMENTED FEMORAL STEM 135° STD SIZE2</t>
  </si>
  <si>
    <t>FG09042</t>
  </si>
  <si>
    <t>UNCEMENTED FEMORAL STEM 135° STD SIZE3</t>
  </si>
  <si>
    <t>FG09043</t>
  </si>
  <si>
    <t>UNCEMENTED FEMORAL STEM 135° STD SIZE4</t>
  </si>
  <si>
    <t>FG09044</t>
  </si>
  <si>
    <t>UNCEMENTED FEMORAL STEM 135° STD SIZE5</t>
  </si>
  <si>
    <t>FG09045</t>
  </si>
  <si>
    <t>UNCEMENTED FEMORAL STEM 135° STD SIZE6</t>
  </si>
  <si>
    <t>FG09046</t>
  </si>
  <si>
    <t>UNCEMENTED FEMORAL STEM 135° STD SIZE7</t>
  </si>
  <si>
    <t>FG09047</t>
  </si>
  <si>
    <t>UNCEMENTED FEMORAL STEM 135° STD SIZE8</t>
  </si>
  <si>
    <t>FG09048</t>
  </si>
  <si>
    <t>UNCEMENTED FEMORAL STEM 135° STD SIZE9</t>
  </si>
  <si>
    <t>FG09049</t>
  </si>
  <si>
    <t>UNCEMENTED FEMORAL STEM 135° STD SIZE10</t>
  </si>
  <si>
    <t>FG09050</t>
  </si>
  <si>
    <t>UHMWPE + SS 316LVM 10°CEMENTED CUP 44/28</t>
  </si>
  <si>
    <t>FG09051</t>
  </si>
  <si>
    <t>UHMWPE + SS 316LVM 10°CEMENTED CUP 46/28</t>
  </si>
  <si>
    <t>FG09052</t>
  </si>
  <si>
    <t>UHMWPE + SS 316LVM 10°CEMENTED CUP 48/32</t>
  </si>
  <si>
    <t>FG09053</t>
  </si>
  <si>
    <t>UHMWPE + SS 316LVM 10°CEMENTED CUP 50/32</t>
  </si>
  <si>
    <t>FG09054</t>
  </si>
  <si>
    <t>UHMWPE + SS 316LVM 10°CEMENTED CUP 52/32</t>
  </si>
  <si>
    <t>FG09055</t>
  </si>
  <si>
    <t>APICAL HOLE OCCLUDER M10</t>
  </si>
  <si>
    <t>FG09056</t>
  </si>
  <si>
    <t>TIBIAL LINER PS G5-6 METALBACKED, 11MM</t>
  </si>
  <si>
    <t>FG09057</t>
  </si>
  <si>
    <t>UHMWPE + SS 316LVM 10°CEMENTED CUP 56/32</t>
  </si>
  <si>
    <t>FG09058</t>
  </si>
  <si>
    <t>MINCEOR 60 MG (ORLISTAT) B/3X10 GELULES</t>
  </si>
  <si>
    <t>FG09059</t>
  </si>
  <si>
    <t>TRIXON 500 MG INJ. (CEFTRIAXONE + EAU DIS.) VIAL</t>
  </si>
  <si>
    <t>FG09060</t>
  </si>
  <si>
    <t>CICATRIX PDR 10 G (NEO + POLY B + BACI ZINC) FLACON</t>
  </si>
  <si>
    <t>FG04940</t>
  </si>
  <si>
    <t>DIPICEF (CEFTRIAXONE) 1G INJ</t>
  </si>
  <si>
    <t>FG04945</t>
  </si>
  <si>
    <t>BACTOX 125MG PDRE SIROP 60ML</t>
  </si>
  <si>
    <t>FG04946</t>
  </si>
  <si>
    <t>ALDACTONE 25MG PLS DE 5 CES ( EO)</t>
  </si>
  <si>
    <t>FG04947</t>
  </si>
  <si>
    <t>PROFENID 100MG 30CES (FR)</t>
  </si>
  <si>
    <t>FG04948</t>
  </si>
  <si>
    <t>BI PROFENID 100 MG 20CES (FR) INACTIVE</t>
  </si>
  <si>
    <t>FG04949</t>
  </si>
  <si>
    <t>CLAMOXYL 1GR 12 CES DISPERSIBLES</t>
  </si>
  <si>
    <t>FG04950</t>
  </si>
  <si>
    <t>ACUPAN 20MG INJ B/5AMP</t>
  </si>
  <si>
    <t>FG04951</t>
  </si>
  <si>
    <t>NEUROBION B/20CES (EO)</t>
  </si>
  <si>
    <t>FG04952</t>
  </si>
  <si>
    <t>TANGANIL 500MG B/30CES (FR)</t>
  </si>
  <si>
    <t>FG04953</t>
  </si>
  <si>
    <t>DENK AIR 10MG B/28 CES</t>
  </si>
  <si>
    <t>FG04954</t>
  </si>
  <si>
    <t>FERCEFOL (FER+VIT.C) 30CES (FR)</t>
  </si>
  <si>
    <t>FG04955</t>
  </si>
  <si>
    <t>FLEMING 1GR 1AMP ( FR)</t>
  </si>
  <si>
    <t>FG04956</t>
  </si>
  <si>
    <t>DIFRAREL E 24CES ( EO)</t>
  </si>
  <si>
    <t>FG04957</t>
  </si>
  <si>
    <t>FLUDITEC 2% SIROP ENF FL/125ML</t>
  </si>
  <si>
    <t>FG04958</t>
  </si>
  <si>
    <t>FURADANTINE 21CES ( FR)</t>
  </si>
  <si>
    <t>FG04959</t>
  </si>
  <si>
    <t>PROFENID AMP/1 ( FR)</t>
  </si>
  <si>
    <t>FG04960</t>
  </si>
  <si>
    <t>STILNOX 10MG 20CES ( FR)</t>
  </si>
  <si>
    <t>FG04961</t>
  </si>
  <si>
    <t>APROVEL 150MG B/28 CES ( FR)</t>
  </si>
  <si>
    <t>FG04962</t>
  </si>
  <si>
    <t>APROVEL 300MG 28CES</t>
  </si>
  <si>
    <t>FG04963</t>
  </si>
  <si>
    <t>COFANTRINE AD 6CES</t>
  </si>
  <si>
    <t>FG04964</t>
  </si>
  <si>
    <t>RINOMICINE 10MG B/12SACH ( FR)</t>
  </si>
  <si>
    <t>FG05056</t>
  </si>
  <si>
    <t>TIMOLOL 0.50% CY 3.4MG/ML (FR)</t>
  </si>
  <si>
    <t>FG05163</t>
  </si>
  <si>
    <t>CLOMID 10 CES 50MG (FR)</t>
  </si>
  <si>
    <t>FG05164</t>
  </si>
  <si>
    <t>RISPERIDAL 2MG 20CES(FR)</t>
  </si>
  <si>
    <t>FG05165</t>
  </si>
  <si>
    <t>INEXIUM 20MG 14CES(FR)</t>
  </si>
  <si>
    <t>FG05198</t>
  </si>
  <si>
    <t>DIPROSTENE INJ AMP B+1 (FR)</t>
  </si>
  <si>
    <t>FG05199</t>
  </si>
  <si>
    <t>DOSTINEX 0.5MG B/8CES (FR)</t>
  </si>
  <si>
    <t>FG05248</t>
  </si>
  <si>
    <t>BRONQUIDIAZINA CR SIROP 150ML(FR)</t>
  </si>
  <si>
    <t>FG05249</t>
  </si>
  <si>
    <t>CELEBREX 200MG 10 GELULES (FR)</t>
  </si>
  <si>
    <t>FG05250</t>
  </si>
  <si>
    <t>CORTANCYL 20MG B/20CES (FR)</t>
  </si>
  <si>
    <t>FG05251</t>
  </si>
  <si>
    <t>ZINNAT 125MG SUSP 40ML (FR)</t>
  </si>
  <si>
    <t>FG05252</t>
  </si>
  <si>
    <t>AZOPT COLLYRE (FR)</t>
  </si>
  <si>
    <t>FG05253</t>
  </si>
  <si>
    <t>CHIBRO-PROSCAR 5MG 28CES (EO)</t>
  </si>
  <si>
    <t>FG05254</t>
  </si>
  <si>
    <t>DIFRAREL 100MG 20DRG (FR)</t>
  </si>
  <si>
    <t>FG05255</t>
  </si>
  <si>
    <t>DUOTRAV COLLYRE 40MCG (FR)</t>
  </si>
  <si>
    <t>FG05256</t>
  </si>
  <si>
    <t>HUMEX RHUME B/4GELULES (FR)</t>
  </si>
  <si>
    <t>FG05257</t>
  </si>
  <si>
    <t>LARGATIL 100MG 30CES (FR)</t>
  </si>
  <si>
    <t>FG05258</t>
  </si>
  <si>
    <t>LEPTICUR 10MG COMP B/30</t>
  </si>
  <si>
    <t>FG05259</t>
  </si>
  <si>
    <t>NASONEX 120DOSES(FR)</t>
  </si>
  <si>
    <t>FG05260</t>
  </si>
  <si>
    <t>ORELOX 50ML(FR)</t>
  </si>
  <si>
    <t>FG05261</t>
  </si>
  <si>
    <t>VISCERALGINE SP 150ML (FR)</t>
  </si>
  <si>
    <t>FG05262</t>
  </si>
  <si>
    <t>VITABACT COLLYRE 10ML (FR)</t>
  </si>
  <si>
    <t>FG05263</t>
  </si>
  <si>
    <t>VOGALENE 5MG 10SUPPOS (FR)</t>
  </si>
  <si>
    <t>FG05265</t>
  </si>
  <si>
    <t>NOZINAN 25MG 20CES (FR)</t>
  </si>
  <si>
    <t>FG05285</t>
  </si>
  <si>
    <t>GYNOSPAN B/10 SUPPO</t>
  </si>
  <si>
    <t>FG05286</t>
  </si>
  <si>
    <t>EUPHON 70 PASTI. SANS SUCRE (FR) $$</t>
  </si>
  <si>
    <t>FG05287</t>
  </si>
  <si>
    <t>LRJ COLLYRE 30MG 10ML (FR)</t>
  </si>
  <si>
    <t>FG05288</t>
  </si>
  <si>
    <t>DOLIMEX MIGRAINE EFF B/16CES</t>
  </si>
  <si>
    <t>FG05289</t>
  </si>
  <si>
    <t>FUCLO 500 (FLUCLOXACILLINE500) 500MG 24 GELULES</t>
  </si>
  <si>
    <t>FG05296</t>
  </si>
  <si>
    <t>VIAGRA 50MG CES B/1 (FR)</t>
  </si>
  <si>
    <t>FG05297</t>
  </si>
  <si>
    <t>PROXEED PLUS 5GR SACHETS B/30 (FR)</t>
  </si>
  <si>
    <t>FG05298</t>
  </si>
  <si>
    <t>EUPHON SIROP 150ML (FR) $$</t>
  </si>
  <si>
    <t>FG05299</t>
  </si>
  <si>
    <t>ZYRTEC 10MG BT/10CES</t>
  </si>
  <si>
    <t>FG05331</t>
  </si>
  <si>
    <t>DULOXETINE (GASTRO-RESISTANT) CAPSULES</t>
  </si>
  <si>
    <t>FG05332</t>
  </si>
  <si>
    <t>SERESTA (OXAZEPAM) 50MG B/20 CES</t>
  </si>
  <si>
    <t>FG05343</t>
  </si>
  <si>
    <t>DIPROSONE CREAME TB 30GR (FR)</t>
  </si>
  <si>
    <t>FG05344</t>
  </si>
  <si>
    <t>ADVIL 200MG 20CES(FR)</t>
  </si>
  <si>
    <t>FG05352</t>
  </si>
  <si>
    <t>DAFALGAN FOERT 1GR EFF B/32CES(FR)</t>
  </si>
  <si>
    <t>FG05353</t>
  </si>
  <si>
    <t>DEEP HEAT PD. 15GR.</t>
  </si>
  <si>
    <t>FG05354</t>
  </si>
  <si>
    <t>BETASERC (SERC) 8MG 90 CES</t>
  </si>
  <si>
    <t>FG05355</t>
  </si>
  <si>
    <t>TERRA-CORTIL ONG OPHT &amp; OTIQ.3.5GR(EO)</t>
  </si>
  <si>
    <t>FG05356</t>
  </si>
  <si>
    <t>ZANEXTRA 10MG B/30 CES (FR)</t>
  </si>
  <si>
    <t>FG05357</t>
  </si>
  <si>
    <t>ZANEXTRA 20MG B/30 CES (FR)</t>
  </si>
  <si>
    <t>FG05358</t>
  </si>
  <si>
    <t>ZANIDIP 10MG B/30 CES (FR)</t>
  </si>
  <si>
    <t>FG05359</t>
  </si>
  <si>
    <t>ZYRTEC 10MG 20CES (EO)</t>
  </si>
  <si>
    <t>FG05360</t>
  </si>
  <si>
    <t>AKINETON 2MG 20 CES (FR)</t>
  </si>
  <si>
    <t>FG05361</t>
  </si>
  <si>
    <t>NEO CODION 20CES (FR)</t>
  </si>
  <si>
    <t>FG05372</t>
  </si>
  <si>
    <t>CEDOCARD-5 B/60CES (FR)</t>
  </si>
  <si>
    <t>FG05373</t>
  </si>
  <si>
    <t>NOVONORM 1MG 120CES (FR)</t>
  </si>
  <si>
    <t>FG05374</t>
  </si>
  <si>
    <t>NOVONORM 2MG 90CES (FR)</t>
  </si>
  <si>
    <t>FG05375</t>
  </si>
  <si>
    <t>TEGRETOL CR 200MG 50CES (EO)</t>
  </si>
  <si>
    <t>FG05376</t>
  </si>
  <si>
    <t>VOLTAREN INJ 75MG 6AMP......-SP-...</t>
  </si>
  <si>
    <t>FG05377</t>
  </si>
  <si>
    <t>DAFALGAN CODEINE 500MG CRP BT 16 (FR)&amp;&amp;&amp;</t>
  </si>
  <si>
    <t>FG05381</t>
  </si>
  <si>
    <t>AVASTIN (BEVACIZUMAB) 25MG B/1 FLACON</t>
  </si>
  <si>
    <t>FG07783</t>
  </si>
  <si>
    <t>METHANOL 500ML</t>
  </si>
  <si>
    <t>FG04976</t>
  </si>
  <si>
    <t>BACTOX 500MG 12 GELULES (FR)</t>
  </si>
  <si>
    <t>FG04977</t>
  </si>
  <si>
    <t>DERMOBACTER SOLUTION PETIT M. 125ML</t>
  </si>
  <si>
    <t>FG04978</t>
  </si>
  <si>
    <t>ELLE TEST GROSSESSE 1TEST (EUROP)</t>
  </si>
  <si>
    <t>FG04979</t>
  </si>
  <si>
    <t>FERVEX ENF 8 SACHETS (FR)</t>
  </si>
  <si>
    <t>FG04980</t>
  </si>
  <si>
    <t>RELAXOL (PARA+THIOCOLCHIC) 500MG/2MG B/20CES (EO)</t>
  </si>
  <si>
    <t>FG04981</t>
  </si>
  <si>
    <t>SPASFON B/10SUPPOS (FR)</t>
  </si>
  <si>
    <t>FG04982</t>
  </si>
  <si>
    <t>STERIMAR AEROSOL POCHE 50ML</t>
  </si>
  <si>
    <t>FG04983</t>
  </si>
  <si>
    <t>BRUFEN SIROP PEDIATRIQUE 100ML (FR)</t>
  </si>
  <si>
    <t>FG04984</t>
  </si>
  <si>
    <t>FERTILO FORT DENK SACHETS B/30 (FR)</t>
  </si>
  <si>
    <t>FG04986</t>
  </si>
  <si>
    <t>SMECTA 10SACHETS</t>
  </si>
  <si>
    <t>FG04987</t>
  </si>
  <si>
    <t>FLUCAZOL 100MG 10GELULES (EO)</t>
  </si>
  <si>
    <t>FG04990</t>
  </si>
  <si>
    <t>CLOMID BT/5 CES***(FR)</t>
  </si>
  <si>
    <t>FG04991</t>
  </si>
  <si>
    <t>FLAGYL 4% SP BUV 120ML (FR)</t>
  </si>
  <si>
    <t>FG04998</t>
  </si>
  <si>
    <t>THIOBACTIN 250MG SUSP.BUVABLE 60ML (FR)</t>
  </si>
  <si>
    <t>FG04999</t>
  </si>
  <si>
    <t>TIMOPTOL SOL.OPHT.50% 3ML (EO)</t>
  </si>
  <si>
    <t>FG05000</t>
  </si>
  <si>
    <t>ZEBEN 400MG 1CP(FR)</t>
  </si>
  <si>
    <t>FG05044</t>
  </si>
  <si>
    <t>AMARYL M 2MG B/30 CES (FR)</t>
  </si>
  <si>
    <t>FG05046</t>
  </si>
  <si>
    <t>HEMATOLOGIE 3 PARTIES LYE-1 (500ML) - LYSE</t>
  </si>
  <si>
    <t>FG05047</t>
  </si>
  <si>
    <t>HEMATOLOGIE 5 PARTIES DIL-C (20L) - DILUENT</t>
  </si>
  <si>
    <t>FG05084</t>
  </si>
  <si>
    <t>CATACOL COLLYRE 10ML (FR)</t>
  </si>
  <si>
    <t>FG05085</t>
  </si>
  <si>
    <t>LEVO-DENK (LEVOFLOXOCIN) 500MG B/10CES</t>
  </si>
  <si>
    <t>FG05194</t>
  </si>
  <si>
    <t>ZINNAT 250MG BT/8CES (FR)</t>
  </si>
  <si>
    <t>FG05195</t>
  </si>
  <si>
    <t>APAZIDE 200MG B/16 GELLULES (EO)</t>
  </si>
  <si>
    <t>FG05697</t>
  </si>
  <si>
    <t>ENTIZOL B/6OVL (METRONIDAZOLE)</t>
  </si>
  <si>
    <t>FG06683</t>
  </si>
  <si>
    <t>AVICAP VIT A 30MG 30CES</t>
  </si>
  <si>
    <t>FG06684</t>
  </si>
  <si>
    <t>KAPTOPRIL 50MG B/50 CES</t>
  </si>
  <si>
    <t>FG06685</t>
  </si>
  <si>
    <t>KEPRA 100MG/ML SIROP 150ML</t>
  </si>
  <si>
    <t>FG06686</t>
  </si>
  <si>
    <t>ACP-PLUS B/10 CES</t>
  </si>
  <si>
    <t>FG06687</t>
  </si>
  <si>
    <t>LEOCON 500MG B/10 CES</t>
  </si>
  <si>
    <t>FG06688</t>
  </si>
  <si>
    <t>FUCANOL SUSP</t>
  </si>
  <si>
    <t>FG06689</t>
  </si>
  <si>
    <t>NARISOL 0.1% SPARAY</t>
  </si>
  <si>
    <t>FG06690</t>
  </si>
  <si>
    <t>MAIGRIX 60MG CAPSULE B/10</t>
  </si>
  <si>
    <t>FG06691</t>
  </si>
  <si>
    <t>NEOTONE SENSITIVE FL/30ML</t>
  </si>
  <si>
    <t>FG06692</t>
  </si>
  <si>
    <t>CEFPODOX PLUS SUSPENSION 60ML</t>
  </si>
  <si>
    <t>FG06693</t>
  </si>
  <si>
    <t>BETAMATE GOUTTE</t>
  </si>
  <si>
    <t>FG06694</t>
  </si>
  <si>
    <t>CEFTAMEX 1GM INJ</t>
  </si>
  <si>
    <t>FG06695</t>
  </si>
  <si>
    <t>CORT 40MG INJ</t>
  </si>
  <si>
    <t>FG06696</t>
  </si>
  <si>
    <t>CORT 80MG INJ</t>
  </si>
  <si>
    <t>FG06697</t>
  </si>
  <si>
    <t>HEMOREX PLUS 30MG OINTMENT</t>
  </si>
  <si>
    <t>FG06698</t>
  </si>
  <si>
    <t>MEROMEX (MEROPENEM) 1G INJ</t>
  </si>
  <si>
    <t>FG06699</t>
  </si>
  <si>
    <t>OMEXA-3 150ML SIROP</t>
  </si>
  <si>
    <t>FG06700</t>
  </si>
  <si>
    <t>PARAVE-PLUS B/10 SACHET</t>
  </si>
  <si>
    <t>FG06701</t>
  </si>
  <si>
    <t>PREGNERVE 75MG 30 CES</t>
  </si>
  <si>
    <t>FG06702</t>
  </si>
  <si>
    <t>VOGLITUS 0.2 30CES</t>
  </si>
  <si>
    <t>FG06703</t>
  </si>
  <si>
    <t>VOGLITUS 0.3 30CES</t>
  </si>
  <si>
    <t>FG06704</t>
  </si>
  <si>
    <t>DAVITRON-Z SYRUP 150ML</t>
  </si>
  <si>
    <t>FG06705</t>
  </si>
  <si>
    <t>PERFEN SUSPENSIONE</t>
  </si>
  <si>
    <t>FG06706</t>
  </si>
  <si>
    <t>HJSAFE-S INJ</t>
  </si>
  <si>
    <t>FG06707</t>
  </si>
  <si>
    <t>HJSAFE-TZ INJ</t>
  </si>
  <si>
    <t>FG06708</t>
  </si>
  <si>
    <t>VENATE 30MG INJ</t>
  </si>
  <si>
    <t>FG06709</t>
  </si>
  <si>
    <t>VENATE 60MG INJ</t>
  </si>
  <si>
    <t>FG06710</t>
  </si>
  <si>
    <t>VENATE 120MG INJ</t>
  </si>
  <si>
    <t>FG06711</t>
  </si>
  <si>
    <t>VENATE 150MG INJ</t>
  </si>
  <si>
    <t>FG06712</t>
  </si>
  <si>
    <t>VENATE 180MG INJ</t>
  </si>
  <si>
    <t>FG06713</t>
  </si>
  <si>
    <t>VENATE 240MG INJ</t>
  </si>
  <si>
    <t>FG06714</t>
  </si>
  <si>
    <t>FIEMOL (PARACETAMOL) 1GM/100ML INJ</t>
  </si>
  <si>
    <t>FG06715</t>
  </si>
  <si>
    <t>C-XONE 2G INJ B/1AMP</t>
  </si>
  <si>
    <t>FG06716</t>
  </si>
  <si>
    <t>OMEKAR INSTANT SACHETS B/1PCS</t>
  </si>
  <si>
    <t>FG06738</t>
  </si>
  <si>
    <t>RUCEF 1.5MG INJ (CEFTRIAXONE &amp; SULBACTM)</t>
  </si>
  <si>
    <t>FG06739</t>
  </si>
  <si>
    <t>RUCEF 1GM INJ (CEFTRIAXONE)</t>
  </si>
  <si>
    <t>FG06740</t>
  </si>
  <si>
    <t>RUCEF 750MG INJ (CEFTRIAXONE &amp; SALBACTM)</t>
  </si>
  <si>
    <t>FG06741</t>
  </si>
  <si>
    <t>RUCEF-TZ 1125 INJ (CEFTRAOXPME &amp; TAZOBACTM)</t>
  </si>
  <si>
    <t>FG06742</t>
  </si>
  <si>
    <t>RUNATE 120MG INJ</t>
  </si>
  <si>
    <t>FG06743</t>
  </si>
  <si>
    <t>RUNATE 150MG INJ</t>
  </si>
  <si>
    <t>FG06744</t>
  </si>
  <si>
    <t>RUNATE 180MG INJ</t>
  </si>
  <si>
    <t>FG06745</t>
  </si>
  <si>
    <t>RUNATE 240MG INJ</t>
  </si>
  <si>
    <t>FG06747</t>
  </si>
  <si>
    <t>RUNATE 90MG INJ</t>
  </si>
  <si>
    <t>FG08051</t>
  </si>
  <si>
    <t>LANCETTES 30G B/200PCS</t>
  </si>
  <si>
    <t>FG05055</t>
  </si>
  <si>
    <t>TADENAN 50MG B/30CAPS (EO)</t>
  </si>
  <si>
    <t>FG05058</t>
  </si>
  <si>
    <t>CLOTRI-DENK 1% CREAME 20GR</t>
  </si>
  <si>
    <t>FG05200</t>
  </si>
  <si>
    <t>PIPETTES EN PLASTIQUEB/250</t>
  </si>
  <si>
    <t>FG05201</t>
  </si>
  <si>
    <t>TEST RAPIDE HCV</t>
  </si>
  <si>
    <t>FG05202</t>
  </si>
  <si>
    <t>NYSTATINE SUSP ORAL 24ML (EO)</t>
  </si>
  <si>
    <t>FG05203</t>
  </si>
  <si>
    <t>CIPRONAT 200MG I/V 100ML</t>
  </si>
  <si>
    <t>FG05204</t>
  </si>
  <si>
    <t>XYLOCAINE SPRAY 10% 50ML (FR)......</t>
  </si>
  <si>
    <t>FG05205</t>
  </si>
  <si>
    <t>MICARDIS 40MG 28CES (FR)</t>
  </si>
  <si>
    <t>FG05206</t>
  </si>
  <si>
    <t>SERETIDE DISKUS 500MG/50MCG 60DOSES</t>
  </si>
  <si>
    <t>FG05207</t>
  </si>
  <si>
    <t>TABLE DE MAYO</t>
  </si>
  <si>
    <t>FG05208</t>
  </si>
  <si>
    <t>AMOXICLAV DENK 500MG B/16CES</t>
  </si>
  <si>
    <t>FG05209</t>
  </si>
  <si>
    <t>MICARDIS 80MG 28CES(FR)</t>
  </si>
  <si>
    <t>FG05210</t>
  </si>
  <si>
    <t>REDOXVITA CPR DOUBLE ACTION B/30CES</t>
  </si>
  <si>
    <t>FG05211</t>
  </si>
  <si>
    <t>ACLAV 500MG/62.5MG B/12SACHETS (FR)</t>
  </si>
  <si>
    <t>FG05212</t>
  </si>
  <si>
    <t>AMAREL 1MG 30CES (FR)</t>
  </si>
  <si>
    <t>FG05213</t>
  </si>
  <si>
    <t>BILAXTEN (BILASTINE) SIROP 120ML</t>
  </si>
  <si>
    <t>FG05214</t>
  </si>
  <si>
    <t>CARBOBEL SIMPLEX B/70GMCES</t>
  </si>
  <si>
    <t>FG05215</t>
  </si>
  <si>
    <t>DOLO DENK GEL T/50G (FR)</t>
  </si>
  <si>
    <t>FG05216</t>
  </si>
  <si>
    <t>DOLO DENK GEL T/20G (FR)</t>
  </si>
  <si>
    <t>FG05217</t>
  </si>
  <si>
    <t>FLUCONA-DENK 150MG B/1CAPS(FR)</t>
  </si>
  <si>
    <t>FG05218</t>
  </si>
  <si>
    <t>METFORMIN DENK 1000GR B/2 X 15 CES</t>
  </si>
  <si>
    <t>FG05219</t>
  </si>
  <si>
    <t>LEVOCIZINE (LEVOCITRIZINE) B/10 CES</t>
  </si>
  <si>
    <t>FG05220</t>
  </si>
  <si>
    <t>LEVOCIZINE (LEVOCITRIZINE) SIROP</t>
  </si>
  <si>
    <t>FG05221</t>
  </si>
  <si>
    <t>DEROXAT CES 20MG (FR) $$</t>
  </si>
  <si>
    <t>FG05222</t>
  </si>
  <si>
    <t>ERYTHROGEL B GEL DERM 4% 30G</t>
  </si>
  <si>
    <t>FG05223</t>
  </si>
  <si>
    <t>FURADANTINE 100MG 50CES (FR)</t>
  </si>
  <si>
    <t>FG05224</t>
  </si>
  <si>
    <t>COVERSYL 5MG 30CES (EO)</t>
  </si>
  <si>
    <t>FG05225</t>
  </si>
  <si>
    <t>COVERSYL PLUS 5/12.5MG B/30CES</t>
  </si>
  <si>
    <t>FG05226</t>
  </si>
  <si>
    <t>DAFALGAN CODEINE EFF. CES B/40 (EO)</t>
  </si>
  <si>
    <t>FG05227</t>
  </si>
  <si>
    <t>DIPROSALIC LOTION 30GR (FR)</t>
  </si>
  <si>
    <t>FG05228</t>
  </si>
  <si>
    <t>ENDOXAN 50MG CES B/50 (FR)</t>
  </si>
  <si>
    <t>FG05229</t>
  </si>
  <si>
    <t>GLYFERON 1000MG B/30 CES (FR)</t>
  </si>
  <si>
    <t>FG05230</t>
  </si>
  <si>
    <t>GLYFERON 850MG B/30CES (FR)</t>
  </si>
  <si>
    <t>FG05231</t>
  </si>
  <si>
    <t>GYNO-DAKTARIN CREAM 40GR</t>
  </si>
  <si>
    <t>FG05232</t>
  </si>
  <si>
    <t>KREDEX 6.25MG 56CES(FR)</t>
  </si>
  <si>
    <t>FG05233</t>
  </si>
  <si>
    <t>L-THYROXINE 0.50MG 112CES(FR)</t>
  </si>
  <si>
    <t>FG05234</t>
  </si>
  <si>
    <t>L-THYROXINE 0.100MG 112CES (FR)</t>
  </si>
  <si>
    <t>FG05235</t>
  </si>
  <si>
    <t>LYSOMUCIL 200MG B/30 SACHET</t>
  </si>
  <si>
    <t>FG05236</t>
  </si>
  <si>
    <t>NESIVINE 0.05% GTTES 15ML ENF (FR)</t>
  </si>
  <si>
    <t>FG05237</t>
  </si>
  <si>
    <t>NESIVINE 0.01% GTTES 5ML BABY (FR)</t>
  </si>
  <si>
    <t>FG05238</t>
  </si>
  <si>
    <t>NOOTROPIL 800MG PL/45CES (FR)</t>
  </si>
  <si>
    <t>FG05239</t>
  </si>
  <si>
    <t>PEVAGINE CREM 1% 30GR (FR)</t>
  </si>
  <si>
    <t>FG05240</t>
  </si>
  <si>
    <t>PRIMPERAN 6AMP(FR)</t>
  </si>
  <si>
    <t>FG05241</t>
  </si>
  <si>
    <t>PROFEMIGR 150 MG B/10 CES (FR)</t>
  </si>
  <si>
    <t>FG05242</t>
  </si>
  <si>
    <t>PROSTIGMINE 1ML ING B/6AMP (FR)</t>
  </si>
  <si>
    <t>FG05243</t>
  </si>
  <si>
    <t>STREPSILS SAN SUCRE FRAISE 36PASTILLES</t>
  </si>
  <si>
    <t>FG05244</t>
  </si>
  <si>
    <t>STREPSILS +LIDOCAINE B/36 PASTILLES</t>
  </si>
  <si>
    <t>FG05245</t>
  </si>
  <si>
    <t>STRUMAZOL 10MG B/100CES (FR)</t>
  </si>
  <si>
    <t>FG05246</t>
  </si>
  <si>
    <t>STUGERON 25MG 50CES(FR)</t>
  </si>
  <si>
    <t>FG05247</t>
  </si>
  <si>
    <t>DOXY DENK 200 B/8 CES</t>
  </si>
  <si>
    <t>FG05264</t>
  </si>
  <si>
    <t>TITANOREINE CREAM TB 20GR (FR)</t>
  </si>
  <si>
    <t>FG05266</t>
  </si>
  <si>
    <t>PRIMOLUT NOR FORT 30CES 10MG (FR)</t>
  </si>
  <si>
    <t>FG05267</t>
  </si>
  <si>
    <t>MONURIL 3GR 1 SACET (FR)</t>
  </si>
  <si>
    <t>FG05268</t>
  </si>
  <si>
    <t>TRAVATAN COLLYRE 2.5ML (FR)</t>
  </si>
  <si>
    <t>FG05269</t>
  </si>
  <si>
    <t>PROGESTOGEL GEL 80GR (FR)</t>
  </si>
  <si>
    <t>FG05270</t>
  </si>
  <si>
    <t>PRIMATIME TEST OVULATION 5 CARTES</t>
  </si>
  <si>
    <t>FG05271</t>
  </si>
  <si>
    <t>AUGMENTINE 100MG SP ENF 60ML (EO)</t>
  </si>
  <si>
    <t>FG05273</t>
  </si>
  <si>
    <t>CALCIUM SANDOZ 500MG 20CES EFF (FR)</t>
  </si>
  <si>
    <t>FG05274</t>
  </si>
  <si>
    <t>TRANXENE 10MG 30 GELULES (FR)</t>
  </si>
  <si>
    <t>FG05275</t>
  </si>
  <si>
    <t>URBANYL 10MG 30CES (EO)</t>
  </si>
  <si>
    <t>FG05276</t>
  </si>
  <si>
    <t>MARIMER BB HYGIENE NASAL 100ML</t>
  </si>
  <si>
    <t>FG05277</t>
  </si>
  <si>
    <t>MARIMER BBNEZ/BOUCHE 100ML</t>
  </si>
  <si>
    <t>FG05278</t>
  </si>
  <si>
    <t>MARIMER NEZ/BOUCHE 100ML</t>
  </si>
  <si>
    <t>FG05279</t>
  </si>
  <si>
    <t>PERDOLAN 350MG 12SUPPO ENF(FR)</t>
  </si>
  <si>
    <t>FG05280</t>
  </si>
  <si>
    <t>MAGNE B6 B/50CES (FR)</t>
  </si>
  <si>
    <t>FG05281</t>
  </si>
  <si>
    <t>C-CLAIRE CREAM 15GM</t>
  </si>
  <si>
    <t>FG05282</t>
  </si>
  <si>
    <t>C-CLAIRE CREAM 30GM</t>
  </si>
  <si>
    <t>FG05283</t>
  </si>
  <si>
    <t>C-CLAIRE POUDRE 50GM</t>
  </si>
  <si>
    <t>FG05284</t>
  </si>
  <si>
    <t>INCEFT (CEFOTAXIME 1G) ING</t>
  </si>
  <si>
    <t>FG05290</t>
  </si>
  <si>
    <t>COQUELUSEDAL NOURRISON 10 SUPPOSITOIRES</t>
  </si>
  <si>
    <t>FG05291</t>
  </si>
  <si>
    <t>PRO-CODION 100ML SANS SUCRE</t>
  </si>
  <si>
    <t>FG05292</t>
  </si>
  <si>
    <t>ONCO-TAIN (PACLITAXEL HOSPIRA 6ML/ML) B/1 FLACON</t>
  </si>
  <si>
    <t>FG05293</t>
  </si>
  <si>
    <t>PACLITAXEL KABI 6MG/ML INJ</t>
  </si>
  <si>
    <t>FG05294</t>
  </si>
  <si>
    <t>APPAREIL CODEFREE</t>
  </si>
  <si>
    <t>FG05295</t>
  </si>
  <si>
    <t>DEEP HEAT SPRAY 150ML</t>
  </si>
  <si>
    <t>FG05333</t>
  </si>
  <si>
    <t>BANDELETTE CODEFREEE B/50</t>
  </si>
  <si>
    <t>FG05334</t>
  </si>
  <si>
    <t>ALESE PROTECTION</t>
  </si>
  <si>
    <t>FG05335</t>
  </si>
  <si>
    <t>SACHAT JUNE 50LTR</t>
  </si>
  <si>
    <t>FG05336</t>
  </si>
  <si>
    <t>PINCE PORTE AIGUILLE DE MAYO 18CM</t>
  </si>
  <si>
    <t>FG05337</t>
  </si>
  <si>
    <t>ECATEUR VAGINAL 45X85MM</t>
  </si>
  <si>
    <t>FG05338</t>
  </si>
  <si>
    <t>SACHAT PLASTIC 10X40CM PKT/100</t>
  </si>
  <si>
    <t>FG05339</t>
  </si>
  <si>
    <t>PILE 1.5V 1PC</t>
  </si>
  <si>
    <t>FG05340</t>
  </si>
  <si>
    <t>LAME DE RASOIR 1PC</t>
  </si>
  <si>
    <t>FG05341</t>
  </si>
  <si>
    <t>BOITE A SPECULUM VAGINALE</t>
  </si>
  <si>
    <t>FG05342</t>
  </si>
  <si>
    <t>FLAGYL 0.5GR INJ 100ML /POCH</t>
  </si>
  <si>
    <t>FG05345</t>
  </si>
  <si>
    <t>GEL POUR LUBRIFIANT VAGINAL</t>
  </si>
  <si>
    <t>FG05346</t>
  </si>
  <si>
    <t>NIFLUGEL POMMADE 60GR (FR)</t>
  </si>
  <si>
    <t>FG05347</t>
  </si>
  <si>
    <t>BETOPTIC 0.5% COLLYRE 3ML (FR)</t>
  </si>
  <si>
    <t>FG05348</t>
  </si>
  <si>
    <t>FERCEFOL (FER+VIT.C) SP 150ML (FR)</t>
  </si>
  <si>
    <t>FG05349</t>
  </si>
  <si>
    <t>GINKOR FORT 30GELULES</t>
  </si>
  <si>
    <t>FG05350</t>
  </si>
  <si>
    <t>GYNO PEVARYL 3 OVULES 150MG (FR)</t>
  </si>
  <si>
    <t>FG05351</t>
  </si>
  <si>
    <t>HUILE DAMANDE DOUCE PURE 60ML (EO)</t>
  </si>
  <si>
    <t>FG05362</t>
  </si>
  <si>
    <t>BERLTHYROX 100UG B/50CES (FR)</t>
  </si>
  <si>
    <t>FG05363</t>
  </si>
  <si>
    <t>EMCONCOR 10MG 28CES (FR)</t>
  </si>
  <si>
    <t>FG05364</t>
  </si>
  <si>
    <t>ZITROMAX 1500MG/37.5ML 15ML</t>
  </si>
  <si>
    <t>FG05365</t>
  </si>
  <si>
    <t>GALVUS MET 50MG/1000MG B/60 CES (FR)</t>
  </si>
  <si>
    <t>FG05366</t>
  </si>
  <si>
    <t>KEPPRA 1000MG B/50MG (FR)</t>
  </si>
  <si>
    <t>FG05367</t>
  </si>
  <si>
    <t>KEPPRA (LEVETIRASTAM) 100MG/ML</t>
  </si>
  <si>
    <t>FG05368</t>
  </si>
  <si>
    <t>DEBRIDAT SUSP BUV ENF &amp; NOURR 125ML</t>
  </si>
  <si>
    <t>FG05369</t>
  </si>
  <si>
    <t>EXACYL 10ML BUV. BT/5AMP (FR)</t>
  </si>
  <si>
    <t>FG05370</t>
  </si>
  <si>
    <t>ANGI SPRY 90ML (FR)</t>
  </si>
  <si>
    <t>FG05371</t>
  </si>
  <si>
    <t>PRIMPERAN SOL BUV FL/200ML (FR)</t>
  </si>
  <si>
    <t>FG05378</t>
  </si>
  <si>
    <t>XARELTO 20MG B/14 CES (FR)</t>
  </si>
  <si>
    <t>FG05379</t>
  </si>
  <si>
    <t>CONTROLES HEMATOLOGIE 3ML*3 (L, N, H) DM-3D</t>
  </si>
  <si>
    <t>FG05380</t>
  </si>
  <si>
    <t>RICHTER 20SACHETS-TISANE AMAIGRISS</t>
  </si>
  <si>
    <t>FG05414</t>
  </si>
  <si>
    <t>AERIUS 5MG 20TAB</t>
  </si>
  <si>
    <t>FG05415</t>
  </si>
  <si>
    <t>AERIUS 5MG 30CES (FR)</t>
  </si>
  <si>
    <t>FG05418</t>
  </si>
  <si>
    <t>ALDACTAZINE 25MG 20CES(FR)</t>
  </si>
  <si>
    <t>FG05419</t>
  </si>
  <si>
    <t>ALDACTONE 50MG B/20CES*******</t>
  </si>
  <si>
    <t>FG05420</t>
  </si>
  <si>
    <t>ALDACTONE 75MG BT/20CES (FR)</t>
  </si>
  <si>
    <t>FG05421</t>
  </si>
  <si>
    <t>ALFAMOX 250MG/5ML SP FL/100ML</t>
  </si>
  <si>
    <t>FG05423</t>
  </si>
  <si>
    <t>AMLIBON 10MG 30CES(FR)</t>
  </si>
  <si>
    <t>FG05424</t>
  </si>
  <si>
    <t>AMLODIPININE BIOGARAN 10MG B/30 GELS</t>
  </si>
  <si>
    <t>FG05425</t>
  </si>
  <si>
    <t>AMLODIPININE BIOGARAN 5MG B/30 GELS</t>
  </si>
  <si>
    <t>FG05426</t>
  </si>
  <si>
    <t>ANAFRANIL 10MG B/60 CES (FR)</t>
  </si>
  <si>
    <t>FG05427</t>
  </si>
  <si>
    <t>ANAFRANIL 25MG BT/30CES (EO)</t>
  </si>
  <si>
    <t>FG05428</t>
  </si>
  <si>
    <t>ANAFRANIL 25MG INJ B/5 AMP (FR)</t>
  </si>
  <si>
    <t>FG05429</t>
  </si>
  <si>
    <t>ANALYSEUR D'HÉMATOLOGIE À DIFFÉ EN 3 PARTIES</t>
  </si>
  <si>
    <t>FG05430</t>
  </si>
  <si>
    <t>APRANAX 275MG CES B/30 (FR)</t>
  </si>
  <si>
    <t>FG05431</t>
  </si>
  <si>
    <t>ARTANE 2MG B/50CES (FR)</t>
  </si>
  <si>
    <t>FG05432</t>
  </si>
  <si>
    <t>ASAFLOW 160 MG 56CES (FR)</t>
  </si>
  <si>
    <t>FG05433</t>
  </si>
  <si>
    <t>ASPEGIC 0.5MG 6AMP(FR)</t>
  </si>
  <si>
    <t>FG05434</t>
  </si>
  <si>
    <t>ASPEGIC 1GR. INJECTION B/6AMP (FR)</t>
  </si>
  <si>
    <t>FG05435</t>
  </si>
  <si>
    <t>ATACAND 16MG B/28CES (FR)</t>
  </si>
  <si>
    <t>FG05436</t>
  </si>
  <si>
    <t>ATACAND 8MG 30CES(FR)</t>
  </si>
  <si>
    <t>FG05437</t>
  </si>
  <si>
    <t>ATENOLOL DENK 50 10CES</t>
  </si>
  <si>
    <t>FG05438</t>
  </si>
  <si>
    <t>AUGMATIN 1GR B/14 TABLET</t>
  </si>
  <si>
    <t>FG05439</t>
  </si>
  <si>
    <t>AVAZIR COLLYRE 10ML (FR)</t>
  </si>
  <si>
    <t>FG05440</t>
  </si>
  <si>
    <t>AZIX 500MG B/3CES (EO)</t>
  </si>
  <si>
    <t>FG05441</t>
  </si>
  <si>
    <t>BABYSOIN 20 UNIDOSES /5ML (FR)</t>
  </si>
  <si>
    <t>FG05442</t>
  </si>
  <si>
    <t>BACTROBAN PDE 15GR (FR)</t>
  </si>
  <si>
    <t>FG05443</t>
  </si>
  <si>
    <t>BALANCE PÈSE ADULTE ADE VARIANTE</t>
  </si>
  <si>
    <t>FG05444</t>
  </si>
  <si>
    <t>BALANCE PÈSE BÉBÉ</t>
  </si>
  <si>
    <t>FG05445</t>
  </si>
  <si>
    <t>BECLO-ASMA AERO 250MCG 200DOSES</t>
  </si>
  <si>
    <t>FG05446</t>
  </si>
  <si>
    <t>BECOZYME 30MG CES EFF</t>
  </si>
  <si>
    <t>FG05447</t>
  </si>
  <si>
    <t>BEPANTHOL CREAME 50ML (FR)</t>
  </si>
  <si>
    <t>FG05448</t>
  </si>
  <si>
    <t>BERLTHYROX 150UG B/50CES (FR)</t>
  </si>
  <si>
    <t>FG05449</t>
  </si>
  <si>
    <t>BERLTHYROX 50UG B/50CES (FR)</t>
  </si>
  <si>
    <t>FG05450</t>
  </si>
  <si>
    <t>BEROCCA(MAGNE,CALCIUM,ZINC,VITA,B,C)B/30EFF(EO)</t>
  </si>
  <si>
    <t>FG05451</t>
  </si>
  <si>
    <t>BETOPTIC 0.25% COLLYRE (FR)</t>
  </si>
  <si>
    <t>FG05452</t>
  </si>
  <si>
    <t>BIODROXYL 250MG/5ML SUSP. 60ML (FR)</t>
  </si>
  <si>
    <t>FG05453</t>
  </si>
  <si>
    <t>BIOFERON B/30 CAPS (FR)</t>
  </si>
  <si>
    <t>FG05454</t>
  </si>
  <si>
    <t>BIOFERON SIROP 200ML(FR)</t>
  </si>
  <si>
    <t>FG05455</t>
  </si>
  <si>
    <t>BISOPROLOL EG 10MG B/100CES (FR)</t>
  </si>
  <si>
    <t>FG05456</t>
  </si>
  <si>
    <t>BISOPROLOL EG 5MG B/100CES (FR)</t>
  </si>
  <si>
    <t>FG05457</t>
  </si>
  <si>
    <t>BOITE CHIRURGICALE ABDOMINALE</t>
  </si>
  <si>
    <t>FG05458</t>
  </si>
  <si>
    <t>BRUFEN FORTE 600MG 30CES (FR)</t>
  </si>
  <si>
    <t>FG05459</t>
  </si>
  <si>
    <t>BUTO-ASMA AEROSOL 0.2 FL/10ML</t>
  </si>
  <si>
    <t>FG05460</t>
  </si>
  <si>
    <t>CAFERGOT 20CES (EO)</t>
  </si>
  <si>
    <t>FG05461</t>
  </si>
  <si>
    <t>CAPTOPRIL DENK 25MG B/20CES</t>
  </si>
  <si>
    <t>FG05462</t>
  </si>
  <si>
    <t>CARDIO ASPIRINE 100MG B/30CES (FR)</t>
  </si>
  <si>
    <t>FG05463</t>
  </si>
  <si>
    <t>CARDULAR 2MG B/20CES (EO)</t>
  </si>
  <si>
    <t>FG05464</t>
  </si>
  <si>
    <t>CARVEDILOL 56CES 6.25MG (EO)***</t>
  </si>
  <si>
    <t>FG05465</t>
  </si>
  <si>
    <t>CASODEX 150MG 28 TAB</t>
  </si>
  <si>
    <t>FG05466</t>
  </si>
  <si>
    <t>C-CLAIRE CERAM 15GM</t>
  </si>
  <si>
    <t>FG05467</t>
  </si>
  <si>
    <t>C-CLAIRE CERAM 30GM</t>
  </si>
  <si>
    <t>FG05468</t>
  </si>
  <si>
    <t>CEDOCARD-@@ 20MG @@ B/100CES (FR)</t>
  </si>
  <si>
    <t>FG05469</t>
  </si>
  <si>
    <t>CEFTRIAXONE BIOGARAN IM 1G 3.5ML 1AMP</t>
  </si>
  <si>
    <t>FG05470</t>
  </si>
  <si>
    <t>CEFTRIAXONE BIOGARAN IV 1G 10ML 1AMP</t>
  </si>
  <si>
    <t>FG05471</t>
  </si>
  <si>
    <t>CENTRIFUGEUSE MANUELLE 4 TUBES</t>
  </si>
  <si>
    <t>FG05472</t>
  </si>
  <si>
    <t>CHLORAMPHENICOL 60ML SIROP</t>
  </si>
  <si>
    <t>FG05473</t>
  </si>
  <si>
    <t>CHOLESTROM 10MG B/30CES</t>
  </si>
  <si>
    <t>FG05474</t>
  </si>
  <si>
    <t>CIALIS 5MG 28 TAB</t>
  </si>
  <si>
    <t>FG05475</t>
  </si>
  <si>
    <t>CLAMOXYL 250MG/5ML SIROP 60ML</t>
  </si>
  <si>
    <t>FG05476</t>
  </si>
  <si>
    <t>CLARITHROMYCINE BIOGARAN 250MG B/10 CES</t>
  </si>
  <si>
    <t>FG05477</t>
  </si>
  <si>
    <t>CLARITHROMYCINE BIOGARAN 500MG B/10 CES</t>
  </si>
  <si>
    <t>FG05478</t>
  </si>
  <si>
    <t>CONTAMAL IM-IV 10AMP 100MG 2ML (EO)</t>
  </si>
  <si>
    <t>FG05479</t>
  </si>
  <si>
    <t>COTAREG 80MG/12.5MG 28CES (FR)</t>
  </si>
  <si>
    <t>FG05480</t>
  </si>
  <si>
    <t>COTAREG 160MG/25MG CES (FR)</t>
  </si>
  <si>
    <t>FG05481</t>
  </si>
  <si>
    <t>COVERAM 10/5MG 30 GELULES(FR) @@@@</t>
  </si>
  <si>
    <t>FG05482</t>
  </si>
  <si>
    <t>COVERSYL PLUS 10MG/12.5MG B/30 TAB</t>
  </si>
  <si>
    <t>FG05483</t>
  </si>
  <si>
    <t>COVERSYL PLUS 4MG CAPS B/30 (EO)</t>
  </si>
  <si>
    <t>FG05484</t>
  </si>
  <si>
    <t>CRISTAL 10 SUPPOS ADULTES (FR)</t>
  </si>
  <si>
    <t>FG05485</t>
  </si>
  <si>
    <t>CRISTAL BB SUPPO(FR)</t>
  </si>
  <si>
    <t>FG05486</t>
  </si>
  <si>
    <t>CURAM 500MG 12CES (EO)</t>
  </si>
  <si>
    <t>FG05487</t>
  </si>
  <si>
    <t>CYCLO-PROGYNOVA 21 DRJ</t>
  </si>
  <si>
    <t>FG05488</t>
  </si>
  <si>
    <t>DAFALGAN CODEINE EFF. CES B/16 (EO)</t>
  </si>
  <si>
    <t>FG05489</t>
  </si>
  <si>
    <t>DAFRACLAV 1000MG B/10CES (FR)</t>
  </si>
  <si>
    <t>FG05490</t>
  </si>
  <si>
    <t>DAFRACLAV 457MG SP (FR)</t>
  </si>
  <si>
    <t>FG05491</t>
  </si>
  <si>
    <t>DAKTARIN SPRAY</t>
  </si>
  <si>
    <t>FG05492</t>
  </si>
  <si>
    <t>DAONIL 5MG B/20CES (FR)</t>
  </si>
  <si>
    <t>FG05493</t>
  </si>
  <si>
    <t>DECAPETYL 3.75MG 1AMP(FR)</t>
  </si>
  <si>
    <t>FG05494</t>
  </si>
  <si>
    <t>DECODERM TRI CREME 25MG/500MG T/25GR (FR)</t>
  </si>
  <si>
    <t>FG05495</t>
  </si>
  <si>
    <t>DEEP HEAT CREME 35GR.</t>
  </si>
  <si>
    <t>FG05496</t>
  </si>
  <si>
    <t>DEFAL GOUTTES ORALES 13ML</t>
  </si>
  <si>
    <t>FG05497</t>
  </si>
  <si>
    <t>DEPO-PROVERA 150ML/1ML B/1AMP (EO)</t>
  </si>
  <si>
    <t>FG05498</t>
  </si>
  <si>
    <t>DESLOR 5MG 15CES (FR)</t>
  </si>
  <si>
    <t>FG05499</t>
  </si>
  <si>
    <t>DIABLE CORICIDE LIQUID 4ML</t>
  </si>
  <si>
    <t>FG05500</t>
  </si>
  <si>
    <t>DIABLE VERT EMPLATRES CORISIDE B/6</t>
  </si>
  <si>
    <t>FG05501</t>
  </si>
  <si>
    <t>DIALYSIS MACHINE</t>
  </si>
  <si>
    <t>FG05502</t>
  </si>
  <si>
    <t>DIANE 35 1 X 21 DRG...........</t>
  </si>
  <si>
    <t>FG05503</t>
  </si>
  <si>
    <t>DICLO DENK 50MG B/(10)CES</t>
  </si>
  <si>
    <t>FG05504</t>
  </si>
  <si>
    <t>DICLOWAL RETARD 100MG 10CES (FR)</t>
  </si>
  <si>
    <t>FG05505</t>
  </si>
  <si>
    <t>DICYNONE 250MG 20CES (FR)</t>
  </si>
  <si>
    <t>FG05506</t>
  </si>
  <si>
    <t>DIGOXINE NATIVELLE 6AMP INJ (FR)</t>
  </si>
  <si>
    <t>FG05507</t>
  </si>
  <si>
    <t>DOGMATIL SOL BUV FL/200ML (FR)</t>
  </si>
  <si>
    <t>FG05508</t>
  </si>
  <si>
    <t>DOPAMINE 40MG INJ B/1AMP ***</t>
  </si>
  <si>
    <t>FG05509</t>
  </si>
  <si>
    <t>DOXYNOR 100MG B/20CES (FR)</t>
  </si>
  <si>
    <t>FG05510</t>
  </si>
  <si>
    <t>ELICA 0.1% CR T/30G (FR)</t>
  </si>
  <si>
    <t>FG05511</t>
  </si>
  <si>
    <t>ELICA-M CREAM 30GR (FR)</t>
  </si>
  <si>
    <t>FG05512</t>
  </si>
  <si>
    <t>EMCONCOR 5MG 28CES (FR)</t>
  </si>
  <si>
    <t>FG05513</t>
  </si>
  <si>
    <t>ENTEROGEMINA SUSP BUV 10FLCS 5ML (FR)</t>
  </si>
  <si>
    <t>FG05514</t>
  </si>
  <si>
    <t>EURARTESIM (PIPERA+DIHYDRO) 320MG/40MG B9CES(FR)</t>
  </si>
  <si>
    <t>FG05515</t>
  </si>
  <si>
    <t>EXFOGE 10MG /160MG 28CES (FR)</t>
  </si>
  <si>
    <t>FG05516</t>
  </si>
  <si>
    <t>EXFORGE FACT 5MG/160MG B/28CES (EO)</t>
  </si>
  <si>
    <t>FG05517</t>
  </si>
  <si>
    <t>EXFORGE HCT ***160/12.5/10MG****B/28CES (FR)</t>
  </si>
  <si>
    <t>FG05518</t>
  </si>
  <si>
    <t>EZETIMIBLE 10MG B/28 TAB (FR)</t>
  </si>
  <si>
    <t>FG05519</t>
  </si>
  <si>
    <t>FELDENE 20MG/1ML IM B/2AMP</t>
  </si>
  <si>
    <t>FG05520</t>
  </si>
  <si>
    <t>FENISTIL GEL 30GR E.O. (FENIGEL)</t>
  </si>
  <si>
    <t>FG05521</t>
  </si>
  <si>
    <t>FENTANYL 0.05MG/2ML B/1AMP (EO)</t>
  </si>
  <si>
    <t>FG05522</t>
  </si>
  <si>
    <t>FERRO DENK B/50 CES</t>
  </si>
  <si>
    <t>FG05523</t>
  </si>
  <si>
    <t>FLUCA (FLUOROMETHOIONE) CY F/5ML</t>
  </si>
  <si>
    <t>FG05524</t>
  </si>
  <si>
    <t>FŒTOSCOPE EN BOIS</t>
  </si>
  <si>
    <t>FG05525</t>
  </si>
  <si>
    <t>FORMOL 40% LIQUID</t>
  </si>
  <si>
    <t>FG05526</t>
  </si>
  <si>
    <t>FUCIDINE 250MG 10CES</t>
  </si>
  <si>
    <t>FG05527</t>
  </si>
  <si>
    <t>FURO DENK 40MG 10X10 CES</t>
  </si>
  <si>
    <t>FG05528</t>
  </si>
  <si>
    <t>GASTISTAR COLLYRE 5 ML(FR)</t>
  </si>
  <si>
    <t>FG05529</t>
  </si>
  <si>
    <t>HERBESAN 24 FILTRETTES</t>
  </si>
  <si>
    <t>FG05530</t>
  </si>
  <si>
    <t>HUILE DE FOIE DE MORUE 150ML(COOPER)</t>
  </si>
  <si>
    <t>FG05531</t>
  </si>
  <si>
    <t>HYFRESH 0.2% SOL OPHT F/10ML (FR)</t>
  </si>
  <si>
    <t>FG05532</t>
  </si>
  <si>
    <t>IMODIUM SIROP 90ML (FR)</t>
  </si>
  <si>
    <t>FG05533</t>
  </si>
  <si>
    <t>INDERAL 10MG 50CES (FR)</t>
  </si>
  <si>
    <t>FG05534</t>
  </si>
  <si>
    <t>INEXIUM 28C#S 40MG (FR) $$</t>
  </si>
  <si>
    <t>FG05535</t>
  </si>
  <si>
    <t>INEXIUM 28CES 20MG (FR) $$</t>
  </si>
  <si>
    <t>FG05536</t>
  </si>
  <si>
    <t>INSULINE ACTRAPIDE 40UI 10ML(EO)</t>
  </si>
  <si>
    <t>FG05537</t>
  </si>
  <si>
    <t>INSULINE INSLATARD 40UI 10ML(EO)</t>
  </si>
  <si>
    <t>FG05538</t>
  </si>
  <si>
    <t>INSULINE MIXTARD 100UI 10ML (FR) $$</t>
  </si>
  <si>
    <t>FG05539</t>
  </si>
  <si>
    <t>INSULINE MIXTARD 40UI INJ FL/10ML</t>
  </si>
  <si>
    <t>FG05540</t>
  </si>
  <si>
    <t>IXPRIM 37.5MG/325MG. 20CES(FR)</t>
  </si>
  <si>
    <t>FG05541</t>
  </si>
  <si>
    <t>KAYEXALATE SODIUM 450GR (FR) $$</t>
  </si>
  <si>
    <t>FG05542</t>
  </si>
  <si>
    <t>KIT R.P.R.</t>
  </si>
  <si>
    <t>FG05543</t>
  </si>
  <si>
    <t>KONAKION PEDIAT. 5AMP 2MG/0.2ML</t>
  </si>
  <si>
    <t>FG05544</t>
  </si>
  <si>
    <t>KREDEX 25MG 56CES(FR)</t>
  </si>
  <si>
    <t>FG05545</t>
  </si>
  <si>
    <t>LAMPE D’EXAMEN FIXIBLE</t>
  </si>
  <si>
    <t>FG05546</t>
  </si>
  <si>
    <t>LANSOYL GELEE T/225G (FR)</t>
  </si>
  <si>
    <t>FG05547</t>
  </si>
  <si>
    <t>LARMBAK 0.9% COLLYRE 10ML</t>
  </si>
  <si>
    <t>FG05548</t>
  </si>
  <si>
    <t>LETROZOLE BIOGARAN LP 2.5MG B/30 CES</t>
  </si>
  <si>
    <t>FG05549</t>
  </si>
  <si>
    <t>LEXOMIL 6MG B/30CES (FR)</t>
  </si>
  <si>
    <t>FG05550</t>
  </si>
  <si>
    <t>LIBIDO LADV DENK (FR)</t>
  </si>
  <si>
    <t>FG05551</t>
  </si>
  <si>
    <t>LIPITOR 10MG B/28CES(FR)</t>
  </si>
  <si>
    <t>FG05552</t>
  </si>
  <si>
    <t>LIPITOR 40 MG B/30 TAB (FR)</t>
  </si>
  <si>
    <t>FG05553</t>
  </si>
  <si>
    <t>LIVOSTIN COLLYRE 4ML (FR)</t>
  </si>
  <si>
    <t>FG05554</t>
  </si>
  <si>
    <t>LOCACORTENE ONGUENT 30GR (FR)</t>
  </si>
  <si>
    <t>FG05555</t>
  </si>
  <si>
    <t>LOCASALANE POMMADE 15GR (FR)</t>
  </si>
  <si>
    <t>FG05556</t>
  </si>
  <si>
    <t>LOPRESSOR 100MG B/30CES (FR)</t>
  </si>
  <si>
    <t>FG05557</t>
  </si>
  <si>
    <t>LOVENOX 20MG 0.2ML B/2SERING(FR)</t>
  </si>
  <si>
    <t>FG05558</t>
  </si>
  <si>
    <t>LUDIOMIL 25MG B/50CES (EO)</t>
  </si>
  <si>
    <t>FG05559</t>
  </si>
  <si>
    <t>LUGOL</t>
  </si>
  <si>
    <t>FG05560</t>
  </si>
  <si>
    <t>LYRICA 75MG 56CES(FR)</t>
  </si>
  <si>
    <t>FG05561</t>
  </si>
  <si>
    <t>LYSOPAINE 18CES(FR)</t>
  </si>
  <si>
    <t>FG05562</t>
  </si>
  <si>
    <t>MAG-BIND RAN EXTRACTIONKIT 48 TESTS/KIT</t>
  </si>
  <si>
    <t>FG05564</t>
  </si>
  <si>
    <t>MALARONE 250MG B/12 CES (FR)</t>
  </si>
  <si>
    <t>FG05565</t>
  </si>
  <si>
    <t>MAXIDEX 0.1% COLLYRE 3ML (FR)</t>
  </si>
  <si>
    <t>FG05566</t>
  </si>
  <si>
    <t>MAXILASE 3000 U B/24CES (FR)</t>
  </si>
  <si>
    <t>FG05568</t>
  </si>
  <si>
    <t>MEDROL 4MG B/30CES (FR)</t>
  </si>
  <si>
    <t>FG05569</t>
  </si>
  <si>
    <t>METFORMINE BIOGARAN 1000MG B/90 CES</t>
  </si>
  <si>
    <t>FG05570</t>
  </si>
  <si>
    <t>METHERGIN INJ 5AMP 1ML (EO)</t>
  </si>
  <si>
    <t>FG05571</t>
  </si>
  <si>
    <t>METHOTREXATE (LEDERTREXATE)50MG B/1AMP</t>
  </si>
  <si>
    <t>FG05572</t>
  </si>
  <si>
    <t>MINOXIDIL 2% COOPER 3 FLACONS DE 60ML</t>
  </si>
  <si>
    <t>FG05573</t>
  </si>
  <si>
    <t>MINOXIDIL 5% COOPER 3 FLACONS DE 60ML</t>
  </si>
  <si>
    <t>FG05575</t>
  </si>
  <si>
    <t>MOMENTA CRM T/30G (FR)</t>
  </si>
  <si>
    <t>FG05576</t>
  </si>
  <si>
    <t>MOTILIUM 10MG 40CES (FR)</t>
  </si>
  <si>
    <t>FG05577</t>
  </si>
  <si>
    <t>NAPROSYNE 15CES 500MG (FR)</t>
  </si>
  <si>
    <t>FG05579</t>
  </si>
  <si>
    <t>NEOSTIGMIN 1ML 6 AMP</t>
  </si>
  <si>
    <t>FG05580</t>
  </si>
  <si>
    <t>NEOTONE GEL 150ML</t>
  </si>
  <si>
    <t>FG05581</t>
  </si>
  <si>
    <t>NEOTONE GEL FL/150ML</t>
  </si>
  <si>
    <t>FG05582</t>
  </si>
  <si>
    <t>NEOTONE RADIANCE SPF 50+30ML</t>
  </si>
  <si>
    <t>FG05583</t>
  </si>
  <si>
    <t>NEOTONE SERUM 25ML</t>
  </si>
  <si>
    <t>FG05584</t>
  </si>
  <si>
    <t>NERISONE CREME 30GR (GR)</t>
  </si>
  <si>
    <t>FG05585</t>
  </si>
  <si>
    <t>NERISONE PDE GRASSE 30G (FR)</t>
  </si>
  <si>
    <t>FG05586</t>
  </si>
  <si>
    <t>NESIVINE SPRAY 0.05%</t>
  </si>
  <si>
    <t>FG05587</t>
  </si>
  <si>
    <t>NEULEPTIL GOUTTES 4% 30ML (EO)</t>
  </si>
  <si>
    <t>FG05588</t>
  </si>
  <si>
    <t>NIDAZOL (METRONIDAZOLE) 500MG OVELE B/10 (FR)</t>
  </si>
  <si>
    <t>FG05589</t>
  </si>
  <si>
    <t>NIDAZOL 500MG CP B/20</t>
  </si>
  <si>
    <t>FG05590</t>
  </si>
  <si>
    <t>NIFEDI DENK 20MG RETARD PL/10CES</t>
  </si>
  <si>
    <t>FG05591</t>
  </si>
  <si>
    <t>NOBACTER MOUSSE SEVING FOM</t>
  </si>
  <si>
    <t>FG05592</t>
  </si>
  <si>
    <t>NOOTROPIL 12AMP. INJ. 1 GR. 5 ML (FR)</t>
  </si>
  <si>
    <t>FG05593</t>
  </si>
  <si>
    <t>NOOTROPIL 800MG 20CES........-SP-..</t>
  </si>
  <si>
    <t>FG05594</t>
  </si>
  <si>
    <t>NUROFEN 200MG B/48CES (E.O.)</t>
  </si>
  <si>
    <t>FG05595</t>
  </si>
  <si>
    <t>NUROFEN 400MG 30DRG ADALUTES (FR)</t>
  </si>
  <si>
    <t>FG05596</t>
  </si>
  <si>
    <t>OCAL COLLYRE 10 ML (FR)</t>
  </si>
  <si>
    <t>FG05597</t>
  </si>
  <si>
    <t>OFUSIDIC COLLYRE 5ML (FR)</t>
  </si>
  <si>
    <t>FG05598</t>
  </si>
  <si>
    <t>OLOPAT (OLOPATADINE) 0.3% COLLYRE FL /5ML</t>
  </si>
  <si>
    <t>FG05599</t>
  </si>
  <si>
    <t>OMEPRAZOLE BIOGARAN 20MG B/28 GELS</t>
  </si>
  <si>
    <t>FG05600</t>
  </si>
  <si>
    <t>OMNIBIONTA PRONATAL 60CAPS (EO)</t>
  </si>
  <si>
    <t>FG05601</t>
  </si>
  <si>
    <t>OPATANOL COLLYRE(FR)</t>
  </si>
  <si>
    <t>FG05602</t>
  </si>
  <si>
    <t>OPTIPRED 1% (PREDNISOLONE ACELETE) COLLYRE</t>
  </si>
  <si>
    <t>FG05603</t>
  </si>
  <si>
    <t>ORCHAPRED GEL OPHT 5GR</t>
  </si>
  <si>
    <t>FG05604</t>
  </si>
  <si>
    <t>OSPAMOX 1000MG CES B/12 (FR)</t>
  </si>
  <si>
    <t>FG05605</t>
  </si>
  <si>
    <t>OSPAMOX 500MG 12CES (EO)</t>
  </si>
  <si>
    <t>FG05606</t>
  </si>
  <si>
    <t>OSPAMOX 500MG 12CES DISPERSIBLE</t>
  </si>
  <si>
    <t>FG05607</t>
  </si>
  <si>
    <t>OTRIVINE 1% MENTHOL SPRAY (FR)</t>
  </si>
  <si>
    <t>FG05608</t>
  </si>
  <si>
    <t>OXALATE DAMMONIUM</t>
  </si>
  <si>
    <t>FG05609</t>
  </si>
  <si>
    <t>OZIBEN 100MG B/6 CES</t>
  </si>
  <si>
    <t>FG05610</t>
  </si>
  <si>
    <t>PABU (PARA+IBU) B/10 X 10 CES</t>
  </si>
  <si>
    <t>FG05611</t>
  </si>
  <si>
    <t>PANCURONIUM 4MG B/1 AMP</t>
  </si>
  <si>
    <t>FG05612</t>
  </si>
  <si>
    <t>PARA DENK 125 B/10SUPPOS</t>
  </si>
  <si>
    <t>FG05613</t>
  </si>
  <si>
    <t>PENTASA (MESALAZINE 500MG) B/100TAB (FR)</t>
  </si>
  <si>
    <t>FG05614</t>
  </si>
  <si>
    <t>PERFALGAN 1GR AD SOL. PERF. 100ML</t>
  </si>
  <si>
    <t>FG05615</t>
  </si>
  <si>
    <t>PETHIDINE 100MG B/1AMP</t>
  </si>
  <si>
    <t>FG05616</t>
  </si>
  <si>
    <t>PETITS CHAMP</t>
  </si>
  <si>
    <t>FG05617</t>
  </si>
  <si>
    <t>PEVARYL POUDRE 1% 30GRE(FR)</t>
  </si>
  <si>
    <t>FG05618</t>
  </si>
  <si>
    <t>PICO SPRAY 50ML ***</t>
  </si>
  <si>
    <t>FG05619</t>
  </si>
  <si>
    <t>PIVALONE 1% B/10ML (FR)</t>
  </si>
  <si>
    <t>FG05620</t>
  </si>
  <si>
    <t>PLAQUENIL 200MG NF 100CES (FR)</t>
  </si>
  <si>
    <t>FG05621</t>
  </si>
  <si>
    <t>POLARAMINE 5AMP(FR)</t>
  </si>
  <si>
    <t>FG05622</t>
  </si>
  <si>
    <t>POLYGYNAX VIRGO B/6OVULE (EO)</t>
  </si>
  <si>
    <t>FG05623</t>
  </si>
  <si>
    <t>POTENCIATOR 5GR AMP BUV B/20</t>
  </si>
  <si>
    <t>FG05624</t>
  </si>
  <si>
    <t>PREGNYL 1500UI 3AMP (EO)</t>
  </si>
  <si>
    <t>FG05625</t>
  </si>
  <si>
    <t>PREGNYL 5000 UI BT/1 AMP --(EO)</t>
  </si>
  <si>
    <t>FG05626</t>
  </si>
  <si>
    <t>PRIMOLUT NOR 5MG 20CES (FR)</t>
  </si>
  <si>
    <t>FG05627</t>
  </si>
  <si>
    <t>PROFENID LP 200MG 14GELULES (FR)</t>
  </si>
  <si>
    <t>FG05628</t>
  </si>
  <si>
    <t>PROVIRON 25MG CES B/20 (FR)</t>
  </si>
  <si>
    <t>FG05629</t>
  </si>
  <si>
    <t>PROXEED PLUS ''WOMEN''5GR SACHETS B/30 (FR)</t>
  </si>
  <si>
    <t>FG05630</t>
  </si>
  <si>
    <t>PULMICORT BUC 200 DOSES (FR)</t>
  </si>
  <si>
    <t>FG05631</t>
  </si>
  <si>
    <t>PYOSTACINE 500MG 16CES (FR)</t>
  </si>
  <si>
    <t>FG05632</t>
  </si>
  <si>
    <t>PYRALVEX</t>
  </si>
  <si>
    <t>FG05633</t>
  </si>
  <si>
    <t>PYRALVEX GEL 15GR(FR)</t>
  </si>
  <si>
    <t>FG05634</t>
  </si>
  <si>
    <t>RABEZOL 20MG B/14CES (FR)</t>
  </si>
  <si>
    <t>FG05635</t>
  </si>
  <si>
    <t>REDOXONE 30CES A SUCER 500MG</t>
  </si>
  <si>
    <t>FG05636</t>
  </si>
  <si>
    <t>REDOXONE+ZINC 30CES EFF. 1000MG</t>
  </si>
  <si>
    <t>FG05637</t>
  </si>
  <si>
    <t>RENITEC 5MG 28CES (FR)</t>
  </si>
  <si>
    <t>FG05638</t>
  </si>
  <si>
    <t>RHINAPHYTO 100ML</t>
  </si>
  <si>
    <t>FG05639</t>
  </si>
  <si>
    <t>RHINATHIOL ADULTES SIROP 125ML</t>
  </si>
  <si>
    <t>FG05640</t>
  </si>
  <si>
    <t>RHINOSPRAY+EUCALYPTUS SOLUTION 10ML (FR)</t>
  </si>
  <si>
    <t>FG05641</t>
  </si>
  <si>
    <t>RHOGAM</t>
  </si>
  <si>
    <t>FG05642</t>
  </si>
  <si>
    <t>ROCEPHINE 1GR...IM...B/1AMP</t>
  </si>
  <si>
    <t>FG05643</t>
  </si>
  <si>
    <t>RT-PCR SYSYEM Q1000+</t>
  </si>
  <si>
    <t>FG05644</t>
  </si>
  <si>
    <t>SARS-COV-2 FLUORECENT PCR 96 TETS/KIT</t>
  </si>
  <si>
    <t>FG05646</t>
  </si>
  <si>
    <t>SAVON PETIT MARS HAD 2 X 100GR (FR)</t>
  </si>
  <si>
    <t>FG05647</t>
  </si>
  <si>
    <t>SELSUN SHAMPOO 120ML (FR)</t>
  </si>
  <si>
    <t>FG05648</t>
  </si>
  <si>
    <t>SERINGUE DE CANNULA (ASPIRATER)</t>
  </si>
  <si>
    <t>FG05649</t>
  </si>
  <si>
    <t>SIBELIUM 10MG 28CES(FR)</t>
  </si>
  <si>
    <t>FG05650</t>
  </si>
  <si>
    <t>SOCOMOL (PARACETAMOL) 750MG/5ML INJ B/5 AMP</t>
  </si>
  <si>
    <t>FG05651</t>
  </si>
  <si>
    <t>SOLU-MEDROL 500MG 8ML (FR)</t>
  </si>
  <si>
    <t>FG05652</t>
  </si>
  <si>
    <t>SOMAZINA 500MG INJ B/5AMP (FR)</t>
  </si>
  <si>
    <t>FG05653</t>
  </si>
  <si>
    <t>STERILISATEUR POUPINEL 20L</t>
  </si>
  <si>
    <t>FG05654</t>
  </si>
  <si>
    <t>STEROVIT GOUTTE</t>
  </si>
  <si>
    <t>FG05655</t>
  </si>
  <si>
    <t>SUPRADYN VITAL 30CES (FR)</t>
  </si>
  <si>
    <t>FG05656</t>
  </si>
  <si>
    <t>SUPRADYN VITAL 30CES EFF. (FR)</t>
  </si>
  <si>
    <t>FG05657</t>
  </si>
  <si>
    <t>SUXAMETHONIUM 100MG AMP BT/1 AMP</t>
  </si>
  <si>
    <t>FG05658</t>
  </si>
  <si>
    <t>TAHOR 10MG (ATORVASTATINE) B/90 CAP</t>
  </si>
  <si>
    <t>FG05659</t>
  </si>
  <si>
    <t>TAREG 80MG 28CES ???***</t>
  </si>
  <si>
    <t>FG05660</t>
  </si>
  <si>
    <t>TAVANIC 500MG B/5CES</t>
  </si>
  <si>
    <t>FG05661</t>
  </si>
  <si>
    <t>TBM - H360 DIL 20 LIT 121740</t>
  </si>
  <si>
    <t>FG05662</t>
  </si>
  <si>
    <t>TBM H360 DIL20 LIT 121740 (ERBA ELITE H )</t>
  </si>
  <si>
    <t>FG05666</t>
  </si>
  <si>
    <t>TBM-ERBA ELITE H CLEAN 50 ML</t>
  </si>
  <si>
    <t>FG05667</t>
  </si>
  <si>
    <t>TEEN DERM GEL SENSITIVE GEL 250ML</t>
  </si>
  <si>
    <t>FG05669</t>
  </si>
  <si>
    <t>TEEN DERM HYDRA CREAM T40 ML</t>
  </si>
  <si>
    <t>FG05670</t>
  </si>
  <si>
    <t>TEGRETOL CR 400MG CES B/50 (FR)</t>
  </si>
  <si>
    <t>FG05671</t>
  </si>
  <si>
    <t>TENORETIC 100MG 56CES (FR)</t>
  </si>
  <si>
    <t>FG05672</t>
  </si>
  <si>
    <t>TENORETIC 50MG 30CES(FR)</t>
  </si>
  <si>
    <t>FG05674</t>
  </si>
  <si>
    <t>TENUE CHIRUGICALE ( BLOUSE &amp; PANTALON )</t>
  </si>
  <si>
    <t>FG05675</t>
  </si>
  <si>
    <t>TERRA-COTRIL PDE DERMIQUE 15GR (FR)</t>
  </si>
  <si>
    <t>FG05676</t>
  </si>
  <si>
    <t>TERRAMYCINE ONG. DERMIQUE 15GR SANS AMBA</t>
  </si>
  <si>
    <t>FG05677</t>
  </si>
  <si>
    <t>TIBERAL 3CES 500MG (FR)</t>
  </si>
  <si>
    <t>FG05678</t>
  </si>
  <si>
    <t>TIMOSOL SOLUTION OPHT.5ML</t>
  </si>
  <si>
    <t>FG05679</t>
  </si>
  <si>
    <t>TOPICREM D A BAUME EMOLLIENT 500ML</t>
  </si>
  <si>
    <t>FG05680</t>
  </si>
  <si>
    <t>TRANDATE 200MG 30CES (FR)</t>
  </si>
  <si>
    <t>FG05681</t>
  </si>
  <si>
    <t>TRIMETABOL SOL BUV 150ML (FR)</t>
  </si>
  <si>
    <t>FG05682</t>
  </si>
  <si>
    <t>TYMER 0.3% CY F/5ML (FR)</t>
  </si>
  <si>
    <t>FG05683</t>
  </si>
  <si>
    <t>URELLA 10 CREAM 150 ML</t>
  </si>
  <si>
    <t>FG05684</t>
  </si>
  <si>
    <t>URELLA 50 CREAM 40 ML</t>
  </si>
  <si>
    <t>FG05685</t>
  </si>
  <si>
    <t>UROGRAFIN 100ML INFUSION 76% (EO)</t>
  </si>
  <si>
    <t>FG05686</t>
  </si>
  <si>
    <t>VANCOMYCINE 1GR ING B/1AMP (FR)</t>
  </si>
  <si>
    <t>FG05687</t>
  </si>
  <si>
    <t>VASTAREL 20MG 60CES (FR)</t>
  </si>
  <si>
    <t>FG05688</t>
  </si>
  <si>
    <t>VEGEBOM SAVON 100GM</t>
  </si>
  <si>
    <t>FG05689</t>
  </si>
  <si>
    <t>VENTOLINE 2MG CRP B/40 (FR)</t>
  </si>
  <si>
    <t>FG05690</t>
  </si>
  <si>
    <t>VIAGRA 100MG CES B/4 (FR)</t>
  </si>
  <si>
    <t>FG05691</t>
  </si>
  <si>
    <t>VISIODIS COLLYRE 1MG 10MI (FR)</t>
  </si>
  <si>
    <t>FG05692</t>
  </si>
  <si>
    <t>VITASCORBOL VIT C 1000MG EFF 20 CES (EO)</t>
  </si>
  <si>
    <t>FG05693</t>
  </si>
  <si>
    <t>VITISKIN HYDROGEL 50ML</t>
  </si>
  <si>
    <t>FG05694</t>
  </si>
  <si>
    <t>VOGALENE 0.1% SOL BUV 150ML</t>
  </si>
  <si>
    <t>FG05695</t>
  </si>
  <si>
    <t>VOLTAREN 25MG 10SUPPO (FR)</t>
  </si>
  <si>
    <t>FG05696</t>
  </si>
  <si>
    <t>VOLTARENE 75MG 5AMP (GR)</t>
  </si>
  <si>
    <t>FG09061</t>
  </si>
  <si>
    <t>CHLORAPHENERAMINE SIROP 100ML</t>
  </si>
  <si>
    <t>FG09062</t>
  </si>
  <si>
    <t>IMMU-C SACHET B/10 (FR)</t>
  </si>
  <si>
    <t>FG09063</t>
  </si>
  <si>
    <t>MEPACOLON 200MG LP B/20 CES (FR)</t>
  </si>
  <si>
    <t>FG09064</t>
  </si>
  <si>
    <t>MEPAFLOXIN 750MG B/5 CES (FR)</t>
  </si>
  <si>
    <t>FG09066</t>
  </si>
  <si>
    <t>DORIXINA RELAX B/20CES (CLONIX+CYCLOBENZAPRINE) (FR)</t>
  </si>
  <si>
    <t>FG09065</t>
  </si>
  <si>
    <t>SENSILUBE DUREX FLUID LUBRIF INT F/40ML</t>
  </si>
  <si>
    <t>FG09067</t>
  </si>
  <si>
    <t>TADASIL 5MG (TADALAFIL) B/1 CES</t>
  </si>
  <si>
    <t>FG09068</t>
  </si>
  <si>
    <t>TADASIL 10MG (TADALAFIL) B/1 CES</t>
  </si>
  <si>
    <t>FG09069</t>
  </si>
  <si>
    <t>TADASIL 20MG (TADALAFIL) B/1 CES</t>
  </si>
  <si>
    <t>FG09092</t>
  </si>
  <si>
    <t>VITADOC PLUS B/10 CAP</t>
  </si>
  <si>
    <t>FG09094</t>
  </si>
  <si>
    <t>GO GEL (EO)</t>
  </si>
  <si>
    <t>FG09070</t>
  </si>
  <si>
    <t>ACCUMULATEUR DE FROID 600ML</t>
  </si>
  <si>
    <t>FG09071</t>
  </si>
  <si>
    <t>APPAREIL D'ANESTHESIE AVEC MONITOR - 2 EVAPORATEURS</t>
  </si>
  <si>
    <t>FG09072</t>
  </si>
  <si>
    <t>LS-75HD DISPLAY BOARD</t>
  </si>
  <si>
    <t>FG09073</t>
  </si>
  <si>
    <t>LS-75HD MAINBOARD</t>
  </si>
  <si>
    <t>FG09074</t>
  </si>
  <si>
    <t>LS-75HD FAN</t>
  </si>
  <si>
    <t>FG09075</t>
  </si>
  <si>
    <t>MONITEUR DE SURVEILLANCE MEDICALE POUR NÉONATAUX</t>
  </si>
  <si>
    <t>FG09076</t>
  </si>
  <si>
    <t>ECHOGRAPHIE PORTABLE - ECO 6 AVEC 2 SONDE, CONVEX &amp; TRANSVAGINAL,CHARIOT COULEUR</t>
  </si>
  <si>
    <t>FG09077</t>
  </si>
  <si>
    <t>BUCKY STAND</t>
  </si>
  <si>
    <t>FG09078</t>
  </si>
  <si>
    <t>LAMPE SCIALITQUE LED AVEC ECRAN</t>
  </si>
  <si>
    <t>FG09079</t>
  </si>
  <si>
    <t>LAMPE SCIALITQUE PLAFONNIER A DOUBLE LED AVEC ECRAN</t>
  </si>
  <si>
    <t>FG09080</t>
  </si>
  <si>
    <t>SCALPEL JETABLE AVEC LAME NO 10</t>
  </si>
  <si>
    <t>FG09081</t>
  </si>
  <si>
    <t>COMPTEUR DE CELLULES 6 TOUCHE MANUEL, UNITE</t>
  </si>
  <si>
    <t>FG09082</t>
  </si>
  <si>
    <t>FLACON EN VERRE POUR ECHANTILLONS 100ML</t>
  </si>
  <si>
    <t>FG09083</t>
  </si>
  <si>
    <t>FLACON EN VERRE POUR ECHANTILLONS 250ML</t>
  </si>
  <si>
    <t>FG09084</t>
  </si>
  <si>
    <t>FLACON EN VERRE POUR ECHANTILLONS 500ML</t>
  </si>
  <si>
    <t>FG09085</t>
  </si>
  <si>
    <t>FLACON EN VERRE POUR ECHANTILLONS 1000ML</t>
  </si>
  <si>
    <t>FG09086</t>
  </si>
  <si>
    <t>FLACON EN VERRE POUR ECHANTILLONS 2000ML</t>
  </si>
  <si>
    <t>FG09087</t>
  </si>
  <si>
    <t>FLACON EN VERRE POUR ECHANTILLONS 5000ML</t>
  </si>
  <si>
    <t>FG09088</t>
  </si>
  <si>
    <t>MORTIER ET PILON 90MM</t>
  </si>
  <si>
    <t>FG09089</t>
  </si>
  <si>
    <t>SAC MORTUAIRE</t>
  </si>
  <si>
    <t>FG09090</t>
  </si>
  <si>
    <t>CHAISE DE COMMODE À ROULETTES</t>
  </si>
  <si>
    <t>FG09091</t>
  </si>
  <si>
    <t>BALANCE PESE BEBE AVEC TOISE - ELECTRONIQUE</t>
  </si>
  <si>
    <t>FG09093</t>
  </si>
  <si>
    <t>GAZELLE-HB/DRÉPANOCYTOSE- S-10 B CARTOUCHE-B/25 TESTS</t>
  </si>
  <si>
    <t>FG09095</t>
  </si>
  <si>
    <t>TDR HIV DETERMINE 1/2 - BANDELETTE - ST/S/P, B/50 TEST</t>
  </si>
  <si>
    <t>FG09096</t>
  </si>
  <si>
    <t>FLACON EN VERRE POUR ECHANTILLONS 50ML</t>
  </si>
  <si>
    <t>FG09097</t>
  </si>
  <si>
    <t>REFRIGERATEUR DE LABORATOIRE 2 A 8 DEGRES - 468L</t>
  </si>
  <si>
    <t>FG09098</t>
  </si>
  <si>
    <t>REFRIGERATEUR DE LABORATOIRE 2 A 8 DEGRES - 650L</t>
  </si>
  <si>
    <t>FG09099</t>
  </si>
  <si>
    <t>REFRIGERATEUR BANQUE DE SANG +4°C - 626L</t>
  </si>
  <si>
    <t>FG09100</t>
  </si>
  <si>
    <t>CHARIOT DE BOUTEILLE D'OXYGÈNE</t>
  </si>
  <si>
    <t>FG09101</t>
  </si>
  <si>
    <t>URINALS - PLASTIQUE</t>
  </si>
  <si>
    <t>FG09102</t>
  </si>
  <si>
    <t>BASSIN DE LIT- PLASTIQUE</t>
  </si>
  <si>
    <t>FG09103</t>
  </si>
  <si>
    <t>CHAISE DE DIALYSE ELECTRIQUE- LY-DC001</t>
  </si>
  <si>
    <t>FG09104</t>
  </si>
  <si>
    <t>HEMODIALYSIS CONCENTRATED POWDER (PART B)</t>
  </si>
  <si>
    <t>FG09105</t>
  </si>
  <si>
    <t>CATHETER VEINEUX CENTRAL(CVC) A DOUBLE-LUMIERE, 7 FR*16 CM 1PC</t>
  </si>
  <si>
    <t>FG09106</t>
  </si>
  <si>
    <t>CATHETER VEINEUX CENTRAL(CVC) A DOUBLE-LUMIERE, 7 FR*20 CM 1PC</t>
  </si>
  <si>
    <t>FG09107</t>
  </si>
  <si>
    <t>CATHETER VEINEUX CENTRAL(CVC) A TRIPLE-LUMIERE, 7 FR*16 CM 1PC</t>
  </si>
  <si>
    <t>FG09108</t>
  </si>
  <si>
    <t>CATHETER VEINEUX CENTRAL(CVC) A TRIPLE-LUMIERE, 7 FR*20 CM 1PC</t>
  </si>
  <si>
    <t>FG09109</t>
  </si>
  <si>
    <t>HEMODIALYSIS CONCENTRATED LIQUIDE 10L (PART A)</t>
  </si>
  <si>
    <t>FG09110</t>
  </si>
  <si>
    <t>HEMODIALYSIS CONCENTRATED LIQUIDE 10L (PART B)</t>
  </si>
  <si>
    <t>FG09111</t>
  </si>
  <si>
    <t>CHAISE DE DIALYSE ELECTRIQUE- HX-1</t>
  </si>
  <si>
    <t>FG09112</t>
  </si>
  <si>
    <t>ORACURE (CEFIXIME) SUSPENSION ORALE USP 60 ML</t>
  </si>
  <si>
    <t>FG09113</t>
  </si>
  <si>
    <t>ORACURE (CEFIXIME DISPERSIBLE) 200MG B/10 CES</t>
  </si>
  <si>
    <t>FG09150</t>
  </si>
  <si>
    <t>OLANZAPINE 10MG CES (FR)</t>
  </si>
  <si>
    <t>FG09151</t>
  </si>
  <si>
    <t>OLANZAPINE 5MG CES (FR)</t>
  </si>
  <si>
    <t>FG09152</t>
  </si>
  <si>
    <t>EXFORGE 10MG/160MG/125MG CES (FR)</t>
  </si>
  <si>
    <t>FG09153</t>
  </si>
  <si>
    <t>EXFORGE 5MG/160MG/25MG CES (FR)</t>
  </si>
  <si>
    <t>FG09154</t>
  </si>
  <si>
    <t>EXFORGE 5MG/160MG/125MG CES (FR)</t>
  </si>
  <si>
    <t>FG09155</t>
  </si>
  <si>
    <t>PYRONAT B/3 CES</t>
  </si>
  <si>
    <t>FG09156</t>
  </si>
  <si>
    <t>PYRONAT JUNIOR B/3 SACHET</t>
  </si>
  <si>
    <t>FG09114</t>
  </si>
  <si>
    <t>FLAMINGO WRIST COCK-UP SPLINT (SMALL)</t>
  </si>
  <si>
    <t>FG09115</t>
  </si>
  <si>
    <t>FLAMINGO WRIST COCK-UP SPLINT (MEDIUM)</t>
  </si>
  <si>
    <t>FG09116</t>
  </si>
  <si>
    <t>FLAMINGO WRIST COCK-UP SPLINT (LARGE)</t>
  </si>
  <si>
    <t>FG09117</t>
  </si>
  <si>
    <t>FLAMINGO WRIST COCK-UP SPLINT (EXTRA LARGE)</t>
  </si>
  <si>
    <t>FG09118</t>
  </si>
  <si>
    <t>FLAMINGO PAEDIATRIC KNEE IMMOBILIZER - U</t>
  </si>
  <si>
    <t>FG09119</t>
  </si>
  <si>
    <t>FLAMINGO SHOULDER ABDUCTION BRACE - U</t>
  </si>
  <si>
    <t>FG09120</t>
  </si>
  <si>
    <t>FLAMINGO SHOULDER ABDUCTION BRACE - SP</t>
  </si>
  <si>
    <t>FG09121</t>
  </si>
  <si>
    <t>FLAMINGO COMPRESSION ARM SLEEVE (C-II) - S</t>
  </si>
  <si>
    <t>FG09122</t>
  </si>
  <si>
    <t>FLAMINGO COMPRESSION ARM SLEEVE (C-II) - M</t>
  </si>
  <si>
    <t>FG09123</t>
  </si>
  <si>
    <t>FLAMINGO COMPRESSION ARM SLEEVE (C-II) - L</t>
  </si>
  <si>
    <t>FG09124</t>
  </si>
  <si>
    <t>FLAMINGO COMPRESSION ARM SLEEVE (C-II) - XL</t>
  </si>
  <si>
    <t>FG09125</t>
  </si>
  <si>
    <t>FLAMINGO COMPRESSION ARM SLEEVE (C-II) - XXL</t>
  </si>
  <si>
    <t>FG09126</t>
  </si>
  <si>
    <t>FLAMINGO PREMIUM FLEXI HINGED KNEE SLEEVE (WITH SILICONE PATELLA RING) - L - BLACK &amp; TURQUOISE</t>
  </si>
  <si>
    <t>FG09127</t>
  </si>
  <si>
    <t>FLAMINGO PREMIUM FLEXI HINGED KNEE SLEEVE (WITH SILICONE PATELLA RING) - M - BLACK &amp; TURQUOISE</t>
  </si>
  <si>
    <t>FG09128</t>
  </si>
  <si>
    <t>FLAMINGO PREMIUM FLEXI HINGED KNEE SLEEVE (WITH SILICONE PATELLA RING) - S - BLACK &amp; TURQUOISE</t>
  </si>
  <si>
    <t>FG09129</t>
  </si>
  <si>
    <t>FLAMINGO PREMIUM FLEXI HINGED KNEE SLEEVE (WITH SILICONE PATELLA RING) - XL - BLACK &amp; TURQUOISE</t>
  </si>
  <si>
    <t>FG09130</t>
  </si>
  <si>
    <t>FLAMINGO PREMIUM FLEXI HINGED KNEE SLEEVE (WITH SILICONE PATELLA RING) - XXL - BLACK &amp; TURQUOISE</t>
  </si>
  <si>
    <t>FG09131</t>
  </si>
  <si>
    <t>FLAMINGO PREMIUM FLEXI HINGED KNEE SLEEVE (WITH SILICONE PATELLA RING) - XXXL - BLACK &amp; TURQUOISE</t>
  </si>
  <si>
    <t>FG09132</t>
  </si>
  <si>
    <t>FLAMINGO GEL FOOT CARE INSOLE (MALE)</t>
  </si>
  <si>
    <t>FG09133</t>
  </si>
  <si>
    <t>FLAMINGO GEL FOOT CARE INSOLE (FEMALE)</t>
  </si>
  <si>
    <t>FG09134</t>
  </si>
  <si>
    <t>FLAMINGO R.O.M. ELBOW BRACE - LEFT</t>
  </si>
  <si>
    <t>FG09135</t>
  </si>
  <si>
    <t>FLAMINGO R.O.M. ELBOW BRACE - RIGHT</t>
  </si>
  <si>
    <t>FG09136</t>
  </si>
  <si>
    <t>FLAMINGO AIR WALKER BOOT - 17 - S</t>
  </si>
  <si>
    <t>FG09137</t>
  </si>
  <si>
    <t>FLAMINGO AIR WALKER BOOT - 17 - M</t>
  </si>
  <si>
    <t>FG09138</t>
  </si>
  <si>
    <t>FLAMINGO AIR WALKER BOOT - 17 - L</t>
  </si>
  <si>
    <t>FG09139</t>
  </si>
  <si>
    <t>FLAMINGO AIR WALKER BOOT - 17 - XL</t>
  </si>
  <si>
    <t>FG09140</t>
  </si>
  <si>
    <t>FLAMINGO AIR WALKER BOOT - 11 - S</t>
  </si>
  <si>
    <t>FG09141</t>
  </si>
  <si>
    <t>FLAMINGO AIR WALKER BOOT - 11 - M</t>
  </si>
  <si>
    <t>FG09142</t>
  </si>
  <si>
    <t>FLAMINGO AIR WALKER BOOT - 11 - L</t>
  </si>
  <si>
    <t>FG09143</t>
  </si>
  <si>
    <t>FLAMINGO AIR WALKER BOOT - 11 - XL</t>
  </si>
  <si>
    <t>FG09144</t>
  </si>
  <si>
    <t>FLAMINGO DIABETIC SOCKS WITH ANTI SKID (GRAY)</t>
  </si>
  <si>
    <t>FG09145</t>
  </si>
  <si>
    <t>FLAMINGO FLAMIBAND - 6 CM</t>
  </si>
  <si>
    <t>FG09146</t>
  </si>
  <si>
    <t>FLAMINGO FLAMIBAND - 8 CM</t>
  </si>
  <si>
    <t>FG09147</t>
  </si>
  <si>
    <t>FLAMINGO FLAMIBAND - 10 CM</t>
  </si>
  <si>
    <t>FG09148</t>
  </si>
  <si>
    <t>FLAMINGO FLAMIBAND - 15 CM</t>
  </si>
  <si>
    <t>FG09149</t>
  </si>
  <si>
    <t>MEASURE TAPE</t>
  </si>
  <si>
    <t>FG09157</t>
  </si>
  <si>
    <t>INCUBATEUR A ECRAN TACTILE A TEMPERATURE CONSTANTE</t>
  </si>
  <si>
    <t>FG09158</t>
  </si>
  <si>
    <t>STERILISATEUR A AIR CHAUD</t>
  </si>
  <si>
    <t>FG09159</t>
  </si>
  <si>
    <t>ETUVE DE SECHAGE A AIR FORCE</t>
  </si>
  <si>
    <t>FG09160</t>
  </si>
  <si>
    <t>PLAQUE CHAUFFANTE A LED</t>
  </si>
  <si>
    <t>FG09161</t>
  </si>
  <si>
    <t>BUKY STAND</t>
  </si>
  <si>
    <t>FG09162</t>
  </si>
  <si>
    <t>CHARIOT DE NETTOYAGE MULTIFONCTIONNEL</t>
  </si>
  <si>
    <t>FG09163</t>
  </si>
  <si>
    <t>ETAGERES EN ACIER INOXYDABLE</t>
  </si>
  <si>
    <t>FG09164</t>
  </si>
  <si>
    <t>DÉTECTEUR RAPIDE DE VS (VITESSE DE SÉDIMENTATION)</t>
  </si>
  <si>
    <t>FG09165</t>
  </si>
  <si>
    <t>LAMPE À ALCOOL 150ML</t>
  </si>
  <si>
    <t>FG09166</t>
  </si>
  <si>
    <t>THERMOMÈTRE EN VERRE</t>
  </si>
  <si>
    <t>FG09167</t>
  </si>
  <si>
    <t>BOUTEILLE D'OXYGENE 2 L</t>
  </si>
  <si>
    <t>FG09168</t>
  </si>
  <si>
    <t>PORTE-FILMS DE DÉVELOPPEMENT POUR RADIOGRAPHIE, 14″ × 17″ (356 × 432 MM)</t>
  </si>
  <si>
    <t>FG09169</t>
  </si>
  <si>
    <t>PORTE-FILMS DE DÉVELOPPEMENT POUR RADIOGRAPHIE, 14″ × 14″ (356 × 356 MM)</t>
  </si>
  <si>
    <t>FG09170</t>
  </si>
  <si>
    <t>PORTE-FILMS DE DÉVELOPPEMENT POUR RADIOGRAPHIE, 12″ × 15″ (305 × 381 MM)</t>
  </si>
  <si>
    <t>FG09171</t>
  </si>
  <si>
    <t>PORTE-FILMS DE DÉVELOPPEMENT POUR RADIOGRAPHIE, 10″ × 12″ (254 × 305 MM)</t>
  </si>
  <si>
    <t>FG09172</t>
  </si>
  <si>
    <t>TENSIOMETRE A CADRAN SUR PIED A 5 ROULETTES</t>
  </si>
  <si>
    <t>FG09173</t>
  </si>
  <si>
    <t>MICROPIPETTE MULTICANAUX (8 CANAUX) RÉGLABLE, VOLUME 50–300 µL</t>
  </si>
  <si>
    <t>FG09174</t>
  </si>
  <si>
    <t>POIRE À PIPETTE</t>
  </si>
  <si>
    <t>FG09175</t>
  </si>
  <si>
    <t>CATHETER UTÉRIN À BALLONNET, JETABLE</t>
  </si>
  <si>
    <t>FG09176</t>
  </si>
  <si>
    <t>BOITE - ACCOUCHEMENT AVEC EPISIOTOMIE</t>
  </si>
  <si>
    <t>FG09177</t>
  </si>
  <si>
    <t>BOITE - REANIMATION</t>
  </si>
  <si>
    <t>FG09178</t>
  </si>
  <si>
    <t>BOITE - APPENDICECTOMIE</t>
  </si>
  <si>
    <t>FG09179</t>
  </si>
  <si>
    <t>BOITE - ACCOUCHEMENT COMPLET POUR ACCOUCHEMENT EUTOCIQUE</t>
  </si>
  <si>
    <t>FG09180</t>
  </si>
  <si>
    <t>BOITE - HERNIORRAPHIE</t>
  </si>
  <si>
    <t>FG09181</t>
  </si>
  <si>
    <t>CEREAU DE LIT MEDICAL</t>
  </si>
  <si>
    <t>FG09185</t>
  </si>
  <si>
    <t>EAU DISTILEE BIDON 20LTR</t>
  </si>
  <si>
    <t>FG09182</t>
  </si>
  <si>
    <t>NAVROX 30GM</t>
  </si>
  <si>
    <t>FG09189</t>
  </si>
  <si>
    <t>PROBETA - N 7.5ML GOUTTE</t>
  </si>
  <si>
    <t>FG09183</t>
  </si>
  <si>
    <t>FACTEUR VIII ANTI-HEMOPHILIQUE HUMAIN – 500 UI</t>
  </si>
  <si>
    <t>FG09184</t>
  </si>
  <si>
    <t>DOLI-FLU (CONTRE LE RHUME) POCH/4 CAPLETS</t>
  </si>
  <si>
    <t>FG09186</t>
  </si>
  <si>
    <t>IMPLANTS ORTHO MERIL KNEE INSTRUMENT SET</t>
  </si>
  <si>
    <t>FG09187</t>
  </si>
  <si>
    <t>IMPLANTS ORTHO MERIL HIP INSTRUMENT SET</t>
  </si>
  <si>
    <t>FG09188</t>
  </si>
  <si>
    <t>UTROGESTAN 200MG 45CES (FR)</t>
  </si>
  <si>
    <t>FG09190</t>
  </si>
  <si>
    <t>TWINZOL SDU COLLYRE 20 MG / 5 MG, UNIDOSES 0,2 ML X 30</t>
  </si>
  <si>
    <t>FG09191</t>
  </si>
  <si>
    <t>WORMINIX (ALBENDAZOLE) SACHET 10 ML</t>
  </si>
  <si>
    <t>FG09192</t>
  </si>
  <si>
    <t>UNIDAKT 2% (MICONAZOLE) ORAL GEL 30G</t>
  </si>
  <si>
    <t>FG09193</t>
  </si>
  <si>
    <t>CYPROPLEX PLUS SACHET 15 ML (APPETITE STIMULANT WITH MULTIVITAMIN)</t>
  </si>
  <si>
    <t>FG09194</t>
  </si>
  <si>
    <t>NOCOLD-DX COLD &amp; FLU SYRUP SACHET 7 ML</t>
  </si>
  <si>
    <t>FG09195</t>
  </si>
  <si>
    <t>MAGALAX ORAL EMULSION 200 ML (LAXATIVE)</t>
  </si>
  <si>
    <t>FG09196</t>
  </si>
  <si>
    <t>CEFIXIME 50MG POUDRE POUR SUSP. ORALE 60ML</t>
  </si>
  <si>
    <t>FG09197</t>
  </si>
  <si>
    <t>CEFIXIME 100MG POUDRE POUR SUSP. ORALE 60ML</t>
  </si>
  <si>
    <t>FG09198</t>
  </si>
  <si>
    <t>VALSAC (SACUBITRIL 49 MG + VALSARTAN 51 MG) B/3X10 CES</t>
  </si>
  <si>
    <t>FG09199</t>
  </si>
  <si>
    <t>VALSAC (SACUBITRIL 97 MG + VALSARTAN 103 MG) B/3X10 CES</t>
  </si>
  <si>
    <t>FG09200</t>
  </si>
  <si>
    <t>ASPIRINE 500MG B/10CES X 25PL (UNIQUE)</t>
  </si>
  <si>
    <t>FG09201</t>
  </si>
  <si>
    <t>UNICAIN 10% (LIDOCAINE) SPRAY 50 ML</t>
  </si>
  <si>
    <t>FG09202</t>
  </si>
  <si>
    <t>ZESTRIL 10MG B/10CES</t>
  </si>
  <si>
    <t>FG09233</t>
  </si>
  <si>
    <t>SPASCOL (DROTAVERINE HYDR. &amp; PARA.) B/10 CES</t>
  </si>
  <si>
    <t>FG09203</t>
  </si>
  <si>
    <t>CRYOSTAT A MICROTOME SEMI-AUTOMATIQUE</t>
  </si>
  <si>
    <t>FG09204</t>
  </si>
  <si>
    <t>LAMES DE MICROTOME LP</t>
  </si>
  <si>
    <t>FG09205</t>
  </si>
  <si>
    <t>LAMES DE MICROTOME HP</t>
  </si>
  <si>
    <t>FG09206</t>
  </si>
  <si>
    <t>CHAISE DENTAIRE PART A</t>
  </si>
  <si>
    <t>FG09207</t>
  </si>
  <si>
    <t>OPTHA - LAMPE A FENTE NUMERIQUE</t>
  </si>
  <si>
    <t>FG09208</t>
  </si>
  <si>
    <t>OPTHA - RETINOGRAPHE PORTABLE</t>
  </si>
  <si>
    <t>FG09209</t>
  </si>
  <si>
    <t>OPTHA - RETINOGRAPHE</t>
  </si>
  <si>
    <t>FG09210</t>
  </si>
  <si>
    <t>OPTHA - TONOMETRE SANS CONTACT</t>
  </si>
  <si>
    <t>FG09211</t>
  </si>
  <si>
    <t>OPTHA - ECHOGRAPHIE A-SCAN &amp; PACHYMETRE</t>
  </si>
  <si>
    <t>FG09212</t>
  </si>
  <si>
    <t>OPTHA - ECHOGRAPHIE OPHTALMIQUE A/B SCAN</t>
  </si>
  <si>
    <t>FG09213</t>
  </si>
  <si>
    <t>OPTHA - PERIMETRE OPHTALMIQUE</t>
  </si>
  <si>
    <t>FG09214</t>
  </si>
  <si>
    <t>OPTHA - MICROSCOPE OPERATOIRE</t>
  </si>
  <si>
    <t>FG09215</t>
  </si>
  <si>
    <t>OPTHA - TABLE OPHTALMIQUE MOTORISEE</t>
  </si>
  <si>
    <t>FG09216</t>
  </si>
  <si>
    <t>OPTHA - AUTO REFRACTO/KERATINOMETRE</t>
  </si>
  <si>
    <t>FG09217</t>
  </si>
  <si>
    <t>OPTHA - LENSOMETRE</t>
  </si>
  <si>
    <t>FG09218</t>
  </si>
  <si>
    <t>OPTHA - REFRACTEUR AUTOMATIQUE</t>
  </si>
  <si>
    <t>FG09219</t>
  </si>
  <si>
    <t>OPTHA - PROJECTEUR GRAPHIQUE AUTOMATIQUE</t>
  </si>
  <si>
    <t>FG09220</t>
  </si>
  <si>
    <t>OPTHA - ECRAN D ACUITE VISUELLE</t>
  </si>
  <si>
    <t>FG09221</t>
  </si>
  <si>
    <t>OPTHA - UNITE COMBINEE D OPHTALMOLOGIE</t>
  </si>
  <si>
    <t>FG09222</t>
  </si>
  <si>
    <t>OPTHA - LASER YAG</t>
  </si>
  <si>
    <t>FG09223</t>
  </si>
  <si>
    <t>OPTHA - PHACOEMULSIFICATEUR</t>
  </si>
  <si>
    <t>FG09224</t>
  </si>
  <si>
    <t>OPTHA - TOPOGRAPHE PAR COHERENCE OPTIQUE</t>
  </si>
  <si>
    <t>FG09225</t>
  </si>
  <si>
    <t>OPTHA - TOPOGRAPHE CORNÉENNE</t>
  </si>
  <si>
    <t>FG09226</t>
  </si>
  <si>
    <t>ABG EN102 - CARTOUCHE DE TEST EG10+ B/25 TESTS</t>
  </si>
  <si>
    <t>FG09227</t>
  </si>
  <si>
    <t>LITTMAN STETHOSCOPE</t>
  </si>
  <si>
    <t>FG09228</t>
  </si>
  <si>
    <t>CROSS BAG</t>
  </si>
  <si>
    <t>FG09229</t>
  </si>
  <si>
    <t>HAND BANDS</t>
  </si>
  <si>
    <t>FG09230</t>
  </si>
  <si>
    <t>UMBRELLA</t>
  </si>
  <si>
    <t>FG09231</t>
  </si>
  <si>
    <t>FOOTBALL</t>
  </si>
  <si>
    <t>FG09232</t>
  </si>
  <si>
    <t>RAIN COAT</t>
  </si>
  <si>
    <t>FG09234</t>
  </si>
  <si>
    <t>ANALYSEUR DE COAGULATION</t>
  </si>
  <si>
    <t>FG09235</t>
  </si>
  <si>
    <t>OTRINIQUE ENFANT NASAL SPRAY 10ML</t>
  </si>
  <si>
    <t>FG09236</t>
  </si>
  <si>
    <t>POLYFREASH EXTRA 0.4ML B/30 UNIDOSE</t>
  </si>
  <si>
    <t>FG09239</t>
  </si>
  <si>
    <t>CANDIZOLE (CLOTIMAZOLE DUSTING POWDER) 50G</t>
  </si>
  <si>
    <t>FG09241</t>
  </si>
  <si>
    <t>DORIXINA B1+B6+B12 B/20CES (FR)</t>
  </si>
  <si>
    <t>FG09242</t>
  </si>
  <si>
    <t>ENOXA 6000UI 2 SERINGUES (FR)</t>
  </si>
  <si>
    <t>FG09243</t>
  </si>
  <si>
    <t>EPIRAX (CHLORDIAZEPOXIDE + BROM. CLIDINIUM ) 30 CES (FR)</t>
  </si>
  <si>
    <t>FG09244</t>
  </si>
  <si>
    <t>PANTOCOME D (PANTOPRAZOL + DOMPER.)40/30MG B/10 CAP</t>
  </si>
  <si>
    <t>FG09247</t>
  </si>
  <si>
    <t>BLENDER</t>
  </si>
  <si>
    <t>FG09251</t>
  </si>
  <si>
    <t>BIENEURO (PREGABALIN) 75MG EXTENDED RELEASE</t>
  </si>
  <si>
    <t>FG09252</t>
  </si>
  <si>
    <t>BIENEURO FORTE (PREGABALIN) B/30 CES</t>
  </si>
  <si>
    <t>FG09245</t>
  </si>
  <si>
    <t>T V 75 INCH</t>
  </si>
  <si>
    <t>FG09237</t>
  </si>
  <si>
    <t>ALERBIX (BILASTINE 10MG) B/20 CES (FR)</t>
  </si>
  <si>
    <t>FG09238</t>
  </si>
  <si>
    <t>ALERBIX (BILASTINE 20MG) B/10 CES (FR)</t>
  </si>
  <si>
    <t>FG09240</t>
  </si>
  <si>
    <t>POCHE DE SANG DOUBE 250CCPCS/1</t>
  </si>
  <si>
    <t>FG09246</t>
  </si>
  <si>
    <t>POLYFRESH EXTRA B/30 UNIDOSE</t>
  </si>
  <si>
    <t>FG09248</t>
  </si>
  <si>
    <t>IMPLANTS ORTHO MERIL MODULAR SHELL 62</t>
  </si>
  <si>
    <t>FG09249</t>
  </si>
  <si>
    <t>IMPLANTS ORTHO MERIL MODULAR SHELL 64</t>
  </si>
  <si>
    <t>FG09250</t>
  </si>
  <si>
    <t>IMPLANTS ORTHO MERIL UHMWPE + SS 316LVM 10°CEMENTED CUP 60/32</t>
  </si>
  <si>
    <t>FG09253</t>
  </si>
  <si>
    <t>INS - PINCE A CŒUR, 16CM</t>
  </si>
  <si>
    <t>FG09254</t>
  </si>
  <si>
    <t>IMPLANT ORTHO GENERAL INSTRUMENT SET</t>
  </si>
  <si>
    <t>FG09255</t>
  </si>
  <si>
    <t>INS - PINCE KELLY, PINCE A POLYPE ET PINCE A OVUM DENTELEE, 32 CM</t>
  </si>
  <si>
    <t>FG09293</t>
  </si>
  <si>
    <t>BIOCLIN (TIGECYCLINE) 50MG INJ</t>
  </si>
  <si>
    <t>FG09295</t>
  </si>
  <si>
    <t>MONTEMI 40 (TELMISARTAN) B/30 TAB</t>
  </si>
  <si>
    <t>FG09296</t>
  </si>
  <si>
    <t>HAND SANITIZER 1LTR</t>
  </si>
  <si>
    <t>FG09325</t>
  </si>
  <si>
    <t>MUAC ENFANT 1PC</t>
  </si>
  <si>
    <t>FG09256</t>
  </si>
  <si>
    <t>BONNE NUIT PRESERVATIF FEMININ LATEX AVEC ANNEAU 1 PCS</t>
  </si>
  <si>
    <t>FG09257</t>
  </si>
  <si>
    <t>COSPHATRIX 1000MG (CYCLOPHOSPHAMIDE) B/1 VIAL</t>
  </si>
  <si>
    <t>FG09258</t>
  </si>
  <si>
    <t>EVARAP 10MG B/30CES</t>
  </si>
  <si>
    <t>FG09259</t>
  </si>
  <si>
    <t>EVARAP 5MG B/30CES</t>
  </si>
  <si>
    <t>FG09260</t>
  </si>
  <si>
    <t>FLUOROURACIL 250MG/5ML B/1 VIAL</t>
  </si>
  <si>
    <t>FG09261</t>
  </si>
  <si>
    <t>FULVIX 250MG (FULVESTRRANT) B/1 PFS</t>
  </si>
  <si>
    <t>FG09262</t>
  </si>
  <si>
    <t>LUKOTRIN 100MG (LEUCOVORIN CALCIUM) B/1 VIAL 10ML</t>
  </si>
  <si>
    <t>FG09263</t>
  </si>
  <si>
    <t>ABIRATERONE 500MG B/60 CES</t>
  </si>
  <si>
    <t>FG09264</t>
  </si>
  <si>
    <t>BOCILIB 125MG (PALBOCICLIB) B/21 CAPSULES</t>
  </si>
  <si>
    <t>FG09265</t>
  </si>
  <si>
    <t>ENZADI 40MG (ENZALUTAMIDE) B/28 CAPSULES</t>
  </si>
  <si>
    <t>FG09266</t>
  </si>
  <si>
    <t>IMATINIB 400MG B/30 CES</t>
  </si>
  <si>
    <t>FG09267</t>
  </si>
  <si>
    <t>LENVA 4MG (LENVATINIB) B/30 CAPSULES</t>
  </si>
  <si>
    <t>FG09268</t>
  </si>
  <si>
    <t>LENALITRIX 10MG (LENALIDOMIDE) B/30 CAPSULES</t>
  </si>
  <si>
    <t>FG09269</t>
  </si>
  <si>
    <t>NILOTINIB 200MG B/28 CAPSULES</t>
  </si>
  <si>
    <t>FG09270</t>
  </si>
  <si>
    <t>NILOTINIB 150MG B/28 CAPSULES</t>
  </si>
  <si>
    <t>FG09271</t>
  </si>
  <si>
    <t>NISUB 50MG (SUNITINIB) B/28CAPSULES</t>
  </si>
  <si>
    <t>FG09272</t>
  </si>
  <si>
    <t>POMALIDOMIDE 4MG B/21 CAPSULES</t>
  </si>
  <si>
    <t>FG09273</t>
  </si>
  <si>
    <t>TIXANIB 5MG (AXITINIB) B/14CES</t>
  </si>
  <si>
    <t>FG09274</t>
  </si>
  <si>
    <t>ZOPATRIX 400MG (PAZOPANIB) B/30 CES</t>
  </si>
  <si>
    <t>FG09275</t>
  </si>
  <si>
    <t>NUPARP 300MG (RUCAPARIB) B/60CES</t>
  </si>
  <si>
    <t>FG09276</t>
  </si>
  <si>
    <t>IBRUZEE 140MG (IBRUTINIB) B/30 CAPSULES</t>
  </si>
  <si>
    <t>FG09277</t>
  </si>
  <si>
    <t>TEKNIMED GENTAFIX 3 MV+G BONE CEMENT 40G</t>
  </si>
  <si>
    <t>FG09278</t>
  </si>
  <si>
    <t>TEKNIMED GENTAFIX 1 HV+G BONE CEMENT 40G</t>
  </si>
  <si>
    <t>FG09279</t>
  </si>
  <si>
    <t>CLAMOQUE-250 DT – AMOXYCILLINE 250 MG COMPRIMES DISPERSIBLES B/10X10</t>
  </si>
  <si>
    <t>FG09280</t>
  </si>
  <si>
    <t>VITAMINE A 100000 UI CAPSULES B/100</t>
  </si>
  <si>
    <t>FG09281</t>
  </si>
  <si>
    <t>VITAMINE A 200000 UI CAPSULES B/100</t>
  </si>
  <si>
    <t>FG09282</t>
  </si>
  <si>
    <t>ALBENDAZOLE 400 MG COMPRIMES B/100</t>
  </si>
  <si>
    <t>FG09283</t>
  </si>
  <si>
    <t>ASSUTOR 20 – ATORVASTATINE 20 MG B/3X10 CPR</t>
  </si>
  <si>
    <t>FG09284</t>
  </si>
  <si>
    <t>ASSUTOR 10 – ATORVASTATINE 10 MG B/3X10 CPR</t>
  </si>
  <si>
    <t>FG09285</t>
  </si>
  <si>
    <t>VAGISERIN – GEL INTIME RAFFERMISSANT TUBE 30 G</t>
  </si>
  <si>
    <t>FG09286</t>
  </si>
  <si>
    <t>HIFER FCM – INJ. FERRIC CARBOXYMALTOSE 500 MG/10 ML – 10 ML</t>
  </si>
  <si>
    <t>FG09287</t>
  </si>
  <si>
    <t>NASOMATE – SPRAY NASAL DE MOMETASONE FUROATE 40 DOSES</t>
  </si>
  <si>
    <t>FG09288</t>
  </si>
  <si>
    <t>AVAMYQUE – SPRAY NASAL DE FLUTICASONE FUROATE 120 PULVERISATIONS</t>
  </si>
  <si>
    <t>FG09289</t>
  </si>
  <si>
    <t>AMOXICILLINE SUSPENSION BUVABLE 250 MG/5 ML FLACON 60 ML</t>
  </si>
  <si>
    <t>FG09290</t>
  </si>
  <si>
    <t>AMOXICILLINE SUSPENSION BUVABLE 125 MG/5 ML FLACON 60 ML</t>
  </si>
  <si>
    <t>FG09291</t>
  </si>
  <si>
    <t>LEVEPRA 500 – LEVETIRACETAM 500 MG B/5X10 CPR</t>
  </si>
  <si>
    <t>FG09292</t>
  </si>
  <si>
    <t>LEVEPRA 1000 – LEVETIRACETAM 1000 MG B/5X10 CPR</t>
  </si>
  <si>
    <t>FG09297</t>
  </si>
  <si>
    <t>ECHOGRAPHIE CHARIOT COULEUR SONOPORT 8</t>
  </si>
  <si>
    <t>FG09298</t>
  </si>
  <si>
    <t>AIR COMPRESSOR</t>
  </si>
  <si>
    <t>FG09299</t>
  </si>
  <si>
    <t>AG MODULE (INCLUDING ETCO2) S12A</t>
  </si>
  <si>
    <t>FG09300</t>
  </si>
  <si>
    <t>BRASSARD (PB)</t>
  </si>
  <si>
    <t>FG09301</t>
  </si>
  <si>
    <t>TENSIOMETRE MERCURE DE TABLE ADULTE</t>
  </si>
  <si>
    <t>FG09302</t>
  </si>
  <si>
    <t>BLOUSE MEDICALE A MANCHE COURTE</t>
  </si>
  <si>
    <t>FG09303</t>
  </si>
  <si>
    <t>TABLIER MEDICAL</t>
  </si>
  <si>
    <t>FG09304</t>
  </si>
  <si>
    <t>PULSE LAVAGE DISPOSABLE</t>
  </si>
  <si>
    <t>FG09305</t>
  </si>
  <si>
    <t>BONE CEMENT MIXING GUN AND SYSTEM</t>
  </si>
  <si>
    <t>FG09306</t>
  </si>
  <si>
    <t>PATINET MONITER SCREEN FOR MODEL: H8</t>
  </si>
  <si>
    <t>FG09307</t>
  </si>
  <si>
    <t>BICARBONATE INJECTION 5% 1.5 ML AMPOULE</t>
  </si>
  <si>
    <t>FG09308</t>
  </si>
  <si>
    <t>BICARBONATE INJECTION 5% 2.5 ML AMPOULE</t>
  </si>
  <si>
    <t>FG09309</t>
  </si>
  <si>
    <t>BICARBONATE INJECTION 5% 3 ML AMPOULE</t>
  </si>
  <si>
    <t>FG09310</t>
  </si>
  <si>
    <t>BICARBONATE INJECTION 5% 3.5 ML AMPOULE</t>
  </si>
  <si>
    <t>FG09311</t>
  </si>
  <si>
    <t>BICARBONATE INJECTION 5% 4 ML AMPOULE</t>
  </si>
  <si>
    <t>FG09312</t>
  </si>
  <si>
    <t>SODIUM CHLORIDE INJECTION 0.9% 6.25 ML AMPOULE</t>
  </si>
  <si>
    <t>FG09313</t>
  </si>
  <si>
    <t>SODIUM CHLORIDE INJECTION 0.9% 7.5 ML AMPOULE</t>
  </si>
  <si>
    <t>FG09314</t>
  </si>
  <si>
    <t>SODIUM CHLORIDE INJECTION 0.9% 8.75 ML AMPOULE</t>
  </si>
  <si>
    <t>FG09315</t>
  </si>
  <si>
    <t>SODIUM CHLORIDE INJECTION 0.9% 10 ML AMPOULE</t>
  </si>
  <si>
    <t>FG09316</t>
  </si>
  <si>
    <t>ARH PRO 30 MG (ARTESUNATE INJECTION) KIT</t>
  </si>
  <si>
    <t>ARH PRO</t>
  </si>
  <si>
    <t>FG09317</t>
  </si>
  <si>
    <t>ARH PRO 60 MG (ARTESUNATE INJECTION) KIT</t>
  </si>
  <si>
    <t>FG09318</t>
  </si>
  <si>
    <t>ARH PRO 90 MG (ARTESUNATE INJECTION) KIT</t>
  </si>
  <si>
    <t>FG09319</t>
  </si>
  <si>
    <t>ARH PRO 120 MG (ARTESUNATE INJECTION) KIT</t>
  </si>
  <si>
    <t>FG09320</t>
  </si>
  <si>
    <t>ARH PRO 150 MG (ARTESUNATE INJECTION) KIT</t>
  </si>
  <si>
    <t>FG09321</t>
  </si>
  <si>
    <t>ARH PRO 180 MG (ARTESUNATE INJECTION) KIT</t>
  </si>
  <si>
    <t>FG09322</t>
  </si>
  <si>
    <t>ARH PRO 210 MG (ARTESUNATE INJECTION) KIT</t>
  </si>
  <si>
    <t>FG09323</t>
  </si>
  <si>
    <t>ARH PRO 240 MG (ARTESUNATE INJECTION) KIT</t>
  </si>
  <si>
    <t>FG09324</t>
  </si>
  <si>
    <t>EPICRANIAN 23G BLUE PCS/50PCS</t>
  </si>
  <si>
    <t>FG09326</t>
  </si>
  <si>
    <t>METRONIDAZOLE 500MG B/10X10CES</t>
  </si>
  <si>
    <t>FG09327</t>
  </si>
  <si>
    <t>TENAFOVIR+LAMIVUDINE+DOLUTEGRAVIR BOITE DE 30 CES</t>
  </si>
  <si>
    <t>FG09328</t>
  </si>
  <si>
    <t>DISPOSITIF DE LAVAGE DES MAINS (SEAU+ROBINET+SUPPORT)</t>
  </si>
  <si>
    <t>FG09294</t>
  </si>
  <si>
    <t>MONTEMI 80 (TELMISARTAN) B/30 TAB</t>
  </si>
  <si>
    <t>FG09330</t>
  </si>
  <si>
    <t>SINURHON 6SX1X20 PACKS TAB</t>
  </si>
  <si>
    <t>FG09331</t>
  </si>
  <si>
    <t>SINURHON 100ML SUSPENNSION</t>
  </si>
  <si>
    <t>FG09337</t>
  </si>
  <si>
    <t>MONTEMI HT B/30</t>
  </si>
  <si>
    <t>FG09339</t>
  </si>
  <si>
    <t>TELESHAL TRIO 80/12.5/5 B/30 TAB</t>
  </si>
  <si>
    <t>FG09340</t>
  </si>
  <si>
    <t>TELESHAL TRIO 40/12.5/5 B/30 TAB</t>
  </si>
  <si>
    <t>FG09329</t>
  </si>
  <si>
    <t>METRE RUBAN</t>
  </si>
  <si>
    <t>FG09332</t>
  </si>
  <si>
    <t>BOITE A PINCE INTERMEDIARE</t>
  </si>
  <si>
    <t>FG09333</t>
  </si>
  <si>
    <t>HAND SANITIZER 500ML</t>
  </si>
  <si>
    <t>FG09334</t>
  </si>
  <si>
    <t>HAND SANITIZER 750ML</t>
  </si>
  <si>
    <t>FG09335</t>
  </si>
  <si>
    <t>HAND SANITIZER 100ML</t>
  </si>
  <si>
    <t>FG09336</t>
  </si>
  <si>
    <t>HAND SANITIZER 350ML</t>
  </si>
  <si>
    <t>FG09338</t>
  </si>
  <si>
    <t>BASSIN DE DECONTAMINATION</t>
  </si>
  <si>
    <t>Aizah Pharma FZCO</t>
  </si>
  <si>
    <t>Unique Ventures</t>
  </si>
  <si>
    <t>Kinshasa</t>
  </si>
  <si>
    <t>Goma</t>
  </si>
  <si>
    <t>Lubumbashi</t>
  </si>
  <si>
    <t>DYNAMIQ20 AMP</t>
  </si>
  <si>
    <t>NEW 001</t>
  </si>
  <si>
    <t>0131/2026</t>
  </si>
  <si>
    <t>20 Ampx10 Ml</t>
  </si>
  <si>
    <t>DYNAMIQ20</t>
  </si>
  <si>
    <t>Aarmed Formulations Pvt Ltd</t>
  </si>
  <si>
    <t>Acme Lifetech Llp</t>
  </si>
  <si>
    <t>Alaina Healthcare Pvt Ltd</t>
  </si>
  <si>
    <t>Alliance</t>
  </si>
  <si>
    <t>Ambadnya Life Science Llc</t>
  </si>
  <si>
    <t>Analytical Control Systems Inc</t>
  </si>
  <si>
    <t>Arkray Healthcare Pvt LTD</t>
  </si>
  <si>
    <t>Ascent Meditech Limited</t>
  </si>
  <si>
    <t>Ashwariya Healthcare</t>
  </si>
  <si>
    <t>Auxi Pharmaceuticals</t>
  </si>
  <si>
    <t>Avenz Pharmaceuticals Pvt Ltd</t>
  </si>
  <si>
    <t>Behandeling Logistics</t>
  </si>
  <si>
    <t>Bhanu Healthcare Pvt Ltd</t>
  </si>
  <si>
    <t>Biocodex</t>
  </si>
  <si>
    <t>Biodeal Pharmaceuticals Ltd</t>
  </si>
  <si>
    <t>Biomatrix Healthcare Pvt Ltd</t>
  </si>
  <si>
    <t>Bqc Assesment Pvt Ltd</t>
  </si>
  <si>
    <t>Cargotech Intl Express Sarl</t>
  </si>
  <si>
    <t>Cerp Mex</t>
  </si>
  <si>
    <t>Chase Logistic</t>
  </si>
  <si>
    <t>Cogezaf S.A.</t>
  </si>
  <si>
    <t>Contech Logistics Solutions Pvt Ltd</t>
  </si>
  <si>
    <t>Cooper</t>
  </si>
  <si>
    <t>Coral Markering</t>
  </si>
  <si>
    <t>D2P Pharma France</t>
  </si>
  <si>
    <t>Distriphar</t>
  </si>
  <si>
    <t>DURABLE HOSPITAL SUPPLIES</t>
  </si>
  <si>
    <t>Energia Pharma Services</t>
  </si>
  <si>
    <t>Enicar Pharmaceutical Pvt Ltd</t>
  </si>
  <si>
    <t>Ep Dis</t>
  </si>
  <si>
    <t>Eurimex Pharma</t>
  </si>
  <si>
    <t>Farbe Firma Private Limited</t>
  </si>
  <si>
    <t>Flagship Biotech International Pvt Ltd</t>
  </si>
  <si>
    <t>Gilbert Labortaries</t>
  </si>
  <si>
    <t>Glumex Pharmaceuticals Mfg. Pvt Ltd</t>
  </si>
  <si>
    <t>Herfurth Logistics</t>
  </si>
  <si>
    <t>Hind Pharma Aag</t>
  </si>
  <si>
    <t>Hm Medics</t>
  </si>
  <si>
    <t>Ibis Pharma</t>
  </si>
  <si>
    <t>Indasi Lifescience Pvt Ltd</t>
  </si>
  <si>
    <t>Inebios Labortories Zone</t>
  </si>
  <si>
    <t>Intas Pharmaceuticals</t>
  </si>
  <si>
    <t>Intermd(Epdis)</t>
  </si>
  <si>
    <t>Kavit Soap Industries</t>
  </si>
  <si>
    <t>Laboratories Bailly Creat</t>
  </si>
  <si>
    <t>Laboratries Sterop</t>
  </si>
  <si>
    <t>Lincoln Pharmaceuticlas Ltd</t>
  </si>
  <si>
    <t>Lupin Limited</t>
  </si>
  <si>
    <t>MERIL HEALTH CARE PRIVATE LTD</t>
  </si>
  <si>
    <t>Nymak</t>
  </si>
  <si>
    <t>Olive Healthcare</t>
  </si>
  <si>
    <t>Origin Pharma</t>
  </si>
  <si>
    <t>Pharma Developpement</t>
  </si>
  <si>
    <t>Pharmax India Pvt Ltd</t>
  </si>
  <si>
    <t>Pierre Fabre</t>
  </si>
  <si>
    <t>Piex Life Provider</t>
  </si>
  <si>
    <t>Planet Pharma</t>
  </si>
  <si>
    <t>Polybond India Pvt Ltd</t>
  </si>
  <si>
    <t>Reach52 Pte Ltd-(Eur)</t>
  </si>
  <si>
    <t>Safeguard Contraceptives Private Limited</t>
  </si>
  <si>
    <t>Scott Edil Pharmacia Ltd</t>
  </si>
  <si>
    <t>Sofibel Laboratries</t>
  </si>
  <si>
    <t>Sunrise Remedies Pvt Ltd</t>
  </si>
  <si>
    <t>Sydler Remedies Pvt Ltd</t>
  </si>
  <si>
    <t>Tactus Nutrasciences Llp</t>
  </si>
  <si>
    <t>Tedis</t>
  </si>
  <si>
    <t>Tg Worldwide Sdn Bhd</t>
  </si>
  <si>
    <t>Tridem Pharma Distribution</t>
  </si>
  <si>
    <t>Verve Human Care Lab</t>
  </si>
  <si>
    <t>Vincit Biotech International Pvt Ltd</t>
  </si>
  <si>
    <t>Vovantis Laboratories Pvt Ltd</t>
  </si>
  <si>
    <t>Yiwu Royal</t>
  </si>
  <si>
    <t>Zest Pharma</t>
  </si>
  <si>
    <t>HemexDx Private Limited</t>
  </si>
  <si>
    <t>TITAN BIOTECH</t>
  </si>
  <si>
    <t>St.Stone Medical Services Pvt Ltd</t>
  </si>
  <si>
    <t>Aishwarya Healthcre Pvt Ltd</t>
  </si>
  <si>
    <t>OK BIOTECH CO LTD</t>
  </si>
  <si>
    <t>Hemant Surgical Industires Ltd</t>
  </si>
  <si>
    <t>TYMK HEALTH  &amp; WELLNESS PVT LTD</t>
  </si>
  <si>
    <t>Lenus Lifecare pvt ltd</t>
  </si>
  <si>
    <t>CUPID LIMITED</t>
  </si>
  <si>
    <t>UNIMARCK HEALTHCARE LTD</t>
  </si>
  <si>
    <t>LENUS LIFECARE PVT LTD IND</t>
  </si>
  <si>
    <t>DAMM International</t>
  </si>
  <si>
    <t>TEKNIMED SAS</t>
  </si>
  <si>
    <t>ALLENGERS MEDICAL SYSTEMS LTD</t>
  </si>
  <si>
    <t>MANHA ENTERPRISE</t>
  </si>
  <si>
    <t>Hill LifeCare Limited</t>
  </si>
  <si>
    <t>AMI GLOBAL LOGISTICS PVT LTD</t>
  </si>
  <si>
    <t>Reach52 Pte Ltd-(USD)</t>
  </si>
  <si>
    <t>GR IMPEX</t>
  </si>
  <si>
    <t>CENTURION HEALTHCARE PVT LTD</t>
  </si>
  <si>
    <t>Shahji GlobaL Biz pvt ltd</t>
  </si>
  <si>
    <t>luman labs pvt ltd</t>
  </si>
  <si>
    <t>AYKA PHARMA</t>
  </si>
  <si>
    <t>ASTAMED HEALTHCARE</t>
  </si>
  <si>
    <t>LP ITALIANA SPA</t>
  </si>
  <si>
    <t>THETAPHARM</t>
  </si>
  <si>
    <t>Pierre Fabre-OLD</t>
  </si>
  <si>
    <t>DHITI BIOMEDICAL DEVICES PRIVATE LIMITED</t>
  </si>
  <si>
    <t>AFPL/PI/313</t>
  </si>
  <si>
    <t>033DBFC261801579</t>
  </si>
  <si>
    <t>125 gm</t>
  </si>
  <si>
    <t>75 gm</t>
  </si>
  <si>
    <t>100 gm</t>
  </si>
  <si>
    <t>0121/2026</t>
  </si>
  <si>
    <t>033DBFC261920624</t>
  </si>
  <si>
    <t>018/2026</t>
  </si>
  <si>
    <t>25-26/045</t>
  </si>
  <si>
    <t>Per Vial</t>
  </si>
  <si>
    <t>019/2026</t>
  </si>
  <si>
    <t>25-26/556</t>
  </si>
  <si>
    <t>033/2025</t>
  </si>
  <si>
    <t>004/2025</t>
  </si>
  <si>
    <t>026/2025</t>
  </si>
  <si>
    <t>027/2025</t>
  </si>
  <si>
    <t>072/2025</t>
  </si>
  <si>
    <t>033DBFC260334522</t>
  </si>
  <si>
    <t>25-26/046</t>
  </si>
  <si>
    <t>AIZAH PHARMA FZCO</t>
  </si>
  <si>
    <t>Transit</t>
  </si>
  <si>
    <t>FG03867</t>
  </si>
  <si>
    <t>25-26/555</t>
  </si>
  <si>
    <t>26-27/106</t>
  </si>
  <si>
    <t>NO BL RECEIVED</t>
  </si>
  <si>
    <t>25-26/036</t>
  </si>
  <si>
    <t>26-27/060</t>
  </si>
  <si>
    <t>071-6141 5944</t>
  </si>
  <si>
    <t>26-27/102</t>
  </si>
  <si>
    <t>071-6099 3601</t>
  </si>
  <si>
    <t>25-26/027</t>
  </si>
  <si>
    <t>EPHCOP25207M201S</t>
  </si>
  <si>
    <t>25-26/424</t>
  </si>
  <si>
    <t>UNIQUE VENTURES</t>
  </si>
  <si>
    <t>AMC2483036</t>
  </si>
  <si>
    <t>26KIN1/IGRN000076</t>
  </si>
  <si>
    <t>Goods Received at Warehouse</t>
  </si>
  <si>
    <t>PO Issued – Awaiting BL</t>
  </si>
  <si>
    <t>Final Invoice Received  – Awaiting BL</t>
  </si>
  <si>
    <t>5 Ml</t>
  </si>
  <si>
    <t>1 Vial</t>
  </si>
  <si>
    <t>Pack of 100 Amps</t>
  </si>
  <si>
    <t>10 ml x 20 Amps</t>
  </si>
  <si>
    <t>Pack of 5 Amps</t>
  </si>
  <si>
    <t>Pack of 10 Amps</t>
  </si>
  <si>
    <t>DIAZEPAM</t>
  </si>
  <si>
    <t>UNIKOF</t>
  </si>
  <si>
    <t>UNIKORT</t>
  </si>
  <si>
    <t>25-26/033</t>
  </si>
  <si>
    <t>EPHCOP315086Q2D0</t>
  </si>
  <si>
    <t>25-26/489</t>
  </si>
  <si>
    <t>AMC2508816</t>
  </si>
  <si>
    <t>26GMAI/IGRN000010</t>
  </si>
  <si>
    <t>25-26/035</t>
  </si>
  <si>
    <t>EPHCOP325089OJB5</t>
  </si>
  <si>
    <t>26KIN1/IGRN000135</t>
  </si>
  <si>
    <t>0162/2025</t>
  </si>
  <si>
    <t>0080/2025</t>
  </si>
  <si>
    <t>Per Pack 100 Amp</t>
  </si>
  <si>
    <t>25-26/002</t>
  </si>
  <si>
    <t>EPHCOP12006G1J7C</t>
  </si>
  <si>
    <t>25-26/269</t>
  </si>
  <si>
    <t>26KIN1/IGRN000015</t>
  </si>
  <si>
    <t>24/25/084</t>
  </si>
  <si>
    <t>10 ml</t>
  </si>
  <si>
    <t>5 ml</t>
  </si>
  <si>
    <t>0037/2025</t>
  </si>
  <si>
    <t>EPHCOP097068N250</t>
  </si>
  <si>
    <t>0147/2024</t>
  </si>
  <si>
    <t>24-25/019</t>
  </si>
  <si>
    <t>EPHCOP3230529TJX</t>
  </si>
  <si>
    <t>25-26/079</t>
  </si>
  <si>
    <t>0136/2024</t>
  </si>
  <si>
    <t>24-25/018</t>
  </si>
  <si>
    <t>043/2024</t>
  </si>
  <si>
    <t>23-24/108</t>
  </si>
  <si>
    <t>23-24/112</t>
  </si>
  <si>
    <t>FG04097</t>
  </si>
  <si>
    <t>24-25/078</t>
  </si>
  <si>
    <t>AMC2229366</t>
  </si>
  <si>
    <t>24KIN/IGRN000234</t>
  </si>
  <si>
    <t>24-25/105</t>
  </si>
  <si>
    <t>EPHCOP209047ZI1N</t>
  </si>
  <si>
    <t>EPHCOP27704Q5SYK</t>
  </si>
  <si>
    <t>24-25/387</t>
  </si>
  <si>
    <t>24-25/192</t>
  </si>
  <si>
    <t>24KIN/IGRN000302</t>
  </si>
  <si>
    <t>EPHCOP29504UC6MI</t>
  </si>
  <si>
    <t>24-25/311</t>
  </si>
  <si>
    <t>071-5484 5781</t>
  </si>
  <si>
    <t>24KIN/IGRN000343</t>
  </si>
  <si>
    <t>24-25/322</t>
  </si>
  <si>
    <t>AMC2336146</t>
  </si>
  <si>
    <t>25KIN/IGRN000021</t>
  </si>
  <si>
    <t>Pack of 6 Amps</t>
  </si>
  <si>
    <t>EPHCOP17203Y9ZGA</t>
  </si>
  <si>
    <t>AMC2353209</t>
  </si>
  <si>
    <t>25KIN1/IGRN000048</t>
  </si>
  <si>
    <t>24-25/436</t>
  </si>
  <si>
    <t>24-25/482</t>
  </si>
  <si>
    <t>25KIN1/IGRN000088</t>
  </si>
  <si>
    <t>25KIN1/IGRN000203</t>
  </si>
  <si>
    <t>25-26/196</t>
  </si>
  <si>
    <t>25KIN1/IGRN000289</t>
  </si>
  <si>
    <t>25-26/282</t>
  </si>
  <si>
    <t>071-5553 0731</t>
  </si>
  <si>
    <t>25KIN1/IGRN000273</t>
  </si>
  <si>
    <t>26KIN1/IGRN000229</t>
  </si>
  <si>
    <t>25-26/311</t>
  </si>
  <si>
    <t>AMC2465942</t>
  </si>
  <si>
    <t>26KIN1/IGRN000009</t>
  </si>
  <si>
    <t>25-26/334</t>
  </si>
  <si>
    <t>25-26/032</t>
  </si>
  <si>
    <t>EPHCOP299081055G</t>
  </si>
  <si>
    <t>25-26/437A</t>
  </si>
  <si>
    <t>25-26/437</t>
  </si>
  <si>
    <t>25-26/445</t>
  </si>
  <si>
    <t>26GMAI/IGRN000002</t>
  </si>
  <si>
    <t>25-26/495A</t>
  </si>
  <si>
    <t>26KIN1/IGRN000194</t>
  </si>
  <si>
    <t>25-26/034</t>
  </si>
  <si>
    <t>25-26/490</t>
  </si>
  <si>
    <t>AMC2510432</t>
  </si>
  <si>
    <t>26KATI/IGRN000017</t>
  </si>
  <si>
    <t>EPHCOP23807H9WMK</t>
  </si>
  <si>
    <t>SWIFT COPY NOT AVAILABLE</t>
  </si>
  <si>
    <t>CFZEE33208EPHCOP</t>
  </si>
  <si>
    <t>Remarks</t>
  </si>
  <si>
    <t>26KIN1/IGRN000130</t>
  </si>
  <si>
    <t>Pack of 12 Amp</t>
  </si>
  <si>
    <t>26-27/019</t>
  </si>
  <si>
    <t>033DBFC261872417</t>
  </si>
  <si>
    <t>0141/2026</t>
  </si>
  <si>
    <t>0104/2026</t>
  </si>
  <si>
    <t>10 ML</t>
  </si>
  <si>
    <t>26-27/006</t>
  </si>
  <si>
    <t>033DBFC261542771</t>
  </si>
  <si>
    <t>Payment Terns</t>
  </si>
  <si>
    <t>Lead Delivery/Dispatched Date</t>
  </si>
  <si>
    <t>30 % Against &amp; Balance Against BL</t>
  </si>
  <si>
    <t>PRF_No</t>
  </si>
  <si>
    <t>PRF_Date</t>
  </si>
  <si>
    <t>PRF_Location</t>
  </si>
  <si>
    <t>Supplier_Name</t>
  </si>
  <si>
    <t>ITEM_CODE</t>
  </si>
  <si>
    <t>Product_Name_(DRC)</t>
  </si>
  <si>
    <t>Invoice_No</t>
  </si>
  <si>
    <t>BL_No</t>
  </si>
  <si>
    <t>Shipment_Status</t>
  </si>
  <si>
    <t>GRN_Qty</t>
  </si>
  <si>
    <t>Remaining_Advance</t>
  </si>
  <si>
    <t>Available_Advance</t>
  </si>
  <si>
    <t>Total_Advance_Deducted</t>
  </si>
  <si>
    <t>Advance_Adjusted</t>
  </si>
  <si>
    <t>Invoice_Amount</t>
  </si>
  <si>
    <t>10X10 Tabs</t>
  </si>
  <si>
    <t>0139/2026</t>
  </si>
  <si>
    <t>AM003/2026-27</t>
  </si>
  <si>
    <t>Final_Payable_Balance</t>
  </si>
  <si>
    <t>1x1x50 Tabs</t>
  </si>
  <si>
    <t>046/2026</t>
  </si>
  <si>
    <t>046/2025</t>
  </si>
  <si>
    <t>AM-004/2026-27</t>
  </si>
  <si>
    <t>0152/2026</t>
  </si>
  <si>
    <t>AM-005/2026-27</t>
  </si>
  <si>
    <t>Invoice_Qty</t>
  </si>
  <si>
    <t>0161/2026</t>
  </si>
  <si>
    <t>AM-006/2026-27</t>
  </si>
  <si>
    <t>033DBFC261920137</t>
  </si>
  <si>
    <t>FG04557</t>
  </si>
  <si>
    <t>0122/2026</t>
  </si>
  <si>
    <t>25X6 Tabes</t>
  </si>
  <si>
    <t>10x10 Capsule</t>
  </si>
  <si>
    <t>1x10 Tabs</t>
  </si>
  <si>
    <t>AM-001/2026-27</t>
  </si>
  <si>
    <t>033DBFC261750488</t>
  </si>
  <si>
    <t>032/2026</t>
  </si>
  <si>
    <t>AM-012/2025-26</t>
  </si>
  <si>
    <t>033/2026</t>
  </si>
  <si>
    <t>1x30 Capsule</t>
  </si>
  <si>
    <t>0159/2026</t>
  </si>
  <si>
    <t>PI/2026-27/03</t>
  </si>
  <si>
    <t>033DBFC261920142</t>
  </si>
  <si>
    <t>50 gm</t>
  </si>
  <si>
    <t>0101/2026</t>
  </si>
  <si>
    <t>PI/2026-27/02</t>
  </si>
  <si>
    <t>033DBFC261380482</t>
  </si>
  <si>
    <t>073/2026</t>
  </si>
  <si>
    <t>200 ml bottle</t>
  </si>
  <si>
    <t>100 ml bottle</t>
  </si>
  <si>
    <t>EP/P/02/26-27</t>
  </si>
  <si>
    <t>033DBFC261040236</t>
  </si>
  <si>
    <t>FG04770</t>
  </si>
  <si>
    <t>FG02492</t>
  </si>
  <si>
    <t>FG06495</t>
  </si>
  <si>
    <t>15 Ml bottle</t>
  </si>
  <si>
    <t>120 ml bottle</t>
  </si>
  <si>
    <t>150 ml bottle</t>
  </si>
  <si>
    <t>10 ml bottle</t>
  </si>
  <si>
    <t>0103/2026</t>
  </si>
  <si>
    <t>EP/P/07/26-27</t>
  </si>
  <si>
    <t>033DBFC261413316</t>
  </si>
  <si>
    <t>1x14 Tabs</t>
  </si>
  <si>
    <t>0132/2026</t>
  </si>
  <si>
    <t>P.0.012</t>
  </si>
  <si>
    <t>FG04058</t>
  </si>
  <si>
    <t>033DBFC261801581</t>
  </si>
  <si>
    <t>125 ml Bottle</t>
  </si>
  <si>
    <t>0157/2026</t>
  </si>
  <si>
    <t>S00060</t>
  </si>
  <si>
    <t>FG03408</t>
  </si>
  <si>
    <t>0150/2026</t>
  </si>
  <si>
    <t>S00061</t>
  </si>
  <si>
    <t>0143/2026</t>
  </si>
  <si>
    <t>S00058</t>
  </si>
  <si>
    <t>033DBFC261920136</t>
  </si>
  <si>
    <t>097/2026</t>
  </si>
  <si>
    <t>007/2026-27</t>
  </si>
  <si>
    <t>033DBFC261380991</t>
  </si>
  <si>
    <t>0133/2026</t>
  </si>
  <si>
    <t>010/2026-27</t>
  </si>
  <si>
    <t>033DBFC261771975</t>
  </si>
  <si>
    <t>Pcs</t>
  </si>
  <si>
    <t>0177/2026</t>
  </si>
  <si>
    <t>033DBFC261960141</t>
  </si>
  <si>
    <t>50 ml Bottle</t>
  </si>
  <si>
    <t>Bags</t>
  </si>
  <si>
    <t>0136/2026</t>
  </si>
  <si>
    <t>NP/26-27/UP/02</t>
  </si>
  <si>
    <t>NP/26-27/UP/01</t>
  </si>
  <si>
    <t>033DBFC261801580</t>
  </si>
  <si>
    <t>0158/2026</t>
  </si>
  <si>
    <t>NP/26-27/UP03</t>
  </si>
  <si>
    <t>033DBFC261920135</t>
  </si>
  <si>
    <t>0113/2026</t>
  </si>
  <si>
    <t>3X10 Caps</t>
  </si>
  <si>
    <t>PIOPS-046/26-27</t>
  </si>
  <si>
    <t>033DBFC261750952</t>
  </si>
  <si>
    <t>0147/2026</t>
  </si>
  <si>
    <t>PIOPS-058/26-27</t>
  </si>
  <si>
    <t>0153/2026</t>
  </si>
  <si>
    <t>PIOPS-059/26-27</t>
  </si>
  <si>
    <t>033DBFC261920139</t>
  </si>
  <si>
    <t>NEW 002</t>
  </si>
  <si>
    <t>COSHU TOL CHEWABLE TABLET</t>
  </si>
  <si>
    <t>FG04089</t>
  </si>
  <si>
    <t>FG04090</t>
  </si>
  <si>
    <t>FG08683</t>
  </si>
  <si>
    <t>0108/2026</t>
  </si>
  <si>
    <t>10X1X4</t>
  </si>
  <si>
    <t>1X7 Kit</t>
  </si>
  <si>
    <t>2x15 Capsule</t>
  </si>
  <si>
    <t>1x7 Sachets</t>
  </si>
  <si>
    <t>2x10 Capsule</t>
  </si>
  <si>
    <t>PIEXP002/2026-27</t>
  </si>
  <si>
    <t>0166/2026</t>
  </si>
  <si>
    <t>1X5 Tabs</t>
  </si>
  <si>
    <t>PIEX005/2026-27</t>
  </si>
  <si>
    <t>0162/2026</t>
  </si>
  <si>
    <t>PIEXP006/2026-27</t>
  </si>
  <si>
    <t>033DBFC261920625</t>
  </si>
  <si>
    <t>24KIN/IGRN000261</t>
  </si>
  <si>
    <t>200 Trialaminated in a Jar</t>
  </si>
  <si>
    <t>0149/2026</t>
  </si>
  <si>
    <t>SPPL/PRO/VS/2026/7/001</t>
  </si>
  <si>
    <t>0156/2026</t>
  </si>
  <si>
    <t>SPPL/PRO/VS/2026/7/002</t>
  </si>
  <si>
    <t>033DBFC261920138</t>
  </si>
  <si>
    <t>Box Of 10x8 Pellets</t>
  </si>
  <si>
    <t>0105/2026R1</t>
  </si>
  <si>
    <t>SPPL/PRO/VS/2026/5/010</t>
  </si>
  <si>
    <t>033DBFC261732191</t>
  </si>
  <si>
    <t>0134/2026</t>
  </si>
  <si>
    <t>SPPL/PRO/VS/2026/6/028</t>
  </si>
  <si>
    <t>033DBFC261771974</t>
  </si>
  <si>
    <t>30 Gummies/Jar</t>
  </si>
  <si>
    <t>10 Sachet/Box</t>
  </si>
  <si>
    <t>0106/2026R1</t>
  </si>
  <si>
    <t>2026-27/014</t>
  </si>
  <si>
    <t>033DBFC261920140</t>
  </si>
  <si>
    <t>2X15 Tabs</t>
  </si>
  <si>
    <t>30 Tablets/Jar</t>
  </si>
  <si>
    <t>0142/2026</t>
  </si>
  <si>
    <t>2026-27/032</t>
  </si>
  <si>
    <t>033DBFC261892640</t>
  </si>
  <si>
    <t>05x4ml</t>
  </si>
  <si>
    <t>10x1ml</t>
  </si>
  <si>
    <t>05x05ml</t>
  </si>
  <si>
    <t>0120/2026</t>
  </si>
  <si>
    <t>VERVE/2026/03</t>
  </si>
  <si>
    <t>033DBFC261750489</t>
  </si>
  <si>
    <t>0114/2026</t>
  </si>
  <si>
    <t>3X4 Tabs</t>
  </si>
  <si>
    <t>25x1x4 Tabs</t>
  </si>
  <si>
    <t>4x4 Tabs</t>
  </si>
  <si>
    <t>1x10 Sachets</t>
  </si>
  <si>
    <t>1 Tube x10 Tabs</t>
  </si>
  <si>
    <t>PI2627008</t>
  </si>
  <si>
    <t>033DBFC261682206</t>
  </si>
  <si>
    <t>1X10 Pouch</t>
  </si>
  <si>
    <t>070/2026</t>
  </si>
  <si>
    <t>PI2526028</t>
  </si>
  <si>
    <t>PI2526027</t>
  </si>
  <si>
    <t>033DBFC261103621</t>
  </si>
  <si>
    <t>100's</t>
  </si>
  <si>
    <t>0116/2026</t>
  </si>
  <si>
    <t>033DBFC261594528</t>
  </si>
  <si>
    <t>0115/2026</t>
  </si>
  <si>
    <t>ALAINA/PI/166/26-27</t>
  </si>
  <si>
    <t>033DBFC261594527</t>
  </si>
  <si>
    <t>NEW 003</t>
  </si>
  <si>
    <t>NEW 004</t>
  </si>
  <si>
    <t>NEW 005</t>
  </si>
  <si>
    <t>120 Sprays</t>
  </si>
  <si>
    <t>Bottle of 40 Dosses</t>
  </si>
  <si>
    <t>054/2026</t>
  </si>
  <si>
    <t>Email 20-feb-26</t>
  </si>
  <si>
    <t>033DBFC260542486</t>
  </si>
  <si>
    <t>PCS</t>
  </si>
  <si>
    <t>FG04022</t>
  </si>
  <si>
    <t>FG09342</t>
  </si>
  <si>
    <t>BALLON DE BAKRI</t>
  </si>
  <si>
    <t>FG09372</t>
  </si>
  <si>
    <t>I-30 (LEVONORGESTREL) 0,03MG B/30 CES</t>
  </si>
  <si>
    <t>FG09374</t>
  </si>
  <si>
    <t>ROSUVASTATINE EG 20MG B/30 CES</t>
  </si>
  <si>
    <t>FG09375</t>
  </si>
  <si>
    <t>ROSUVASTATINE EG 5MG B/30 CES</t>
  </si>
  <si>
    <t>FG09377</t>
  </si>
  <si>
    <t>STOPALGIC 1G/100ML INF</t>
  </si>
  <si>
    <t>PROPOMAX (PROPOFOL BP 10 MG/ML) EMULSION INJECTABLE – FLACON DE 20 ML</t>
  </si>
  <si>
    <t>FG09343</t>
  </si>
  <si>
    <t>TEST RAPIDE HCV EN CASSETTE - BOITE DE 25 TESTS</t>
  </si>
  <si>
    <t>FG09344</t>
  </si>
  <si>
    <t>TEST RAPIDE SYPHILIS EN CASSETTE - BOITE DE 25 TESTS</t>
  </si>
  <si>
    <t>FG09345</t>
  </si>
  <si>
    <t>IMN- MAGLUMI 800 HBSAG (CLIA) (NCE), 100 TEST/KIT</t>
  </si>
  <si>
    <t>FG09346</t>
  </si>
  <si>
    <t>IMN- MAGLUMI 800 HIV AB/AG (CLIA) (NCE), 100 TEST/KIT</t>
  </si>
  <si>
    <t>FG09347</t>
  </si>
  <si>
    <t>IMN- MAGLUMI 800 ANTI-HCV (CLIA) (NCE), 100 TEST/KIT</t>
  </si>
  <si>
    <t>FG09348</t>
  </si>
  <si>
    <t>IMN- MAGLUMI 800 SYPHILLIS (CLIA) (NCE), 100TEST/KIT</t>
  </si>
  <si>
    <t>FG09349</t>
  </si>
  <si>
    <t>ABG EN102 - CARTOUCHE DE TEST EG11+ B/25 TESTS</t>
  </si>
  <si>
    <t>FG09373</t>
  </si>
  <si>
    <t>NALOXONE INJ B/1 AMP</t>
  </si>
  <si>
    <t>FG09341</t>
  </si>
  <si>
    <t>ZINTAB 20 (3X10) CES</t>
  </si>
  <si>
    <t>FG09350</t>
  </si>
  <si>
    <t>T V 65 INCH</t>
  </si>
  <si>
    <t>FG09351</t>
  </si>
  <si>
    <t>BATTRY 150 W</t>
  </si>
  <si>
    <t>FG09352</t>
  </si>
  <si>
    <t>SOLAR PANNEAU 300W</t>
  </si>
  <si>
    <t>FG09353</t>
  </si>
  <si>
    <t>HEPATOX - B CAPSULE B/30 CAPS</t>
  </si>
  <si>
    <t>FG09354</t>
  </si>
  <si>
    <t>HEPATOX SIROP 200ML</t>
  </si>
  <si>
    <t>FG09355</t>
  </si>
  <si>
    <t>HERBITUS 120ML SIROP</t>
  </si>
  <si>
    <t>FG09356</t>
  </si>
  <si>
    <t>IVYFLEX 120ML SIROP</t>
  </si>
  <si>
    <t>FG09357</t>
  </si>
  <si>
    <t>M - BOLEO B/30 CAPS</t>
  </si>
  <si>
    <t>FG09358</t>
  </si>
  <si>
    <t>M - BOLEO JELLY</t>
  </si>
  <si>
    <t>FG09359</t>
  </si>
  <si>
    <t>MONTEMI-40 (TELMISARTAN) B/30 CES</t>
  </si>
  <si>
    <t>FG09360</t>
  </si>
  <si>
    <t>MONTEMI-80 (TELMISARTAN) B/30 CES</t>
  </si>
  <si>
    <t>FG09361</t>
  </si>
  <si>
    <t>MONTEMI-HT (TELMISARTAN) B/30 CES</t>
  </si>
  <si>
    <t>FG09362</t>
  </si>
  <si>
    <t>NEPHROFLO B/60 CAPS</t>
  </si>
  <si>
    <t>FG09363</t>
  </si>
  <si>
    <t>NEPHROFLO SIROP 200ML</t>
  </si>
  <si>
    <t>FG09364</t>
  </si>
  <si>
    <t>OMG - 3 150ML SIROP</t>
  </si>
  <si>
    <t>FG09365</t>
  </si>
  <si>
    <t>POWER PLUS SPRAY 70ML</t>
  </si>
  <si>
    <t>FG09366</t>
  </si>
  <si>
    <t>PREGALIN - **NM** B/30 CES</t>
  </si>
  <si>
    <t>FG09367</t>
  </si>
  <si>
    <t>PREGALIN 150MG B/30 CAPS</t>
  </si>
  <si>
    <t>FG09368</t>
  </si>
  <si>
    <t>PREGALIN 300MG B/30 CAPS</t>
  </si>
  <si>
    <t>FG09369</t>
  </si>
  <si>
    <t>PREGALIN 75MG B/30 CAPS</t>
  </si>
  <si>
    <t>FG09370</t>
  </si>
  <si>
    <t>PROTAM - **DT** B/30 CES</t>
  </si>
  <si>
    <t>FG09371</t>
  </si>
  <si>
    <t>VIVOMIN 200ML SIROP</t>
  </si>
  <si>
    <t>FG09378</t>
  </si>
  <si>
    <t>OMEPRAZOLE 10X10CES(LOCAL)</t>
  </si>
  <si>
    <t>FG09379</t>
  </si>
  <si>
    <t>PARALGAN 100MG BEBE B/12 SUPPO</t>
  </si>
  <si>
    <t>FG09376</t>
  </si>
  <si>
    <t>BIOPLATE DE GROUPAGE (1 PUITS)</t>
  </si>
  <si>
    <r>
      <t>Against </t>
    </r>
    <r>
      <rPr>
        <i/>
        <sz val="8"/>
        <color theme="1"/>
        <rFont val="Verdana"/>
        <family val="2"/>
      </rPr>
      <t>Helicobacter pylori</t>
    </r>
    <r>
      <rPr>
        <sz val="8"/>
        <color theme="1"/>
        <rFont val="Verdana"/>
        <family val="2"/>
      </rPr>
      <t> infection</t>
    </r>
  </si>
  <si>
    <r>
      <t>Uncomplicated </t>
    </r>
    <r>
      <rPr>
        <i/>
        <sz val="8"/>
        <color theme="1"/>
        <rFont val="Verdana"/>
        <family val="2"/>
      </rPr>
      <t>P. falciparum</t>
    </r>
    <r>
      <rPr>
        <sz val="8"/>
        <color theme="1"/>
        <rFont val="Verdana"/>
        <family val="2"/>
      </rPr>
      <t> malaria; relay for severe malaria (when chloroquine cannot be used)</t>
    </r>
  </si>
  <si>
    <r>
      <t>Uncomplicated </t>
    </r>
    <r>
      <rPr>
        <i/>
        <sz val="8"/>
        <color theme="1"/>
        <rFont val="Verdana"/>
        <family val="2"/>
      </rPr>
      <t>P. falciparum</t>
    </r>
    <r>
      <rPr>
        <sz val="8"/>
        <color theme="1"/>
        <rFont val="Verdana"/>
        <family val="2"/>
      </rPr>
      <t> malaria; relay for severe malaria</t>
    </r>
  </si>
  <si>
    <r>
      <t>Severe </t>
    </r>
    <r>
      <rPr>
        <i/>
        <sz val="8"/>
        <color theme="1"/>
        <rFont val="Verdana"/>
        <family val="2"/>
      </rPr>
      <t>P. falciparum</t>
    </r>
    <r>
      <rPr>
        <sz val="8"/>
        <color theme="1"/>
        <rFont val="Verdana"/>
        <family val="2"/>
      </rPr>
      <t> malaria (alternative to injectable artesunate); initial treatment when oral route is impossible</t>
    </r>
  </si>
  <si>
    <t>081/2026</t>
  </si>
  <si>
    <t>2026-27/FFPL/001</t>
  </si>
  <si>
    <t>033DBFC261140740</t>
  </si>
  <si>
    <t>2X5 Supp</t>
  </si>
  <si>
    <t>0100/2026</t>
  </si>
  <si>
    <t>PFI26019</t>
  </si>
  <si>
    <t>033DBFC261381462</t>
  </si>
  <si>
    <t>0176/2026</t>
  </si>
  <si>
    <t>19--MAY-26</t>
  </si>
  <si>
    <t>DBD/UP/2026-27/001</t>
  </si>
  <si>
    <t>Strip</t>
  </si>
  <si>
    <t>033DBFC261980364</t>
  </si>
  <si>
    <t>15 ML Sachet</t>
  </si>
  <si>
    <t>0175/2026</t>
  </si>
  <si>
    <t>AFPL/PI/324 R</t>
  </si>
  <si>
    <t>033DBFC261970136</t>
  </si>
  <si>
    <t>0167/2026 R1</t>
  </si>
  <si>
    <t>2026-27/061</t>
  </si>
  <si>
    <t>033DBFC261942081</t>
  </si>
  <si>
    <t>NEW 006</t>
  </si>
  <si>
    <t>ZINQUE-DT</t>
  </si>
  <si>
    <t>0128/2026</t>
  </si>
  <si>
    <t>PI-E-26-27-014</t>
  </si>
  <si>
    <t>033DBFC261732193</t>
  </si>
  <si>
    <t>0107/2026</t>
  </si>
  <si>
    <t>AFPL/PI/278</t>
  </si>
  <si>
    <t>NEW 007</t>
  </si>
  <si>
    <t>NEW 008</t>
  </si>
  <si>
    <t>NEW 009</t>
  </si>
  <si>
    <t>NEW 010</t>
  </si>
  <si>
    <t>NEW 011</t>
  </si>
  <si>
    <t>Baby Sop-Milky</t>
  </si>
  <si>
    <t>Baby lotion (Regular)</t>
  </si>
  <si>
    <t>Baby Tacum Powder</t>
  </si>
  <si>
    <t>Petroleum Jelly</t>
  </si>
  <si>
    <t>Baby Oil (LP Base)</t>
  </si>
  <si>
    <t>100 ml</t>
  </si>
  <si>
    <t>083/2026</t>
  </si>
  <si>
    <t>THW251251</t>
  </si>
  <si>
    <t>033DBFC261543186</t>
  </si>
  <si>
    <t xml:space="preserve">200 ML  </t>
  </si>
  <si>
    <t>093/2026R1</t>
  </si>
  <si>
    <t>033DBFC261552090</t>
  </si>
  <si>
    <t>5 ml x 10 LDPE Ampoules</t>
  </si>
  <si>
    <t>5 ml x 4 LDPE Ampoules</t>
  </si>
  <si>
    <t>082/2026</t>
  </si>
  <si>
    <t>033DBFC261140176</t>
  </si>
  <si>
    <t>Freight</t>
  </si>
  <si>
    <t>033DBFC261611397</t>
  </si>
  <si>
    <t>0175/2025</t>
  </si>
  <si>
    <t>EPHCOP26607PZWES</t>
  </si>
  <si>
    <t>26KIN1/IGRN000039</t>
  </si>
  <si>
    <t>EPCHOP308084PDRY</t>
  </si>
  <si>
    <t>26KIN1/IGRN000050</t>
  </si>
  <si>
    <t>EPHCOP33708DPPKO</t>
  </si>
  <si>
    <t>PRF_Qty</t>
  </si>
  <si>
    <t>Pack_Size</t>
  </si>
  <si>
    <t>Conversion_Unit</t>
  </si>
  <si>
    <t>PRF_Qty_Converted</t>
  </si>
  <si>
    <t>PO_No</t>
  </si>
  <si>
    <t>PO_Date</t>
  </si>
  <si>
    <t>PO_Qty</t>
  </si>
  <si>
    <t>PO_Rate</t>
  </si>
  <si>
    <t>PO_Net_Amount</t>
  </si>
  <si>
    <t>PO_Total_Amount</t>
  </si>
  <si>
    <t>PI_No</t>
  </si>
  <si>
    <t>PI_Date</t>
  </si>
  <si>
    <t>Item_Code</t>
  </si>
  <si>
    <t>PI_Qty</t>
  </si>
  <si>
    <t>PI_FOC_Qty</t>
  </si>
  <si>
    <t>PI_Rate</t>
  </si>
  <si>
    <t>PI_Net_Amount</t>
  </si>
  <si>
    <t>PI_Total_Amount</t>
  </si>
  <si>
    <t>Advance_Percent</t>
  </si>
  <si>
    <t>Advance_Amount</t>
  </si>
  <si>
    <t>Advance_Amount_Paid</t>
  </si>
  <si>
    <t>Advance_Paid_Date</t>
  </si>
  <si>
    <t>Advance_SWIFT_No</t>
  </si>
  <si>
    <t>Dispatched_Qty</t>
  </si>
  <si>
    <t>Short_Excess_Qty</t>
  </si>
  <si>
    <t>Invoice_Date</t>
  </si>
  <si>
    <t>Invoice_Company</t>
  </si>
  <si>
    <t>Invoice_Rate</t>
  </si>
  <si>
    <t>Insurance</t>
  </si>
  <si>
    <t>Other_Charges</t>
  </si>
  <si>
    <t>Invoice_Total_Amount</t>
  </si>
  <si>
    <t>BL_Date</t>
  </si>
  <si>
    <t>GRN_No</t>
  </si>
  <si>
    <t>GRN_Date</t>
  </si>
  <si>
    <t>Prev_Advance_Adjusted</t>
  </si>
  <si>
    <t>Extra_Short_Amount_Used</t>
  </si>
  <si>
    <t>Final_Advance_Remaining</t>
  </si>
  <si>
    <t>Balance_Paid_Part1</t>
  </si>
  <si>
    <t>Balance_Paid_Date_Part1</t>
  </si>
  <si>
    <t>Part1_SWIFT_No</t>
  </si>
  <si>
    <t>Balance_Paid_Part2</t>
  </si>
  <si>
    <t>Part2_SWIFT_No</t>
  </si>
  <si>
    <t>Balance_Paid_Date_Part2</t>
  </si>
  <si>
    <t>Final_Paid_Total</t>
  </si>
  <si>
    <t>Final_Outstanding</t>
  </si>
  <si>
    <t>Payment_Status</t>
  </si>
  <si>
    <t>PO_Status</t>
  </si>
  <si>
    <t>PO_Age_Days</t>
  </si>
  <si>
    <t>PO_Other_Charge_Percent</t>
  </si>
  <si>
    <t>PO_Other_Charge_Amount</t>
  </si>
  <si>
    <t>PI_Other_Charge_Amount</t>
  </si>
  <si>
    <t>Purchasing Company</t>
  </si>
  <si>
    <t>PRF get from kinshasa team,but issues old p.o prf details not available</t>
  </si>
  <si>
    <t>PRF date from prf,but issues old p.o prf date not available</t>
  </si>
  <si>
    <t>PRF location from prf,but issues old p.o prf location not available</t>
  </si>
  <si>
    <t>PRF qty from prf,but issues old p.o prf qty not available</t>
  </si>
  <si>
    <t>some items pack size not available but later this details updated</t>
  </si>
  <si>
    <t>some item purchase qty and selling qty diifrence,that’s why grn created time selling qty will get,so this coloum formula is grn qty /invoice  qty</t>
  </si>
  <si>
    <t>prft qty*Conversion_Unit</t>
  </si>
  <si>
    <t>p.o issued to supplier</t>
  </si>
  <si>
    <t>p.o date</t>
  </si>
  <si>
    <t>p.o qty</t>
  </si>
  <si>
    <t>p.o rate</t>
  </si>
  <si>
    <t>p.o qty*p.o rate</t>
  </si>
  <si>
    <t>other charge %</t>
  </si>
  <si>
    <t>PO_Net_Amount*PO_Other_Charge_Percent</t>
  </si>
  <si>
    <t>PO_Net_Amount+PO_Total_Amount</t>
  </si>
  <si>
    <t>PI_Net_Amount+PI_Other_Charge_Amount</t>
  </si>
  <si>
    <t>supplier pi no</t>
  </si>
  <si>
    <t xml:space="preserve">supplier pi date </t>
  </si>
  <si>
    <t>supplier name</t>
  </si>
  <si>
    <t>item code</t>
  </si>
  <si>
    <t>pi qty</t>
  </si>
  <si>
    <t>pi rate</t>
  </si>
  <si>
    <t>product name drc</t>
  </si>
  <si>
    <t>pi foc qty</t>
  </si>
  <si>
    <t>PI_Qty*pi rate</t>
  </si>
  <si>
    <t>PO_Qty-Invoice_Qty</t>
  </si>
  <si>
    <t>Invoice_Qty*Invoice_Rate</t>
  </si>
  <si>
    <t>Invoice_Amount+Freight+Insurance+Other_Charges</t>
  </si>
  <si>
    <t>any advance balance previou order that could be means Advance_Adjusted coloum value</t>
  </si>
  <si>
    <t xml:space="preserve">any advance paid amount running or new p.o by mistakenly dectured </t>
  </si>
  <si>
    <t>mistaknenly dedecuted excess amount or short amout</t>
  </si>
  <si>
    <t>Running_PO_Advance_Used</t>
  </si>
  <si>
    <t>Advance_Amount_Paid+Prev_Advance_Adjusted</t>
  </si>
  <si>
    <t>Available_Advance+Running_PO_Advance_Used+Total_Advance_Deducted</t>
  </si>
  <si>
    <t>Available_Advance-Total_Advance_Deducted</t>
  </si>
  <si>
    <t>Remaining_Advance-Final_Advance_Remaining</t>
  </si>
  <si>
    <t>Invoice_Total_Amount-Total_Advance_Deducted</t>
  </si>
  <si>
    <t>Balance_Paid_Date_Part1+Balance_Paid_Date_Part2</t>
  </si>
  <si>
    <t>Final_Payable_Balance-Final_Paid_Total</t>
  </si>
  <si>
    <t>today-PO_Date</t>
  </si>
  <si>
    <t>PRF_Details_Not Availbale</t>
  </si>
  <si>
    <t>033DBFC262122569</t>
  </si>
  <si>
    <t>0184/2026</t>
  </si>
  <si>
    <t>2026-27/072</t>
  </si>
  <si>
    <t>36 inhaler with keychain in a jar</t>
  </si>
  <si>
    <t>0186/2026</t>
  </si>
  <si>
    <t>SPPL/PRO/VD/2026/5/013</t>
  </si>
  <si>
    <t>016/2025</t>
  </si>
  <si>
    <t>PI2526011</t>
  </si>
  <si>
    <t>EPHCOP326089Z461</t>
  </si>
  <si>
    <t>TES2627004</t>
  </si>
  <si>
    <t>10x1x10 Tabs</t>
  </si>
  <si>
    <t>045/2025</t>
  </si>
  <si>
    <t>SEPL/UNIQUE/02/11-12</t>
  </si>
  <si>
    <t>FG00619</t>
  </si>
  <si>
    <t>250 gm</t>
  </si>
  <si>
    <t>049/2026</t>
  </si>
  <si>
    <t>ALAINA/PI/150/25-26</t>
  </si>
  <si>
    <t>EPHCOP047092WDKG</t>
  </si>
  <si>
    <t>AC/EXP/2627/0003</t>
  </si>
  <si>
    <t>24KIN/IGRN000261 &amp; 24KIN/IGRN000302</t>
  </si>
  <si>
    <t>08-10-2024 &amp; 12-11-2024</t>
  </si>
  <si>
    <t>TWO GRN</t>
  </si>
  <si>
    <t>FOC_QTY</t>
  </si>
  <si>
    <t>0192/2026</t>
  </si>
  <si>
    <t>022/2026-27</t>
  </si>
  <si>
    <t>023/2026-27</t>
  </si>
  <si>
    <t>0197/2026</t>
  </si>
  <si>
    <t>NP/26-27/UP/04</t>
  </si>
  <si>
    <t>Grand Total</t>
  </si>
  <si>
    <t>Sum of PO_Total_Amount</t>
  </si>
  <si>
    <t>Values</t>
  </si>
  <si>
    <t>Sum of Advance_Amount</t>
  </si>
  <si>
    <t>0206/2026</t>
  </si>
  <si>
    <t>PI-E-26-27-021</t>
  </si>
  <si>
    <t>FG04021</t>
  </si>
  <si>
    <t>0198/2026</t>
  </si>
  <si>
    <t>26-27/031</t>
  </si>
  <si>
    <t>0208/2026</t>
  </si>
  <si>
    <t>UHL/EX/025</t>
  </si>
  <si>
    <t>0219/2026</t>
  </si>
  <si>
    <t>P.O.019</t>
  </si>
  <si>
    <t>0171/2026</t>
  </si>
  <si>
    <t>033DBFC260973561</t>
  </si>
  <si>
    <t>067/2026</t>
  </si>
  <si>
    <t>FG01587</t>
  </si>
  <si>
    <t>FG01590</t>
  </si>
  <si>
    <t>FG01858</t>
  </si>
  <si>
    <t>FG02195</t>
  </si>
  <si>
    <t>FG02257</t>
  </si>
  <si>
    <t>FG02332</t>
  </si>
  <si>
    <t>FG02696</t>
  </si>
  <si>
    <t>FG03116</t>
  </si>
  <si>
    <t>10X3X10</t>
  </si>
  <si>
    <t>ZP/UP/03/60003</t>
  </si>
  <si>
    <t>31-NAR-26</t>
  </si>
  <si>
    <t>26-27/156</t>
  </si>
  <si>
    <t>071-6185 5312</t>
  </si>
  <si>
    <t>45-60 Days</t>
  </si>
  <si>
    <t>P.O Date</t>
  </si>
  <si>
    <t>P.O no</t>
  </si>
  <si>
    <t>GRN Date</t>
  </si>
  <si>
    <t>Item NAME</t>
  </si>
  <si>
    <t>Actual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</si>
</sst>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_(&quot;$&quot;* #,##0.0000_);_(&quot;$&quot;* \(#,##0.0000\);_(&quot;$&quot;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0"/>
      <name val="Verdana"/>
      <family val="2"/>
    </font>
    <font>
      <sz val="8"/>
      <color theme="1"/>
      <name val="Verdana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8"/>
      <color theme="1"/>
      <name val="Verdana"/>
      <family val="2"/>
    </font>
    <font>
      <i/>
      <sz val="8"/>
      <color theme="1"/>
      <name val="Verdana"/>
      <family val="2"/>
    </font>
    <font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8"/>
      <color theme="0"/>
      <name val="Segoe UI"/>
      <family val="2"/>
    </font>
    <font>
      <sz val="10"/>
      <color theme="0"/>
      <name val="Verdana Pro"/>
      <family val="2"/>
    </font>
    <font>
      <sz val="8"/>
      <color theme="0"/>
      <name val="MS Sans Serif"/>
    </font>
    <font>
      <sz val="8"/>
      <color theme="0"/>
      <name val="Arial"/>
      <family val="2"/>
    </font>
    <font>
      <sz val="10"/>
      <color theme="1"/>
      <name val="Arial Unicode MS"/>
      <family val="2"/>
    </font>
    <font>
      <sz val="10"/>
      <color theme="0"/>
      <name val="Arial Unicode MS"/>
      <family val="2"/>
    </font>
    <font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1" applyNumberFormat="0" applyAlignment="0" applyProtection="0"/>
    <xf numFmtId="0" fontId="18" fillId="8" borderId="12" applyNumberFormat="0" applyAlignment="0" applyProtection="0"/>
    <xf numFmtId="0" fontId="19" fillId="8" borderId="11" applyNumberFormat="0" applyAlignment="0" applyProtection="0"/>
    <xf numFmtId="0" fontId="20" fillId="0" borderId="13" applyNumberFormat="0" applyFill="0" applyAlignment="0" applyProtection="0"/>
    <xf numFmtId="0" fontId="21" fillId="9" borderId="14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5" applyNumberFormat="0" applyFont="0" applyAlignment="0" applyProtection="0"/>
  </cellStyleXfs>
  <cellXfs count="77">
    <xf numFmtId="0" fontId="0" fillId="0" borderId="0" xfId="0"/>
    <xf numFmtId="0" fontId="0" fillId="0" borderId="6" xfId="0" applyBorder="1" applyAlignment="1">
      <alignment horizontal="left"/>
    </xf>
    <xf numFmtId="0" fontId="5" fillId="0" borderId="6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 wrapText="1"/>
    </xf>
    <xf numFmtId="15" fontId="4" fillId="2" borderId="0" xfId="0" applyNumberFormat="1" applyFont="1" applyFill="1" applyAlignment="1">
      <alignment vertical="center" wrapText="1"/>
    </xf>
    <xf numFmtId="0" fontId="9" fillId="3" borderId="0" xfId="0" applyFont="1" applyFill="1"/>
    <xf numFmtId="0" fontId="6" fillId="0" borderId="1" xfId="0" applyFont="1" applyBorder="1"/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/>
    <xf numFmtId="49" fontId="28" fillId="0" borderId="17" xfId="0" applyNumberFormat="1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 indent="1"/>
    </xf>
    <xf numFmtId="49" fontId="5" fillId="0" borderId="0" xfId="0" applyNumberFormat="1" applyFont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6" fillId="0" borderId="4" xfId="0" applyFont="1" applyBorder="1"/>
    <xf numFmtId="49" fontId="28" fillId="0" borderId="5" xfId="0" applyNumberFormat="1" applyFont="1" applyBorder="1" applyAlignment="1">
      <alignment horizontal="left"/>
    </xf>
    <xf numFmtId="2" fontId="5" fillId="0" borderId="2" xfId="0" applyNumberFormat="1" applyFont="1" applyBorder="1" applyAlignment="1">
      <alignment horizontal="left"/>
    </xf>
    <xf numFmtId="0" fontId="6" fillId="0" borderId="3" xfId="0" applyFont="1" applyBorder="1"/>
    <xf numFmtId="49" fontId="6" fillId="0" borderId="2" xfId="0" applyNumberFormat="1" applyFont="1" applyBorder="1" applyAlignment="1">
      <alignment horizontal="left"/>
    </xf>
    <xf numFmtId="0" fontId="0" fillId="0" borderId="1" xfId="0" applyBorder="1"/>
    <xf numFmtId="49" fontId="28" fillId="0" borderId="2" xfId="0" applyNumberFormat="1" applyFont="1" applyBorder="1" applyAlignment="1">
      <alignment horizontal="left"/>
    </xf>
    <xf numFmtId="49" fontId="28" fillId="0" borderId="2" xfId="45" applyNumberFormat="1" applyFont="1" applyBorder="1" applyAlignment="1">
      <alignment horizontal="left"/>
    </xf>
    <xf numFmtId="49" fontId="6" fillId="0" borderId="2" xfId="45" applyNumberFormat="1" applyFont="1" applyBorder="1" applyAlignment="1">
      <alignment horizontal="left"/>
    </xf>
    <xf numFmtId="2" fontId="26" fillId="0" borderId="0" xfId="0" applyNumberFormat="1" applyFont="1" applyAlignment="1">
      <alignment horizontal="left" vertical="center" wrapText="1"/>
    </xf>
    <xf numFmtId="15" fontId="26" fillId="0" borderId="0" xfId="0" applyNumberFormat="1" applyFont="1" applyAlignment="1">
      <alignment vertical="center" wrapText="1"/>
    </xf>
    <xf numFmtId="0" fontId="29" fillId="0" borderId="0" xfId="0" applyFont="1"/>
    <xf numFmtId="49" fontId="7" fillId="0" borderId="2" xfId="45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0" fontId="34" fillId="0" borderId="0" xfId="0" applyFont="1" applyAlignment="1">
      <alignment vertical="center" wrapText="1"/>
    </xf>
    <xf numFmtId="0" fontId="35" fillId="35" borderId="0" xfId="0" applyFont="1" applyFill="1" applyAlignment="1">
      <alignment vertical="center" wrapText="1"/>
    </xf>
    <xf numFmtId="0" fontId="9" fillId="35" borderId="0" xfId="0" applyFont="1" applyFill="1"/>
    <xf numFmtId="0" fontId="35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/>
    </xf>
    <xf numFmtId="15" fontId="9" fillId="3" borderId="0" xfId="0" applyNumberFormat="1" applyFont="1" applyFill="1"/>
    <xf numFmtId="43" fontId="9" fillId="3" borderId="0" xfId="1" applyFont="1" applyFill="1" applyAlignment="1">
      <alignment vertical="center"/>
    </xf>
    <xf numFmtId="0" fontId="9" fillId="3" borderId="0" xfId="0" applyFont="1" applyFill="1" applyAlignment="1">
      <alignment horizontal="right"/>
    </xf>
    <xf numFmtId="43" fontId="9" fillId="3" borderId="0" xfId="0" applyNumberFormat="1" applyFont="1" applyFill="1"/>
    <xf numFmtId="43" fontId="9" fillId="3" borderId="0" xfId="1" applyFont="1" applyFill="1" applyAlignment="1">
      <alignment horizontal="right"/>
    </xf>
    <xf numFmtId="43" fontId="9" fillId="3" borderId="0" xfId="1" applyFont="1" applyFill="1"/>
    <xf numFmtId="44" fontId="9" fillId="3" borderId="0" xfId="3" applyFont="1" applyFill="1"/>
    <xf numFmtId="0" fontId="30" fillId="3" borderId="5" xfId="1" applyNumberFormat="1" applyFont="1" applyFill="1" applyBorder="1" applyAlignment="1">
      <alignment horizontal="left"/>
    </xf>
    <xf numFmtId="164" fontId="9" fillId="3" borderId="0" xfId="3" applyNumberFormat="1" applyFont="1" applyFill="1"/>
    <xf numFmtId="10" fontId="9" fillId="3" borderId="0" xfId="2" applyNumberFormat="1" applyFont="1" applyFill="1"/>
    <xf numFmtId="44" fontId="9" fillId="3" borderId="0" xfId="3" applyFont="1" applyFill="1" applyBorder="1"/>
    <xf numFmtId="165" fontId="9" fillId="3" borderId="0" xfId="3" applyNumberFormat="1" applyFont="1" applyFill="1"/>
    <xf numFmtId="44" fontId="9" fillId="3" borderId="0" xfId="0" applyNumberFormat="1" applyFont="1" applyFill="1"/>
    <xf numFmtId="2" fontId="9" fillId="3" borderId="0" xfId="0" applyNumberFormat="1" applyFont="1" applyFill="1"/>
    <xf numFmtId="0" fontId="9" fillId="3" borderId="0" xfId="1" applyNumberFormat="1" applyFont="1" applyFill="1"/>
    <xf numFmtId="43" fontId="9" fillId="3" borderId="0" xfId="1" applyFont="1" applyFill="1" applyBorder="1"/>
    <xf numFmtId="0" fontId="4" fillId="3" borderId="0" xfId="1" applyNumberFormat="1" applyFont="1" applyFill="1" applyAlignment="1">
      <alignment horizontal="left"/>
    </xf>
    <xf numFmtId="164" fontId="9" fillId="3" borderId="0" xfId="3" applyNumberFormat="1" applyFont="1" applyFill="1" applyBorder="1"/>
    <xf numFmtId="15" fontId="31" fillId="3" borderId="0" xfId="0" applyNumberFormat="1" applyFont="1" applyFill="1"/>
    <xf numFmtId="49" fontId="32" fillId="3" borderId="18" xfId="4" applyNumberFormat="1" applyFont="1" applyFill="1" applyBorder="1" applyAlignment="1">
      <alignment horizontal="left"/>
    </xf>
    <xf numFmtId="0" fontId="30" fillId="3" borderId="0" xfId="1" applyNumberFormat="1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4" fillId="3" borderId="0" xfId="1" applyNumberFormat="1" applyFont="1" applyFill="1"/>
    <xf numFmtId="0" fontId="4" fillId="3" borderId="1" xfId="0" applyFont="1" applyFill="1" applyBorder="1" applyAlignment="1">
      <alignment horizontal="left"/>
    </xf>
    <xf numFmtId="0" fontId="33" fillId="3" borderId="0" xfId="1" applyNumberFormat="1" applyFont="1" applyFill="1"/>
    <xf numFmtId="49" fontId="4" fillId="3" borderId="0" xfId="4" applyNumberFormat="1" applyFont="1" applyFill="1" applyAlignment="1">
      <alignment horizontal="left"/>
    </xf>
    <xf numFmtId="43" fontId="9" fillId="3" borderId="0" xfId="1" applyFont="1" applyFill="1" applyBorder="1" applyAlignment="1">
      <alignment vertical="center"/>
    </xf>
    <xf numFmtId="0" fontId="31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right"/>
    </xf>
    <xf numFmtId="4" fontId="9" fillId="3" borderId="0" xfId="0" applyNumberFormat="1" applyFont="1" applyFill="1"/>
    <xf numFmtId="49" fontId="30" fillId="3" borderId="17" xfId="0" applyNumberFormat="1" applyFont="1" applyFill="1" applyBorder="1" applyAlignment="1">
      <alignment horizontal="left"/>
    </xf>
    <xf numFmtId="49" fontId="30" fillId="3" borderId="0" xfId="0" applyNumberFormat="1" applyFont="1" applyFill="1" applyAlignment="1">
      <alignment horizontal="left"/>
    </xf>
    <xf numFmtId="15" fontId="9" fillId="3" borderId="0" xfId="0" applyNumberFormat="1" applyFont="1" applyFill="1" applyAlignment="1">
      <alignment horizontal="right"/>
    </xf>
    <xf numFmtId="0" fontId="33" fillId="3" borderId="1" xfId="0" applyFont="1" applyFill="1" applyBorder="1"/>
    <xf numFmtId="8" fontId="9" fillId="3" borderId="0" xfId="3" applyNumberFormat="1" applyFont="1" applyFill="1"/>
    <xf numFmtId="0" fontId="0" fillId="0" borderId="0" xfId="0" pivotButton="1"/>
    <xf numFmtId="15" fontId="0" fillId="0" borderId="0" xfId="0" applyNumberFormat="1"/>
    <xf numFmtId="44" fontId="36" fillId="36" borderId="0" xfId="3" applyFont="1" applyFill="1"/>
    <xf numFmtId="14" fontId="9" fillId="3" borderId="0" xfId="0" applyNumberFormat="1" applyFont="1" applyFill="1"/>
    <xf numFmtId="15" fontId="37" fillId="0" borderId="0" xfId="0" applyNumberFormat="1" applyFont="1" applyFill="1"/>
    <xf numFmtId="0" fontId="37" fillId="0" borderId="0" xfId="0" applyFont="1" applyFill="1"/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urrency" xfId="3" builtinId="4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45" xr:uid="{4C452EAD-F0BB-476D-B14C-0D3C28D47C19}"/>
    <cellStyle name="Normal 24" xfId="4" xr:uid="{D5136C73-4F6F-4E97-8A6F-A560424BB475}"/>
    <cellStyle name="Note 2" xfId="46" xr:uid="{F2463DB9-D5DE-4705-B7B8-43BD075A6954}"/>
    <cellStyle name="Output" xfId="14" builtinId="21" customBuiltin="1"/>
    <cellStyle name="Percent" xfId="2" builtinId="5"/>
    <cellStyle name="Title" xfId="5" builtinId="15" customBuiltin="1"/>
    <cellStyle name="Total" xfId="20" builtinId="25" customBuiltin="1"/>
    <cellStyle name="Warning Text" xfId="18" builtinId="11" customBuiltin="1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folder%20(2)/DATA/ITEM%20MASTER/Item%20Master%20File.xlsx" TargetMode="External"/><Relationship Id="rId2" Type="http://schemas.openxmlformats.org/officeDocument/2006/relationships/externalLinkPath" Target="file:///C:\Users\User\Desktop\New%20folder%20(2)\DATA\ITEM%20MASTER\Item%20Master%20File.xlsx" TargetMode="External"/><Relationship Id="rId1" Type="http://schemas.openxmlformats.org/officeDocument/2006/relationships/externalLinkPath" Target="/Users/User/Desktop/New%20folder%20(2)/DATA/ITEM%20MASTER/Item%20Master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VW8362itmlist"/>
    </sheetNames>
    <sheetDataSet>
      <sheetData sheetId="0">
        <row r="1">
          <cell r="B1" t="str">
            <v>Item Code</v>
          </cell>
          <cell r="C1" t="str">
            <v>Item Name</v>
          </cell>
        </row>
        <row r="2">
          <cell r="B2" t="str">
            <v>FG00001</v>
          </cell>
          <cell r="C2" t="str">
            <v>*****CLIFA-600MG UPS B/20CES</v>
          </cell>
        </row>
        <row r="3">
          <cell r="B3" t="str">
            <v>FG00003</v>
          </cell>
          <cell r="C3" t="str">
            <v>3FORT (VIT-B1.B6.B12) SIROP 100ML</v>
          </cell>
        </row>
        <row r="4">
          <cell r="B4" t="str">
            <v>FG00004</v>
          </cell>
          <cell r="C4" t="str">
            <v>3FORT @@ Z @@@ B/30CES</v>
          </cell>
        </row>
        <row r="5">
          <cell r="B5" t="str">
            <v>FG00005</v>
          </cell>
          <cell r="C5" t="str">
            <v>3FORT B/30CES</v>
          </cell>
        </row>
        <row r="6">
          <cell r="B6" t="str">
            <v>FG00006</v>
          </cell>
          <cell r="C6" t="str">
            <v>3FORT-Z ( VIT B1+B6+B12) ZINC SIROP 100ML</v>
          </cell>
        </row>
        <row r="7">
          <cell r="B7" t="str">
            <v>FG00007</v>
          </cell>
          <cell r="C7" t="str">
            <v>3VIT FORT 10AMP</v>
          </cell>
        </row>
        <row r="8">
          <cell r="B8" t="str">
            <v>FG00009</v>
          </cell>
          <cell r="C8" t="str">
            <v>A-DEM CREME 15MG</v>
          </cell>
        </row>
        <row r="9">
          <cell r="B9" t="str">
            <v>FG00010</v>
          </cell>
          <cell r="C9" t="str">
            <v>A-DEM CREME 30MG</v>
          </cell>
        </row>
        <row r="10">
          <cell r="B10" t="str">
            <v>FG00011</v>
          </cell>
          <cell r="C10" t="str">
            <v>A-DEM FEMINA</v>
          </cell>
        </row>
        <row r="11">
          <cell r="B11" t="str">
            <v>FG00012</v>
          </cell>
          <cell r="C11" t="str">
            <v>A-DEM POUDRE 100MG</v>
          </cell>
        </row>
        <row r="12">
          <cell r="B12" t="str">
            <v>FG00013</v>
          </cell>
          <cell r="C12" t="str">
            <v>A-DEM SOAP 75MG</v>
          </cell>
        </row>
        <row r="13">
          <cell r="B13" t="str">
            <v>FG00015</v>
          </cell>
          <cell r="C13" t="str">
            <v>ABAISSE LANGUE</v>
          </cell>
        </row>
        <row r="14">
          <cell r="B14" t="str">
            <v>FG00016</v>
          </cell>
          <cell r="C14" t="str">
            <v>ABAISSE LANGUE EN BOIS B/100PCS</v>
          </cell>
        </row>
        <row r="15">
          <cell r="B15" t="str">
            <v>FG00017</v>
          </cell>
          <cell r="C15" t="str">
            <v>ABC SKY 120 INJ</v>
          </cell>
        </row>
        <row r="16">
          <cell r="B16" t="str">
            <v>FG00018</v>
          </cell>
          <cell r="C16" t="str">
            <v>ABC SKY 150 INJ</v>
          </cell>
        </row>
        <row r="17">
          <cell r="B17" t="str">
            <v>FG00019</v>
          </cell>
          <cell r="C17" t="str">
            <v>ABC SKY 180 INJ</v>
          </cell>
        </row>
        <row r="18">
          <cell r="B18" t="str">
            <v>FG00020</v>
          </cell>
          <cell r="C18" t="str">
            <v>ABC SKY 30 INJ</v>
          </cell>
        </row>
        <row r="19">
          <cell r="B19" t="str">
            <v>FG00021</v>
          </cell>
          <cell r="C19" t="str">
            <v>ABC SKY 60 INJ</v>
          </cell>
        </row>
        <row r="20">
          <cell r="B20" t="str">
            <v>FG00022</v>
          </cell>
          <cell r="C20" t="str">
            <v>AC MOL INFUSION</v>
          </cell>
        </row>
        <row r="21">
          <cell r="B21" t="str">
            <v>FG00029</v>
          </cell>
          <cell r="C21" t="str">
            <v>ACEM 500MG B/10CES</v>
          </cell>
        </row>
        <row r="22">
          <cell r="B22" t="str">
            <v>FG00032</v>
          </cell>
          <cell r="C22" t="str">
            <v>ACICLOVIR 200MG B/10 CES</v>
          </cell>
        </row>
        <row r="23">
          <cell r="B23" t="str">
            <v>FG00035</v>
          </cell>
          <cell r="C23" t="str">
            <v>ACIDE CHLORHYDRIQUE 0.1% N 1LTR</v>
          </cell>
        </row>
        <row r="24">
          <cell r="B24" t="str">
            <v>FG00036</v>
          </cell>
          <cell r="C24" t="str">
            <v>ACIDE URIQUE</v>
          </cell>
        </row>
        <row r="25">
          <cell r="B25" t="str">
            <v>FG00037</v>
          </cell>
          <cell r="C25" t="str">
            <v>ACIGEL SUSP 120ML</v>
          </cell>
        </row>
        <row r="26">
          <cell r="B26" t="str">
            <v>FG00038</v>
          </cell>
          <cell r="C26" t="str">
            <v>ACILOC (RANITIDINE) INJ B/5AMP</v>
          </cell>
        </row>
        <row r="27">
          <cell r="B27" t="str">
            <v>FG00039</v>
          </cell>
          <cell r="C27" t="str">
            <v>ACILOC 150MG B/20CES</v>
          </cell>
        </row>
        <row r="28">
          <cell r="B28" t="str">
            <v>FG00040</v>
          </cell>
          <cell r="C28" t="str">
            <v>ACILOC 300MG B/20CES</v>
          </cell>
        </row>
        <row r="29">
          <cell r="B29" t="str">
            <v>FG00043</v>
          </cell>
          <cell r="C29" t="str">
            <v>ACTISKENAN 10MG B/14 GELULES</v>
          </cell>
        </row>
        <row r="30">
          <cell r="B30" t="str">
            <v>FG00046</v>
          </cell>
          <cell r="C30" t="str">
            <v>ADAPTATEUR VACUTAINER</v>
          </cell>
        </row>
        <row r="31">
          <cell r="B31" t="str">
            <v>FG00047</v>
          </cell>
          <cell r="C31" t="str">
            <v>ADRENALINE (STEROP) 1MG/1ML B/10AMPS</v>
          </cell>
        </row>
        <row r="32">
          <cell r="B32" t="str">
            <v>FG00052</v>
          </cell>
          <cell r="C32" t="str">
            <v>AFER-Z 200ML SP</v>
          </cell>
        </row>
        <row r="33">
          <cell r="B33" t="str">
            <v>FG00053</v>
          </cell>
          <cell r="C33" t="str">
            <v>AIGUILLE A PG G ADUIT G.19 B100PC</v>
          </cell>
        </row>
        <row r="34">
          <cell r="B34" t="str">
            <v>FG00066</v>
          </cell>
          <cell r="C34" t="str">
            <v>AIGUILLE VACUTAINER G20</v>
          </cell>
        </row>
        <row r="35">
          <cell r="B35" t="str">
            <v>FG00070</v>
          </cell>
          <cell r="C35" t="str">
            <v>AKROL (DESLORATADINE) 2.5/60ML SP</v>
          </cell>
        </row>
        <row r="36">
          <cell r="B36" t="str">
            <v>FG00071</v>
          </cell>
          <cell r="C36" t="str">
            <v>AKROL (DESLORATADINE) 5MG B/20CES</v>
          </cell>
        </row>
        <row r="37">
          <cell r="B37" t="str">
            <v>FG00072</v>
          </cell>
          <cell r="C37" t="str">
            <v>ALAIZE 15ML @@ 1 SHASET</v>
          </cell>
        </row>
        <row r="38">
          <cell r="B38" t="str">
            <v>FG00073</v>
          </cell>
          <cell r="C38" t="str">
            <v>ALBART (ALPHA- ARTEETHER) 75MG B/3AMP</v>
          </cell>
        </row>
        <row r="39">
          <cell r="B39" t="str">
            <v>FG00074</v>
          </cell>
          <cell r="C39" t="str">
            <v>ALBE-PLUS CES B/1</v>
          </cell>
        </row>
        <row r="40">
          <cell r="B40" t="str">
            <v>FG00075</v>
          </cell>
          <cell r="C40" t="str">
            <v>ALBENDAZOL (A-ZOLE) CES B/1CES</v>
          </cell>
        </row>
        <row r="41">
          <cell r="B41" t="str">
            <v>FG00076</v>
          </cell>
          <cell r="C41" t="str">
            <v>ALBENTEL (ALBENDAZOLE) 400MG PL/2CES</v>
          </cell>
        </row>
        <row r="42">
          <cell r="B42" t="str">
            <v>FG00077</v>
          </cell>
          <cell r="C42" t="str">
            <v>ALBENTEL 200MG 10ML SUSP</v>
          </cell>
        </row>
        <row r="43">
          <cell r="B43" t="str">
            <v>FG00079</v>
          </cell>
          <cell r="C43" t="str">
            <v>ALCEF (CEFOTAXIM) 1GR. INJ B/1AMP</v>
          </cell>
        </row>
        <row r="44">
          <cell r="B44" t="str">
            <v>FG00080</v>
          </cell>
          <cell r="C44" t="str">
            <v>ALCOOL A BRULER 60 ML</v>
          </cell>
        </row>
        <row r="45">
          <cell r="B45" t="str">
            <v>FG00083</v>
          </cell>
          <cell r="C45" t="str">
            <v>ALCOOL BORIQUE 15 ML</v>
          </cell>
        </row>
        <row r="46">
          <cell r="B46" t="str">
            <v>FG00084</v>
          </cell>
          <cell r="C46" t="str">
            <v>ALCOOL BORIQUE 2% 15ML</v>
          </cell>
        </row>
        <row r="47">
          <cell r="B47" t="str">
            <v>FG00085</v>
          </cell>
          <cell r="C47" t="str">
            <v>ALCOOL BORIQUE 3.5% 15 ML</v>
          </cell>
        </row>
        <row r="48">
          <cell r="B48" t="str">
            <v>FG00086</v>
          </cell>
          <cell r="C48" t="str">
            <v>ALCOOL BORIQUE 5% 15 ML</v>
          </cell>
        </row>
        <row r="49">
          <cell r="B49" t="str">
            <v>FG00087</v>
          </cell>
          <cell r="C49" t="str">
            <v>ALCOOL BORIQUE3% 15 ML</v>
          </cell>
        </row>
        <row r="50">
          <cell r="B50" t="str">
            <v>FG00088</v>
          </cell>
          <cell r="C50" t="str">
            <v>ALCOOL DENATURE 2.5L</v>
          </cell>
        </row>
        <row r="51">
          <cell r="B51" t="str">
            <v>FG00089</v>
          </cell>
          <cell r="C51" t="str">
            <v>ALCOOL DENATURE 60ML</v>
          </cell>
        </row>
        <row r="52">
          <cell r="B52" t="str">
            <v>FG00090</v>
          </cell>
          <cell r="C52" t="str">
            <v>ALCOOL DENATURE FL/1LT</v>
          </cell>
        </row>
        <row r="53">
          <cell r="B53" t="str">
            <v>FG00091</v>
          </cell>
          <cell r="C53" t="str">
            <v>ALCOOL DENATURE SPREY 150ML</v>
          </cell>
        </row>
        <row r="54">
          <cell r="B54" t="str">
            <v>FG00092</v>
          </cell>
          <cell r="C54" t="str">
            <v>ALCOOL DINATURE 5L</v>
          </cell>
        </row>
        <row r="55">
          <cell r="B55" t="str">
            <v>FG00093</v>
          </cell>
          <cell r="C55" t="str">
            <v>ALCOOL IODE 2.5L</v>
          </cell>
        </row>
        <row r="56">
          <cell r="B56" t="str">
            <v>FG00094</v>
          </cell>
          <cell r="C56" t="str">
            <v>ALCOOL IODE 60ML</v>
          </cell>
        </row>
        <row r="57">
          <cell r="B57" t="str">
            <v>FG00095</v>
          </cell>
          <cell r="C57" t="str">
            <v>ALCOOL SWAB B/100</v>
          </cell>
        </row>
        <row r="58">
          <cell r="B58" t="str">
            <v>FG00139</v>
          </cell>
          <cell r="C58" t="str">
            <v>AMCAN 5 (AMLODIPINE) B/30 CES</v>
          </cell>
        </row>
        <row r="59">
          <cell r="B59" t="str">
            <v>FG00140</v>
          </cell>
          <cell r="C59" t="str">
            <v>AMIDOL (PARACITAMOL) B/10CES X 25PL</v>
          </cell>
        </row>
        <row r="60">
          <cell r="B60" t="str">
            <v>FG00141</v>
          </cell>
          <cell r="C60" t="str">
            <v>AMIDOL C ( PARACETAMOL + VITAMINE C) 100ML SIROP</v>
          </cell>
        </row>
        <row r="61">
          <cell r="B61" t="str">
            <v>FG00142</v>
          </cell>
          <cell r="C61" t="str">
            <v>AMIDOL COLD &amp; FLU B/25CES</v>
          </cell>
        </row>
        <row r="62">
          <cell r="B62" t="str">
            <v>FG00143</v>
          </cell>
          <cell r="C62" t="str">
            <v>AMIDOL COLD &amp; FLU SIROP 100ML</v>
          </cell>
        </row>
        <row r="63">
          <cell r="B63" t="str">
            <v>FG00146</v>
          </cell>
          <cell r="C63" t="str">
            <v>AMIGYN (TINIDAZOLE) 500MG 12CES</v>
          </cell>
        </row>
        <row r="64">
          <cell r="B64" t="str">
            <v>FG00147</v>
          </cell>
          <cell r="C64" t="str">
            <v>AMIKACIN 100MG B/1AMP (LOCAL)</v>
          </cell>
        </row>
        <row r="65">
          <cell r="B65" t="str">
            <v>FG00148</v>
          </cell>
          <cell r="C65" t="str">
            <v>AMIKACIN 500MG INJ (LOCAL)</v>
          </cell>
        </row>
        <row r="66">
          <cell r="B66" t="str">
            <v>FG00150</v>
          </cell>
          <cell r="C66" t="str">
            <v>AMINOPHILLENE 100MG B/10X10CES</v>
          </cell>
        </row>
        <row r="67">
          <cell r="B67" t="str">
            <v>FG00151</v>
          </cell>
          <cell r="C67" t="str">
            <v>AMINOPHILLINE 150MG B/5SUPPOS</v>
          </cell>
        </row>
        <row r="68">
          <cell r="B68" t="str">
            <v>FG00152</v>
          </cell>
          <cell r="C68" t="str">
            <v>AMINOPHILLINE 300MG B/6SUPPOS</v>
          </cell>
        </row>
        <row r="69">
          <cell r="B69" t="str">
            <v>FG00153</v>
          </cell>
          <cell r="C69" t="str">
            <v>AMINOPHILLINE 75MG B/10SUPPO</v>
          </cell>
        </row>
        <row r="70">
          <cell r="B70" t="str">
            <v>FG00154</v>
          </cell>
          <cell r="C70" t="str">
            <v>AMINOWIN LIQUID 200ML</v>
          </cell>
        </row>
        <row r="71">
          <cell r="B71" t="str">
            <v>FG00155</v>
          </cell>
          <cell r="C71" t="str">
            <v>AMITONE SIROP 200ML</v>
          </cell>
        </row>
        <row r="72">
          <cell r="B72" t="str">
            <v>FG00162</v>
          </cell>
          <cell r="C72" t="str">
            <v>AMLOVIE (AMLODIPINE) 5MG B/30 CAP</v>
          </cell>
        </row>
        <row r="73">
          <cell r="B73" t="str">
            <v>FG00163</v>
          </cell>
          <cell r="C73" t="str">
            <v>AMLOVIE (AMLODIPINE)10MG B/30 CAP</v>
          </cell>
        </row>
        <row r="74">
          <cell r="B74" t="str">
            <v>FG00164</v>
          </cell>
          <cell r="C74" t="str">
            <v>AMLOX 10MG B/30CES</v>
          </cell>
        </row>
        <row r="75">
          <cell r="B75" t="str">
            <v>FG00165</v>
          </cell>
          <cell r="C75" t="str">
            <v>AMLOX 5MG B/30CES</v>
          </cell>
        </row>
        <row r="76">
          <cell r="B76" t="str">
            <v>FG00166</v>
          </cell>
          <cell r="C76" t="str">
            <v>AMLOZAAR (LOSARTAN AMLODIPINE) B/30CES</v>
          </cell>
        </row>
        <row r="77">
          <cell r="B77" t="str">
            <v>FG00167</v>
          </cell>
          <cell r="C77" t="str">
            <v>AMLOZAAR H (AMLO+LOSAR+HYDRO) B/30CES</v>
          </cell>
        </row>
        <row r="78">
          <cell r="B78" t="str">
            <v>FG00792</v>
          </cell>
          <cell r="C78" t="str">
            <v>CLOZIDERM (CLOTRIMAZOL) POUDRE 50MG</v>
          </cell>
        </row>
        <row r="79">
          <cell r="B79" t="str">
            <v>FG01044</v>
          </cell>
          <cell r="C79" t="str">
            <v>DIALYZER - DORAB-14P</v>
          </cell>
        </row>
        <row r="80">
          <cell r="B80" t="str">
            <v>FG01296</v>
          </cell>
          <cell r="C80" t="str">
            <v>EVONY ADULT DIAPER (LARGE) 8 X 6</v>
          </cell>
        </row>
        <row r="81">
          <cell r="B81" t="str">
            <v>FG01869</v>
          </cell>
          <cell r="C81" t="str">
            <v>LYATER ENF (ARTEMETHER+LUMEFANTRINE) B/6 CES</v>
          </cell>
        </row>
        <row r="82">
          <cell r="B82" t="str">
            <v>FG02008</v>
          </cell>
          <cell r="C82" t="str">
            <v>METHANOL 1 LITER</v>
          </cell>
        </row>
        <row r="83">
          <cell r="B83" t="str">
            <v>FG02541</v>
          </cell>
          <cell r="C83" t="str">
            <v>PLASTICINE 1PCS</v>
          </cell>
        </row>
        <row r="84">
          <cell r="B84" t="str">
            <v>FG02581</v>
          </cell>
          <cell r="C84" t="str">
            <v>POUDRE 22 DEGREE 100MG PM</v>
          </cell>
        </row>
        <row r="85">
          <cell r="B85" t="str">
            <v>FG02582</v>
          </cell>
          <cell r="C85" t="str">
            <v>POUDRE 22 DEGREE 300MG GM</v>
          </cell>
        </row>
        <row r="86">
          <cell r="B86" t="str">
            <v>FG02592</v>
          </cell>
          <cell r="C86" t="str">
            <v>PREDNABENE (PREDNISOLONE) 60ML SIROP</v>
          </cell>
        </row>
        <row r="87">
          <cell r="B87" t="str">
            <v>FG03113</v>
          </cell>
          <cell r="C87" t="str">
            <v>STRYKER 1588 AIM LAPAROSCOPY SYSTEM</v>
          </cell>
        </row>
        <row r="88">
          <cell r="B88" t="str">
            <v>FG03602</v>
          </cell>
          <cell r="C88" t="str">
            <v>3 PLUS FORTE (VIT.B1+B6+B12) INJ. B/10AMP</v>
          </cell>
        </row>
        <row r="89">
          <cell r="B89" t="str">
            <v>FG03603</v>
          </cell>
          <cell r="C89" t="str">
            <v>3 PLUS FORTE (VIT.B1+B6+B12) SIROP 100ML</v>
          </cell>
        </row>
        <row r="90">
          <cell r="B90" t="str">
            <v>FG03604</v>
          </cell>
          <cell r="C90" t="str">
            <v>ACTM 20 MG /120 MG B/24 CES</v>
          </cell>
        </row>
        <row r="91">
          <cell r="B91" t="str">
            <v>FG03605</v>
          </cell>
          <cell r="C91" t="str">
            <v>ACTM 20 MG/120 MG B/18 CES</v>
          </cell>
        </row>
        <row r="92">
          <cell r="B92" t="str">
            <v>FG03606</v>
          </cell>
          <cell r="C92" t="str">
            <v>ACTM 20 MG/120 MG DISP. B/ 6 CES</v>
          </cell>
        </row>
        <row r="93">
          <cell r="B93" t="str">
            <v>FG03607</v>
          </cell>
          <cell r="C93" t="str">
            <v>ACTM 80 MG/480 MG ADULT B/ 6 CES</v>
          </cell>
        </row>
        <row r="94">
          <cell r="B94" t="str">
            <v>FG03608</v>
          </cell>
          <cell r="C94" t="str">
            <v>ADENOZ 6MG (ADENOSIN) INJ B/1AMP</v>
          </cell>
        </row>
        <row r="95">
          <cell r="B95" t="str">
            <v>FG03609</v>
          </cell>
          <cell r="C95" t="str">
            <v>ALDOMET 250MG PL/10CES***</v>
          </cell>
        </row>
        <row r="96">
          <cell r="B96" t="str">
            <v>FG03610</v>
          </cell>
          <cell r="C96" t="str">
            <v>AMIQUE-100MG (AMIKACIN) INJ B/1 VIAL</v>
          </cell>
        </row>
        <row r="97">
          <cell r="B97" t="str">
            <v>FG03611</v>
          </cell>
          <cell r="C97" t="str">
            <v>AMIQUE-500MG (AMIKACIN) INJ B/1 VIAL</v>
          </cell>
        </row>
        <row r="98">
          <cell r="B98" t="str">
            <v>FG03612</v>
          </cell>
          <cell r="C98" t="str">
            <v>AMOXYCILLINE 1GR. INJ. 1 VIAL</v>
          </cell>
        </row>
        <row r="99">
          <cell r="B99" t="str">
            <v>FG03613</v>
          </cell>
          <cell r="C99" t="str">
            <v>AMOXYCILLINE 250MG B/10X10CAPS</v>
          </cell>
        </row>
        <row r="100">
          <cell r="B100" t="str">
            <v>FG03614</v>
          </cell>
          <cell r="C100" t="str">
            <v>AMOXYCILLINE 500MG B/10X10CAPS</v>
          </cell>
        </row>
        <row r="101">
          <cell r="B101" t="str">
            <v>FG03615</v>
          </cell>
          <cell r="C101" t="str">
            <v>ARH-120MG (ARTESUNATE) INJECTABLE B/ 1 KIT</v>
          </cell>
        </row>
        <row r="102">
          <cell r="B102" t="str">
            <v>FG03616</v>
          </cell>
          <cell r="C102" t="str">
            <v>ARH-150MG (ARTESUNATE) INJECTABLE B/ 1 KIT</v>
          </cell>
        </row>
        <row r="103">
          <cell r="B103" t="str">
            <v>FG03617</v>
          </cell>
          <cell r="C103" t="str">
            <v>ARH-180MG (ARTESUNATE) INJECTABLE B/ 1 KIT</v>
          </cell>
        </row>
        <row r="104">
          <cell r="B104" t="str">
            <v>FG03618</v>
          </cell>
          <cell r="C104" t="str">
            <v>ARH-210MG (ARTESUNATE) INJECTABLE B/ 1 KIT</v>
          </cell>
        </row>
        <row r="105">
          <cell r="B105" t="str">
            <v>FG03619</v>
          </cell>
          <cell r="C105" t="str">
            <v>ARH-30MG (ARTESUNATE) INJECTABLE B/ 1 KIT</v>
          </cell>
        </row>
        <row r="106">
          <cell r="B106" t="str">
            <v>FG03620</v>
          </cell>
          <cell r="C106" t="str">
            <v>ARIUM 50MG/5ML ( ATRACURIUM) INJ B/1 AMP</v>
          </cell>
        </row>
        <row r="107">
          <cell r="B107" t="str">
            <v>FG03621</v>
          </cell>
          <cell r="C107" t="str">
            <v>ARTEMETHER 80MG/ML INJ B/6AMP</v>
          </cell>
        </row>
        <row r="108">
          <cell r="B108" t="str">
            <v>FG03622</v>
          </cell>
          <cell r="C108" t="str">
            <v>ATROPINE 0.5MG/ML INJ. B/10 AMP</v>
          </cell>
        </row>
        <row r="109">
          <cell r="B109" t="str">
            <v>FG03623</v>
          </cell>
          <cell r="C109" t="str">
            <v>BONNE NUIT (SILDENAFIL 100MG) B/7 ORAL JELLY</v>
          </cell>
        </row>
        <row r="110">
          <cell r="B110" t="str">
            <v>FG03624</v>
          </cell>
          <cell r="C110" t="str">
            <v>LE BOXEUR (ANTI-MOSQUITO) POMMADE 10GR</v>
          </cell>
        </row>
        <row r="111">
          <cell r="B111" t="str">
            <v>FG03625</v>
          </cell>
          <cell r="C111" t="str">
            <v>BROMOVAN (BROMHEXINE) 4MG /5ML SIRUP 100ML</v>
          </cell>
        </row>
        <row r="112">
          <cell r="B112" t="str">
            <v>FG03626</v>
          </cell>
          <cell r="C112" t="str">
            <v>BUSCOPAN 10MG PLS/10CES (UNISPA)</v>
          </cell>
        </row>
        <row r="113">
          <cell r="B113" t="str">
            <v>FG03627</v>
          </cell>
          <cell r="C113" t="str">
            <v>BUSCOPAN 20MG/2ML INJ. B/10AMP</v>
          </cell>
        </row>
        <row r="114">
          <cell r="B114" t="str">
            <v>FG03628</v>
          </cell>
          <cell r="C114" t="str">
            <v>CALCIUM GLUCONATE 10ML INJ. 10AMP</v>
          </cell>
        </row>
        <row r="115">
          <cell r="B115" t="str">
            <v>FG03629</v>
          </cell>
          <cell r="C115" t="str">
            <v>CAPTOPRIL 25MG B/10X10CES (UNIPRIL)</v>
          </cell>
        </row>
        <row r="116">
          <cell r="B116" t="str">
            <v>FG03630</v>
          </cell>
          <cell r="C116" t="str">
            <v>CEFALAQUE-125MG (CEPHALEXINE) ORALE SUSP. 60ML</v>
          </cell>
        </row>
        <row r="117">
          <cell r="B117" t="str">
            <v>FG03631</v>
          </cell>
          <cell r="C117" t="str">
            <v>CEFALAQUE-250MG (CEPHALEXINE) ORALE SUSP. 60ML</v>
          </cell>
        </row>
        <row r="118">
          <cell r="B118" t="str">
            <v>FG03632</v>
          </cell>
          <cell r="C118" t="str">
            <v>CEFALAQUE-500MG (CEPHALEXINE) B/2X10 CAPS</v>
          </cell>
        </row>
        <row r="119">
          <cell r="B119" t="str">
            <v>FG03633</v>
          </cell>
          <cell r="C119" t="str">
            <v>CEFINIQUE 100MG/5ML (CEFIXIME) SUSP. ORALE 100ML</v>
          </cell>
        </row>
        <row r="120">
          <cell r="B120" t="str">
            <v>FG03634</v>
          </cell>
          <cell r="C120" t="str">
            <v>CEFIXIME 200MG B/10CES</v>
          </cell>
        </row>
        <row r="121">
          <cell r="B121" t="str">
            <v>FG03635</v>
          </cell>
          <cell r="C121" t="str">
            <v>CEFOTAXIM + EAU DISTILLE INJ. B/1 VIAL</v>
          </cell>
        </row>
        <row r="122">
          <cell r="B122" t="str">
            <v>FG03636</v>
          </cell>
          <cell r="C122" t="str">
            <v>CEFOTAXIM 1GR. INJ. 1 VIAL</v>
          </cell>
        </row>
        <row r="123">
          <cell r="B123" t="str">
            <v>FG03637</v>
          </cell>
          <cell r="C123" t="str">
            <v>CEFTRIAXONE + EAU DISTILE INJ. B/1 VIAL</v>
          </cell>
        </row>
        <row r="124">
          <cell r="B124" t="str">
            <v>FG03638</v>
          </cell>
          <cell r="C124" t="str">
            <v>CEFTRIAXONE 1GR INJ. 1 VIAL</v>
          </cell>
        </row>
        <row r="125">
          <cell r="B125" t="str">
            <v>FG03639</v>
          </cell>
          <cell r="C125" t="str">
            <v>CEFTRIAXONE 1GR INJ.B/1 VIAL (AVEC EMBALAGE)</v>
          </cell>
        </row>
        <row r="126">
          <cell r="B126" t="str">
            <v>FG03640</v>
          </cell>
          <cell r="C126" t="str">
            <v>CELOVAN 1000MG (VANCOMYCIN) INJ. B/1 VIAL</v>
          </cell>
        </row>
        <row r="127">
          <cell r="B127" t="str">
            <v>FG03641</v>
          </cell>
          <cell r="C127" t="str">
            <v>CENTRIFUGEUSE LABOTATOIRE-(6 X 15ML,12X10ML,7ML,1)</v>
          </cell>
        </row>
        <row r="128">
          <cell r="B128" t="str">
            <v>FG03642</v>
          </cell>
          <cell r="C128" t="str">
            <v>CHLOPROMAZINE 50MG/2ML INJ. B/10AMP</v>
          </cell>
        </row>
        <row r="129">
          <cell r="B129" t="str">
            <v>FG03643</v>
          </cell>
          <cell r="C129" t="str">
            <v>CHLORA POMMADE OPT. 4G</v>
          </cell>
        </row>
        <row r="130">
          <cell r="B130" t="str">
            <v>FG03644</v>
          </cell>
          <cell r="C130" t="str">
            <v>CHLORAMPHENICOL 1GR. INJ. 1 VIAL</v>
          </cell>
        </row>
        <row r="131">
          <cell r="B131" t="str">
            <v>FG03645</v>
          </cell>
          <cell r="C131" t="str">
            <v>CHLORAPHENERAMINE 4MG B/10X10CES</v>
          </cell>
        </row>
        <row r="132">
          <cell r="B132" t="str">
            <v>FG03646</v>
          </cell>
          <cell r="C132" t="str">
            <v>CHYMOTRYPSINE 5000UI INJ.B/5AMP(CHYMAR)</v>
          </cell>
        </row>
        <row r="133">
          <cell r="B133" t="str">
            <v>FG03647</v>
          </cell>
          <cell r="C133" t="str">
            <v>CIMETEDINE 200MG/2ML INJ. B/10AMP</v>
          </cell>
        </row>
        <row r="134">
          <cell r="B134" t="str">
            <v>FG03648</v>
          </cell>
          <cell r="C134" t="str">
            <v>CIMETEDINE 400MG B/10X10CES</v>
          </cell>
        </row>
        <row r="135">
          <cell r="B135" t="str">
            <v>FG03649</v>
          </cell>
          <cell r="C135" t="str">
            <v>CIPROFLOXACINE 500MG PLS/10CES***</v>
          </cell>
        </row>
        <row r="136">
          <cell r="B136" t="str">
            <v>FG03650</v>
          </cell>
          <cell r="C136" t="str">
            <v>CIPROQUE (CIPROFLOXACIN) INJ 100ML</v>
          </cell>
        </row>
        <row r="137">
          <cell r="B137" t="str">
            <v>FG03651</v>
          </cell>
          <cell r="C137" t="str">
            <v>CLOTRISAN (CLOTRIMAZOLE) CREME T/30G</v>
          </cell>
        </row>
        <row r="138">
          <cell r="B138" t="str">
            <v>FG03652</v>
          </cell>
          <cell r="C138" t="str">
            <v>CLOXACILINE 1G INJ. B/1 VIAL</v>
          </cell>
        </row>
        <row r="139">
          <cell r="B139" t="str">
            <v>FG03653</v>
          </cell>
          <cell r="C139" t="str">
            <v>CLOXACILINE 500MG PLS/10 CAPS***</v>
          </cell>
        </row>
        <row r="140">
          <cell r="B140" t="str">
            <v>FG03654</v>
          </cell>
          <cell r="C140" t="str">
            <v>CLOXACILLINE 250MG POUDRE POUR SUSP. 60ML</v>
          </cell>
        </row>
        <row r="141">
          <cell r="B141" t="str">
            <v>FG03655</v>
          </cell>
          <cell r="C141" t="str">
            <v>CORTIDEX (DEXAMETHASONE) 0.5MG B/ 10X10CES</v>
          </cell>
        </row>
        <row r="142">
          <cell r="B142" t="str">
            <v>FG03656</v>
          </cell>
          <cell r="C142" t="str">
            <v>CYPROPLEX PLUS (MULTIVITAMIN) B/30 CAPLETS</v>
          </cell>
        </row>
        <row r="143">
          <cell r="B143" t="str">
            <v>FG03657</v>
          </cell>
          <cell r="C143" t="str">
            <v>CYPROPLEX-4 (CYPROHEPRADINE) B/20CES</v>
          </cell>
        </row>
        <row r="144">
          <cell r="B144" t="str">
            <v>FG03658</v>
          </cell>
          <cell r="C144" t="str">
            <v>DAONIL (GLIBEN CLAMIDE) B/10X10CES (DAOMIDE)</v>
          </cell>
        </row>
        <row r="145">
          <cell r="B145" t="str">
            <v>FG03659</v>
          </cell>
          <cell r="C145" t="str">
            <v>DOPAN 200MG/5ML (DOPAMIN) INJ. B/ 1AMP</v>
          </cell>
        </row>
        <row r="146">
          <cell r="B146" t="str">
            <v>FG03660</v>
          </cell>
          <cell r="C146" t="str">
            <v>ENOXEL-60MG (ENOXAPRIN) B/1 SERINGUE PRÉREMPLIE</v>
          </cell>
        </row>
        <row r="147">
          <cell r="B147" t="str">
            <v>FG03661</v>
          </cell>
          <cell r="C147" t="str">
            <v>FLAMINGO CERVICAL COLLAR HARD (EXTRA LARGE)</v>
          </cell>
        </row>
        <row r="148">
          <cell r="B148" t="str">
            <v>FG03662</v>
          </cell>
          <cell r="C148" t="str">
            <v>FLAMINGO CERVICAL COLLAR HARD (LARGE)</v>
          </cell>
        </row>
        <row r="149">
          <cell r="B149" t="str">
            <v>FG03663</v>
          </cell>
          <cell r="C149" t="str">
            <v>FLAMINGO CERVICAL COLLAR HARD (MEDIUM)</v>
          </cell>
        </row>
        <row r="150">
          <cell r="B150" t="str">
            <v>FG03664</v>
          </cell>
          <cell r="C150" t="str">
            <v>FLAMINGO CERVICAL COLLAR HARD (SMALL)</v>
          </cell>
        </row>
        <row r="151">
          <cell r="B151" t="str">
            <v>FG03665</v>
          </cell>
          <cell r="C151" t="str">
            <v>FLAMINGO CHEST GUARD (EXTRA LARGE)</v>
          </cell>
        </row>
        <row r="152">
          <cell r="B152" t="str">
            <v>FG03666</v>
          </cell>
          <cell r="C152" t="str">
            <v>FLAMINGO CHEST GUARD (LARGE)</v>
          </cell>
        </row>
        <row r="153">
          <cell r="B153" t="str">
            <v>FG03667</v>
          </cell>
          <cell r="C153" t="str">
            <v>FLAMINGO CHEST GUARD (SMALL)</v>
          </cell>
        </row>
        <row r="154">
          <cell r="B154" t="str">
            <v>FG03668</v>
          </cell>
          <cell r="C154" t="str">
            <v>FLAMINGO CLAVICAL BRACE (EXTRA LARGE)</v>
          </cell>
        </row>
        <row r="155">
          <cell r="B155" t="str">
            <v>FG03669</v>
          </cell>
          <cell r="C155" t="str">
            <v>FLAMINGO CLAVICAL BRACE (MEDIUM)</v>
          </cell>
        </row>
        <row r="156">
          <cell r="B156" t="str">
            <v>FG03670</v>
          </cell>
          <cell r="C156" t="str">
            <v>FLAMINGO HEEL CUSHION (MALE)</v>
          </cell>
        </row>
        <row r="157">
          <cell r="B157" t="str">
            <v>FG03671</v>
          </cell>
          <cell r="C157" t="str">
            <v>FLAMINGO STERNAL SPLINT BELT (DOUBLE EXTRA LARGE)</v>
          </cell>
        </row>
        <row r="158">
          <cell r="B158" t="str">
            <v>FG03672</v>
          </cell>
          <cell r="C158" t="str">
            <v>FLAMINGO STERNAL SPLINT BELT (EXTRA LARGE)</v>
          </cell>
        </row>
        <row r="159">
          <cell r="B159" t="str">
            <v>FG03673</v>
          </cell>
          <cell r="C159" t="str">
            <v>FLAMINGO STOCKINGS ABOVE KNEE (EXTRA LARGE)</v>
          </cell>
        </row>
        <row r="160">
          <cell r="B160" t="str">
            <v>FG03674</v>
          </cell>
          <cell r="C160" t="str">
            <v>FLAMINGO ABDOMINAL BELT (EXTRA LARGE) (20 CM)</v>
          </cell>
        </row>
        <row r="161">
          <cell r="B161" t="str">
            <v>FG03675</v>
          </cell>
          <cell r="C161" t="str">
            <v>FLAMINGO ABDOMINAL BELT (LARGE) (20 CM)</v>
          </cell>
        </row>
        <row r="162">
          <cell r="B162" t="str">
            <v>FG03676</v>
          </cell>
          <cell r="C162" t="str">
            <v>FLAMINGO ABDOMINAL BELT (MEDIUM) (20 CM)</v>
          </cell>
        </row>
        <row r="163">
          <cell r="B163" t="str">
            <v>FG03677</v>
          </cell>
          <cell r="C163" t="str">
            <v>FLAMINGO ABDOMINAL BELT (DOUBLE EX LARGE) (20 CM)</v>
          </cell>
        </row>
        <row r="164">
          <cell r="B164" t="str">
            <v>FG03678</v>
          </cell>
          <cell r="C164" t="str">
            <v>FLAMINGO ABDOMINAL BELT 14CM (EXTRA LARGE)</v>
          </cell>
        </row>
        <row r="165">
          <cell r="B165" t="str">
            <v>FG03679</v>
          </cell>
          <cell r="C165" t="str">
            <v>FLAMINGO ABDOMINAL BELT 14CM (LARGE)</v>
          </cell>
        </row>
        <row r="166">
          <cell r="B166" t="str">
            <v>FG03680</v>
          </cell>
          <cell r="C166" t="str">
            <v>FLAMINGO ABDOMINAL BELT 14CM (SMALL)</v>
          </cell>
        </row>
        <row r="167">
          <cell r="B167" t="str">
            <v>FG03681</v>
          </cell>
          <cell r="C167" t="str">
            <v>FLAMINGO ABDOMINAL BELT(DOUBLE EXTRA LARGE) (20 CM</v>
          </cell>
        </row>
        <row r="168">
          <cell r="B168" t="str">
            <v>FG03682</v>
          </cell>
          <cell r="C168" t="str">
            <v>FLAMINGO ANKLE BINDER (EXTRA LARGE)</v>
          </cell>
        </row>
        <row r="169">
          <cell r="B169" t="str">
            <v>FG03683</v>
          </cell>
          <cell r="C169" t="str">
            <v>FLAMINGO ANKLE BINDER (SMALL)</v>
          </cell>
        </row>
        <row r="170">
          <cell r="B170" t="str">
            <v>FG03684</v>
          </cell>
          <cell r="C170" t="str">
            <v>FLAMINGO ANKLE BINDER (XXL)</v>
          </cell>
        </row>
        <row r="171">
          <cell r="B171" t="str">
            <v>FG03685</v>
          </cell>
          <cell r="C171" t="str">
            <v>FLAMINGO ANKLE BRACE (LARGE)</v>
          </cell>
        </row>
        <row r="172">
          <cell r="B172" t="str">
            <v>FG03686</v>
          </cell>
          <cell r="C172" t="str">
            <v>FLAMINGO ANKLE BRACE (SMALL)</v>
          </cell>
        </row>
        <row r="173">
          <cell r="B173" t="str">
            <v>FG03687</v>
          </cell>
          <cell r="C173" t="str">
            <v>FLAMINGO ANKLE GRIP (EXTRA LARGE)</v>
          </cell>
        </row>
        <row r="174">
          <cell r="B174" t="str">
            <v>FG03688</v>
          </cell>
          <cell r="C174" t="str">
            <v>FLAMINGO ANKLE GRIP (SMALL)</v>
          </cell>
        </row>
        <row r="175">
          <cell r="B175" t="str">
            <v>FG03689</v>
          </cell>
          <cell r="C175" t="str">
            <v>FLAMINGO ANKLE GRIP (XXL)</v>
          </cell>
        </row>
        <row r="176">
          <cell r="B176" t="str">
            <v>FG03690</v>
          </cell>
          <cell r="C176" t="str">
            <v>FLAMINGO GEL KNEE CUSION (EXTRA LARGE)</v>
          </cell>
        </row>
        <row r="177">
          <cell r="B177" t="str">
            <v>FG03691</v>
          </cell>
          <cell r="C177" t="str">
            <v>FLAMINGO GEL KNEE CUSION (LARGE)</v>
          </cell>
        </row>
        <row r="178">
          <cell r="B178" t="str">
            <v>FG03692</v>
          </cell>
          <cell r="C178" t="str">
            <v>FLAMINGO GEL KNEE CUSION (SMALL)</v>
          </cell>
        </row>
        <row r="179">
          <cell r="B179" t="str">
            <v>FG03693</v>
          </cell>
          <cell r="C179" t="str">
            <v>FLAMINGO GEL PATELLA KNEE CAP (EXTRA LARGE)</v>
          </cell>
        </row>
        <row r="180">
          <cell r="B180" t="str">
            <v>FG03694</v>
          </cell>
          <cell r="C180" t="str">
            <v>FLAMINGO GEL PATELLA KNEE CAP (LARGE)</v>
          </cell>
        </row>
        <row r="181">
          <cell r="B181" t="str">
            <v>FG03695</v>
          </cell>
          <cell r="C181" t="str">
            <v>FLAMINGO GEL PATELLA KNEE CAP (MEDIUM)</v>
          </cell>
        </row>
        <row r="182">
          <cell r="B182" t="str">
            <v>FG03696</v>
          </cell>
          <cell r="C182" t="str">
            <v>FLAMINGO GEL PATELLA KNEE CAP (SMALL)</v>
          </cell>
        </row>
        <row r="183">
          <cell r="B183" t="str">
            <v>FG03697</v>
          </cell>
          <cell r="C183" t="str">
            <v>FLAMINGO HEAT BELT (LARGE)</v>
          </cell>
        </row>
        <row r="184">
          <cell r="B184" t="str">
            <v>FG03698</v>
          </cell>
          <cell r="C184" t="str">
            <v>FLAMINGO HEAT BELT (MINI)</v>
          </cell>
        </row>
        <row r="185">
          <cell r="B185" t="str">
            <v>FG03699</v>
          </cell>
          <cell r="C185" t="str">
            <v>FLAMINGO HEAT BELT (REGULAR)</v>
          </cell>
        </row>
        <row r="186">
          <cell r="B186" t="str">
            <v>FG03700</v>
          </cell>
          <cell r="C186" t="str">
            <v>FLAMINGO HEATING BELT PREMIUM (LARGE)</v>
          </cell>
        </row>
        <row r="187">
          <cell r="B187" t="str">
            <v>FG03701</v>
          </cell>
          <cell r="C187" t="str">
            <v>FLAMINGO HEIGHT ADJUSTABLE HARD COLLAR (M)</v>
          </cell>
        </row>
        <row r="188">
          <cell r="B188" t="str">
            <v>FG03702</v>
          </cell>
          <cell r="C188" t="str">
            <v>FLAMINGO HEIGHT ADJUSTABLE HARD COLLAR (XL)</v>
          </cell>
        </row>
        <row r="189">
          <cell r="B189" t="str">
            <v>FG03703</v>
          </cell>
          <cell r="C189" t="str">
            <v>FLAMINGO HERNIA BELT (LARGE)</v>
          </cell>
        </row>
        <row r="190">
          <cell r="B190" t="str">
            <v>FG03704</v>
          </cell>
          <cell r="C190" t="str">
            <v>FLAMINGO HERNIA BELT (MEDIUM)</v>
          </cell>
        </row>
        <row r="191">
          <cell r="B191" t="str">
            <v>FG03705</v>
          </cell>
          <cell r="C191" t="str">
            <v>FLAMINGO HERNIA BELT (SMALL)</v>
          </cell>
        </row>
        <row r="192">
          <cell r="B192" t="str">
            <v>FG03706</v>
          </cell>
          <cell r="C192" t="str">
            <v>FLAMINGO HINGED KNEE CAP (EXTRA LARGE)</v>
          </cell>
        </row>
        <row r="193">
          <cell r="B193" t="str">
            <v>FG03707</v>
          </cell>
          <cell r="C193" t="str">
            <v>FLAMINGO HINGED KNEE CAP (MEDIUM)</v>
          </cell>
        </row>
        <row r="194">
          <cell r="B194" t="str">
            <v>FG03708</v>
          </cell>
          <cell r="C194" t="str">
            <v>FLAMINGO HYPER EXTENSION BRACE</v>
          </cell>
        </row>
        <row r="195">
          <cell r="B195" t="str">
            <v>FG03709</v>
          </cell>
          <cell r="C195" t="str">
            <v>FLAMINGO KNEE BRACE LIGHT (EXTRA LARGE)</v>
          </cell>
        </row>
        <row r="196">
          <cell r="B196" t="str">
            <v>FG03710</v>
          </cell>
          <cell r="C196" t="str">
            <v>FLAMINGO KNEE BRACE LIGHT (MEDIUM)</v>
          </cell>
        </row>
        <row r="197">
          <cell r="B197" t="str">
            <v>FG03711</v>
          </cell>
          <cell r="C197" t="str">
            <v>FLAMINGO KNEE BRACE LIGHT (XXL)</v>
          </cell>
        </row>
        <row r="198">
          <cell r="B198" t="str">
            <v>FG03712</v>
          </cell>
          <cell r="C198" t="str">
            <v>FLAMINGO KNEE BRACE LONG (EXTRA LARGE)</v>
          </cell>
        </row>
        <row r="199">
          <cell r="B199" t="str">
            <v>FG03713</v>
          </cell>
          <cell r="C199" t="str">
            <v>FLAMINGO KNEE BRACE LONG (SMALL)</v>
          </cell>
        </row>
        <row r="200">
          <cell r="B200" t="str">
            <v>FG03714</v>
          </cell>
          <cell r="C200" t="str">
            <v>FLAMINGO KNEE BRACE R.O.M</v>
          </cell>
        </row>
        <row r="201">
          <cell r="B201" t="str">
            <v>FG03715</v>
          </cell>
          <cell r="C201" t="str">
            <v>FLAMINGO KNEE BRACE SHORT (EXTRA LARGE)</v>
          </cell>
        </row>
        <row r="202">
          <cell r="B202" t="str">
            <v>FG03716</v>
          </cell>
          <cell r="C202" t="str">
            <v>FLAMINGO KNEE BRACE SHORT (MEDIUM)</v>
          </cell>
        </row>
        <row r="203">
          <cell r="B203" t="str">
            <v>FG03717</v>
          </cell>
          <cell r="C203" t="str">
            <v>FLAMINGO KNEE BRACE SHORT (SMALL)</v>
          </cell>
        </row>
        <row r="204">
          <cell r="B204" t="str">
            <v>FG03718</v>
          </cell>
          <cell r="C204" t="str">
            <v>FLAMINGO KNEE BRACE SHORT (XXL)</v>
          </cell>
        </row>
        <row r="205">
          <cell r="B205" t="str">
            <v>FG03719</v>
          </cell>
          <cell r="C205" t="str">
            <v>FLAMINGO KNEE CAP (EXTRA LARGE)</v>
          </cell>
        </row>
        <row r="206">
          <cell r="B206" t="str">
            <v>FG03720</v>
          </cell>
          <cell r="C206" t="str">
            <v>FLAMINGO KNEE CAP (LARGE)</v>
          </cell>
        </row>
        <row r="207">
          <cell r="B207" t="str">
            <v>FG03721</v>
          </cell>
          <cell r="C207" t="str">
            <v>FLAMINGO KNEE CAP (SMALL)</v>
          </cell>
        </row>
        <row r="208">
          <cell r="B208" t="str">
            <v>FG03722</v>
          </cell>
          <cell r="C208" t="str">
            <v>FLAMINGO KNEE CAP (XXL)</v>
          </cell>
        </row>
        <row r="209">
          <cell r="B209" t="str">
            <v>FG03723</v>
          </cell>
          <cell r="C209" t="str">
            <v>FLAMINGO KNEE CAP PREMIUM (EXTRA LARGE)</v>
          </cell>
        </row>
        <row r="210">
          <cell r="B210" t="str">
            <v>FG03724</v>
          </cell>
          <cell r="C210" t="str">
            <v>FLAMINGO KNEE CAP PREMIUM (MEDIUM)</v>
          </cell>
        </row>
        <row r="211">
          <cell r="B211" t="str">
            <v>FG03725</v>
          </cell>
          <cell r="C211" t="str">
            <v>FLAMINGO KNEE IMMOBILIZER (DOUBLE EXTRA LARGE)</v>
          </cell>
        </row>
        <row r="212">
          <cell r="B212" t="str">
            <v>FG03726</v>
          </cell>
          <cell r="C212" t="str">
            <v>FLAMINGO KNEE IMMOBILIZER (LARGE)</v>
          </cell>
        </row>
        <row r="213">
          <cell r="B213" t="str">
            <v>FG03727</v>
          </cell>
          <cell r="C213" t="str">
            <v>FLAMINGO KNEE IMMOBILIZER (MEDIUM)</v>
          </cell>
        </row>
        <row r="214">
          <cell r="B214" t="str">
            <v>FG03728</v>
          </cell>
          <cell r="C214" t="str">
            <v>FLAMINGO KNEE IMMOBILIZER (SMALL)</v>
          </cell>
        </row>
        <row r="215">
          <cell r="B215" t="str">
            <v>FG03729</v>
          </cell>
          <cell r="C215" t="str">
            <v>FLAMINGO KNEE STABILISER (EXTRA LARGE)</v>
          </cell>
        </row>
        <row r="216">
          <cell r="B216" t="str">
            <v>FG03730</v>
          </cell>
          <cell r="C216" t="str">
            <v>FLAMINGO KNEE STABILISER (SMALL)</v>
          </cell>
        </row>
        <row r="217">
          <cell r="B217" t="str">
            <v>FG03731</v>
          </cell>
          <cell r="C217" t="str">
            <v>FLAMINGO KNEE STABILISER (XXL)</v>
          </cell>
        </row>
        <row r="218">
          <cell r="B218" t="str">
            <v>FG03732</v>
          </cell>
          <cell r="C218" t="str">
            <v>FLAMINGO KNEE STOCKING X X X L</v>
          </cell>
        </row>
        <row r="219">
          <cell r="B219" t="str">
            <v>FG03733</v>
          </cell>
          <cell r="C219" t="str">
            <v>FLAMINGO LONG LEG SPLINT-U</v>
          </cell>
        </row>
        <row r="220">
          <cell r="B220" t="str">
            <v>FG03734</v>
          </cell>
          <cell r="C220" t="str">
            <v>FLAMINGO LUMBAR CORSET BELT (EXTRA LARGE)</v>
          </cell>
        </row>
        <row r="221">
          <cell r="B221" t="str">
            <v>FG03735</v>
          </cell>
          <cell r="C221" t="str">
            <v>FLAMINGO LUMBAR CORSET BELT (MEDIUM)</v>
          </cell>
        </row>
        <row r="222">
          <cell r="B222" t="str">
            <v>FG03736</v>
          </cell>
          <cell r="C222" t="str">
            <v>FLAMINGO LUMBAR CORSET BELT (SMALL)</v>
          </cell>
        </row>
        <row r="223">
          <cell r="B223" t="str">
            <v>FG03737</v>
          </cell>
          <cell r="C223" t="str">
            <v>FLAMINGO LUMBAR CORSET BELT (XXXL)</v>
          </cell>
        </row>
        <row r="224">
          <cell r="B224" t="str">
            <v>FG03738</v>
          </cell>
          <cell r="C224" t="str">
            <v>FLAMINGO LUMBAR SACRO BELT X X L</v>
          </cell>
        </row>
        <row r="225">
          <cell r="B225" t="str">
            <v>FG03739</v>
          </cell>
          <cell r="C225" t="str">
            <v>FLAMINGO LUMBAR SACRO BELT (EXTRA LARGE)</v>
          </cell>
        </row>
        <row r="226">
          <cell r="B226" t="str">
            <v>FG03740</v>
          </cell>
          <cell r="C226" t="str">
            <v>FLAMINGO MATERNITY BELT (EXTRA LARGE)</v>
          </cell>
        </row>
        <row r="227">
          <cell r="B227" t="str">
            <v>FG03741</v>
          </cell>
          <cell r="C227" t="str">
            <v>FLAMINGO MATERNITY BELT (MEDIUM)</v>
          </cell>
        </row>
        <row r="228">
          <cell r="B228" t="str">
            <v>FG03742</v>
          </cell>
          <cell r="C228" t="str">
            <v>FLAMINGO MATERNITY BELT (LARGE)</v>
          </cell>
        </row>
        <row r="229">
          <cell r="B229" t="str">
            <v>FG03743</v>
          </cell>
          <cell r="C229" t="str">
            <v>FLAMINGO MEDICAL ARCH SUPPORT UNIVERSAL</v>
          </cell>
        </row>
        <row r="230">
          <cell r="B230" t="str">
            <v>FG03744</v>
          </cell>
          <cell r="C230" t="str">
            <v>FLAMINGO MEMORY FOAM BACK REST ( ADJUSTABLE STAND)</v>
          </cell>
        </row>
        <row r="231">
          <cell r="B231" t="str">
            <v>FG03745</v>
          </cell>
          <cell r="C231" t="str">
            <v>FLAMINGO OPEN PATELLA KNEE CAP (EXTRA LARGE)</v>
          </cell>
        </row>
        <row r="232">
          <cell r="B232" t="str">
            <v>FG03746</v>
          </cell>
          <cell r="C232" t="str">
            <v>FLAMINGO OPEN PATELLA KNEE CAP (LARGE)</v>
          </cell>
        </row>
        <row r="233">
          <cell r="B233" t="str">
            <v>FG03747</v>
          </cell>
          <cell r="C233" t="str">
            <v>FLAMINGO OPEN PATELLA KNEE CAP (SMALL)</v>
          </cell>
        </row>
        <row r="234">
          <cell r="B234" t="str">
            <v>FG03748</v>
          </cell>
          <cell r="C234" t="str">
            <v>FLAMINGO OPEN PATELLA KNEE CAP (XXL)</v>
          </cell>
        </row>
        <row r="235">
          <cell r="B235" t="str">
            <v>FG03749</v>
          </cell>
          <cell r="C235" t="str">
            <v>FLAMINGO PALM BRACE ( EXTRA LARGE)</v>
          </cell>
        </row>
        <row r="236">
          <cell r="B236" t="str">
            <v>FG03750</v>
          </cell>
          <cell r="C236" t="str">
            <v>FLAMINGO PALM BRACE (LARGE)</v>
          </cell>
        </row>
        <row r="237">
          <cell r="B237" t="str">
            <v>FG03751</v>
          </cell>
          <cell r="C237" t="str">
            <v>FLAMINGO PALM BRACE (MEDIUM)</v>
          </cell>
        </row>
        <row r="238">
          <cell r="B238" t="str">
            <v>FG03752</v>
          </cell>
          <cell r="C238" t="str">
            <v>FLAMINGO PALM BRACE (SMALL)</v>
          </cell>
        </row>
        <row r="239">
          <cell r="B239" t="str">
            <v>FG03753</v>
          </cell>
          <cell r="C239" t="str">
            <v>FLAMINGO PEDIATRIC CLAVICLE BRACE (LARGE)</v>
          </cell>
        </row>
        <row r="240">
          <cell r="B240" t="str">
            <v>FG03754</v>
          </cell>
          <cell r="C240" t="str">
            <v>FLAMINGO PEDIATRIC CLAVICLE BRACE (MEDIUM)</v>
          </cell>
        </row>
        <row r="241">
          <cell r="B241" t="str">
            <v>FG03755</v>
          </cell>
          <cell r="C241" t="str">
            <v>FLAMINGO PELVIC BINDER (LARGE)</v>
          </cell>
        </row>
        <row r="242">
          <cell r="B242" t="str">
            <v>FG03756</v>
          </cell>
          <cell r="C242" t="str">
            <v>FLAMINGO PELVIC BINDER (MEDIUM)</v>
          </cell>
        </row>
        <row r="243">
          <cell r="B243" t="str">
            <v>FG03757</v>
          </cell>
          <cell r="C243" t="str">
            <v>FLAMINGO PELVIC BINDER (SMALL)</v>
          </cell>
        </row>
        <row r="244">
          <cell r="B244" t="str">
            <v>FG03758</v>
          </cell>
          <cell r="C244" t="str">
            <v>FLAMINGO PELVIC TRACTION BELT (LARGE)</v>
          </cell>
        </row>
        <row r="245">
          <cell r="B245" t="str">
            <v>FG03759</v>
          </cell>
          <cell r="C245" t="str">
            <v>FLAMINGO PELVIC TRACTION BELT (MEDIUM)</v>
          </cell>
        </row>
        <row r="246">
          <cell r="B246" t="str">
            <v>FG03760</v>
          </cell>
          <cell r="C246" t="str">
            <v>FLAMINGO PELVIC TRACTION KIT (MEDIUM)</v>
          </cell>
        </row>
        <row r="247">
          <cell r="B247" t="str">
            <v>FG03761</v>
          </cell>
          <cell r="C247" t="str">
            <v>FLAMINGO PELVIC TRACTION KIT (SMALL)</v>
          </cell>
        </row>
        <row r="248">
          <cell r="B248" t="str">
            <v>FG03762</v>
          </cell>
          <cell r="C248" t="str">
            <v>FLAMINGO PILE CUSHION - U</v>
          </cell>
        </row>
        <row r="249">
          <cell r="B249" t="str">
            <v>FG03763</v>
          </cell>
          <cell r="C249" t="str">
            <v>FLAMINGO PREMIUM ORTHOPA HEAT PAD (EXTRA LARGE)</v>
          </cell>
        </row>
        <row r="250">
          <cell r="B250" t="str">
            <v>FG03764</v>
          </cell>
          <cell r="C250" t="str">
            <v>FLAMINGO PREMIUM ORTHOPAEDIC HEAT PAD (JUMBO)</v>
          </cell>
        </row>
        <row r="251">
          <cell r="B251" t="str">
            <v>FG03765</v>
          </cell>
          <cell r="C251" t="str">
            <v>FLAMINGO PREMIUM ORTHOPAEDIC HEAT PAD (LARGE)</v>
          </cell>
        </row>
        <row r="252">
          <cell r="B252" t="str">
            <v>FG03766</v>
          </cell>
          <cell r="C252" t="str">
            <v>FLAMINGO PREMIUM ORTHOPAEDIC HEAT PAD (REGULAR)</v>
          </cell>
        </row>
        <row r="253">
          <cell r="B253" t="str">
            <v>FG03767</v>
          </cell>
          <cell r="C253" t="str">
            <v>FLAMINGO RIB BELT (EXTRA LARGE)</v>
          </cell>
        </row>
        <row r="254">
          <cell r="B254" t="str">
            <v>FG03768</v>
          </cell>
          <cell r="C254" t="str">
            <v>FLAMINGO RIB BELT (SMALL)</v>
          </cell>
        </row>
        <row r="255">
          <cell r="B255" t="str">
            <v>FG03769</v>
          </cell>
          <cell r="C255" t="str">
            <v>FLAMINGO RM SLING PEDIATRIC (SMALL)</v>
          </cell>
        </row>
        <row r="256">
          <cell r="B256" t="str">
            <v>FG03770</v>
          </cell>
          <cell r="C256" t="str">
            <v>FLAMINGO SACRO LUMBAR PREMIUM (EXTRA LARGE) BELT</v>
          </cell>
        </row>
        <row r="257">
          <cell r="B257" t="str">
            <v>FG03771</v>
          </cell>
          <cell r="C257" t="str">
            <v>FLAMINGO SACRO LUMBAR PREMIUM (LARGE) BELT</v>
          </cell>
        </row>
        <row r="258">
          <cell r="B258" t="str">
            <v>FG03772</v>
          </cell>
          <cell r="C258" t="str">
            <v>FLAMINGO SACRO LUMBAR PREMIUM (LARGE) SUPPORT</v>
          </cell>
        </row>
        <row r="259">
          <cell r="B259" t="str">
            <v>FG03773</v>
          </cell>
          <cell r="C259" t="str">
            <v>FLAMINGO SACRO LUMBAR PREMIUM (MEDIUM) SUPPORT</v>
          </cell>
        </row>
        <row r="260">
          <cell r="B260" t="str">
            <v>FG03774</v>
          </cell>
          <cell r="C260" t="str">
            <v>FLAMINGO SAUNA BELT</v>
          </cell>
        </row>
        <row r="261">
          <cell r="B261" t="str">
            <v>FG03775</v>
          </cell>
          <cell r="C261" t="str">
            <v>FLAMINGO SCROTAL SUPPORT (MEDIUM)</v>
          </cell>
        </row>
        <row r="262">
          <cell r="B262" t="str">
            <v>FG03776</v>
          </cell>
          <cell r="C262" t="str">
            <v>FLAMINGO SHORT ARM SPLINT</v>
          </cell>
        </row>
        <row r="263">
          <cell r="B263" t="str">
            <v>FG03777</v>
          </cell>
          <cell r="C263" t="str">
            <v>FLAMINGO SHOULDER SUPPORT ( EXTRA LARGE)</v>
          </cell>
        </row>
        <row r="264">
          <cell r="B264" t="str">
            <v>FG03778</v>
          </cell>
          <cell r="C264" t="str">
            <v>FLAMINGO SHOULDER SUPPORT (MEDIUM)</v>
          </cell>
        </row>
        <row r="265">
          <cell r="B265" t="str">
            <v>FG03779</v>
          </cell>
          <cell r="C265" t="str">
            <v>FLAMINGO SHOULDER SUPPORT (SMALL)</v>
          </cell>
        </row>
        <row r="266">
          <cell r="B266" t="str">
            <v>FG03780</v>
          </cell>
          <cell r="C266" t="str">
            <v>FLAMINGO SILICONE FOOT INSOLE (EXTRA LARGE)</v>
          </cell>
        </row>
        <row r="267">
          <cell r="B267" t="str">
            <v>FG03781</v>
          </cell>
          <cell r="C267" t="str">
            <v>FLAMINGO SILICONE FOOT INSOLE (LARGE)</v>
          </cell>
        </row>
        <row r="268">
          <cell r="B268" t="str">
            <v>FG03782</v>
          </cell>
          <cell r="C268" t="str">
            <v>FLAMINGO SILICONE FOOT INSOLE (SMALL)</v>
          </cell>
        </row>
        <row r="269">
          <cell r="B269" t="str">
            <v>FG03783</v>
          </cell>
          <cell r="C269" t="str">
            <v>FLAMINGO SKIN FOOT TRACTION KIT</v>
          </cell>
        </row>
        <row r="270">
          <cell r="B270" t="str">
            <v>FG03784</v>
          </cell>
          <cell r="C270" t="str">
            <v>FLAMINGO SPORT ELBOW BAND</v>
          </cell>
        </row>
        <row r="271">
          <cell r="B271" t="str">
            <v>FG03785</v>
          </cell>
          <cell r="C271" t="str">
            <v>FLAMINGO SPORT WRIST BAND</v>
          </cell>
        </row>
        <row r="272">
          <cell r="B272" t="str">
            <v>FG03786</v>
          </cell>
          <cell r="C272" t="str">
            <v>FLAMINGO STERNAL SPLINT BELT (LARGE)</v>
          </cell>
        </row>
        <row r="273">
          <cell r="B273" t="str">
            <v>FG03787</v>
          </cell>
          <cell r="C273" t="str">
            <v>FLAMINGO STERNAL SPLINT BELT (SMALL)</v>
          </cell>
        </row>
        <row r="274">
          <cell r="B274" t="str">
            <v>FG03788</v>
          </cell>
          <cell r="C274" t="str">
            <v>FLAMINGO STOCKING BELOW KNEE ( XXL)</v>
          </cell>
        </row>
        <row r="275">
          <cell r="B275" t="str">
            <v>FG03789</v>
          </cell>
          <cell r="C275" t="str">
            <v>FLAMINGO STOCKING BELOW KNEE ( XXXL)</v>
          </cell>
        </row>
        <row r="276">
          <cell r="B276" t="str">
            <v>FG03790</v>
          </cell>
          <cell r="C276" t="str">
            <v>FLAMINGO STOCKING BELOW KNEE (MEDIUM)</v>
          </cell>
        </row>
        <row r="277">
          <cell r="B277" t="str">
            <v>FG03791</v>
          </cell>
          <cell r="C277" t="str">
            <v>FLAMINGO STOCKING BELOW KNEE (SMALL)</v>
          </cell>
        </row>
        <row r="278">
          <cell r="B278" t="str">
            <v>FG03792</v>
          </cell>
          <cell r="C278" t="str">
            <v>FLAMINGO STOCKING BELOW KNEE PREMIUM (SMALL)</v>
          </cell>
        </row>
        <row r="279">
          <cell r="B279" t="str">
            <v>FG03793</v>
          </cell>
          <cell r="C279" t="str">
            <v>FLAMINGO STOCKING BELOW KNEE PREMIUM(EXTRALARGE)</v>
          </cell>
        </row>
        <row r="280">
          <cell r="B280" t="str">
            <v>FG03794</v>
          </cell>
          <cell r="C280" t="str">
            <v>FLAMINGO STOCKINGS ABOVE KNEE (LARGE)</v>
          </cell>
        </row>
        <row r="281">
          <cell r="B281" t="str">
            <v>FG03795</v>
          </cell>
          <cell r="C281" t="str">
            <v>FLAMINGO STIRRUP ANKLE BRACE (UNIVERSAL)</v>
          </cell>
        </row>
        <row r="282">
          <cell r="B282" t="str">
            <v>FG03796</v>
          </cell>
          <cell r="C282" t="str">
            <v>FLAMINGO TENNIS ELBOW SUPPORT (LARGE)</v>
          </cell>
        </row>
        <row r="283">
          <cell r="B283" t="str">
            <v>FG03797</v>
          </cell>
          <cell r="C283" t="str">
            <v>FLAMINGO THIGH SUPPORT (EXTRA LARGE)</v>
          </cell>
        </row>
        <row r="284">
          <cell r="B284" t="str">
            <v>FG03798</v>
          </cell>
          <cell r="C284" t="str">
            <v>FLAMINGO THIGH SUPPORT (LARGE)</v>
          </cell>
        </row>
        <row r="285">
          <cell r="B285" t="str">
            <v>FG03799</v>
          </cell>
          <cell r="C285" t="str">
            <v>FLAMINGO THIGH SUPPORT PREMIUM (EXTRA LARGE)</v>
          </cell>
        </row>
        <row r="286">
          <cell r="B286" t="str">
            <v>FG03800</v>
          </cell>
          <cell r="C286" t="str">
            <v>FLAMINGO THIGH SUPPORT PREMIUM (LARGE)</v>
          </cell>
        </row>
        <row r="287">
          <cell r="B287" t="str">
            <v>FG03801</v>
          </cell>
          <cell r="C287" t="str">
            <v>FLAMINGO THIGH SUPPORT PREMIUM (MEDIUM)</v>
          </cell>
        </row>
        <row r="288">
          <cell r="B288" t="str">
            <v>FG03802</v>
          </cell>
          <cell r="C288" t="str">
            <v>FLAMINGO THIGH SUPPORT PREMIUM (SMALL)</v>
          </cell>
        </row>
        <row r="289">
          <cell r="B289" t="str">
            <v>FG03803</v>
          </cell>
          <cell r="C289" t="str">
            <v>FLAMINGO THUMB SPICA (EXTRA LARGE )</v>
          </cell>
        </row>
        <row r="290">
          <cell r="B290" t="str">
            <v>FG03804</v>
          </cell>
          <cell r="C290" t="str">
            <v>FLAMINGO THUMB SPICA (SMALL)</v>
          </cell>
        </row>
        <row r="291">
          <cell r="B291" t="str">
            <v>FG03805</v>
          </cell>
          <cell r="C291" t="str">
            <v>FLAMINGO TOE SEPARATOR</v>
          </cell>
        </row>
        <row r="292">
          <cell r="B292" t="str">
            <v>FG03806</v>
          </cell>
          <cell r="C292" t="str">
            <v>FLAMINGO TRI AXEL HINGED KNEE BRACE ( XXL )</v>
          </cell>
        </row>
        <row r="293">
          <cell r="B293" t="str">
            <v>FG03807</v>
          </cell>
          <cell r="C293" t="str">
            <v>FLAMINGO TRI AXEL HINGED KNEE BRACE ( XXXL )</v>
          </cell>
        </row>
        <row r="294">
          <cell r="B294" t="str">
            <v>FG03808</v>
          </cell>
          <cell r="C294" t="str">
            <v>FLAMINGO TRI AXEL HINGED KNEE BRACE (EXTRA LARGE)</v>
          </cell>
        </row>
        <row r="295">
          <cell r="B295" t="str">
            <v>FG03809</v>
          </cell>
          <cell r="C295" t="str">
            <v>FLAMINGO TRI AXEL HINGED KNEE BRACE (LARGE)</v>
          </cell>
        </row>
        <row r="296">
          <cell r="B296" t="str">
            <v>FG03810</v>
          </cell>
          <cell r="C296" t="str">
            <v>FLAMINGO TRI AXEL HINGED KNEE BRACE (MEDIUM)</v>
          </cell>
        </row>
        <row r="297">
          <cell r="B297" t="str">
            <v>FG03811</v>
          </cell>
          <cell r="C297" t="str">
            <v>FLAMINGO TUBULAR SUPPORT BELOW KNEE (EXTRA LARGE)</v>
          </cell>
        </row>
        <row r="298">
          <cell r="B298" t="str">
            <v>FG03812</v>
          </cell>
          <cell r="C298" t="str">
            <v>FLAMINGO TUBULAR SUPPORT BELOW KNEE (LARGE)</v>
          </cell>
        </row>
        <row r="299">
          <cell r="B299" t="str">
            <v>FG03813</v>
          </cell>
          <cell r="C299" t="str">
            <v>FLAMINGO TUBULAR SUPPORT BELOW KNEE (MEDIUM)</v>
          </cell>
        </row>
        <row r="300">
          <cell r="B300" t="str">
            <v>FG03814</v>
          </cell>
          <cell r="C300" t="str">
            <v>FLAMINGO TUBULAR SUPPORT BELOW KNEE (SMALL)</v>
          </cell>
        </row>
        <row r="301">
          <cell r="B301" t="str">
            <v>FG03815</v>
          </cell>
          <cell r="C301" t="str">
            <v>FLAMINGO TUBULAR SUPPORT BELOW KNEE (X X L )</v>
          </cell>
        </row>
        <row r="302">
          <cell r="B302" t="str">
            <v>FG03816</v>
          </cell>
          <cell r="C302" t="str">
            <v>FLAMINGO TUBULAR SUPPORT BELOW KNEE (X X X L )</v>
          </cell>
        </row>
        <row r="303">
          <cell r="B303" t="str">
            <v>FG03817</v>
          </cell>
          <cell r="C303" t="str">
            <v>FLAMINGO UNDER ARM CRUTCHES (LARGE)</v>
          </cell>
        </row>
        <row r="304">
          <cell r="B304" t="str">
            <v>FG03818</v>
          </cell>
          <cell r="C304" t="str">
            <v>FLAMINGO UNDER ARM CRUTCHES (SMALL)</v>
          </cell>
        </row>
        <row r="305">
          <cell r="B305" t="str">
            <v>FG03819</v>
          </cell>
          <cell r="C305" t="str">
            <v>FLAMINGO UNI SHOULDER IMMOBILISER (EXTRA LARGE)</v>
          </cell>
        </row>
        <row r="306">
          <cell r="B306" t="str">
            <v>FG03820</v>
          </cell>
          <cell r="C306" t="str">
            <v>FLAMINGO UNI SHOULDER IMMOBILISER (EXTRA SMALL)</v>
          </cell>
        </row>
        <row r="307">
          <cell r="B307" t="str">
            <v>FG03821</v>
          </cell>
          <cell r="C307" t="str">
            <v>FLAMINGO UNI SHOULDER IMMOBILISER (MEDIUM)</v>
          </cell>
        </row>
        <row r="308">
          <cell r="B308" t="str">
            <v>FG03822</v>
          </cell>
          <cell r="C308" t="str">
            <v>FLAMINGO UNI SHOULDER IMMOBILISER (XXL)</v>
          </cell>
        </row>
        <row r="309">
          <cell r="B309" t="str">
            <v>FG03823</v>
          </cell>
          <cell r="C309" t="str">
            <v>FLAMINGO VERICOSE VEIN STOCKING ( EXTRA LARGE)</v>
          </cell>
        </row>
        <row r="310">
          <cell r="B310" t="str">
            <v>FG03824</v>
          </cell>
          <cell r="C310" t="str">
            <v>FLAMINGO VERICOSE VEIN STOCKING (DO EX LAR)</v>
          </cell>
        </row>
        <row r="311">
          <cell r="B311" t="str">
            <v>FG03825</v>
          </cell>
          <cell r="C311" t="str">
            <v>FLAMINGO VERICOSE VEIN STOCKING (LARGE)</v>
          </cell>
        </row>
        <row r="312">
          <cell r="B312" t="str">
            <v>FG03826</v>
          </cell>
          <cell r="C312" t="str">
            <v>FLAMINGO VERICOSE VEIN STOCKING (SMALL)</v>
          </cell>
        </row>
        <row r="313">
          <cell r="B313" t="str">
            <v>FG03827</v>
          </cell>
          <cell r="C313" t="str">
            <v>FLAMINGO VERICOSE VEIN STOCKING (XXXL)</v>
          </cell>
        </row>
        <row r="314">
          <cell r="B314" t="str">
            <v>FG03828</v>
          </cell>
          <cell r="C314" t="str">
            <v>FLAMINGO VERICOSE VEIN STOCKING PREMIUM (XXL)</v>
          </cell>
        </row>
        <row r="315">
          <cell r="B315" t="str">
            <v>FG03829</v>
          </cell>
          <cell r="C315" t="str">
            <v>FLAMINGO WAIST &amp; FOREARM SPLINT (LARGE)</v>
          </cell>
        </row>
        <row r="316">
          <cell r="B316" t="str">
            <v>FG03830</v>
          </cell>
          <cell r="C316" t="str">
            <v>FLAMINGO WAIST &amp; FOREARM SPLINT (MEDIUM)</v>
          </cell>
        </row>
        <row r="317">
          <cell r="B317" t="str">
            <v>FG03831</v>
          </cell>
          <cell r="C317" t="str">
            <v>FLAMINGO WAIST TRIMMER (DOUBLE EXTRA LARGE)</v>
          </cell>
        </row>
        <row r="318">
          <cell r="B318" t="str">
            <v>FG03832</v>
          </cell>
          <cell r="C318" t="str">
            <v>FLAMINGO WAIST TRIMMER (SMALL)</v>
          </cell>
        </row>
        <row r="319">
          <cell r="B319" t="str">
            <v>FG03833</v>
          </cell>
          <cell r="C319" t="str">
            <v>FLAMINGO WALKING STICK (QUTRIPOD)</v>
          </cell>
        </row>
        <row r="320">
          <cell r="B320" t="str">
            <v>FG03834</v>
          </cell>
          <cell r="C320" t="str">
            <v>FLAMINGO WALKING STICK (TRIPOD)</v>
          </cell>
        </row>
        <row r="321">
          <cell r="B321" t="str">
            <v>FG03835</v>
          </cell>
          <cell r="C321" t="str">
            <v>FLAMINGO WATER WEIGHT BAG</v>
          </cell>
        </row>
        <row r="322">
          <cell r="B322" t="str">
            <v>FG03836</v>
          </cell>
          <cell r="C322" t="str">
            <v>FLAMINGO WRIST &amp; FOREARM SPLINT (SMALL)</v>
          </cell>
        </row>
        <row r="323">
          <cell r="B323" t="str">
            <v>FG03837</v>
          </cell>
          <cell r="C323" t="str">
            <v>FLAMINGO WRIST WRAP</v>
          </cell>
        </row>
        <row r="324">
          <cell r="B324" t="str">
            <v>FG03838</v>
          </cell>
          <cell r="C324" t="str">
            <v>FLAMINGOGEL METATARSAL PAD (FEMALE)</v>
          </cell>
        </row>
        <row r="325">
          <cell r="B325" t="str">
            <v>FG03839</v>
          </cell>
          <cell r="C325" t="str">
            <v>FRAMINGO DORSO LUMBER SPINAL BELT ( M )</v>
          </cell>
        </row>
        <row r="326">
          <cell r="B326" t="str">
            <v>FG03840</v>
          </cell>
          <cell r="C326" t="str">
            <v>FRAMINGO DORSO LUMBER SPINAL BELT ( S )</v>
          </cell>
        </row>
        <row r="327">
          <cell r="B327" t="str">
            <v>FG03841</v>
          </cell>
          <cell r="C327" t="str">
            <v>FRAMINGO DORSO LUMBER SPINAL BELT (LARGE )</v>
          </cell>
        </row>
        <row r="328">
          <cell r="B328" t="str">
            <v>FG03842</v>
          </cell>
          <cell r="C328" t="str">
            <v>FRAMINGO DORSO LUMBER SPINAL BRACE (SMALL)</v>
          </cell>
        </row>
        <row r="329">
          <cell r="B329" t="str">
            <v>FG03843</v>
          </cell>
          <cell r="C329" t="str">
            <v>I-72 (LEVONORGESTREL) 1.5MG B/1 CES</v>
          </cell>
        </row>
        <row r="330">
          <cell r="B330" t="str">
            <v>FG03844</v>
          </cell>
          <cell r="C330" t="str">
            <v>INSTRUMENT TROLLEY TWO SHELVES ML-M049</v>
          </cell>
        </row>
        <row r="331">
          <cell r="B331" t="str">
            <v>FG03845</v>
          </cell>
          <cell r="C331" t="str">
            <v>KETOFEN 100MG (KETOPROFENE) INJ B/1VIAL</v>
          </cell>
        </row>
        <row r="332">
          <cell r="B332" t="str">
            <v>FG03846</v>
          </cell>
          <cell r="C332" t="str">
            <v>LABIL-100MG (LABETALOL) INJ. B/1 VIAL</v>
          </cell>
        </row>
        <row r="333">
          <cell r="B333" t="str">
            <v>FG03847</v>
          </cell>
          <cell r="C333" t="str">
            <v>LABIL-20MG (LABETALOL) INJ. B/1AMP</v>
          </cell>
        </row>
        <row r="334">
          <cell r="B334" t="str">
            <v>FG03848</v>
          </cell>
          <cell r="C334" t="str">
            <v>NACEL-200MG (ACETYLCYSTEINE) INJ. B/1AMP</v>
          </cell>
        </row>
        <row r="335">
          <cell r="B335" t="str">
            <v>FG03849</v>
          </cell>
          <cell r="C335" t="str">
            <v>NACEL-400MG (ACETYLCYSTEINE) INJ.B/1AMP</v>
          </cell>
        </row>
        <row r="336">
          <cell r="B336" t="str">
            <v>FG03850</v>
          </cell>
          <cell r="C336" t="str">
            <v>NORBIT-4MG (NOREPINEPHRINE) INJ. B/2AMP</v>
          </cell>
        </row>
        <row r="337">
          <cell r="B337" t="str">
            <v>FG03851</v>
          </cell>
          <cell r="C337" t="str">
            <v>PROSTAL-500MCG/ML (ALPROSTADIL) INJ. B/1VIAL</v>
          </cell>
        </row>
        <row r="338">
          <cell r="B338" t="str">
            <v>FG03852</v>
          </cell>
          <cell r="C338" t="str">
            <v>STIMIN- 0.5MG/ML (NEOSTIGMINE) B/1AMP</v>
          </cell>
        </row>
        <row r="339">
          <cell r="B339" t="str">
            <v>FG03853</v>
          </cell>
          <cell r="C339" t="str">
            <v>TOPGYL (METRONIDAZOL) 500 MG OVULE B\10</v>
          </cell>
        </row>
        <row r="340">
          <cell r="B340" t="str">
            <v>FG03854</v>
          </cell>
          <cell r="C340" t="str">
            <v>VIBRO-10MG (VECURONIUM ) B/1AMP</v>
          </cell>
        </row>
        <row r="341">
          <cell r="B341" t="str">
            <v>FG03855</v>
          </cell>
          <cell r="C341" t="str">
            <v>WALKING STICK PREMIUM</v>
          </cell>
        </row>
        <row r="342">
          <cell r="B342" t="str">
            <v>FG03856</v>
          </cell>
          <cell r="C342" t="str">
            <v>WATER WEIGHT BAG</v>
          </cell>
        </row>
        <row r="343">
          <cell r="B343" t="str">
            <v>FG03857</v>
          </cell>
          <cell r="C343" t="str">
            <v>BALANCE MECANIQUE SUSPENDUE A CADRAN ROND ML-D2002</v>
          </cell>
        </row>
        <row r="344">
          <cell r="B344" t="str">
            <v>FG03858</v>
          </cell>
          <cell r="C344" t="str">
            <v>BALLON DE REANIMATION AMBU - ADULT ML-P6001</v>
          </cell>
        </row>
        <row r="345">
          <cell r="B345" t="str">
            <v>FG03859</v>
          </cell>
          <cell r="C345" t="str">
            <v>BALLON DE REANIMATION AMBU - ENFANT ML-P6002</v>
          </cell>
        </row>
        <row r="346">
          <cell r="B346" t="str">
            <v>FG03860</v>
          </cell>
          <cell r="C346" t="str">
            <v>BALLON DE REANIMATION AMBU - NOUVEAUX-NES ML-P6003</v>
          </cell>
        </row>
        <row r="347">
          <cell r="B347" t="str">
            <v>FG03861</v>
          </cell>
          <cell r="C347" t="str">
            <v>BASSIN DE LIT AVEC COUVERCLE INOX ML-I4017</v>
          </cell>
        </row>
        <row r="348">
          <cell r="B348" t="str">
            <v>FG03862</v>
          </cell>
          <cell r="C348" t="str">
            <v>BASSIN DE LIT AVEC COUVERCLE INOX - HOMME ML-I4018</v>
          </cell>
        </row>
        <row r="349">
          <cell r="B349" t="str">
            <v>FG03863</v>
          </cell>
          <cell r="C349" t="str">
            <v>BASSIN RENIFORME 10 - INOX ML-I4020</v>
          </cell>
        </row>
        <row r="350">
          <cell r="B350" t="str">
            <v>FG03864</v>
          </cell>
          <cell r="C350" t="str">
            <v>BASSIN RENIFORME 8 - INOX ML-I4019</v>
          </cell>
        </row>
        <row r="351">
          <cell r="B351" t="str">
            <v>FG03865</v>
          </cell>
          <cell r="C351" t="str">
            <v>BASSINS DE LIT EN INOX</v>
          </cell>
        </row>
        <row r="352">
          <cell r="B352" t="str">
            <v>FG03866</v>
          </cell>
          <cell r="C352" t="str">
            <v>BED PANS AMERICA TYPE</v>
          </cell>
        </row>
        <row r="353">
          <cell r="B353" t="str">
            <v>FG03867</v>
          </cell>
          <cell r="C353" t="str">
            <v>DIAZEPAM 10MG/2ML INJ B/10AMP</v>
          </cell>
        </row>
        <row r="354">
          <cell r="B354" t="str">
            <v>FG03868</v>
          </cell>
          <cell r="C354" t="str">
            <v>DICLIQUE (DICLO.+PARA.) B/10X10CES</v>
          </cell>
        </row>
        <row r="355">
          <cell r="B355" t="str">
            <v>FG03869</v>
          </cell>
          <cell r="C355" t="str">
            <v>DICQUE 100MG (DICLOFENAC) B/10SUPPOS</v>
          </cell>
        </row>
        <row r="356">
          <cell r="B356" t="str">
            <v>FG03870</v>
          </cell>
          <cell r="C356" t="str">
            <v>DICLOFENAC 50MG B/10X10CES</v>
          </cell>
        </row>
        <row r="357">
          <cell r="B357" t="str">
            <v>FG03871</v>
          </cell>
          <cell r="C357" t="str">
            <v>DICLOFENAC 75MG/3ML INJ. B/10AMP</v>
          </cell>
        </row>
        <row r="358">
          <cell r="B358" t="str">
            <v>FG03872</v>
          </cell>
          <cell r="C358" t="str">
            <v>DICQUE (DICLOFENAC) GEL T/30MG</v>
          </cell>
        </row>
        <row r="359">
          <cell r="B359" t="str">
            <v>FG03873</v>
          </cell>
          <cell r="C359" t="str">
            <v>DICQUE-CR 100MG (DICLOFENAC) B\10 CAP</v>
          </cell>
        </row>
        <row r="360">
          <cell r="B360" t="str">
            <v>FG03874</v>
          </cell>
          <cell r="C360" t="str">
            <v>DOXYCILLINE 100MG B/10X10CAPS</v>
          </cell>
        </row>
        <row r="361">
          <cell r="B361" t="str">
            <v>FG03875</v>
          </cell>
          <cell r="C361" t="str">
            <v>DOZEM (TRAMADOL)50MG/1ML INJ B/5AMP</v>
          </cell>
        </row>
        <row r="362">
          <cell r="B362" t="str">
            <v>FG03876</v>
          </cell>
          <cell r="C362" t="str">
            <v>DULCOLAX 5MG (LAXAQUE) B/10X10CES</v>
          </cell>
        </row>
        <row r="363">
          <cell r="B363" t="str">
            <v>FG03877</v>
          </cell>
          <cell r="C363" t="str">
            <v>ERINOCIN (ERYTROMYCINE ) 125MG 100ML</v>
          </cell>
        </row>
        <row r="364">
          <cell r="B364" t="str">
            <v>FG03878</v>
          </cell>
          <cell r="C364" t="str">
            <v>ERYTHROMICIN 250MG PLS/10***(ERINOCIN)</v>
          </cell>
        </row>
        <row r="365">
          <cell r="B365" t="str">
            <v>FG03879</v>
          </cell>
          <cell r="C365" t="str">
            <v>ERYTHROMYCINE 500MG PLS/10CES***(ERINOCIN)</v>
          </cell>
        </row>
        <row r="366">
          <cell r="B366" t="str">
            <v>FG03880</v>
          </cell>
          <cell r="C366" t="str">
            <v>EXTANCILLINE PENI (BENZATHINE) INJ. 2.4MEGA 1 VIAL</v>
          </cell>
        </row>
        <row r="367">
          <cell r="B367" t="str">
            <v>FG03881</v>
          </cell>
          <cell r="C367" t="str">
            <v>FALSIQUE(SUFADOXIME+PYRIME) 500MG+25MG PL/3CES</v>
          </cell>
        </row>
        <row r="368">
          <cell r="B368" t="str">
            <v>FG03882</v>
          </cell>
          <cell r="C368" t="str">
            <v>FLAMINGO ANKLET (EXTRA LARGE)</v>
          </cell>
        </row>
        <row r="369">
          <cell r="B369" t="str">
            <v>FG03883</v>
          </cell>
          <cell r="C369" t="str">
            <v>FLAMINGO ANKLET (LARGE)</v>
          </cell>
        </row>
        <row r="370">
          <cell r="B370" t="str">
            <v>FG03884</v>
          </cell>
          <cell r="C370" t="str">
            <v>FLAMINGO ANKLET (MEDIUM)</v>
          </cell>
        </row>
        <row r="371">
          <cell r="B371" t="str">
            <v>FG03885</v>
          </cell>
          <cell r="C371" t="str">
            <v>FLAMINGO ANKLET (SMALL)</v>
          </cell>
        </row>
        <row r="372">
          <cell r="B372" t="str">
            <v>FG03886</v>
          </cell>
          <cell r="C372" t="str">
            <v>FLAMINGO ANKLET PREMIUM (EXTRA LARGE)</v>
          </cell>
        </row>
        <row r="373">
          <cell r="B373" t="str">
            <v>FG03887</v>
          </cell>
          <cell r="C373" t="str">
            <v>FLAMINGO ANKLET PREMIUM (LARGE)</v>
          </cell>
        </row>
        <row r="374">
          <cell r="B374" t="str">
            <v>FG03888</v>
          </cell>
          <cell r="C374" t="str">
            <v>FLAMINGO ANKLET PREMIUM (SMALL)</v>
          </cell>
        </row>
        <row r="375">
          <cell r="B375" t="str">
            <v>FG03889</v>
          </cell>
          <cell r="C375" t="str">
            <v>FLAMINGO ARM IMMOBILIZER (LARGE)</v>
          </cell>
        </row>
        <row r="376">
          <cell r="B376" t="str">
            <v>FG03890</v>
          </cell>
          <cell r="C376" t="str">
            <v>FLAMINGO ARM IMMOBILIZER (MEDIUM)</v>
          </cell>
        </row>
        <row r="377">
          <cell r="B377" t="str">
            <v>FG03891</v>
          </cell>
          <cell r="C377" t="str">
            <v>FLAMINGO ARM POUCH (EXTRA SMALL)</v>
          </cell>
        </row>
        <row r="378">
          <cell r="B378" t="str">
            <v>FG03892</v>
          </cell>
          <cell r="C378" t="str">
            <v>FLAMINGO ARM POUCH (LARGE)</v>
          </cell>
        </row>
        <row r="379">
          <cell r="B379" t="str">
            <v>FG03893</v>
          </cell>
          <cell r="C379" t="str">
            <v>FLAMINGO ARM POUCH (SMALL)</v>
          </cell>
        </row>
        <row r="380">
          <cell r="B380" t="str">
            <v>FG03894</v>
          </cell>
          <cell r="C380" t="str">
            <v>FLAMINGO ARM SLING (EXTRA LARGE)</v>
          </cell>
        </row>
        <row r="381">
          <cell r="B381" t="str">
            <v>FG03895</v>
          </cell>
          <cell r="C381" t="str">
            <v>FLAMINGO ARM SLING (EXTRA SMALL)</v>
          </cell>
        </row>
        <row r="382">
          <cell r="B382" t="str">
            <v>FG03896</v>
          </cell>
          <cell r="C382" t="str">
            <v>FLAMINGO ARM SLING (LARGE)</v>
          </cell>
        </row>
        <row r="383">
          <cell r="B383" t="str">
            <v>FG03897</v>
          </cell>
          <cell r="C383" t="str">
            <v>FLAMINGO ARM SLING (SMALL)</v>
          </cell>
        </row>
        <row r="384">
          <cell r="B384" t="str">
            <v>FG03898</v>
          </cell>
          <cell r="C384" t="str">
            <v>FLAMINGO ARM SLING PEDIATRIC (LARGE)</v>
          </cell>
        </row>
        <row r="385">
          <cell r="B385" t="str">
            <v>FG03899</v>
          </cell>
          <cell r="C385" t="str">
            <v>FLAMINGO ARM SLING PEDIATRIC (MEDIUM)</v>
          </cell>
        </row>
        <row r="386">
          <cell r="B386" t="str">
            <v>FG03900</v>
          </cell>
          <cell r="C386" t="str">
            <v>FLAMINGO ARM SLING PEDIATRIC (SMALL)</v>
          </cell>
        </row>
        <row r="387">
          <cell r="B387" t="str">
            <v>FG03901</v>
          </cell>
          <cell r="C387" t="str">
            <v>FLAMINGO ARM SLING STRAP</v>
          </cell>
        </row>
        <row r="388">
          <cell r="B388" t="str">
            <v>FG03902</v>
          </cell>
          <cell r="C388" t="str">
            <v>FLAMINGO BACK REST (LARGE)</v>
          </cell>
        </row>
        <row r="389">
          <cell r="B389" t="str">
            <v>FG03903</v>
          </cell>
          <cell r="C389" t="str">
            <v>FLAMINGO BACK REST (MEDIUM)</v>
          </cell>
        </row>
        <row r="390">
          <cell r="B390" t="str">
            <v>FG03904</v>
          </cell>
          <cell r="C390" t="str">
            <v>FLAMINGO BACK REST FOAM TYPE (LARGE)</v>
          </cell>
        </row>
        <row r="391">
          <cell r="B391" t="str">
            <v>FG03905</v>
          </cell>
          <cell r="C391" t="str">
            <v>FLAMINGO BI AXEL HINGED KNEE CAP (LARGE)</v>
          </cell>
        </row>
        <row r="392">
          <cell r="B392" t="str">
            <v>FG03906</v>
          </cell>
          <cell r="C392" t="str">
            <v>FLAMINGO BI AXEL HINGED KNEE CAP (SMALL)</v>
          </cell>
        </row>
        <row r="393">
          <cell r="B393" t="str">
            <v>FG03907</v>
          </cell>
          <cell r="C393" t="str">
            <v>FLAMINGO BOTOM POD FOR</v>
          </cell>
        </row>
        <row r="394">
          <cell r="B394" t="str">
            <v>FG03908</v>
          </cell>
          <cell r="C394" t="str">
            <v>FLAMINGO CALF SUPPORT (LARGE)</v>
          </cell>
        </row>
        <row r="395">
          <cell r="B395" t="str">
            <v>FG03909</v>
          </cell>
          <cell r="C395" t="str">
            <v>FLAMINGO CALF SUPPORT (MEDIUM)</v>
          </cell>
        </row>
        <row r="396">
          <cell r="B396" t="str">
            <v>FG03910</v>
          </cell>
          <cell r="C396" t="str">
            <v>FLAMINGO CALF SUPPORT PREMIUM (MEDIUM)</v>
          </cell>
        </row>
        <row r="397">
          <cell r="B397" t="str">
            <v>FG03911</v>
          </cell>
          <cell r="C397" t="str">
            <v>FLAMINGO CALF SUPPORT PREMIUM (SMALL)</v>
          </cell>
        </row>
        <row r="398">
          <cell r="B398" t="str">
            <v>FG03912</v>
          </cell>
          <cell r="C398" t="str">
            <v>FLAMINGO CARPAL TUNNEL SPLINT</v>
          </cell>
        </row>
        <row r="399">
          <cell r="B399" t="str">
            <v>FG03913</v>
          </cell>
          <cell r="C399" t="str">
            <v>FLAMINGO CAST SHOE (LARGE)</v>
          </cell>
        </row>
        <row r="400">
          <cell r="B400" t="str">
            <v>FG03914</v>
          </cell>
          <cell r="C400" t="str">
            <v>FLAMINGO CAST SHOE (MEDIUM)</v>
          </cell>
        </row>
        <row r="401">
          <cell r="B401" t="str">
            <v>FG03915</v>
          </cell>
          <cell r="C401" t="str">
            <v>FLAMINGO CAST SHOE (SMALL)</v>
          </cell>
        </row>
        <row r="402">
          <cell r="B402" t="str">
            <v>FG03916</v>
          </cell>
          <cell r="C402" t="str">
            <v>FLAMINGO CERVICAL COLLAR WITH NECK SUPPORT (L)</v>
          </cell>
        </row>
        <row r="403">
          <cell r="B403" t="str">
            <v>FG03917</v>
          </cell>
          <cell r="C403" t="str">
            <v>FLAMINGO CERVICAL COLLAR WITH NECK SUPPORT (M)</v>
          </cell>
        </row>
        <row r="404">
          <cell r="B404" t="str">
            <v>FG03918</v>
          </cell>
          <cell r="C404" t="str">
            <v>FLAMINGO CERVICAL COLLAR (MEDIUM)</v>
          </cell>
        </row>
        <row r="405">
          <cell r="B405" t="str">
            <v>FG03919</v>
          </cell>
          <cell r="C405" t="str">
            <v>FLAMINGO CERVICAL COLLAR (SMALL)</v>
          </cell>
        </row>
        <row r="406">
          <cell r="B406" t="str">
            <v>FG03920</v>
          </cell>
          <cell r="C406" t="str">
            <v>FLAMINGO CERVICAL COLLAR SOFT (MEDIUM)</v>
          </cell>
        </row>
        <row r="407">
          <cell r="B407" t="str">
            <v>FG03921</v>
          </cell>
          <cell r="C407" t="str">
            <v>FLAMINGO CERVICAL COLLAR SOFT (SMALL)</v>
          </cell>
        </row>
        <row r="408">
          <cell r="B408" t="str">
            <v>FG03922</v>
          </cell>
          <cell r="C408" t="str">
            <v>FLAMINGO CERVICAL COLLAR SOFT (XXL)</v>
          </cell>
        </row>
        <row r="409">
          <cell r="B409" t="str">
            <v>FG03923</v>
          </cell>
          <cell r="C409" t="str">
            <v>FLAMINGO CERVICAL COLLARE PEDIATRIQ (LARGE)</v>
          </cell>
        </row>
        <row r="410">
          <cell r="B410" t="str">
            <v>FG03924</v>
          </cell>
          <cell r="C410" t="str">
            <v>FLAMINGO CERVICAL COLLARE PEDIATRIQ (MEDIUM))</v>
          </cell>
        </row>
        <row r="411">
          <cell r="B411" t="str">
            <v>FG03925</v>
          </cell>
          <cell r="C411" t="str">
            <v>FLAMINGO CERVICAL IMMOBILIZER (SMALL)</v>
          </cell>
        </row>
        <row r="412">
          <cell r="B412" t="str">
            <v>FG03926</v>
          </cell>
          <cell r="C412" t="str">
            <v>FLAMINGO CERVICAL IMMOBILIZER (XL)</v>
          </cell>
        </row>
        <row r="413">
          <cell r="B413" t="str">
            <v>FG03927</v>
          </cell>
          <cell r="C413" t="str">
            <v>FLAMINGO CERVICAL ORTHOSIS (LARGE)</v>
          </cell>
        </row>
        <row r="414">
          <cell r="B414" t="str">
            <v>FG03928</v>
          </cell>
          <cell r="C414" t="str">
            <v>FLAMINGO CERVICAL ORTHOSIS (SMALL)</v>
          </cell>
        </row>
        <row r="415">
          <cell r="B415" t="str">
            <v>FG03929</v>
          </cell>
          <cell r="C415" t="str">
            <v>FLAMINGO CERVICAL PILLOW - REGULAR</v>
          </cell>
        </row>
        <row r="416">
          <cell r="B416" t="str">
            <v>FG03930</v>
          </cell>
          <cell r="C416" t="str">
            <v>FLAMINGO CERVICAL TRACTION SITING KIT</v>
          </cell>
        </row>
        <row r="417">
          <cell r="B417" t="str">
            <v>FG03931</v>
          </cell>
          <cell r="C417" t="str">
            <v>FLAMINGO CERVICAL TRACTION UNIVERSAL</v>
          </cell>
        </row>
        <row r="418">
          <cell r="B418" t="str">
            <v>FG03932</v>
          </cell>
          <cell r="C418" t="str">
            <v>FLAMINGO COCK UP SPLINT ( EXTRA LARGE)</v>
          </cell>
        </row>
        <row r="419">
          <cell r="B419" t="str">
            <v>FG03933</v>
          </cell>
          <cell r="C419" t="str">
            <v>FLAMINGO COCK UP SPLINT (LARGE)</v>
          </cell>
        </row>
        <row r="420">
          <cell r="B420" t="str">
            <v>FG03934</v>
          </cell>
          <cell r="C420" t="str">
            <v>FLAMINGO COCK UP SPLINT (MEDIUM)</v>
          </cell>
        </row>
        <row r="421">
          <cell r="B421" t="str">
            <v>FG03935</v>
          </cell>
          <cell r="C421" t="str">
            <v>FLAMINGO COCK UP SPLINT (SMALL)</v>
          </cell>
        </row>
        <row r="422">
          <cell r="B422" t="str">
            <v>FG03936</v>
          </cell>
          <cell r="C422" t="str">
            <v>FLAMINGO COMPACT SPINAL BRACE (LARGE)</v>
          </cell>
        </row>
        <row r="423">
          <cell r="B423" t="str">
            <v>FG03937</v>
          </cell>
          <cell r="C423" t="str">
            <v>FLAMINGO COMPACT SPINAL BRACE (MEDIUM)</v>
          </cell>
        </row>
        <row r="424">
          <cell r="B424" t="str">
            <v>FG03938</v>
          </cell>
          <cell r="C424" t="str">
            <v>FLAMINGO COMPACT SPINAL BRACE (XXL)</v>
          </cell>
        </row>
        <row r="425">
          <cell r="B425" t="str">
            <v>FG03939</v>
          </cell>
          <cell r="C425" t="str">
            <v>FLAMINGO CONTOURED L.S. BELT (EXTRA LARGE)</v>
          </cell>
        </row>
        <row r="426">
          <cell r="B426" t="str">
            <v>FG03940</v>
          </cell>
          <cell r="C426" t="str">
            <v>FLAMINGO CONTOURED L.S. BELT (LARGE)</v>
          </cell>
        </row>
        <row r="427">
          <cell r="B427" t="str">
            <v>FG03941</v>
          </cell>
          <cell r="C427" t="str">
            <v>FLAMINGO CONTOURED L.S. BELT (MEDIUM)</v>
          </cell>
        </row>
        <row r="428">
          <cell r="B428" t="str">
            <v>FG03942</v>
          </cell>
          <cell r="C428" t="str">
            <v>FLAMINGO CONTOURED L.S. BELT (XXL)</v>
          </cell>
        </row>
        <row r="429">
          <cell r="B429" t="str">
            <v>FG03943</v>
          </cell>
          <cell r="C429" t="str">
            <v>FLAMINGO CONTOURED L.S. BELT (XXXL)</v>
          </cell>
        </row>
        <row r="430">
          <cell r="B430" t="str">
            <v>FG03944</v>
          </cell>
          <cell r="C430" t="str">
            <v>FLAMINGO CONTOURED L.S. SUPPORT (EXTRA LARGE)</v>
          </cell>
        </row>
        <row r="431">
          <cell r="B431" t="str">
            <v>FG03945</v>
          </cell>
          <cell r="C431" t="str">
            <v>FLAMINGO CONTOURED L.S. SUPPORT (LARGE)</v>
          </cell>
        </row>
        <row r="432">
          <cell r="B432" t="str">
            <v>FG03946</v>
          </cell>
          <cell r="C432" t="str">
            <v>FLAMINGO CONTOURED L.S. SUPPORT (MEDIUM)</v>
          </cell>
        </row>
        <row r="433">
          <cell r="B433" t="str">
            <v>FG03947</v>
          </cell>
          <cell r="C433" t="str">
            <v>FLAMINGO CONTOURED L.S. SUPPORT (XXXL)</v>
          </cell>
        </row>
        <row r="434">
          <cell r="B434" t="str">
            <v>FG03948</v>
          </cell>
          <cell r="C434" t="str">
            <v>FLAMINGO COOL EYES</v>
          </cell>
        </row>
        <row r="435">
          <cell r="B435" t="str">
            <v>FG03949</v>
          </cell>
          <cell r="C435" t="str">
            <v>FLAMINGO COOL PACK (LARGE)</v>
          </cell>
        </row>
        <row r="436">
          <cell r="B436" t="str">
            <v>FG03950</v>
          </cell>
          <cell r="C436" t="str">
            <v>FLAMINGO COT SPLINT (LARGE)</v>
          </cell>
        </row>
        <row r="437">
          <cell r="B437" t="str">
            <v>FG03951</v>
          </cell>
          <cell r="C437" t="str">
            <v>FLAMINGO COT SPLINT (MEDIUM)</v>
          </cell>
        </row>
        <row r="438">
          <cell r="B438" t="str">
            <v>FG03952</v>
          </cell>
          <cell r="C438" t="str">
            <v>FLAMINGO COT SPLINT (SMALL)</v>
          </cell>
        </row>
        <row r="439">
          <cell r="B439" t="str">
            <v>FG03953</v>
          </cell>
          <cell r="C439" t="str">
            <v>FLAMINGO COT SPLINT (XL)</v>
          </cell>
        </row>
        <row r="440">
          <cell r="B440" t="str">
            <v>FG03954</v>
          </cell>
          <cell r="C440" t="str">
            <v>FLAMINGO CUFF &amp; COLLAR SING</v>
          </cell>
        </row>
        <row r="441">
          <cell r="B441" t="str">
            <v>FG03955</v>
          </cell>
          <cell r="C441" t="str">
            <v>FLAMINGO DIABETIC SOCKS - LIGHT BLUE</v>
          </cell>
        </row>
        <row r="442">
          <cell r="B442" t="str">
            <v>FG03956</v>
          </cell>
          <cell r="C442" t="str">
            <v>FLAMINGO DORSO LUMBAR SPINAL BRACE PED (LARGE)</v>
          </cell>
        </row>
        <row r="443">
          <cell r="B443" t="str">
            <v>FG03957</v>
          </cell>
          <cell r="C443" t="str">
            <v>FLAMINGO DORSO LUMBAR SPINAL BRACE PED (MEDIUM)</v>
          </cell>
        </row>
        <row r="444">
          <cell r="B444" t="str">
            <v>FG03958</v>
          </cell>
          <cell r="C444" t="str">
            <v>FLAMINGO DORSO LUMBAR SPINAL BRACE ( EXTRA LARGE)</v>
          </cell>
        </row>
        <row r="445">
          <cell r="B445" t="str">
            <v>FG03959</v>
          </cell>
          <cell r="C445" t="str">
            <v>FLAMINGO DORSO LUMBAR SPINAL BRACE (LARGE)</v>
          </cell>
        </row>
        <row r="446">
          <cell r="B446" t="str">
            <v>FG03960</v>
          </cell>
          <cell r="C446" t="str">
            <v>FLAMINGO DORSO LUMBAR SPINAL BRACE (MEDIUM)</v>
          </cell>
        </row>
        <row r="447">
          <cell r="B447" t="str">
            <v>FG03961</v>
          </cell>
          <cell r="C447" t="str">
            <v>FLAMINGO DORSO LUMBAR SPINAL BRACE (SMALL)</v>
          </cell>
        </row>
        <row r="448">
          <cell r="B448" t="str">
            <v>FG03962</v>
          </cell>
          <cell r="C448" t="str">
            <v>FLAMINGO DORSO LUMBER SPINAL BRACE(XXXL)</v>
          </cell>
        </row>
        <row r="449">
          <cell r="B449" t="str">
            <v>FG03963</v>
          </cell>
          <cell r="C449" t="str">
            <v>FLAMINGO DVT STOCKINGS ABOVE KNEE (XL)</v>
          </cell>
        </row>
        <row r="450">
          <cell r="B450" t="str">
            <v>FG03964</v>
          </cell>
          <cell r="C450" t="str">
            <v>FLAMINGO DVT STOCKINGS ABOVE KNEE (XXL)</v>
          </cell>
        </row>
        <row r="451">
          <cell r="B451" t="str">
            <v>FG03965</v>
          </cell>
          <cell r="C451" t="str">
            <v>FLAMINGO ECO FRAME BELT (EXTRA LARGE)</v>
          </cell>
        </row>
        <row r="452">
          <cell r="B452" t="str">
            <v>FG03966</v>
          </cell>
          <cell r="C452" t="str">
            <v>FLAMINGO ECO FRAME BELT (MEDIUM)</v>
          </cell>
        </row>
        <row r="453">
          <cell r="B453" t="str">
            <v>FG03967</v>
          </cell>
          <cell r="C453" t="str">
            <v>FLAMINGO ELASTIC KNEE SUPPORT (LARGE)</v>
          </cell>
        </row>
        <row r="454">
          <cell r="B454" t="str">
            <v>FG03968</v>
          </cell>
          <cell r="C454" t="str">
            <v>FLAMINGO ELASTIC KNEE SUPPORT (MEDIUM)</v>
          </cell>
        </row>
        <row r="455">
          <cell r="B455" t="str">
            <v>FG03969</v>
          </cell>
          <cell r="C455" t="str">
            <v>FLAMINGO ELASTIC KNEE SUPPORT (SMALL)</v>
          </cell>
        </row>
        <row r="456">
          <cell r="B456" t="str">
            <v>FG03970</v>
          </cell>
          <cell r="C456" t="str">
            <v>FLAMINGO ELASTIC KNEE SUPPORT (XXL)</v>
          </cell>
        </row>
        <row r="457">
          <cell r="B457" t="str">
            <v>FG03971</v>
          </cell>
          <cell r="C457" t="str">
            <v>FLAMINGO ELASTIC SHOULDER IMMOBILISER (EXTRA LARGE</v>
          </cell>
        </row>
        <row r="458">
          <cell r="B458" t="str">
            <v>FG03972</v>
          </cell>
          <cell r="C458" t="str">
            <v>FLAMINGO ELASTIC SHOULDER IMMOBILISER (MEDIUM)</v>
          </cell>
        </row>
        <row r="459">
          <cell r="B459" t="str">
            <v>FG03973</v>
          </cell>
          <cell r="C459" t="str">
            <v>FLAMINGO ELASTIC SHOULDER IMMOBILISER (SMALL)</v>
          </cell>
        </row>
        <row r="460">
          <cell r="B460" t="str">
            <v>FG03974</v>
          </cell>
          <cell r="C460" t="str">
            <v>FLAMINGO ELASTIC WRIST SPLINT (MEDIUM)</v>
          </cell>
        </row>
        <row r="461">
          <cell r="B461" t="str">
            <v>FG03975</v>
          </cell>
          <cell r="C461" t="str">
            <v>FLAMINGO ELASTIC WRIST SPLINT (SMALL)</v>
          </cell>
        </row>
        <row r="462">
          <cell r="B462" t="str">
            <v>FG03976</v>
          </cell>
          <cell r="C462" t="str">
            <v>FLAMINGO ELBOW SUPPORT (EXTRA LARGE)</v>
          </cell>
        </row>
        <row r="463">
          <cell r="B463" t="str">
            <v>FG03977</v>
          </cell>
          <cell r="C463" t="str">
            <v>FLAMINGO ELBOW SUPPORT (MEDIUM)</v>
          </cell>
        </row>
        <row r="464">
          <cell r="B464" t="str">
            <v>FG03978</v>
          </cell>
          <cell r="C464" t="str">
            <v>FLAMINGO ELBOW SUPPORT (SMALL)</v>
          </cell>
        </row>
        <row r="465">
          <cell r="B465" t="str">
            <v>FG03979</v>
          </cell>
          <cell r="C465" t="str">
            <v>FLAMINGO ELBOW SUPPORT PREMIUM ( EXTRA LARGE)</v>
          </cell>
        </row>
        <row r="466">
          <cell r="B466" t="str">
            <v>FG03980</v>
          </cell>
          <cell r="C466" t="str">
            <v>FLAMINGO ELBOW SUPPORT PREMIUM (MEDIUM)</v>
          </cell>
        </row>
        <row r="467">
          <cell r="B467" t="str">
            <v>FG03981</v>
          </cell>
          <cell r="C467" t="str">
            <v>FLAMINGO EXERCISE CYCLE (BLACK)</v>
          </cell>
        </row>
        <row r="468">
          <cell r="B468" t="str">
            <v>FG03982</v>
          </cell>
          <cell r="C468" t="str">
            <v>FLAMINGO EXERCISE CYCLE (WHITE)</v>
          </cell>
        </row>
        <row r="469">
          <cell r="B469" t="str">
            <v>FG03983</v>
          </cell>
          <cell r="C469" t="str">
            <v>FLAMINGO EXTENDED BASE BALL SPLINT (M)</v>
          </cell>
        </row>
        <row r="470">
          <cell r="B470" t="str">
            <v>FG03984</v>
          </cell>
          <cell r="C470" t="str">
            <v>FLAMINGO EXTENDED BASE BALL SPLINT (S)</v>
          </cell>
        </row>
        <row r="471">
          <cell r="B471" t="str">
            <v>FG03985</v>
          </cell>
          <cell r="C471" t="str">
            <v>FLAMINGO EXTENDED BASE BALL SPLINT (XL)</v>
          </cell>
        </row>
        <row r="472">
          <cell r="B472" t="str">
            <v>FG03986</v>
          </cell>
          <cell r="C472" t="str">
            <v>FLAMINGO EXTENDED BASEBALL SPLINT (SMALL)</v>
          </cell>
        </row>
        <row r="473">
          <cell r="B473" t="str">
            <v>FG03987</v>
          </cell>
          <cell r="C473" t="str">
            <v>FLAMINGO EXTENDED FOREARM BRACE ( EXTRA LARGE)</v>
          </cell>
        </row>
        <row r="474">
          <cell r="B474" t="str">
            <v>FG03988</v>
          </cell>
          <cell r="C474" t="str">
            <v>FLAMINGO EXTENDED FOREARM BRACE ( XXL)</v>
          </cell>
        </row>
        <row r="475">
          <cell r="B475" t="str">
            <v>FG03989</v>
          </cell>
          <cell r="C475" t="str">
            <v>FLAMINGO EXTENDED FOREARM BRACE (LARGE)</v>
          </cell>
        </row>
        <row r="476">
          <cell r="B476" t="str">
            <v>FG03990</v>
          </cell>
          <cell r="C476" t="str">
            <v>FLAMINGO EXTENDED FOREARM BRACE (MEDIUM)</v>
          </cell>
        </row>
        <row r="477">
          <cell r="B477" t="str">
            <v>FG03991</v>
          </cell>
          <cell r="C477" t="str">
            <v>FLAMINGO FIN BASE BALL SPLINT (LARGE)</v>
          </cell>
        </row>
        <row r="478">
          <cell r="B478" t="str">
            <v>FG03992</v>
          </cell>
          <cell r="C478" t="str">
            <v>FLAMINGO FIN BASE BALL SPLINT (MEDIUM)</v>
          </cell>
        </row>
        <row r="479">
          <cell r="B479" t="str">
            <v>FG03993</v>
          </cell>
          <cell r="C479" t="str">
            <v>FLAMINGO FIN BASE BALL SPLINT (SMALL)</v>
          </cell>
        </row>
        <row r="480">
          <cell r="B480" t="str">
            <v>FG03994</v>
          </cell>
          <cell r="C480" t="str">
            <v>FLAMINGO FIN FROG SPLINT (LARGE)</v>
          </cell>
        </row>
        <row r="481">
          <cell r="B481" t="str">
            <v>FG03995</v>
          </cell>
          <cell r="C481" t="str">
            <v>FLAMINGO FIN FROG SPLINT (MEDIUM)</v>
          </cell>
        </row>
        <row r="482">
          <cell r="B482" t="str">
            <v>FG03996</v>
          </cell>
          <cell r="C482" t="str">
            <v>FLAMINGO FIN SPOON SPLINT (MEDIUM)</v>
          </cell>
        </row>
        <row r="483">
          <cell r="B483" t="str">
            <v>FG03997</v>
          </cell>
          <cell r="C483" t="str">
            <v>FLAMINGO FIN SPOON SPLINT (SMALL)</v>
          </cell>
        </row>
        <row r="484">
          <cell r="B484" t="str">
            <v>FG03998</v>
          </cell>
          <cell r="C484" t="str">
            <v>FLAMINGO FIN STAX MALLET (MEDIUM)</v>
          </cell>
        </row>
        <row r="485">
          <cell r="B485" t="str">
            <v>FG03999</v>
          </cell>
          <cell r="C485" t="str">
            <v>FLAMINGO FIN STAX MALLET (SMALL)</v>
          </cell>
        </row>
        <row r="486">
          <cell r="B486" t="str">
            <v>FG04000</v>
          </cell>
          <cell r="C486" t="str">
            <v>FLAMINGO FOOT DROP SPLINT LEFT (MEDIUM)</v>
          </cell>
        </row>
        <row r="487">
          <cell r="B487" t="str">
            <v>FG04001</v>
          </cell>
          <cell r="C487" t="str">
            <v>FLAMINGO FOOT DROP SPLINT RIGHT (LARGE)</v>
          </cell>
        </row>
        <row r="488">
          <cell r="B488" t="str">
            <v>FG04002</v>
          </cell>
          <cell r="C488" t="str">
            <v>FLAMINGO GEL BI AXLE HINGED KNEE CAP (XXL)</v>
          </cell>
        </row>
        <row r="489">
          <cell r="B489" t="str">
            <v>FG04003</v>
          </cell>
          <cell r="C489" t="str">
            <v>FLAMINGO GEL BI-AXEL HIN KNEE BRACE ( XXL)</v>
          </cell>
        </row>
        <row r="490">
          <cell r="B490" t="str">
            <v>FG04004</v>
          </cell>
          <cell r="C490" t="str">
            <v>FLAMINGO GEL BI-AXEL HIN KNEE BRACE (M)</v>
          </cell>
        </row>
        <row r="491">
          <cell r="B491" t="str">
            <v>FG04005</v>
          </cell>
          <cell r="C491" t="str">
            <v>FLAMINGO GEL BI-AXEL HIN KNEE BRACE (XL)</v>
          </cell>
        </row>
        <row r="492">
          <cell r="B492" t="str">
            <v>FG04006</v>
          </cell>
          <cell r="C492" t="str">
            <v>FLAMINGO GEL EXERCISE BALL</v>
          </cell>
        </row>
        <row r="493">
          <cell r="B493" t="str">
            <v>FG04007</v>
          </cell>
          <cell r="C493" t="str">
            <v>FLAMINGO GEL HEEL PAD (FEMALE)</v>
          </cell>
        </row>
        <row r="494">
          <cell r="B494" t="str">
            <v>FG04008</v>
          </cell>
          <cell r="C494" t="str">
            <v>FLUCONAZOL IV 200MG INJ. 100ML</v>
          </cell>
        </row>
        <row r="495">
          <cell r="B495" t="str">
            <v>FG04009</v>
          </cell>
          <cell r="C495" t="str">
            <v>FLUQUE (FLUCONAZOLE) PERFUSION IV FL/100ML</v>
          </cell>
        </row>
        <row r="496">
          <cell r="B496" t="str">
            <v>FG04010</v>
          </cell>
          <cell r="C496" t="str">
            <v>FLUQUE-150MG (FLUCONAZOLE) B/ 1CES</v>
          </cell>
        </row>
        <row r="497">
          <cell r="B497" t="str">
            <v>FG04011</v>
          </cell>
          <cell r="C497" t="str">
            <v>FOLDABLE EMERGENCY STRETCHER ML-M071B</v>
          </cell>
        </row>
        <row r="498">
          <cell r="B498" t="str">
            <v>FG04012</v>
          </cell>
          <cell r="C498" t="str">
            <v>FRUSEMIDE 20MG/2ML INJ. B/10AMP</v>
          </cell>
        </row>
        <row r="499">
          <cell r="B499" t="str">
            <v>FG04013</v>
          </cell>
          <cell r="C499" t="str">
            <v>FRUSEMIDE B/10X10CES</v>
          </cell>
        </row>
        <row r="500">
          <cell r="B500" t="str">
            <v>FG04014</v>
          </cell>
          <cell r="C500" t="str">
            <v>G6PD QUALITATIVE 10 TESTS</v>
          </cell>
        </row>
        <row r="501">
          <cell r="B501" t="str">
            <v>FG04015</v>
          </cell>
          <cell r="C501" t="str">
            <v>GAZELLE - ANALYZER DE ELECTROPHORESE HEMOGLOBIN</v>
          </cell>
        </row>
        <row r="502">
          <cell r="B502" t="str">
            <v>FG04016</v>
          </cell>
          <cell r="C502" t="str">
            <v>GENTAMYCINE 80MG/2ML INJ. B/10AMP</v>
          </cell>
        </row>
        <row r="503">
          <cell r="B503" t="str">
            <v>FG04017</v>
          </cell>
          <cell r="C503" t="str">
            <v>GERMITTOL 100ML LIQUID</v>
          </cell>
        </row>
        <row r="504">
          <cell r="B504" t="str">
            <v>FG04018</v>
          </cell>
          <cell r="C504" t="str">
            <v>GLUCOSE GOD/POD 5 X 100 ML 5 X 100 ML</v>
          </cell>
        </row>
        <row r="505">
          <cell r="B505" t="str">
            <v>FG04019</v>
          </cell>
          <cell r="C505" t="str">
            <v>GLUCOSE GOD/POD 9 X 50 ML</v>
          </cell>
        </row>
        <row r="506">
          <cell r="B506" t="str">
            <v>FG04020</v>
          </cell>
          <cell r="C506" t="str">
            <v>GRISEOFULVINE 500MG 10CES PL (UNIQUE)</v>
          </cell>
        </row>
        <row r="507">
          <cell r="B507" t="str">
            <v>FG04021</v>
          </cell>
          <cell r="C507" t="str">
            <v>HAEMVITAL (SULFATE DE FER) 200MG B/10 X10 CES</v>
          </cell>
        </row>
        <row r="508">
          <cell r="B508" t="str">
            <v>FG04022</v>
          </cell>
          <cell r="C508" t="str">
            <v>HAEMVITAL PLUS (SULFATE FER + ACID FOLIC )10 X10</v>
          </cell>
        </row>
        <row r="509">
          <cell r="B509" t="str">
            <v>FG04023</v>
          </cell>
          <cell r="C509" t="str">
            <v>HOSPITAL ABS SINGLE CRANK BED WITH TABLE ML-M017-T</v>
          </cell>
        </row>
        <row r="510">
          <cell r="B510" t="str">
            <v>FG04024</v>
          </cell>
          <cell r="C510" t="str">
            <v>HOSPITAL ABS SINGLE CRANK BED WITH TABLE&amp;GUARDRAIL</v>
          </cell>
        </row>
        <row r="511">
          <cell r="B511" t="str">
            <v>FG04025</v>
          </cell>
          <cell r="C511" t="str">
            <v>HOSPITAL BASIN STAND TWO BOWL STAINLESS STEEL</v>
          </cell>
        </row>
        <row r="512">
          <cell r="B512" t="str">
            <v>FG04026</v>
          </cell>
          <cell r="C512" t="str">
            <v>HOSPITAL BASIN TWO BOWL STAINLESS STEEL ML-M056</v>
          </cell>
        </row>
        <row r="513">
          <cell r="B513" t="str">
            <v>FG04027</v>
          </cell>
          <cell r="C513" t="str">
            <v>HOSPITAL BED ELECTRIC THREE FUNCTION WITHGUARDRAIL</v>
          </cell>
        </row>
        <row r="514">
          <cell r="B514" t="str">
            <v>FG04028</v>
          </cell>
          <cell r="C514" t="str">
            <v>HOSPITAL BED ELECTRIC THREE FUNCTIONWITHGUARDRAIL</v>
          </cell>
        </row>
        <row r="515">
          <cell r="B515" t="str">
            <v>FG04029</v>
          </cell>
          <cell r="C515" t="str">
            <v>HOSPITAL BED ELECTRIC THREEFUNCTION WITH GUARDRAIL</v>
          </cell>
        </row>
        <row r="516">
          <cell r="B516" t="str">
            <v>FG04030</v>
          </cell>
          <cell r="C516" t="str">
            <v>HOSPITAL BED FIXED HEIGHT SEMI FOWLER BED ML-M009</v>
          </cell>
        </row>
        <row r="517">
          <cell r="B517" t="str">
            <v>FG04031</v>
          </cell>
          <cell r="C517" t="str">
            <v>HOSPITAL BED MANUAL ABS ONE CRANK ML-M014-W</v>
          </cell>
        </row>
        <row r="518">
          <cell r="B518" t="str">
            <v>FG04032</v>
          </cell>
          <cell r="C518" t="str">
            <v>HOSPITAL BED MANUAL ABS THREE FUNCTION ML-M015</v>
          </cell>
        </row>
        <row r="519">
          <cell r="B519" t="str">
            <v>FG04033</v>
          </cell>
          <cell r="C519" t="str">
            <v>HOSPITAL BED ONE CRANK MANUAL ML-M010-W</v>
          </cell>
        </row>
        <row r="520">
          <cell r="B520" t="str">
            <v>FG04034</v>
          </cell>
          <cell r="C520" t="str">
            <v>HOSPITAL BED ONE CRANK ML-M012-W</v>
          </cell>
        </row>
        <row r="521">
          <cell r="B521" t="str">
            <v>FG04035</v>
          </cell>
          <cell r="C521" t="str">
            <v>HOSPITAL BED ONE CRANK ON CASTORS ML-M008-W</v>
          </cell>
        </row>
        <row r="522">
          <cell r="B522" t="str">
            <v>FG04036</v>
          </cell>
          <cell r="C522" t="str">
            <v>HOSPITAL BED PLAIN ML-M005B</v>
          </cell>
        </row>
        <row r="523">
          <cell r="B523" t="str">
            <v>FG04037</v>
          </cell>
          <cell r="C523" t="str">
            <v>HOSPITAL DRESSING TROLLEY ML-M051</v>
          </cell>
        </row>
        <row r="524">
          <cell r="B524" t="str">
            <v>FG04038</v>
          </cell>
          <cell r="C524" t="str">
            <v>HOSPITAL DRESSING TROLLEY ML-M052</v>
          </cell>
        </row>
        <row r="525">
          <cell r="B525" t="str">
            <v>FG04039</v>
          </cell>
          <cell r="C525" t="str">
            <v>HYDROCORTISINE 100MG INJ. 1 VIAL</v>
          </cell>
        </row>
        <row r="526">
          <cell r="B526" t="str">
            <v>FG04040</v>
          </cell>
          <cell r="C526" t="str">
            <v>IBUNIQUE (PARA+IBU+CAF) B/10X10 CAPS</v>
          </cell>
        </row>
        <row r="527">
          <cell r="B527" t="str">
            <v>FG04041</v>
          </cell>
          <cell r="C527" t="str">
            <v>IBUNIQUE FORTE (PARA+IBU+CAF) PL/10 CAPS</v>
          </cell>
        </row>
        <row r="528">
          <cell r="B528" t="str">
            <v>FG04042</v>
          </cell>
          <cell r="C528" t="str">
            <v>INDONIQUE (INDOMETHACINE) 100MG B/10SUPPOS</v>
          </cell>
        </row>
        <row r="529">
          <cell r="B529" t="str">
            <v>FG04043</v>
          </cell>
          <cell r="C529" t="str">
            <v>INFERONE 5ML INJ. B/10AMP</v>
          </cell>
        </row>
        <row r="530">
          <cell r="B530" t="str">
            <v>FG04044</v>
          </cell>
          <cell r="C530" t="str">
            <v>IPRO - 200 (IBUPROFENE) MG BT/10X10CES</v>
          </cell>
        </row>
        <row r="531">
          <cell r="B531" t="str">
            <v>FG04045</v>
          </cell>
          <cell r="C531" t="str">
            <v>KETOMIZ (KETOCONAZOLE) 200MG B/10CES</v>
          </cell>
        </row>
        <row r="532">
          <cell r="B532" t="str">
            <v>FG04046</v>
          </cell>
          <cell r="C532" t="str">
            <v>LINCONIC 500MG (LINCOMYCIN) B/10 CAP</v>
          </cell>
        </row>
        <row r="533">
          <cell r="B533" t="str">
            <v>FG04047</v>
          </cell>
          <cell r="C533" t="str">
            <v>LINCOMYCINE 600MG INJ.B/1 VIAL</v>
          </cell>
        </row>
        <row r="534">
          <cell r="B534" t="str">
            <v>FG04048</v>
          </cell>
          <cell r="C534" t="str">
            <v>LINCONIC (LINCOMYCINE) SIROP 60ML</v>
          </cell>
        </row>
        <row r="535">
          <cell r="B535" t="str">
            <v>FG04049</v>
          </cell>
          <cell r="C535" t="str">
            <v>LUTHER 80MG (ARTEMETHER) INJ. B/6 AMP</v>
          </cell>
        </row>
        <row r="536">
          <cell r="B536" t="str">
            <v>FG04050</v>
          </cell>
          <cell r="C536" t="str">
            <v>METOCLOPRAMIDE 10MG/2ML INJ. B/10AMP</v>
          </cell>
        </row>
        <row r="537">
          <cell r="B537" t="str">
            <v>FG04051</v>
          </cell>
          <cell r="C537" t="str">
            <v>NALIGYL (METRO + NORFLO) SUSP. 60ML</v>
          </cell>
        </row>
        <row r="538">
          <cell r="B538" t="str">
            <v>FG04052</v>
          </cell>
          <cell r="C538" t="str">
            <v>NAZOVERT 0.05% (XYLOMETAZOLIN) GOUTTES NASAL 10ML</v>
          </cell>
        </row>
        <row r="539">
          <cell r="B539" t="str">
            <v>FG04053</v>
          </cell>
          <cell r="C539" t="str">
            <v>NAZOVERT 0.1% (XYLOMETAZOLIN) GOUTTES NASAL 10ML</v>
          </cell>
        </row>
        <row r="540">
          <cell r="B540" t="str">
            <v>FG04054</v>
          </cell>
          <cell r="C540" t="str">
            <v>NEGRAM (UNIDIXC) 300MG/5ML SUSP 60ML</v>
          </cell>
        </row>
        <row r="541">
          <cell r="B541" t="str">
            <v>FG04055</v>
          </cell>
          <cell r="C541" t="str">
            <v>NEGRAM (UNIDIXIC) 500MG PLS/10 CES***</v>
          </cell>
        </row>
        <row r="542">
          <cell r="B542" t="str">
            <v>FG04056</v>
          </cell>
          <cell r="C542" t="str">
            <v>NEO-DEXALIN (DEXA.+NEO.) COLLYRE/OTTIQUE 10ML</v>
          </cell>
        </row>
        <row r="543">
          <cell r="B543" t="str">
            <v>FG04057</v>
          </cell>
          <cell r="C543" t="str">
            <v>NISTA (NYSTATINE) B/2 X8 CES</v>
          </cell>
        </row>
        <row r="544">
          <cell r="B544" t="str">
            <v>FG04058</v>
          </cell>
          <cell r="C544" t="str">
            <v>NISTA-V (NYSTA.) 14 OV. AVEC APPLICATE</v>
          </cell>
        </row>
        <row r="545">
          <cell r="B545" t="str">
            <v>FG04059</v>
          </cell>
          <cell r="C545" t="str">
            <v>NOCOLD INHALER 1 PC</v>
          </cell>
        </row>
        <row r="546">
          <cell r="B546" t="str">
            <v>FG04060</v>
          </cell>
          <cell r="C546" t="str">
            <v>NOCOLD POCH/4CES</v>
          </cell>
        </row>
        <row r="547">
          <cell r="B547" t="str">
            <v>FG04061</v>
          </cell>
          <cell r="C547" t="str">
            <v>NORFLOXACIN 400MG B/10X10CES</v>
          </cell>
        </row>
        <row r="548">
          <cell r="B548" t="str">
            <v>FG04062</v>
          </cell>
          <cell r="C548" t="str">
            <v>NISTA (NYSTATIN) SUSP. 30ML</v>
          </cell>
        </row>
        <row r="549">
          <cell r="B549" t="str">
            <v>FG04063</v>
          </cell>
          <cell r="C549" t="str">
            <v>ONDACET 8MG (ONDASETRON) ORO-DISPER. B/4 CES</v>
          </cell>
        </row>
        <row r="550">
          <cell r="B550" t="str">
            <v>FG04064</v>
          </cell>
          <cell r="C550" t="str">
            <v>PAPAVERINE 40MG/ML INJ. 10AMP</v>
          </cell>
        </row>
        <row r="551">
          <cell r="B551" t="str">
            <v>FG04065</v>
          </cell>
          <cell r="C551" t="str">
            <v>PARACETAMOL-UNIQUE 500MG B/10X10CES</v>
          </cell>
        </row>
        <row r="552">
          <cell r="B552" t="str">
            <v>FG04066</v>
          </cell>
          <cell r="C552" t="str">
            <v>PENI G 5MEGA. INJ. 1 VIAL</v>
          </cell>
        </row>
        <row r="553">
          <cell r="B553" t="str">
            <v>FG04067</v>
          </cell>
          <cell r="C553" t="str">
            <v>PENI V.K.125MG POUDRE POUR SUSP.60ML</v>
          </cell>
        </row>
        <row r="554">
          <cell r="B554" t="str">
            <v>FG04068</v>
          </cell>
          <cell r="C554" t="str">
            <v>PERFAC 750MG (PARACETAMOL) IV/IM BOITE DE 10AMP</v>
          </cell>
        </row>
        <row r="555">
          <cell r="B555" t="str">
            <v>FG04069</v>
          </cell>
          <cell r="C555" t="str">
            <v>PERFAC (PARACETAMOL) 120MG/5ML SIROP 100ML</v>
          </cell>
        </row>
        <row r="556">
          <cell r="B556" t="str">
            <v>FG04070</v>
          </cell>
          <cell r="C556" t="str">
            <v>PERFAC 750MG (PARACETAMOL) I.M/I.V INJ. B/5AMP</v>
          </cell>
        </row>
        <row r="557">
          <cell r="B557" t="str">
            <v>FG04071</v>
          </cell>
          <cell r="C557" t="str">
            <v>PROCAINE PENICILLINE 4MEGA INJ. 1 VIAL</v>
          </cell>
        </row>
        <row r="558">
          <cell r="B558" t="str">
            <v>FG04072</v>
          </cell>
          <cell r="C558" t="str">
            <v>PROGESTERONE 25MG/ML INJ. B/10AMP</v>
          </cell>
        </row>
        <row r="559">
          <cell r="B559" t="str">
            <v>FG04073</v>
          </cell>
          <cell r="C559" t="str">
            <v>PROMETHAZINE 25MG B/10X10CES</v>
          </cell>
        </row>
        <row r="560">
          <cell r="B560" t="str">
            <v>FG04074</v>
          </cell>
          <cell r="C560" t="str">
            <v>PROMETHAZINE 50MG/2ML INJ. B/10AMP</v>
          </cell>
        </row>
        <row r="561">
          <cell r="B561" t="str">
            <v>FG04075</v>
          </cell>
          <cell r="C561" t="str">
            <v>QUININE 600MG/2ML INJ. B/10AMP (UNIQUE)</v>
          </cell>
        </row>
        <row r="562">
          <cell r="B562" t="str">
            <v>FG04076</v>
          </cell>
          <cell r="C562" t="str">
            <v>RINGER LACTATE + TROUSE 1LITRE (UNIQUE)</v>
          </cell>
        </row>
        <row r="563">
          <cell r="B563" t="str">
            <v>FG04077</v>
          </cell>
          <cell r="C563" t="str">
            <v>RINGER LACTATE SANS TROUSSE 500ML (UNIQUE)</v>
          </cell>
        </row>
        <row r="564">
          <cell r="B564" t="str">
            <v>FG04078</v>
          </cell>
          <cell r="C564" t="str">
            <v>S.A.T. 1500IU/0.75ML (ANTI-TETANUES) INJ. B/10AMP</v>
          </cell>
        </row>
        <row r="565">
          <cell r="B565" t="str">
            <v>FG04079</v>
          </cell>
          <cell r="C565" t="str">
            <v>S.R.O. SACHETS**PCS/1 (UNIRAL)</v>
          </cell>
        </row>
        <row r="566">
          <cell r="B566" t="str">
            <v>FG04080</v>
          </cell>
          <cell r="C566" t="str">
            <v>SALBUTAMOL 0.25MG INJ. B/10AMP</v>
          </cell>
        </row>
        <row r="567">
          <cell r="B567" t="str">
            <v>FG04081</v>
          </cell>
          <cell r="C567" t="str">
            <v>VENTOLIQUE 4MG(SALBUTAMOL) B/10X10CES</v>
          </cell>
        </row>
        <row r="568">
          <cell r="B568" t="str">
            <v>FG04082</v>
          </cell>
          <cell r="C568" t="str">
            <v>SECOURS (PAIN RELIEF) B/10CES</v>
          </cell>
        </row>
        <row r="569">
          <cell r="B569" t="str">
            <v>FG04083</v>
          </cell>
          <cell r="C569" t="str">
            <v>SERUM GLUCOSE 5% + TROUSE 1 LITRE (UNIQUE)</v>
          </cell>
        </row>
        <row r="570">
          <cell r="B570" t="str">
            <v>FG04084</v>
          </cell>
          <cell r="C570" t="str">
            <v>SERUM GLUCOSE 5% SANS TROUSSE 500ML (UNIQUE)</v>
          </cell>
        </row>
        <row r="571">
          <cell r="B571" t="str">
            <v>FG04085</v>
          </cell>
          <cell r="C571" t="str">
            <v>SERUM MIXTE + TROUSE 1 LITRE (UNIQUE)</v>
          </cell>
        </row>
        <row r="572">
          <cell r="B572" t="str">
            <v>FG04086</v>
          </cell>
          <cell r="C572" t="str">
            <v>SERUM MIXTE SANS TROUSSE 500ML (UNIQUE)</v>
          </cell>
        </row>
        <row r="573">
          <cell r="B573" t="str">
            <v>FG04087</v>
          </cell>
          <cell r="C573" t="str">
            <v>SERUM PHYSIO 0.9% + TROUSE 1 LITRE (UNIQUE)</v>
          </cell>
        </row>
        <row r="574">
          <cell r="B574" t="str">
            <v>FG04088</v>
          </cell>
          <cell r="C574" t="str">
            <v>SERUM PHYSIO 0.9% SANS TROUSSE 500ML (UNIQUE)</v>
          </cell>
        </row>
        <row r="575">
          <cell r="B575" t="str">
            <v>FG04089</v>
          </cell>
          <cell r="C575" t="str">
            <v>SILDEQUE-100MG (SILDENAFIL) B/4CES</v>
          </cell>
        </row>
        <row r="576">
          <cell r="B576" t="str">
            <v>FG04090</v>
          </cell>
          <cell r="C576" t="str">
            <v>SILDEQUE-50 MG (SILDENAFIL) B/4 CES</v>
          </cell>
        </row>
        <row r="577">
          <cell r="B577" t="str">
            <v>FG04091</v>
          </cell>
          <cell r="C577" t="str">
            <v>TESTOSTERONE 25MG/ML INJ. B/10AMP</v>
          </cell>
        </row>
        <row r="578">
          <cell r="B578" t="str">
            <v>FG04092</v>
          </cell>
          <cell r="C578" t="str">
            <v>TETRACYCLINE 250MG B/10X10CAPS</v>
          </cell>
        </row>
        <row r="579">
          <cell r="B579" t="str">
            <v>FG04093</v>
          </cell>
          <cell r="C579" t="str">
            <v>TOPGYL (METRONIDAZOLE) INJ. 100ML</v>
          </cell>
        </row>
        <row r="580">
          <cell r="B580" t="str">
            <v>FG04094</v>
          </cell>
          <cell r="C580" t="str">
            <v>TOPISOL (CLOBETASOL) CREME T/30G</v>
          </cell>
        </row>
        <row r="581">
          <cell r="B581" t="str">
            <v>FG04095</v>
          </cell>
          <cell r="C581" t="str">
            <v>U CEE 500MG (VITAMINE C) B/10 X 10 CES</v>
          </cell>
        </row>
        <row r="582">
          <cell r="B582" t="str">
            <v>FG04096</v>
          </cell>
          <cell r="C582" t="str">
            <v>UFLAM (PARA+IBU) B/10 X10 CES</v>
          </cell>
        </row>
        <row r="583">
          <cell r="B583" t="str">
            <v>FG04097</v>
          </cell>
          <cell r="C583" t="str">
            <v>UNICAINE 2% (LIDOCAIN) INJ. FL/20ML</v>
          </cell>
        </row>
        <row r="584">
          <cell r="B584" t="str">
            <v>FG04098</v>
          </cell>
          <cell r="C584" t="str">
            <v>UNIGEL (ANTI-ACIDE) B/10X10 CES</v>
          </cell>
        </row>
        <row r="585">
          <cell r="B585" t="str">
            <v>FG04099</v>
          </cell>
          <cell r="C585" t="str">
            <v>UNIMOL (PARA.+DIC.+CAF.) B/10 CES</v>
          </cell>
        </row>
        <row r="586">
          <cell r="B586" t="str">
            <v>FG04100</v>
          </cell>
          <cell r="C586" t="str">
            <v>UNIPHENICOL-S (CHLORAMPHENICOL) 60ML SIROP</v>
          </cell>
        </row>
        <row r="587">
          <cell r="B587" t="str">
            <v>FG04101</v>
          </cell>
          <cell r="C587" t="str">
            <v>UNITOL 10% (MANNITOL) PERFUSION I.V. FL/100ML</v>
          </cell>
        </row>
        <row r="588">
          <cell r="B588" t="str">
            <v>FG04102</v>
          </cell>
          <cell r="C588" t="str">
            <v>UNITOL 20% (MANNITOL) PERFUSION I.V. FL/100ML</v>
          </cell>
        </row>
        <row r="589">
          <cell r="B589" t="str">
            <v>FG04103</v>
          </cell>
          <cell r="C589" t="str">
            <v>UNITRIM-FORTE (COTRIMOXAZOLE) 960MG B\10CES</v>
          </cell>
        </row>
        <row r="590">
          <cell r="B590" t="str">
            <v>FG04104</v>
          </cell>
          <cell r="C590" t="str">
            <v>VENTOLIQUE (SALBUTAMOL) SIROP 100ML</v>
          </cell>
        </row>
        <row r="591">
          <cell r="B591" t="str">
            <v>FG04105</v>
          </cell>
          <cell r="C591" t="str">
            <v>VITAMINE B1 100MG/2ML INJ. B/10AMP</v>
          </cell>
        </row>
        <row r="592">
          <cell r="B592" t="str">
            <v>FG04106</v>
          </cell>
          <cell r="C592" t="str">
            <v>ABG-I15 CARTOUCHE DE TEST BC4 B/25 CARTOUCHES</v>
          </cell>
        </row>
        <row r="593">
          <cell r="B593" t="str">
            <v>FG04107</v>
          </cell>
          <cell r="C593" t="str">
            <v>ABG-I15 CARTOUCHE DE TEST BG8 B/25 CARTOUCHES</v>
          </cell>
        </row>
        <row r="594">
          <cell r="B594" t="str">
            <v>FG04108</v>
          </cell>
          <cell r="C594" t="str">
            <v>ABG-I15 CONTROLE QUALITE NIVEAU 2 (5 AMPOULES)</v>
          </cell>
        </row>
        <row r="595">
          <cell r="B595" t="str">
            <v>FG04109</v>
          </cell>
          <cell r="C595" t="str">
            <v>ABG-I15 CONTROLE QUALITE NIVEAU 3 (5 AMPOULES)</v>
          </cell>
        </row>
        <row r="596">
          <cell r="B596" t="str">
            <v>FG04110</v>
          </cell>
          <cell r="C596" t="str">
            <v>ABG-I15 FLUIDE CALIBRANT B/50 TESTES</v>
          </cell>
        </row>
        <row r="597">
          <cell r="B597" t="str">
            <v>FG04111</v>
          </cell>
          <cell r="C597" t="str">
            <v>ABS BEDSIDE TABLE ML-M026</v>
          </cell>
        </row>
        <row r="598">
          <cell r="B598" t="str">
            <v>FG04112</v>
          </cell>
          <cell r="C598" t="str">
            <v>ABS BEDSIDE TABLE ON CASTORS ML-M026-W</v>
          </cell>
        </row>
        <row r="599">
          <cell r="B599" t="str">
            <v>FG04113</v>
          </cell>
          <cell r="C599" t="str">
            <v>ACCOUPLEMENT RAPIDE HEXAGONAL - MANCHE T - 3.5 MM</v>
          </cell>
        </row>
        <row r="600">
          <cell r="B600" t="str">
            <v>FG04114</v>
          </cell>
          <cell r="C600" t="str">
            <v>ADJUSTABLE MICROPIPETTE (VOL. 10-100)AUTOCLAVABLE</v>
          </cell>
        </row>
        <row r="601">
          <cell r="B601" t="str">
            <v>FG04115</v>
          </cell>
          <cell r="C601" t="str">
            <v>ADJUSTABLE MICROPIPETTE (VOL. 5-50)AUTOCLAVABLE</v>
          </cell>
        </row>
        <row r="602">
          <cell r="B602" t="str">
            <v>FG04116</v>
          </cell>
          <cell r="C602" t="str">
            <v>ADJUSTABLE MICROPIPETTE (VOL.100-1000)AUTOCLAVABLE</v>
          </cell>
        </row>
        <row r="603">
          <cell r="B603" t="str">
            <v>FG04117</v>
          </cell>
          <cell r="C603" t="str">
            <v>ADJUSTABLE MICROPIPETTE (VOL.20-200) AUTOCLAVABLE</v>
          </cell>
        </row>
        <row r="604">
          <cell r="B604" t="str">
            <v>FG04118</v>
          </cell>
          <cell r="C604" t="str">
            <v>ADJUSTABLE MICROPIPETTE (VOL1000-5000)AUTOCLAVABLE</v>
          </cell>
        </row>
        <row r="605">
          <cell r="B605" t="str">
            <v>FG04119</v>
          </cell>
          <cell r="C605" t="str">
            <v>ALBUMIN BCG 1 X 100 ML</v>
          </cell>
        </row>
        <row r="606">
          <cell r="B606" t="str">
            <v>FG04120</v>
          </cell>
          <cell r="C606" t="str">
            <v>ALKALINE PHOSPHATASE PNPP 10 X 5 ML</v>
          </cell>
        </row>
        <row r="607">
          <cell r="B607" t="str">
            <v>FG04121</v>
          </cell>
          <cell r="C607" t="str">
            <v>AMYLASE CNPG3 1 X 10 ML</v>
          </cell>
        </row>
        <row r="608">
          <cell r="B608" t="str">
            <v>FG04122</v>
          </cell>
          <cell r="C608" t="str">
            <v>ANALYSEUR DE BIOCHIMIE SEMI-AUTOMATIQUE - BC300</v>
          </cell>
        </row>
        <row r="609">
          <cell r="B609" t="str">
            <v>FG04123</v>
          </cell>
          <cell r="C609" t="str">
            <v>ANALYSEUR DÉLECTROLYTE ET- AUTOMATE - EDAN I15</v>
          </cell>
        </row>
        <row r="610">
          <cell r="B610" t="str">
            <v>FG04124</v>
          </cell>
          <cell r="C610" t="str">
            <v>ANTI- A1 LECTIN 5 ML</v>
          </cell>
        </row>
        <row r="611">
          <cell r="B611" t="str">
            <v>FG04125</v>
          </cell>
          <cell r="C611" t="str">
            <v>ANTI DECUBITUS AIR PUMP AND BUBBLE MATTRESS</v>
          </cell>
        </row>
        <row r="612">
          <cell r="B612" t="str">
            <v>FG04126</v>
          </cell>
          <cell r="C612" t="str">
            <v>ANTI-HUMAN GLOBULIN 10ML</v>
          </cell>
        </row>
        <row r="613">
          <cell r="B613" t="str">
            <v>FG04127</v>
          </cell>
          <cell r="C613" t="str">
            <v>APPAREIL DECG 12 CANAUX</v>
          </cell>
        </row>
        <row r="614">
          <cell r="B614" t="str">
            <v>FG04128</v>
          </cell>
          <cell r="C614" t="str">
            <v>APPAREIL DECG 6 CANAUX</v>
          </cell>
        </row>
        <row r="615">
          <cell r="B615" t="str">
            <v>FG04129</v>
          </cell>
          <cell r="C615" t="str">
            <v>APPENDECTOMY-HERNIERRAPHY BOX 50PC</v>
          </cell>
        </row>
        <row r="616">
          <cell r="B616" t="str">
            <v>FG04130</v>
          </cell>
          <cell r="C616" t="str">
            <v>ASO 20 TESTS</v>
          </cell>
        </row>
        <row r="617">
          <cell r="B617" t="str">
            <v>FG04131</v>
          </cell>
          <cell r="C617" t="str">
            <v>AUTOCLAVE DE PAILLASSE (TABLE) 20L - AFFICHAGE</v>
          </cell>
        </row>
        <row r="618">
          <cell r="B618" t="str">
            <v>FG04132</v>
          </cell>
          <cell r="C618" t="str">
            <v>AUTOCLAVE VERTICAL 35L-OUVERTURE ROUE-AFFICHAGE</v>
          </cell>
        </row>
        <row r="619">
          <cell r="B619" t="str">
            <v>FG04133</v>
          </cell>
          <cell r="C619" t="str">
            <v>AUTOCLAVE VERTICAL 50L-OUVERTURE ROUE- AFFICHAGE</v>
          </cell>
        </row>
        <row r="620">
          <cell r="B620" t="str">
            <v>FG04134</v>
          </cell>
          <cell r="C620" t="str">
            <v>BAIN-MARIE POUR LABORATOIRE AVEC 2 POT</v>
          </cell>
        </row>
        <row r="621">
          <cell r="B621" t="str">
            <v>FG04135</v>
          </cell>
          <cell r="C621" t="str">
            <v>BALANCE DE PRECISION LABORATOIRE 200G - 0.001G</v>
          </cell>
        </row>
        <row r="622">
          <cell r="B622" t="str">
            <v>FG04136</v>
          </cell>
          <cell r="C622" t="str">
            <v>BALANCE MECANIQUE BEBE ML-D2001</v>
          </cell>
        </row>
        <row r="623">
          <cell r="B623" t="str">
            <v>FG04137</v>
          </cell>
          <cell r="C623" t="str">
            <v>BLOOD DONOR CHAIR ML-M063</v>
          </cell>
        </row>
        <row r="624">
          <cell r="B624" t="str">
            <v>FG04138</v>
          </cell>
          <cell r="C624" t="str">
            <v>BLOODLINE TUBING</v>
          </cell>
        </row>
        <row r="625">
          <cell r="B625" t="str">
            <v>FG04139</v>
          </cell>
          <cell r="C625" t="str">
            <v>BLOUSES ET PANTALONS CHIRURGIEN XL ML-TX0006</v>
          </cell>
        </row>
        <row r="626">
          <cell r="B626" t="str">
            <v>FG04140</v>
          </cell>
          <cell r="C626" t="str">
            <v>BLOUSES ET PANTALONS CHIRURGIEN L ML-TX0005</v>
          </cell>
        </row>
        <row r="627">
          <cell r="B627" t="str">
            <v>FG04141</v>
          </cell>
          <cell r="C627" t="str">
            <v>BOÎTE CHIRURGIE APPENDICECTOMIE HERNIORRAPHIE 50PC</v>
          </cell>
        </row>
        <row r="628">
          <cell r="B628" t="str">
            <v>FG04142</v>
          </cell>
          <cell r="C628" t="str">
            <v>BOÎTE CHIRURGIE GÉNÉRALE ( BOITE COMPLÈTE ) 85PC</v>
          </cell>
        </row>
        <row r="629">
          <cell r="B629" t="str">
            <v>FG04143</v>
          </cell>
          <cell r="C629" t="str">
            <v>BOÎTE CHIRURGIE ORDENAIR 62PC</v>
          </cell>
        </row>
        <row r="630">
          <cell r="B630" t="str">
            <v>FG04144</v>
          </cell>
          <cell r="C630" t="str">
            <v>BOITE CHIRURGIE ORTHOPÉDIE 74PC</v>
          </cell>
        </row>
        <row r="631">
          <cell r="B631" t="str">
            <v>FG04145</v>
          </cell>
          <cell r="C631" t="str">
            <v>BOITE D'INSTRUMENT POUR CURETAGE - CS</v>
          </cell>
        </row>
        <row r="632">
          <cell r="B632" t="str">
            <v>FG04146</v>
          </cell>
          <cell r="C632" t="str">
            <v>BOITE D'INSTUMENTS DE CURETAGE - HGR</v>
          </cell>
        </row>
        <row r="633">
          <cell r="B633" t="str">
            <v>FG04147</v>
          </cell>
          <cell r="C633" t="str">
            <v>BOITE DE CURETAGE</v>
          </cell>
        </row>
        <row r="634">
          <cell r="B634" t="str">
            <v>FG04148</v>
          </cell>
          <cell r="C634" t="str">
            <v>BOITE DE STERILISATION - LARGE</v>
          </cell>
        </row>
        <row r="635">
          <cell r="B635" t="str">
            <v>FG04149</v>
          </cell>
          <cell r="C635" t="str">
            <v>BOITE DE STERILISATION - MEDIUM</v>
          </cell>
        </row>
        <row r="636">
          <cell r="B636" t="str">
            <v>FG04150</v>
          </cell>
          <cell r="C636" t="str">
            <v>BOITE ELEVATEUR DENTAIRE 10PC</v>
          </cell>
        </row>
        <row r="637">
          <cell r="B637" t="str">
            <v>FG04151</v>
          </cell>
          <cell r="C637" t="str">
            <v>BOITE POUR EPISIOTOMIE</v>
          </cell>
        </row>
        <row r="638">
          <cell r="B638" t="str">
            <v>FG04152</v>
          </cell>
          <cell r="C638" t="str">
            <v>BOITE PINCES A EXTRACTION DES DENTS 10PC</v>
          </cell>
        </row>
        <row r="639">
          <cell r="B639" t="str">
            <v>FG04153</v>
          </cell>
          <cell r="C639" t="str">
            <v>BOITE POUR LA STERILISATION 150X100X50MM ML-I4022</v>
          </cell>
        </row>
        <row r="640">
          <cell r="B640" t="str">
            <v>FG04154</v>
          </cell>
          <cell r="C640" t="str">
            <v>BOITE POUR LA STERILISATION 250X125X50MM ML-I4024</v>
          </cell>
        </row>
        <row r="641">
          <cell r="B641" t="str">
            <v>FG04155</v>
          </cell>
          <cell r="C641" t="str">
            <v>BOITE POUR LA STERILISATION 275X150X50MM ML-I4025</v>
          </cell>
        </row>
        <row r="642">
          <cell r="B642" t="str">
            <v>FG04156</v>
          </cell>
          <cell r="C642" t="str">
            <v>BOVINE ALBUMIN 22%</v>
          </cell>
        </row>
        <row r="643">
          <cell r="B643" t="str">
            <v>FG04157</v>
          </cell>
          <cell r="C643" t="str">
            <v>BROSSE DE CYTOLOGIE JETABLE DIA-1.8MM, LONG-1600MM</v>
          </cell>
        </row>
        <row r="644">
          <cell r="B644" t="str">
            <v>FG04158</v>
          </cell>
          <cell r="C644" t="str">
            <v>BROSSE NETTOYAGE JETABLE, DIA-1.8MM, LONG-1600MM</v>
          </cell>
        </row>
        <row r="645">
          <cell r="B645" t="str">
            <v>FG04159</v>
          </cell>
          <cell r="C645" t="str">
            <v>BROSSE NETTOYAGE JETABLE, DIA-1.8MM, LONG-2300MM</v>
          </cell>
        </row>
        <row r="646">
          <cell r="B646" t="str">
            <v>FG04160</v>
          </cell>
          <cell r="C646" t="str">
            <v>CALCIUM O.C.P.C 2 X 50 ML</v>
          </cell>
        </row>
        <row r="647">
          <cell r="B647" t="str">
            <v>FG04161</v>
          </cell>
          <cell r="C647" t="str">
            <v>CANULE DE GUEDEL NO. 00 ML-P6004-00</v>
          </cell>
        </row>
        <row r="648">
          <cell r="B648" t="str">
            <v>FG04162</v>
          </cell>
          <cell r="C648" t="str">
            <v>CANULE DE GUEDEL NO. 2 ML-P6004-2</v>
          </cell>
        </row>
        <row r="649">
          <cell r="B649" t="str">
            <v>FG04163</v>
          </cell>
          <cell r="C649" t="str">
            <v>CANULE DE GUEDEL NO. 3 ML-P6004-3</v>
          </cell>
        </row>
        <row r="650">
          <cell r="B650" t="str">
            <v>FG04164</v>
          </cell>
          <cell r="C650" t="str">
            <v>CASAQUE OPERATOIRE L ML-TX0007</v>
          </cell>
        </row>
        <row r="651">
          <cell r="B651" t="str">
            <v>FG04165</v>
          </cell>
          <cell r="C651" t="str">
            <v>CASAQUE OPERATOIRE XL ML-TX0008</v>
          </cell>
        </row>
        <row r="652">
          <cell r="B652" t="str">
            <v>FG04166</v>
          </cell>
          <cell r="C652" t="str">
            <v>CENTRIFUGEUSE A HEMATOCRITE (24 X CAPILLARY TUBES)</v>
          </cell>
        </row>
        <row r="653">
          <cell r="B653" t="str">
            <v>FG04167</v>
          </cell>
          <cell r="C653" t="str">
            <v>CENTRIFUGEUSE LABOTATOIRE - 2ML/1.5ML X 12</v>
          </cell>
        </row>
        <row r="654">
          <cell r="B654" t="str">
            <v>FG04168</v>
          </cell>
          <cell r="C654" t="str">
            <v>CENTRIFUGEUSE LABOTATOIRE MICRO - 2 ROTOR</v>
          </cell>
        </row>
        <row r="655">
          <cell r="B655" t="str">
            <v>FG04169</v>
          </cell>
          <cell r="C655" t="str">
            <v>CENTRIFUGEUSE LABOTATOIRE-(8 X 15ML,12X10ML,7ML,1)</v>
          </cell>
        </row>
        <row r="656">
          <cell r="B656" t="str">
            <v>FG04170</v>
          </cell>
          <cell r="C656" t="str">
            <v>CHAMP STERILE POUR L'OEIL</v>
          </cell>
        </row>
        <row r="657">
          <cell r="B657" t="str">
            <v>FG04171</v>
          </cell>
          <cell r="C657" t="str">
            <v>CHARIOT BRANCARD FIXE</v>
          </cell>
        </row>
        <row r="658">
          <cell r="B658" t="str">
            <v>FG04172</v>
          </cell>
          <cell r="C658" t="str">
            <v>CHOLESTEROL CHOD-PAP 2 X 50 ML</v>
          </cell>
        </row>
        <row r="659">
          <cell r="B659" t="str">
            <v>FG04173</v>
          </cell>
          <cell r="C659" t="str">
            <v>CISEAUX COURBÉS MOUSSE/POINTU - 14,5 CM</v>
          </cell>
        </row>
        <row r="660">
          <cell r="B660" t="str">
            <v>FG04174</v>
          </cell>
          <cell r="C660" t="str">
            <v>CISEAUX DAUPHIN DROITS 14 CM</v>
          </cell>
        </row>
        <row r="661">
          <cell r="B661" t="str">
            <v>FG04175</v>
          </cell>
          <cell r="C661" t="str">
            <v>CISEAUX DE LISTER CROIX ROUGE 14 CM</v>
          </cell>
        </row>
        <row r="662">
          <cell r="B662" t="str">
            <v>FG04176</v>
          </cell>
          <cell r="C662" t="str">
            <v>CISEAUX JESCO UNIVERSEL TYPE, INOX ET PLASTIQUE</v>
          </cell>
        </row>
        <row r="663">
          <cell r="B663" t="str">
            <v>FG04177</v>
          </cell>
          <cell r="C663" t="str">
            <v>CONCENTRATEUR D OXYGENE - 10L</v>
          </cell>
        </row>
        <row r="664">
          <cell r="B664" t="str">
            <v>FG04178</v>
          </cell>
          <cell r="C664" t="str">
            <v>CONCENTRATEUR D'OXYGENE - 10L</v>
          </cell>
        </row>
        <row r="665">
          <cell r="B665" t="str">
            <v>FG04179</v>
          </cell>
          <cell r="C665" t="str">
            <v>CONCENTRATEUR D'OXYGENE - 5L</v>
          </cell>
        </row>
        <row r="666">
          <cell r="B666" t="str">
            <v>FG04180</v>
          </cell>
          <cell r="C666" t="str">
            <v>CONTROLEUR DE PIPETTES - FILTRE LEVO</v>
          </cell>
        </row>
        <row r="667">
          <cell r="B667" t="str">
            <v>FG04181</v>
          </cell>
          <cell r="C667" t="str">
            <v>COUVRE LIT ET DRAPS ML-TX0001</v>
          </cell>
        </row>
        <row r="668">
          <cell r="B668" t="str">
            <v>FG04182</v>
          </cell>
          <cell r="C668" t="str">
            <v>CREATININE ALKALINE PICRATE 250 ML</v>
          </cell>
        </row>
        <row r="669">
          <cell r="B669" t="str">
            <v>FG04183</v>
          </cell>
          <cell r="C669" t="str">
            <v>CREATININE JAFFES REACTION 2 X 125 ML</v>
          </cell>
        </row>
        <row r="670">
          <cell r="B670" t="str">
            <v>FG04184</v>
          </cell>
          <cell r="C670" t="str">
            <v>CREATININE JAFFES REACTION 2 X 75 ML</v>
          </cell>
        </row>
        <row r="671">
          <cell r="B671" t="str">
            <v>FG04185</v>
          </cell>
          <cell r="C671" t="str">
            <v>CRP C-REACTIVE PROTEIN 20 TESTS</v>
          </cell>
        </row>
        <row r="672">
          <cell r="B672" t="str">
            <v>FG04186</v>
          </cell>
          <cell r="C672" t="str">
            <v>CRP C-REACTIVE PROTEIN TESTS</v>
          </cell>
        </row>
        <row r="673">
          <cell r="B673" t="str">
            <v>FG04187</v>
          </cell>
          <cell r="C673" t="str">
            <v>CRYOTUBE 2ML, ROND FIL INT WASHER ROUGE B/250PCS</v>
          </cell>
        </row>
        <row r="674">
          <cell r="B674" t="str">
            <v>FG04188</v>
          </cell>
          <cell r="C674" t="str">
            <v>CRYSTAL HBSAG (DEVICE) 25 TESTS</v>
          </cell>
        </row>
        <row r="675">
          <cell r="B675" t="str">
            <v>FG04189</v>
          </cell>
          <cell r="C675" t="str">
            <v>CRYSTAL HIV 25 TEST</v>
          </cell>
        </row>
        <row r="676">
          <cell r="B676" t="str">
            <v>FG04190</v>
          </cell>
          <cell r="C676" t="str">
            <v>CRYSTAL VC (DIPSTICK) 10 TESTS</v>
          </cell>
        </row>
        <row r="677">
          <cell r="B677" t="str">
            <v>FG04191</v>
          </cell>
          <cell r="C677" t="str">
            <v>CULLOTTES BALANCE SUSPENDUE CADRAN ROND ML-D2002A</v>
          </cell>
        </row>
        <row r="678">
          <cell r="B678" t="str">
            <v>FG04192</v>
          </cell>
          <cell r="C678" t="str">
            <v>CURETTAGE BOX AND UTERINE REVISION 12PC</v>
          </cell>
        </row>
        <row r="679">
          <cell r="B679" t="str">
            <v>FG04193</v>
          </cell>
          <cell r="C679" t="str">
            <v>CUVETTE HARICOT EN INOX 250MM INOX-(KIDNEYTRAY)</v>
          </cell>
        </row>
        <row r="680">
          <cell r="B680" t="str">
            <v>FG04194</v>
          </cell>
          <cell r="C680" t="str">
            <v>DIALYZER 1.6 HIGH FLUX</v>
          </cell>
        </row>
        <row r="681">
          <cell r="B681" t="str">
            <v>FG04195</v>
          </cell>
          <cell r="C681" t="str">
            <v>DIASALE FILTER FRESENIUS</v>
          </cell>
        </row>
        <row r="682">
          <cell r="B682" t="str">
            <v>FG04196</v>
          </cell>
          <cell r="C682" t="str">
            <v>DISQUES ANTIBIOTIQUES CEFIXIME</v>
          </cell>
        </row>
        <row r="683">
          <cell r="B683" t="str">
            <v>FG04197</v>
          </cell>
          <cell r="C683" t="str">
            <v>DISQUES ANTIBIOTIQUES CEFOTAXIME</v>
          </cell>
        </row>
        <row r="684">
          <cell r="B684" t="str">
            <v>FG04198</v>
          </cell>
          <cell r="C684" t="str">
            <v>DISTILLATEUR D'EAU LABORATOIRE 10L/H</v>
          </cell>
        </row>
        <row r="685">
          <cell r="B685" t="str">
            <v>FG04199</v>
          </cell>
          <cell r="C685" t="str">
            <v>DOPPLER FOETAL</v>
          </cell>
        </row>
        <row r="686">
          <cell r="B686" t="str">
            <v>FG04200</v>
          </cell>
          <cell r="C686" t="str">
            <v>DOUBLE LUMEN CATHETER CURVED 11.5 FR X 15 CM</v>
          </cell>
        </row>
        <row r="687">
          <cell r="B687" t="str">
            <v>FG04201</v>
          </cell>
          <cell r="C687" t="str">
            <v>DRAIN TRORACIQUE N20</v>
          </cell>
        </row>
        <row r="688">
          <cell r="B688" t="str">
            <v>FG04202</v>
          </cell>
          <cell r="C688" t="str">
            <v>DRESSING BOX 8PC</v>
          </cell>
        </row>
        <row r="689">
          <cell r="B689" t="str">
            <v>FG04203</v>
          </cell>
          <cell r="C689" t="str">
            <v>ECHOGRAPHIE PORTABLE - ECO MODEL</v>
          </cell>
        </row>
        <row r="690">
          <cell r="B690" t="str">
            <v>FG04204</v>
          </cell>
          <cell r="C690" t="str">
            <v>ELECTRIC OPERATION TABLE ML-M045A</v>
          </cell>
        </row>
        <row r="691">
          <cell r="B691" t="str">
            <v>FG04205</v>
          </cell>
          <cell r="C691" t="str">
            <v>ELECTRIC OPERATION TABLE ML-M045B</v>
          </cell>
        </row>
        <row r="692">
          <cell r="B692" t="str">
            <v>FG04206</v>
          </cell>
          <cell r="C692" t="str">
            <v>ELECTRIC OPERATION TABLE ML-M047</v>
          </cell>
        </row>
        <row r="693">
          <cell r="B693" t="str">
            <v>FG04207</v>
          </cell>
          <cell r="C693" t="str">
            <v>EMBOUT BLEU 100 - 1000 UL B/1000</v>
          </cell>
        </row>
        <row r="694">
          <cell r="B694" t="str">
            <v>FG04208</v>
          </cell>
          <cell r="C694" t="str">
            <v>EMBOUT JAUNE 5 - 200 UL B/1000</v>
          </cell>
        </row>
        <row r="695">
          <cell r="B695" t="str">
            <v>FG04209</v>
          </cell>
          <cell r="C695" t="str">
            <v>ENDOSCOPY SYSTEM - GASTROSCOPY &amp; COLONOSCOPY</v>
          </cell>
        </row>
        <row r="696">
          <cell r="B696" t="str">
            <v>FG04210</v>
          </cell>
          <cell r="C696" t="str">
            <v>EPISIOTOMY BOX 6PC</v>
          </cell>
        </row>
        <row r="697">
          <cell r="B697" t="str">
            <v>FG04211</v>
          </cell>
          <cell r="C697" t="str">
            <v>EXAMINATION GYNECOLOGY COUCH MATERNITY BED ML-M041</v>
          </cell>
        </row>
        <row r="698">
          <cell r="B698" t="str">
            <v>FG04212</v>
          </cell>
          <cell r="C698" t="str">
            <v>EXAMINATION GYNECOLOGY COUCH MATERNITY BED SS</v>
          </cell>
        </row>
        <row r="699">
          <cell r="B699" t="str">
            <v>FG04213</v>
          </cell>
          <cell r="C699" t="str">
            <v>EXAMINATION GYNECOLOGY COUCH ML-M036</v>
          </cell>
        </row>
        <row r="700">
          <cell r="B700" t="str">
            <v>FG04214</v>
          </cell>
          <cell r="C700" t="str">
            <v>EXAMINATION GYNECOLOGY TABLE ML-M040</v>
          </cell>
        </row>
        <row r="701">
          <cell r="B701" t="str">
            <v>FG04215</v>
          </cell>
          <cell r="C701" t="str">
            <v>EXAMINATION LAMP LED ML-E1005A</v>
          </cell>
        </row>
        <row r="702">
          <cell r="B702" t="str">
            <v>FG04216</v>
          </cell>
          <cell r="C702" t="str">
            <v>EXAMINATION TABLE ML-M002</v>
          </cell>
        </row>
        <row r="703">
          <cell r="B703" t="str">
            <v>FG04217</v>
          </cell>
          <cell r="C703" t="str">
            <v>FRENIQUE (PHENYLEPHRINE) 10MG/ML 1 AMP</v>
          </cell>
        </row>
        <row r="704">
          <cell r="B704" t="str">
            <v>FG04218</v>
          </cell>
          <cell r="C704" t="str">
            <v>GANTS DEXAIMAIN N.STER B/100 LARGE (UNIQUE)</v>
          </cell>
        </row>
        <row r="705">
          <cell r="B705" t="str">
            <v>FG04219</v>
          </cell>
          <cell r="C705" t="str">
            <v>GANTS DEXAIMAIN N.STER B/100 MIDIUM (UNIQUE)</v>
          </cell>
        </row>
        <row r="706">
          <cell r="B706" t="str">
            <v>FG04220</v>
          </cell>
          <cell r="C706" t="str">
            <v>ABA 225MG 3AMP</v>
          </cell>
        </row>
        <row r="707">
          <cell r="B707" t="str">
            <v>FG04221</v>
          </cell>
          <cell r="C707" t="str">
            <v>ABITAR 150 MG AD B/3AMP</v>
          </cell>
        </row>
        <row r="708">
          <cell r="B708" t="str">
            <v>FG04222</v>
          </cell>
          <cell r="C708" t="str">
            <v>ABITAR 225 MG FORTE B/3AMP</v>
          </cell>
        </row>
        <row r="709">
          <cell r="B709" t="str">
            <v>FG04223</v>
          </cell>
          <cell r="C709" t="str">
            <v>ABITAR 75 MG JUNIOR B/3AMP</v>
          </cell>
        </row>
        <row r="710">
          <cell r="B710" t="str">
            <v>FG04224</v>
          </cell>
          <cell r="C710" t="str">
            <v>ACYCLOVIR 500MG INJ 1 VIAL</v>
          </cell>
        </row>
        <row r="711">
          <cell r="B711" t="str">
            <v>FG04225</v>
          </cell>
          <cell r="C711" t="str">
            <v>ADJUSTABLE MICROPIPETTE (VOL. 2-20)AUTOCLAVABLE</v>
          </cell>
        </row>
        <row r="712">
          <cell r="B712" t="str">
            <v>FG04226</v>
          </cell>
          <cell r="C712" t="str">
            <v>ASPECAF 10CAP PL</v>
          </cell>
        </row>
        <row r="713">
          <cell r="B713" t="str">
            <v>FG04227</v>
          </cell>
          <cell r="C713" t="str">
            <v>ASPIRINE **UPSA** 500MG 20CES EFF.</v>
          </cell>
        </row>
        <row r="714">
          <cell r="B714" t="str">
            <v>FG04228</v>
          </cell>
          <cell r="C714" t="str">
            <v>ASTA 40MG (ATROVASTATINE) B/30</v>
          </cell>
        </row>
        <row r="715">
          <cell r="B715" t="str">
            <v>FG04229</v>
          </cell>
          <cell r="C715" t="str">
            <v>APPAREIL DECHOGRAPHIE</v>
          </cell>
        </row>
        <row r="716">
          <cell r="B716" t="str">
            <v>FG04230</v>
          </cell>
          <cell r="C716" t="str">
            <v>ARAUCLAV 600MG INJ</v>
          </cell>
        </row>
        <row r="717">
          <cell r="B717" t="str">
            <v>FG04231</v>
          </cell>
          <cell r="C717" t="str">
            <v>ARMADOC ENFANT (ARTESU.+AMOD.) B/3+3CES</v>
          </cell>
        </row>
        <row r="718">
          <cell r="B718" t="str">
            <v>FG04232</v>
          </cell>
          <cell r="C718" t="str">
            <v>ARTESIM 150MG 3AMP</v>
          </cell>
        </row>
        <row r="719">
          <cell r="B719" t="str">
            <v>FG04233</v>
          </cell>
          <cell r="C719" t="str">
            <v>ASCORIL EXP. SP 100ML</v>
          </cell>
        </row>
        <row r="720">
          <cell r="B720" t="str">
            <v>FG04234</v>
          </cell>
          <cell r="C720" t="str">
            <v>ASTIR (ARTESUNAT) 240MG ING</v>
          </cell>
        </row>
        <row r="721">
          <cell r="B721" t="str">
            <v>FG04235</v>
          </cell>
          <cell r="C721" t="str">
            <v>ASTIR (ARTESUNAT) 30MG ING</v>
          </cell>
        </row>
        <row r="722">
          <cell r="B722" t="str">
            <v>FG04236</v>
          </cell>
          <cell r="C722" t="str">
            <v>ASTIR (ARTESUNAT) 60MG ING</v>
          </cell>
        </row>
        <row r="723">
          <cell r="B723" t="str">
            <v>FG04237</v>
          </cell>
          <cell r="C723" t="str">
            <v>ASU 90MG (ARTESUNATE 90MG) ING</v>
          </cell>
        </row>
        <row r="724">
          <cell r="B724" t="str">
            <v>FG04238</v>
          </cell>
          <cell r="C724" t="str">
            <v>ATENOLOL BIOGARAN 50MG B/30 CES</v>
          </cell>
        </row>
        <row r="725">
          <cell r="B725" t="str">
            <v>FG04239</v>
          </cell>
          <cell r="C725" t="str">
            <v>AVISTOR 20MG (ATROVASTATIN)B/30 CES</v>
          </cell>
        </row>
        <row r="726">
          <cell r="B726" t="str">
            <v>FG04240</v>
          </cell>
          <cell r="C726" t="str">
            <v>BALLON DAMBU + MASQUE 00 OU 01</v>
          </cell>
        </row>
        <row r="727">
          <cell r="B727" t="str">
            <v>FG04241</v>
          </cell>
          <cell r="C727" t="str">
            <v>BLUMOX-250MG DISP. B/20 TAB</v>
          </cell>
        </row>
        <row r="728">
          <cell r="B728" t="str">
            <v>FG04242</v>
          </cell>
          <cell r="C728" t="str">
            <v>BOMBONNE DOXYGENE POUR REAMIMATION</v>
          </cell>
        </row>
        <row r="729">
          <cell r="B729" t="str">
            <v>FG04243</v>
          </cell>
          <cell r="C729" t="str">
            <v>B-THER 150MG INJ B/3 AMP</v>
          </cell>
        </row>
        <row r="730">
          <cell r="B730" t="str">
            <v>FG04244</v>
          </cell>
          <cell r="C730" t="str">
            <v>B-THER 225MG INJ B/3 AMP</v>
          </cell>
        </row>
        <row r="731">
          <cell r="B731" t="str">
            <v>FG04245</v>
          </cell>
          <cell r="C731" t="str">
            <v>CADITOR (ATORVASTATIN) 20 MG B30/CES</v>
          </cell>
        </row>
        <row r="732">
          <cell r="B732" t="str">
            <v>FG04246</v>
          </cell>
          <cell r="C732" t="str">
            <v>CAISTHER JUNIOR DISPERSIBLE B/6 CES</v>
          </cell>
        </row>
        <row r="733">
          <cell r="B733" t="str">
            <v>FG04247</v>
          </cell>
          <cell r="C733" t="str">
            <v>CALCIUM +MAG BIOFAR CPR EFFV T/20</v>
          </cell>
        </row>
        <row r="734">
          <cell r="B734" t="str">
            <v>FG04248</v>
          </cell>
          <cell r="C734" t="str">
            <v>CEFUNAT (CEFIXIME) 100MG DISP B/10 CES</v>
          </cell>
        </row>
        <row r="735">
          <cell r="B735" t="str">
            <v>FG04249</v>
          </cell>
          <cell r="C735" t="str">
            <v>CEFUNAT (CEFIXIME) 200MG DISP B/10 CES</v>
          </cell>
        </row>
        <row r="736">
          <cell r="B736" t="str">
            <v>FG04250</v>
          </cell>
          <cell r="C736" t="str">
            <v>CESACAL (CALCIUM,VITAMINE D3) B/ 2 X 15 CES</v>
          </cell>
        </row>
        <row r="737">
          <cell r="B737" t="str">
            <v>FG04251</v>
          </cell>
          <cell r="C737" t="str">
            <v>CHROME COMPLEX BIOFAR CPR EFFV T/20</v>
          </cell>
        </row>
        <row r="738">
          <cell r="B738" t="str">
            <v>FG04252</v>
          </cell>
          <cell r="C738" t="str">
            <v>CLOPIDO-75 (CLOPIDOGREL UPS 75MG) B/30CES</v>
          </cell>
        </row>
        <row r="739">
          <cell r="B739" t="str">
            <v>FG04253</v>
          </cell>
          <cell r="C739" t="str">
            <v>CLOTEK LOTION 30ML</v>
          </cell>
        </row>
        <row r="740">
          <cell r="B740" t="str">
            <v>FG04254</v>
          </cell>
          <cell r="C740" t="str">
            <v>CONCEF FORTE 1500MG ING</v>
          </cell>
        </row>
        <row r="741">
          <cell r="B741" t="str">
            <v>FG04255</v>
          </cell>
          <cell r="C741" t="str">
            <v>CONCEF T-1125MG ING</v>
          </cell>
        </row>
        <row r="742">
          <cell r="B742" t="str">
            <v>FG04256</v>
          </cell>
          <cell r="C742" t="str">
            <v>CONTROLEUR DE PIPETTES - LEVO</v>
          </cell>
        </row>
        <row r="743">
          <cell r="B743" t="str">
            <v>FG04257</v>
          </cell>
          <cell r="C743" t="str">
            <v>CORTI-STENE(BETAMETA) 30ML GOUTE</v>
          </cell>
        </row>
        <row r="744">
          <cell r="B744" t="str">
            <v>FG04258</v>
          </cell>
          <cell r="C744" t="str">
            <v>CRAYON NITRATE DARGENT (SALVA)</v>
          </cell>
        </row>
        <row r="745">
          <cell r="B745" t="str">
            <v>FG04259</v>
          </cell>
          <cell r="C745" t="str">
            <v>DAVIMETHER-LF TAB B/12</v>
          </cell>
        </row>
        <row r="746">
          <cell r="B746" t="str">
            <v>FG04260</v>
          </cell>
          <cell r="C746" t="str">
            <v>DECAPEPTYL 11.25MG B/1AMP</v>
          </cell>
        </row>
        <row r="747">
          <cell r="B747" t="str">
            <v>FG04261</v>
          </cell>
          <cell r="C747" t="str">
            <v>DERMAZEMA 30G CREAM</v>
          </cell>
        </row>
        <row r="748">
          <cell r="B748" t="str">
            <v>FG04262</v>
          </cell>
          <cell r="C748" t="str">
            <v>DESPAIN 30MG B/10 CES</v>
          </cell>
        </row>
        <row r="749">
          <cell r="B749" t="str">
            <v>FG04263</v>
          </cell>
          <cell r="C749" t="str">
            <v>DETTOL 750ML LIQUIDE</v>
          </cell>
        </row>
        <row r="750">
          <cell r="B750" t="str">
            <v>FG04264</v>
          </cell>
          <cell r="C750" t="str">
            <v>DIPIGERMINA (2 MILLIARDS D'UFC/5ML) INJ</v>
          </cell>
        </row>
        <row r="751">
          <cell r="B751" t="str">
            <v>FG04265</v>
          </cell>
          <cell r="C751" t="str">
            <v>DREZ 100ML SOLUTION</v>
          </cell>
        </row>
        <row r="752">
          <cell r="B752" t="str">
            <v>FG04266</v>
          </cell>
          <cell r="C752" t="str">
            <v>DYNAPETIT 100ML SP</v>
          </cell>
        </row>
        <row r="753">
          <cell r="B753" t="str">
            <v>FG04267</v>
          </cell>
          <cell r="C753" t="str">
            <v>FER+AC FOLIQ BIOFAR CPR EFFV 20</v>
          </cell>
        </row>
        <row r="754">
          <cell r="B754" t="str">
            <v>FG04268</v>
          </cell>
          <cell r="C754" t="str">
            <v>GANTS DEXAIMAIN N.STER B/100 SANS POUDRE</v>
          </cell>
        </row>
        <row r="755">
          <cell r="B755" t="str">
            <v>FG04269</v>
          </cell>
          <cell r="C755" t="str">
            <v>AMPICILLINE 125MG SP 60ML ( PHATKIN)</v>
          </cell>
        </row>
        <row r="756">
          <cell r="B756" t="str">
            <v>FG04270</v>
          </cell>
          <cell r="C756" t="str">
            <v>AMPICILLINE 250MG B/10X10CAPS</v>
          </cell>
        </row>
        <row r="757">
          <cell r="B757" t="str">
            <v>FG04271</v>
          </cell>
          <cell r="C757" t="str">
            <v>AMPICILLINE 250MG SP 60ML</v>
          </cell>
        </row>
        <row r="758">
          <cell r="B758" t="str">
            <v>FG04272</v>
          </cell>
          <cell r="C758" t="str">
            <v>AMPICILLINE 500MG B/10X10CAPS</v>
          </cell>
        </row>
        <row r="759">
          <cell r="B759" t="str">
            <v>FG04273</v>
          </cell>
          <cell r="C759" t="str">
            <v>ANTIACID B/10X10CES (LOCAL)</v>
          </cell>
        </row>
        <row r="760">
          <cell r="B760" t="str">
            <v>FG04274</v>
          </cell>
          <cell r="C760" t="str">
            <v>ANTOL BABY 75GM SOAP</v>
          </cell>
        </row>
        <row r="761">
          <cell r="B761" t="str">
            <v>FG04275</v>
          </cell>
          <cell r="C761" t="str">
            <v>APRON USAGE UNIQUE ML-TX0009</v>
          </cell>
        </row>
        <row r="762">
          <cell r="B762" t="str">
            <v>FG04276</v>
          </cell>
          <cell r="C762" t="str">
            <v>ARTES-90MG (ARTESUNATE) INJECTABLE B/1 KIT</v>
          </cell>
        </row>
        <row r="763">
          <cell r="B763" t="str">
            <v>FG04277</v>
          </cell>
          <cell r="C763" t="str">
            <v>BLUMOX 250MG B/20CES</v>
          </cell>
        </row>
        <row r="764">
          <cell r="B764" t="str">
            <v>FG04278</v>
          </cell>
          <cell r="C764" t="str">
            <v>BOX FOR MINOR SURGERY 11PC</v>
          </cell>
        </row>
        <row r="765">
          <cell r="B765" t="str">
            <v>FG04279</v>
          </cell>
          <cell r="C765" t="str">
            <v>B-THER 75MG ING B/3 AMP</v>
          </cell>
        </row>
        <row r="766">
          <cell r="B766" t="str">
            <v>FG04280</v>
          </cell>
          <cell r="C766" t="str">
            <v>CENTRIFUGEUSE DE LABORATOIRE 4K, 12X15ML</v>
          </cell>
        </row>
        <row r="767">
          <cell r="B767" t="str">
            <v>FG04281</v>
          </cell>
          <cell r="C767" t="str">
            <v>CHLORAMPHENICOL 250MG B/10X10CAPS</v>
          </cell>
        </row>
        <row r="768">
          <cell r="B768" t="str">
            <v>FG04282</v>
          </cell>
          <cell r="C768" t="str">
            <v>CYPROPLEX (CYPROHEPTADINE) SIROP 200ML</v>
          </cell>
        </row>
        <row r="769">
          <cell r="B769" t="str">
            <v>FG04283</v>
          </cell>
          <cell r="C769" t="str">
            <v>DIALYZER 1.8 HIGH FLUX</v>
          </cell>
        </row>
        <row r="770">
          <cell r="B770" t="str">
            <v>FG04284</v>
          </cell>
          <cell r="C770" t="str">
            <v>ECHOGRAPHIE PORTABLE - ML-500</v>
          </cell>
        </row>
        <row r="771">
          <cell r="B771" t="str">
            <v>FG04285</v>
          </cell>
          <cell r="C771" t="str">
            <v>EXAMINATION GYNECOLOGY COUCH ML-M037</v>
          </cell>
        </row>
        <row r="772">
          <cell r="B772" t="str">
            <v>FG04286</v>
          </cell>
          <cell r="C772" t="str">
            <v>FLAMINGO CHEST GUARD (MEDIUM)</v>
          </cell>
        </row>
        <row r="773">
          <cell r="B773" t="str">
            <v>FG04287</v>
          </cell>
          <cell r="C773" t="str">
            <v>FLAMINGO ABDOMINAL BELT (SMALL) (20 CM)</v>
          </cell>
        </row>
        <row r="774">
          <cell r="B774" t="str">
            <v>FG04288</v>
          </cell>
          <cell r="C774" t="str">
            <v>FLAMINGO ARM POUCH (MEDIUM)</v>
          </cell>
        </row>
        <row r="775">
          <cell r="B775" t="str">
            <v>FG04289</v>
          </cell>
          <cell r="C775" t="str">
            <v>FLAMINGO BI AXEL HINGED KNEE CAP (EXTRA LARGE)</v>
          </cell>
        </row>
        <row r="776">
          <cell r="B776" t="str">
            <v>FG04290</v>
          </cell>
          <cell r="C776" t="str">
            <v>FLAMINGO CERVICAL COLLAR (LARGE)</v>
          </cell>
        </row>
        <row r="777">
          <cell r="B777" t="str">
            <v>FG04291</v>
          </cell>
          <cell r="C777" t="str">
            <v>FLAMINGO COOL PACK REGULAR</v>
          </cell>
        </row>
        <row r="778">
          <cell r="B778" t="str">
            <v>FG04292</v>
          </cell>
          <cell r="C778" t="str">
            <v>FLAMINGO DORSO LUMBER SPINAL BRACE(DOUBEXTRALARGE)</v>
          </cell>
        </row>
        <row r="779">
          <cell r="B779" t="str">
            <v>FG04293</v>
          </cell>
          <cell r="C779" t="str">
            <v>FLAMINGO FOOT DROP SPLINT LEFT (LARGE)</v>
          </cell>
        </row>
        <row r="780">
          <cell r="B780" t="str">
            <v>FG04294</v>
          </cell>
          <cell r="C780" t="str">
            <v>FLAMINGO HEIGHT ADJUSTABLE HARD COLLAR (L)</v>
          </cell>
        </row>
        <row r="781">
          <cell r="B781" t="str">
            <v>FG04295</v>
          </cell>
          <cell r="C781" t="str">
            <v>FLAMINGO KNEE BRACE LONG (MEDIUM)</v>
          </cell>
        </row>
        <row r="782">
          <cell r="B782" t="str">
            <v>FG04296</v>
          </cell>
          <cell r="C782" t="str">
            <v>FLAMINGO PEDIATRIC CLAVICLE BRACE (SMALL)</v>
          </cell>
        </row>
        <row r="783">
          <cell r="B783" t="str">
            <v>FG04297</v>
          </cell>
          <cell r="C783" t="str">
            <v>FLAMINGO RIB BELT (LARGE)</v>
          </cell>
        </row>
        <row r="784">
          <cell r="B784" t="str">
            <v>FG04298</v>
          </cell>
          <cell r="C784" t="str">
            <v>FLAMINGO STOCKING BELOW KNEE PREMIUM (MEDIUM)</v>
          </cell>
        </row>
        <row r="785">
          <cell r="B785" t="str">
            <v>FG04299</v>
          </cell>
          <cell r="C785" t="str">
            <v>FLAMINGO THUMB SPICA (LARGE)</v>
          </cell>
        </row>
        <row r="786">
          <cell r="B786" t="str">
            <v>FG04300</v>
          </cell>
          <cell r="C786" t="str">
            <v>FLAMINGO WAIST TRIMMER (EXTRA LARGE)</v>
          </cell>
        </row>
        <row r="787">
          <cell r="B787" t="str">
            <v>FG04301</v>
          </cell>
          <cell r="C787" t="str">
            <v>GPT(ALT) IFCC-UV KINETIC 10 X 10 ML</v>
          </cell>
        </row>
        <row r="788">
          <cell r="B788" t="str">
            <v>FG04302</v>
          </cell>
          <cell r="C788" t="str">
            <v>TRANSFUSION - BLOOD COLLECTION CHAIR MULTI PURPOSE ML-M062</v>
          </cell>
        </row>
        <row r="789">
          <cell r="B789" t="str">
            <v>FG04303</v>
          </cell>
          <cell r="C789" t="str">
            <v>TRIGLYCERIDES GPO/TRINDER 2 X 50 ML</v>
          </cell>
        </row>
        <row r="790">
          <cell r="B790" t="str">
            <v>FG04304</v>
          </cell>
          <cell r="C790" t="str">
            <v>TUBE DEXTENSION AVEC 3WAY ( 10CM )</v>
          </cell>
        </row>
        <row r="791">
          <cell r="B791" t="str">
            <v>FG04305</v>
          </cell>
          <cell r="C791" t="str">
            <v>UREA/BUN DAM 125ML</v>
          </cell>
        </row>
        <row r="792">
          <cell r="B792" t="str">
            <v>FG04306</v>
          </cell>
          <cell r="C792" t="str">
            <v>URINAL HOMME AVEC POIGNÉE INOX ML-I4003</v>
          </cell>
        </row>
        <row r="793">
          <cell r="B793" t="str">
            <v>FG04307</v>
          </cell>
          <cell r="C793" t="str">
            <v>VERORAB VACCIN B/1</v>
          </cell>
        </row>
        <row r="794">
          <cell r="B794" t="str">
            <v>FG04308</v>
          </cell>
          <cell r="C794" t="str">
            <v>VITAMINE K1 INJ INJ.B/10AMP</v>
          </cell>
        </row>
        <row r="795">
          <cell r="B795" t="str">
            <v>FG04309</v>
          </cell>
          <cell r="C795" t="str">
            <v>WIDAL ANTIGEN SET (SLIDE) 2X2X5 ML</v>
          </cell>
        </row>
        <row r="796">
          <cell r="B796" t="str">
            <v>FG04310</v>
          </cell>
          <cell r="C796" t="str">
            <v>Z-500 MG CES B/5 CES</v>
          </cell>
        </row>
        <row r="797">
          <cell r="B797" t="str">
            <v>FG04311</v>
          </cell>
          <cell r="C797" t="str">
            <v>ABA 75MG 3AMP</v>
          </cell>
        </row>
        <row r="798">
          <cell r="B798" t="str">
            <v>FG04312</v>
          </cell>
          <cell r="C798" t="str">
            <v>ACIDE FOLIC 10X10CES</v>
          </cell>
        </row>
        <row r="799">
          <cell r="B799" t="str">
            <v>FG04313</v>
          </cell>
          <cell r="C799" t="str">
            <v>ALGOFENE (IBUPROFENE) 150ML SP</v>
          </cell>
        </row>
        <row r="800">
          <cell r="B800" t="str">
            <v>FG04314</v>
          </cell>
          <cell r="C800" t="str">
            <v>ALUKON 4MG 14 SACHETS (FR)</v>
          </cell>
        </row>
        <row r="801">
          <cell r="B801" t="str">
            <v>FG04315</v>
          </cell>
          <cell r="C801" t="str">
            <v>AMBILON 50MG (AMPHOTERICIN B) INJ B/1 VIAL</v>
          </cell>
        </row>
        <row r="802">
          <cell r="B802" t="str">
            <v>FG04316</v>
          </cell>
          <cell r="C802" t="str">
            <v>AMINOPHILLINE 250MG/10ML B/10AMP</v>
          </cell>
        </row>
        <row r="803">
          <cell r="B803" t="str">
            <v>FG04317</v>
          </cell>
          <cell r="C803" t="str">
            <v>ARMOIRE - ENDOSCOPES FLEXIBLES</v>
          </cell>
        </row>
        <row r="804">
          <cell r="B804" t="str">
            <v>FG04318</v>
          </cell>
          <cell r="C804" t="str">
            <v>ARTESIM 75MG 3AMP</v>
          </cell>
        </row>
        <row r="805">
          <cell r="B805" t="str">
            <v>FG04319</v>
          </cell>
          <cell r="C805" t="str">
            <v>ASTIR (ARTESUNAT) 120MG ING</v>
          </cell>
        </row>
        <row r="806">
          <cell r="B806" t="str">
            <v>FG04320</v>
          </cell>
          <cell r="C806" t="str">
            <v>ASTIR (ARTESUNAT) 150MG ING</v>
          </cell>
        </row>
        <row r="807">
          <cell r="B807" t="str">
            <v>FG04321</v>
          </cell>
          <cell r="C807" t="str">
            <v>BACTILIEF 30G CREME</v>
          </cell>
        </row>
        <row r="808">
          <cell r="B808" t="str">
            <v>FG04322</v>
          </cell>
          <cell r="C808" t="str">
            <v>CANULE DE GUEDEL NO. 4 ML-P6004-4</v>
          </cell>
        </row>
        <row r="809">
          <cell r="B809" t="str">
            <v>FG04323</v>
          </cell>
          <cell r="C809" t="str">
            <v>CARBATROL 200MG (CARBAZEPINE) B/5 X 10 CES</v>
          </cell>
        </row>
        <row r="810">
          <cell r="B810" t="str">
            <v>FG04324</v>
          </cell>
          <cell r="C810" t="str">
            <v>CEFIM (CEFIXIME) DS 60ML (NEW)</v>
          </cell>
        </row>
        <row r="811">
          <cell r="B811" t="str">
            <v>FG04325</v>
          </cell>
          <cell r="C811" t="str">
            <v>CEFIM 200 (CEFIXIME) B/10CES</v>
          </cell>
        </row>
        <row r="812">
          <cell r="B812" t="str">
            <v>FG04326</v>
          </cell>
          <cell r="C812" t="str">
            <v>CEFUNAT (CEFIXIME) 400MG DISP B/10 CES</v>
          </cell>
        </row>
        <row r="813">
          <cell r="B813" t="str">
            <v>FG04327</v>
          </cell>
          <cell r="C813" t="str">
            <v>CESAPRIL 10MG CES</v>
          </cell>
        </row>
        <row r="814">
          <cell r="B814" t="str">
            <v>FG04328</v>
          </cell>
          <cell r="C814" t="str">
            <v>CLOTRIL B.G. CREME 10GR</v>
          </cell>
        </row>
        <row r="815">
          <cell r="B815" t="str">
            <v>FG04329</v>
          </cell>
          <cell r="C815" t="str">
            <v>CONCEF (CEFTRIAXONE+EAU DIST.) 1GR ING</v>
          </cell>
        </row>
        <row r="816">
          <cell r="B816" t="str">
            <v>FG04330</v>
          </cell>
          <cell r="C816" t="str">
            <v>CONCEF PLUS 750MG ING</v>
          </cell>
        </row>
        <row r="817">
          <cell r="B817" t="str">
            <v>FG04331</v>
          </cell>
          <cell r="C817" t="str">
            <v>CONTHER JUNIOR DISPERSIBLE B/6 CES</v>
          </cell>
        </row>
        <row r="818">
          <cell r="B818" t="str">
            <v>FG04332</v>
          </cell>
          <cell r="C818" t="str">
            <v>CONTROLEUR DE PIPETTES - LEVO ME</v>
          </cell>
        </row>
        <row r="819">
          <cell r="B819" t="str">
            <v>FG04333</v>
          </cell>
          <cell r="C819" t="str">
            <v>DESPAIN-P B/10 CES</v>
          </cell>
        </row>
        <row r="820">
          <cell r="B820" t="str">
            <v>FG04334</v>
          </cell>
          <cell r="C820" t="str">
            <v>DISQUES ANTIBIOTIQUES AMOX + CLAV AUG</v>
          </cell>
        </row>
        <row r="821">
          <cell r="B821" t="str">
            <v>FG04335</v>
          </cell>
          <cell r="C821" t="str">
            <v>DYNAPETIT 10 X 10 CES</v>
          </cell>
        </row>
        <row r="822">
          <cell r="B822" t="str">
            <v>FG04336</v>
          </cell>
          <cell r="C822" t="str">
            <v>EXAMINATION BED SINGLE CRANK ML-M004</v>
          </cell>
        </row>
        <row r="823">
          <cell r="B823" t="str">
            <v>FG04337</v>
          </cell>
          <cell r="C823" t="str">
            <v>FEMOCID DT-20MG B/10 CES</v>
          </cell>
        </row>
        <row r="824">
          <cell r="B824" t="str">
            <v>FG04338</v>
          </cell>
          <cell r="C824" t="str">
            <v>FLAMINGO CLAVICAL BRACE (LARGE)</v>
          </cell>
        </row>
        <row r="825">
          <cell r="B825" t="str">
            <v>FG04339</v>
          </cell>
          <cell r="C825" t="str">
            <v>FLAMINGO ANKLE BINDER (MEDIUM)</v>
          </cell>
        </row>
        <row r="826">
          <cell r="B826" t="str">
            <v>FG04340</v>
          </cell>
          <cell r="C826" t="str">
            <v>FLAMINGO HEAT BELT PREMIUM (JUMBO)</v>
          </cell>
        </row>
        <row r="827">
          <cell r="B827" t="str">
            <v>FG04341</v>
          </cell>
          <cell r="C827" t="str">
            <v>FLAMINGO KNEE BRACE LONG (XXL)</v>
          </cell>
        </row>
        <row r="828">
          <cell r="B828" t="str">
            <v>FG04342</v>
          </cell>
          <cell r="C828" t="str">
            <v>FLAMINGO KNEE STABILISER (LARGE)</v>
          </cell>
        </row>
        <row r="829">
          <cell r="B829" t="str">
            <v>FG04343</v>
          </cell>
          <cell r="C829" t="str">
            <v>FLAMINGO LUMBAR SACRO BELT (SMALL)</v>
          </cell>
        </row>
        <row r="830">
          <cell r="B830" t="str">
            <v>FG04344</v>
          </cell>
          <cell r="C830" t="str">
            <v>FLAMINGO PELVIC BINDER (XXL)</v>
          </cell>
        </row>
        <row r="831">
          <cell r="B831" t="str">
            <v>FG04345</v>
          </cell>
          <cell r="C831" t="str">
            <v>FLAMINGO SACRO LUMBAR PREMIUM (MEDIUM) BELT</v>
          </cell>
        </row>
        <row r="832">
          <cell r="B832" t="str">
            <v>FG04346</v>
          </cell>
          <cell r="C832" t="str">
            <v>FLAMINGO SILICONE FOOT INSOLE (MEDIUM)</v>
          </cell>
        </row>
        <row r="833">
          <cell r="B833" t="str">
            <v>FG04347</v>
          </cell>
          <cell r="C833" t="str">
            <v>FLAMINGO TENNIS ELBOW SUPPORT (EXTRA LARGE)</v>
          </cell>
        </row>
        <row r="834">
          <cell r="B834" t="str">
            <v>FG04348</v>
          </cell>
          <cell r="C834" t="str">
            <v>FLAMINGO UNDER ARM CRUTCHES (MEDIUM)</v>
          </cell>
        </row>
        <row r="835">
          <cell r="B835" t="str">
            <v>FG04349</v>
          </cell>
          <cell r="C835" t="str">
            <v>FLAMINGO WAIST TRIMMER (LARGE)</v>
          </cell>
        </row>
        <row r="836">
          <cell r="B836" t="str">
            <v>FG04350</v>
          </cell>
          <cell r="C836" t="str">
            <v>HEMORCURE B/30CES (ANTI-HEMOROIDAL)</v>
          </cell>
        </row>
        <row r="837">
          <cell r="B837" t="str">
            <v>FG04351</v>
          </cell>
          <cell r="C837" t="str">
            <v>HOSPITAL BED PLAIN WITH BACKREST ML-M003</v>
          </cell>
        </row>
        <row r="838">
          <cell r="B838" t="str">
            <v>FG04352</v>
          </cell>
          <cell r="C838" t="str">
            <v>HOSPITAL EMERGENCY ABS TROLLEY ML-M070A</v>
          </cell>
        </row>
        <row r="839">
          <cell r="B839" t="str">
            <v>FG04353</v>
          </cell>
          <cell r="C839" t="str">
            <v>HOSPITAL INFANT BABY BED CRIB ON CASTORS ML-M068</v>
          </cell>
        </row>
        <row r="840">
          <cell r="B840" t="str">
            <v>FG04354</v>
          </cell>
          <cell r="C840" t="str">
            <v>HOSPITAL TWO STEP STOOL ANTI-SKID ML-M034</v>
          </cell>
        </row>
        <row r="841">
          <cell r="B841" t="str">
            <v>FG04355</v>
          </cell>
          <cell r="C841" t="str">
            <v>HYDRAULIC C-ARM OPERATION TABLE ML-M043</v>
          </cell>
        </row>
        <row r="842">
          <cell r="B842" t="str">
            <v>FG04356</v>
          </cell>
          <cell r="C842" t="str">
            <v>HYDRAULIC C-ARM OPERATION TABLE ML-M046</v>
          </cell>
        </row>
        <row r="843">
          <cell r="B843" t="str">
            <v>FG04357</v>
          </cell>
          <cell r="C843" t="str">
            <v>HYDRAULIC OPERATION TABLE SIDE END CONTROL ML-M042</v>
          </cell>
        </row>
        <row r="844">
          <cell r="B844" t="str">
            <v>FG04358</v>
          </cell>
          <cell r="C844" t="str">
            <v>ICU BED ELECTRIC THREE FUNCTION HEIGHT ADJUSTABLE</v>
          </cell>
        </row>
        <row r="845">
          <cell r="B845" t="str">
            <v>FG04359</v>
          </cell>
          <cell r="C845" t="str">
            <v>IMN - 3IN1(CTNI/MYO/CK-MB)COMBO, B/25 CARTOUCHES</v>
          </cell>
        </row>
        <row r="846">
          <cell r="B846" t="str">
            <v>FG04360</v>
          </cell>
          <cell r="C846" t="str">
            <v>IMN - AFP, B/25 CARTOUCHES</v>
          </cell>
        </row>
        <row r="847">
          <cell r="B847" t="str">
            <v>FG04361</v>
          </cell>
          <cell r="C847" t="str">
            <v>IMN - AMH, B/25 CARTOUCHES</v>
          </cell>
        </row>
        <row r="848">
          <cell r="B848" t="str">
            <v>FG04362</v>
          </cell>
          <cell r="C848" t="str">
            <v>IMN - ANALYSEUR DIMMUNOANALYSE</v>
          </cell>
        </row>
        <row r="849">
          <cell r="B849" t="str">
            <v>FG04363</v>
          </cell>
          <cell r="C849" t="str">
            <v>IMN - BETA2-MG, B/25 CARTOUCHES</v>
          </cell>
        </row>
        <row r="850">
          <cell r="B850" t="str">
            <v>FG04364</v>
          </cell>
          <cell r="C850" t="str">
            <v>IMN - BETA-HCG, B/25 CARTOUCHES</v>
          </cell>
        </row>
        <row r="851">
          <cell r="B851" t="str">
            <v>FG04365</v>
          </cell>
          <cell r="C851" t="str">
            <v>IMN - BNP, B/25 CARTOUCHES</v>
          </cell>
        </row>
        <row r="852">
          <cell r="B852" t="str">
            <v>FG04366</v>
          </cell>
          <cell r="C852" t="str">
            <v>IMN - CEA, B/25 CARTOUCHES</v>
          </cell>
        </row>
        <row r="853">
          <cell r="B853" t="str">
            <v>FG04367</v>
          </cell>
          <cell r="C853" t="str">
            <v>IMN - CORTISOL, B/25 CARTOUCHES</v>
          </cell>
        </row>
        <row r="854">
          <cell r="B854" t="str">
            <v>FG04368</v>
          </cell>
          <cell r="C854" t="str">
            <v>IMN - CRP, B/25 CARTOUCHES</v>
          </cell>
        </row>
        <row r="855">
          <cell r="B855" t="str">
            <v>FG04369</v>
          </cell>
          <cell r="C855" t="str">
            <v>IMN - CRP+PCT, B/25 CARTOUCHES</v>
          </cell>
        </row>
        <row r="856">
          <cell r="B856" t="str">
            <v>FG04370</v>
          </cell>
          <cell r="C856" t="str">
            <v>IMN - CTNI, B/25 CARTOUCHES</v>
          </cell>
        </row>
        <row r="857">
          <cell r="B857" t="str">
            <v>FG04371</v>
          </cell>
          <cell r="C857" t="str">
            <v>IMN - CTNI/NT-PROBNP, B/25 CARTOUCHES</v>
          </cell>
        </row>
        <row r="858">
          <cell r="B858" t="str">
            <v>FG04372</v>
          </cell>
          <cell r="C858" t="str">
            <v>IMN - CYSC, B/25 CARTOUCHES</v>
          </cell>
        </row>
        <row r="859">
          <cell r="B859" t="str">
            <v>FG04373</v>
          </cell>
          <cell r="C859" t="str">
            <v>IMN - D-DIMER, B/25 CARTOUCHES</v>
          </cell>
        </row>
        <row r="860">
          <cell r="B860" t="str">
            <v>FG04374</v>
          </cell>
          <cell r="C860" t="str">
            <v>IMN - FERRITIN, B/25 CARTOUCHES</v>
          </cell>
        </row>
        <row r="861">
          <cell r="B861" t="str">
            <v>FG04375</v>
          </cell>
          <cell r="C861" t="str">
            <v>IMN - FPSA, B/25 CARTOUCHES</v>
          </cell>
        </row>
        <row r="862">
          <cell r="B862" t="str">
            <v>FG04376</v>
          </cell>
          <cell r="C862" t="str">
            <v>IMN - FT3, B/25 CARTOUCHES</v>
          </cell>
        </row>
        <row r="863">
          <cell r="B863" t="str">
            <v>FG04377</v>
          </cell>
          <cell r="C863" t="str">
            <v>IMN - FT4, B/25 CARTOUCHES</v>
          </cell>
        </row>
        <row r="864">
          <cell r="B864" t="str">
            <v>FG04378</v>
          </cell>
          <cell r="C864" t="str">
            <v>IMN - HBA1C, B/25 CARTOUCHES</v>
          </cell>
        </row>
        <row r="865">
          <cell r="B865" t="str">
            <v>FG04379</v>
          </cell>
          <cell r="C865" t="str">
            <v>IMN - H-FABP, B/25 CARTOUCHES</v>
          </cell>
        </row>
        <row r="866">
          <cell r="B866" t="str">
            <v>FG04380</v>
          </cell>
          <cell r="C866" t="str">
            <v>IMN - LH, B/25 CARTOUCHES</v>
          </cell>
        </row>
        <row r="867">
          <cell r="B867" t="str">
            <v>FG04381</v>
          </cell>
          <cell r="C867" t="str">
            <v>IMN - MAU, B/25 CARTOUCHES</v>
          </cell>
        </row>
        <row r="868">
          <cell r="B868" t="str">
            <v>FG04382</v>
          </cell>
          <cell r="C868" t="str">
            <v>IMN - NGAL, B/25 CARTOUCHES</v>
          </cell>
        </row>
        <row r="869">
          <cell r="B869" t="str">
            <v>FG04383</v>
          </cell>
          <cell r="C869" t="str">
            <v>IMN - NT-PROBN, B/25 CARTOUCHES</v>
          </cell>
        </row>
        <row r="870">
          <cell r="B870" t="str">
            <v>FG04384</v>
          </cell>
          <cell r="C870" t="str">
            <v>IMN - PCT B/25, CARTOUCHES</v>
          </cell>
        </row>
        <row r="871">
          <cell r="B871" t="str">
            <v>FG04385</v>
          </cell>
          <cell r="C871" t="str">
            <v>IMN - PSA, B/25 CARTOUCHES</v>
          </cell>
        </row>
        <row r="872">
          <cell r="B872" t="str">
            <v>FG04386</v>
          </cell>
          <cell r="C872" t="str">
            <v>IMN - S100B, B/25 CARTOUCHES</v>
          </cell>
        </row>
        <row r="873">
          <cell r="B873" t="str">
            <v>FG04387</v>
          </cell>
          <cell r="C873" t="str">
            <v>IMN - T3, B/25 CARTOUCHES</v>
          </cell>
        </row>
        <row r="874">
          <cell r="B874" t="str">
            <v>FG04388</v>
          </cell>
          <cell r="C874" t="str">
            <v>IMN - T4, B/25 CARTOUCHES</v>
          </cell>
        </row>
        <row r="875">
          <cell r="B875" t="str">
            <v>FG04389</v>
          </cell>
          <cell r="C875" t="str">
            <v>IMN - TESTOSTERONE, B/25 CARTOUCHES</v>
          </cell>
        </row>
        <row r="876">
          <cell r="B876" t="str">
            <v>FG04390</v>
          </cell>
          <cell r="C876" t="str">
            <v>IMN - TSH, B/25 CARTOUCHES</v>
          </cell>
        </row>
        <row r="877">
          <cell r="B877" t="str">
            <v>FG04391</v>
          </cell>
          <cell r="C877" t="str">
            <v>IMN - VIT D, B/25 CARTOUCHES</v>
          </cell>
        </row>
        <row r="878">
          <cell r="B878" t="str">
            <v>FG04392</v>
          </cell>
          <cell r="C878" t="str">
            <v>IMPRIMANTE MEDICALE NUMERIQUE- N/B-SONY UP-X898MD</v>
          </cell>
        </row>
        <row r="879">
          <cell r="B879" t="str">
            <v>FG04393</v>
          </cell>
          <cell r="C879" t="str">
            <v>INDOCIDE 25MG B/10X10 CAPS</v>
          </cell>
        </row>
        <row r="880">
          <cell r="B880" t="str">
            <v>FG04394</v>
          </cell>
          <cell r="C880" t="str">
            <v>INSTRUMENT TROLLEY THREE SHELVES ML-M053</v>
          </cell>
        </row>
        <row r="881">
          <cell r="B881" t="str">
            <v>FG04395</v>
          </cell>
          <cell r="C881" t="str">
            <v>INSTRUMENT TROLLEY TWO SHELVES ML-M050</v>
          </cell>
        </row>
        <row r="882">
          <cell r="B882" t="str">
            <v>FG04396</v>
          </cell>
          <cell r="C882" t="str">
            <v>INSULINE NOVOMIX 30 1 STYLO 3ML</v>
          </cell>
        </row>
        <row r="883">
          <cell r="B883" t="str">
            <v>FG04397</v>
          </cell>
          <cell r="C883" t="str">
            <v>JERSEY 10CMX25M</v>
          </cell>
        </row>
        <row r="884">
          <cell r="B884" t="str">
            <v>FG04398</v>
          </cell>
          <cell r="C884" t="str">
            <v>JERSEY 15CMX25M</v>
          </cell>
        </row>
        <row r="885">
          <cell r="B885" t="str">
            <v>FG04399</v>
          </cell>
          <cell r="C885" t="str">
            <v>KIMIA (ANTIACID) 5MG B/10 SACHETS</v>
          </cell>
        </row>
        <row r="886">
          <cell r="B886" t="str">
            <v>FG04400</v>
          </cell>
          <cell r="C886" t="str">
            <v>KIT DE VALVES DENDOSCOPIE,JETABLES,4 PIÈCES/KIT</v>
          </cell>
        </row>
        <row r="887">
          <cell r="B887" t="str">
            <v>FG04401</v>
          </cell>
          <cell r="C887" t="str">
            <v>KIT GROUPAGE - ANTI A B D (IGM), AB (MONOCLONAL)</v>
          </cell>
        </row>
        <row r="888">
          <cell r="B888" t="str">
            <v>FG04402</v>
          </cell>
          <cell r="C888" t="str">
            <v>LAMEL COUVERE OBJECT 18X18 B/1000PCS</v>
          </cell>
        </row>
        <row r="889">
          <cell r="B889" t="str">
            <v>FG04403</v>
          </cell>
          <cell r="C889" t="str">
            <v>LDH DGKC 5 X 5 ML</v>
          </cell>
        </row>
        <row r="890">
          <cell r="B890" t="str">
            <v>FG04404</v>
          </cell>
          <cell r="C890" t="str">
            <v>MACROMAX 200MG/5ML SP 30ML</v>
          </cell>
        </row>
        <row r="891">
          <cell r="B891" t="str">
            <v>FG04405</v>
          </cell>
          <cell r="C891" t="str">
            <v>MAILLET DE MARTEAU À FENTE SYNTHES</v>
          </cell>
        </row>
        <row r="892">
          <cell r="B892" t="str">
            <v>FG04406</v>
          </cell>
          <cell r="C892" t="str">
            <v>MAJOR GENERAL SET 85PC</v>
          </cell>
        </row>
        <row r="893">
          <cell r="B893" t="str">
            <v>FG04407</v>
          </cell>
          <cell r="C893" t="str">
            <v>MANCHE DE BISTOURI - SCALPET N°4</v>
          </cell>
        </row>
        <row r="894">
          <cell r="B894" t="str">
            <v>FG04408</v>
          </cell>
          <cell r="C894" t="str">
            <v>MANUAL BED ONE CRANK ML-M011</v>
          </cell>
        </row>
        <row r="895">
          <cell r="B895" t="str">
            <v>FG04409</v>
          </cell>
          <cell r="C895" t="str">
            <v>MANUAL BED ONE CRANK ML-M013-W</v>
          </cell>
        </row>
        <row r="896">
          <cell r="B896" t="str">
            <v>FG04410</v>
          </cell>
          <cell r="C896" t="str">
            <v>MARTEAU AVEC POIGNÉE EN FIBRE</v>
          </cell>
        </row>
        <row r="897">
          <cell r="B897" t="str">
            <v>FG04411</v>
          </cell>
          <cell r="C897" t="str">
            <v>MARTEAU AVEC POIGNÉE EN INOX</v>
          </cell>
        </row>
        <row r="898">
          <cell r="B898" t="str">
            <v>FG04412</v>
          </cell>
          <cell r="C898" t="str">
            <v>MECTIZAN LVERMECTINE , MSD) 3 MG B/500CES</v>
          </cell>
        </row>
        <row r="899">
          <cell r="B899" t="str">
            <v>FG04413</v>
          </cell>
          <cell r="C899" t="str">
            <v>MELANGEUR DE LABO A ROULEAUX TUBE DE SANG</v>
          </cell>
        </row>
        <row r="900">
          <cell r="B900" t="str">
            <v>FG04414</v>
          </cell>
          <cell r="C900" t="str">
            <v>MELANGEUR VORTEX ( VITESSE REGLABLE) - APPAREIL</v>
          </cell>
        </row>
        <row r="901">
          <cell r="B901" t="str">
            <v>FG04415</v>
          </cell>
          <cell r="C901" t="str">
            <v>METFORMINE BIOGARAN 500MG B/90 CES</v>
          </cell>
        </row>
        <row r="902">
          <cell r="B902" t="str">
            <v>FG04416</v>
          </cell>
          <cell r="C902" t="str">
            <v>METFORMINE BIOGARAN 800MG B/90 CES</v>
          </cell>
        </row>
        <row r="903">
          <cell r="B903" t="str">
            <v>FG04417</v>
          </cell>
          <cell r="C903" t="str">
            <v>METFORMINE BIOGARAN 850MG B/30 CES</v>
          </cell>
        </row>
        <row r="904">
          <cell r="B904" t="str">
            <v>FG04418</v>
          </cell>
          <cell r="C904" t="str">
            <v>MICROSCOPE BINOCULAIRE EXPERT - MARQUE MILLENNIAL</v>
          </cell>
        </row>
        <row r="905">
          <cell r="B905" t="str">
            <v>FG04419</v>
          </cell>
          <cell r="C905" t="str">
            <v>MICROSCOPE BINOCULAR OLYMPUS CX23</v>
          </cell>
        </row>
        <row r="906">
          <cell r="B906" t="str">
            <v>FG04420</v>
          </cell>
          <cell r="C906" t="str">
            <v>MIDOTRIX (MIDAZOLAM) 1MG/1ML 5ML 1 AMP</v>
          </cell>
        </row>
        <row r="907">
          <cell r="B907" t="str">
            <v>FG04421</v>
          </cell>
          <cell r="C907" t="str">
            <v>MINUTEUR LABORATOIRE - CHRONOMÈTRE ML-L7003</v>
          </cell>
        </row>
        <row r="908">
          <cell r="B908" t="str">
            <v>FG04422</v>
          </cell>
          <cell r="C908" t="str">
            <v>MOBILE SHADOWLESS LED LIGHT WITH BATTERY ML-E1006B</v>
          </cell>
        </row>
        <row r="909">
          <cell r="B909" t="str">
            <v>FG04423</v>
          </cell>
          <cell r="C909" t="str">
            <v>MONITEUR DE SURVEILLANCE MEDICALE MH8</v>
          </cell>
        </row>
        <row r="910">
          <cell r="B910" t="str">
            <v>FG04424</v>
          </cell>
          <cell r="C910" t="str">
            <v>MONITEUR FOETAL - CARDIOTOCOGRAPHE GEMELLAIRE-C22</v>
          </cell>
        </row>
        <row r="911">
          <cell r="B911" t="str">
            <v>FG04425</v>
          </cell>
          <cell r="C911" t="str">
            <v>MULTIVIT BIOFAR CPR EFFV T/20</v>
          </cell>
        </row>
        <row r="912">
          <cell r="B912" t="str">
            <v>FG04426</v>
          </cell>
          <cell r="C912" t="str">
            <v>MULTIVIT KIDS BIOFAR CPR EFFV T/20</v>
          </cell>
        </row>
        <row r="913">
          <cell r="B913" t="str">
            <v>FG04427</v>
          </cell>
          <cell r="C913" t="str">
            <v>MYOXERIL B/20 CES</v>
          </cell>
        </row>
        <row r="914">
          <cell r="B914" t="str">
            <v>FG04428</v>
          </cell>
          <cell r="C914" t="str">
            <v>NALIGYL (METRO + NORFLO) B/10CES</v>
          </cell>
        </row>
        <row r="915">
          <cell r="B915" t="str">
            <v>FG04429</v>
          </cell>
          <cell r="C915" t="str">
            <v>NEBIMEX 5MG CES</v>
          </cell>
        </row>
        <row r="916">
          <cell r="B916" t="str">
            <v>FG04430</v>
          </cell>
          <cell r="C916" t="str">
            <v>NEBULISEUR - MODEL A</v>
          </cell>
        </row>
        <row r="917">
          <cell r="B917" t="str">
            <v>FG04431</v>
          </cell>
          <cell r="C917" t="str">
            <v>NEBULISEUR - MODEL B</v>
          </cell>
        </row>
        <row r="918">
          <cell r="B918" t="str">
            <v>FG04432</v>
          </cell>
          <cell r="C918" t="str">
            <v>NEGATOSCOPE ULTRA SLIM BRIGHT LED ONE SCREENML</v>
          </cell>
        </row>
        <row r="919">
          <cell r="B919" t="str">
            <v>FG04433</v>
          </cell>
          <cell r="C919" t="str">
            <v>NEGATOSCOPE ULTRA SLIM BRIGHT LED TWO SCREEN ML</v>
          </cell>
        </row>
        <row r="920">
          <cell r="B920" t="str">
            <v>FG04434</v>
          </cell>
          <cell r="C920" t="str">
            <v>NERVAR (VIT B1 100MG, VIT B6 200NG) B/2 X 10CES</v>
          </cell>
        </row>
        <row r="921">
          <cell r="B921" t="str">
            <v>FG04435</v>
          </cell>
          <cell r="C921" t="str">
            <v>NIVESTIM 48MU/5,0ML INJ</v>
          </cell>
        </row>
        <row r="922">
          <cell r="B922" t="str">
            <v>FG04436</v>
          </cell>
          <cell r="C922" t="str">
            <v>NURSE STOOL ML-M055</v>
          </cell>
        </row>
        <row r="923">
          <cell r="B923" t="str">
            <v>FG04437</v>
          </cell>
          <cell r="C923" t="str">
            <v>ON AND OFF KIT</v>
          </cell>
        </row>
        <row r="924">
          <cell r="B924" t="str">
            <v>FG04438</v>
          </cell>
          <cell r="C924" t="str">
            <v>ONDACET (ONDANSETRONE) 30ML SIROP</v>
          </cell>
        </row>
        <row r="925">
          <cell r="B925" t="str">
            <v>FG04439</v>
          </cell>
          <cell r="C925" t="str">
            <v>OPERATION STOOL ML-M054</v>
          </cell>
        </row>
        <row r="926">
          <cell r="B926" t="str">
            <v>FG04440</v>
          </cell>
          <cell r="C926" t="str">
            <v>ORDINARY SURGERY BOX 62PC</v>
          </cell>
        </row>
        <row r="927">
          <cell r="B927" t="str">
            <v>FG04441</v>
          </cell>
          <cell r="C927" t="str">
            <v>ORTHOPEDIC BED WITH ABS PANELS ML-M023</v>
          </cell>
        </row>
        <row r="928">
          <cell r="B928" t="str">
            <v>FG04442</v>
          </cell>
          <cell r="C928" t="str">
            <v>ORTHOPEDICS TRANCTION BED ML-M024</v>
          </cell>
        </row>
        <row r="929">
          <cell r="B929" t="str">
            <v>FG04443</v>
          </cell>
          <cell r="C929" t="str">
            <v>OTOSCOPE ML-E1007</v>
          </cell>
        </row>
        <row r="930">
          <cell r="B930" t="str">
            <v>FG04444</v>
          </cell>
          <cell r="C930" t="str">
            <v>OVER-BED TABLE ML-M058</v>
          </cell>
        </row>
        <row r="931">
          <cell r="B931" t="str">
            <v>FG04445</v>
          </cell>
          <cell r="C931" t="str">
            <v>PANIER DE STERILISHTION POUR INSTRUMENTS - MEDIUM</v>
          </cell>
        </row>
        <row r="932">
          <cell r="B932" t="str">
            <v>FG04446</v>
          </cell>
          <cell r="C932" t="str">
            <v>PANNE DE LIT ROND EN INOX - BEDPAN</v>
          </cell>
        </row>
        <row r="933">
          <cell r="B933" t="str">
            <v>FG04447</v>
          </cell>
          <cell r="C933" t="str">
            <v>PANTALONS CHIRURGIEN L ML-TX0005A</v>
          </cell>
        </row>
        <row r="934">
          <cell r="B934" t="str">
            <v>FG04448</v>
          </cell>
          <cell r="C934" t="str">
            <v>PANTALONS CHIRURGIEN XL ML-TX0006A</v>
          </cell>
        </row>
        <row r="935">
          <cell r="B935" t="str">
            <v>FG04449</v>
          </cell>
          <cell r="C935" t="str">
            <v>PANTOCON (PANTAPRAZOL) 40MG B/30CES</v>
          </cell>
        </row>
        <row r="936">
          <cell r="B936" t="str">
            <v>FG04450</v>
          </cell>
          <cell r="C936" t="str">
            <v>PAPIER ECG 210 X 290</v>
          </cell>
        </row>
        <row r="937">
          <cell r="B937" t="str">
            <v>FG04451</v>
          </cell>
          <cell r="C937" t="str">
            <v>PAPIER ECHOGRAPHIQUE SONY UPP-110HG(TYPE 5)-ROU</v>
          </cell>
        </row>
        <row r="938">
          <cell r="B938" t="str">
            <v>FG04452</v>
          </cell>
          <cell r="C938" t="str">
            <v>PAPIER ECHOGRAPHIQUE SONY UPP-110S - ROULEAUX</v>
          </cell>
        </row>
        <row r="939">
          <cell r="B939" t="str">
            <v>FG04453</v>
          </cell>
          <cell r="C939" t="str">
            <v>PARAHIT - TOTAL (DEVICE) 25 TESTS</v>
          </cell>
        </row>
        <row r="940">
          <cell r="B940" t="str">
            <v>FG04454</v>
          </cell>
          <cell r="C940" t="str">
            <v>PATIENT STRETCHER TROLLEY ML-M031</v>
          </cell>
        </row>
        <row r="941">
          <cell r="B941" t="str">
            <v>FG04455</v>
          </cell>
          <cell r="C941" t="str">
            <v>PATIENT STRETCHER TROLLEY SIMPLE ML-M029</v>
          </cell>
        </row>
        <row r="942">
          <cell r="B942" t="str">
            <v>FG04456</v>
          </cell>
          <cell r="C942" t="str">
            <v>PERMANENT CATHERTER STRAIGHT 15 FR X 42CM</v>
          </cell>
        </row>
        <row r="943">
          <cell r="B943" t="str">
            <v>FG04457</v>
          </cell>
          <cell r="C943" t="str">
            <v>PHENYTOINE 250 MG/5ML B/1 AMP</v>
          </cell>
        </row>
        <row r="944">
          <cell r="B944" t="str">
            <v>FG04458</v>
          </cell>
          <cell r="C944" t="str">
            <v>PINCE À BIOPSIE ENDUITE, DIA-2.3MM, LONG-1600MM</v>
          </cell>
        </row>
        <row r="945">
          <cell r="B945" t="str">
            <v>FG04459</v>
          </cell>
          <cell r="C945" t="str">
            <v>PINCE À BIOPSIE ENDUITE, DIA-2.3MM, LONG-2300MM</v>
          </cell>
        </row>
        <row r="946">
          <cell r="B946" t="str">
            <v>FG04460</v>
          </cell>
          <cell r="C946" t="str">
            <v>PINCE À BIOPSIE POINTE, DIA-2.3MM, LONG-16000MM</v>
          </cell>
        </row>
        <row r="947">
          <cell r="B947" t="str">
            <v>FG04461</v>
          </cell>
          <cell r="C947" t="str">
            <v>PINCE À BIOPSIE POINTE, DIA-2.3MM, LONG-2300MM</v>
          </cell>
        </row>
        <row r="948">
          <cell r="B948" t="str">
            <v>FG04462</v>
          </cell>
          <cell r="C948" t="str">
            <v>PINCE À BIOPSIE JETABLE DIIA-2.3MM, LONG-1600MM</v>
          </cell>
        </row>
        <row r="949">
          <cell r="B949" t="str">
            <v>FG04463</v>
          </cell>
          <cell r="C949" t="str">
            <v>PINCE À DISSECTION AVEC GRIFFES 1X2 - 16 CM</v>
          </cell>
        </row>
        <row r="950">
          <cell r="B950" t="str">
            <v>FG04464</v>
          </cell>
          <cell r="C950" t="str">
            <v>PINCE À DISSECTION STANDARD 16 CM</v>
          </cell>
        </row>
        <row r="951">
          <cell r="B951" t="str">
            <v>FG04465</v>
          </cell>
          <cell r="C951" t="str">
            <v>PINCE DE KOCHER DROITE AVEC GRIFFE 14 CM</v>
          </cell>
        </row>
        <row r="952">
          <cell r="B952" t="str">
            <v>FG04466</v>
          </cell>
          <cell r="C952" t="str">
            <v>PINCE DE KOCHER DROITE AVEC GRIFFE 18 CM</v>
          </cell>
        </row>
        <row r="953">
          <cell r="B953" t="str">
            <v>FG04467</v>
          </cell>
          <cell r="C953" t="str">
            <v>PINCE DE PEAN 14 CM</v>
          </cell>
        </row>
        <row r="954">
          <cell r="B954" t="str">
            <v>FG04468</v>
          </cell>
          <cell r="C954" t="str">
            <v>PINCE FORESTER - 25 CM</v>
          </cell>
        </row>
        <row r="955">
          <cell r="B955" t="str">
            <v>FG04469</v>
          </cell>
          <cell r="C955" t="str">
            <v>PINCES HÉMOSTATIQUES COURBÉE - MOSQUITO</v>
          </cell>
        </row>
        <row r="956">
          <cell r="B956" t="str">
            <v>FG04470</v>
          </cell>
          <cell r="C956" t="str">
            <v>PINCES HÉMOSTATIQUES DROITES - MOSQUITO</v>
          </cell>
        </row>
        <row r="957">
          <cell r="B957" t="str">
            <v>FG04471</v>
          </cell>
          <cell r="C957" t="str">
            <v>PINCES HÉMOSTATIQUES DROITES 18 CM</v>
          </cell>
        </row>
        <row r="958">
          <cell r="B958" t="str">
            <v>FG04472</v>
          </cell>
          <cell r="C958" t="str">
            <v>PIPETTE A REPETITION</v>
          </cell>
        </row>
        <row r="959">
          <cell r="B959" t="str">
            <v>FG04473</v>
          </cell>
          <cell r="C959" t="str">
            <v>PIPETTE A REPETITION - SYRINGE - 0.50ML</v>
          </cell>
        </row>
        <row r="960">
          <cell r="B960" t="str">
            <v>FG04474</v>
          </cell>
          <cell r="C960" t="str">
            <v>PIPETTE A REPETITION - SYRINGE - 1.25ML</v>
          </cell>
        </row>
        <row r="961">
          <cell r="B961" t="str">
            <v>FG04475</v>
          </cell>
          <cell r="C961" t="str">
            <v>PIPETTE POMPE, 10ML, VERT</v>
          </cell>
        </row>
        <row r="962">
          <cell r="B962" t="str">
            <v>FG04476</v>
          </cell>
          <cell r="C962" t="str">
            <v>PLATEAUX - INOX - PLATS - 275*175*25 ML-I4030</v>
          </cell>
        </row>
        <row r="963">
          <cell r="B963" t="str">
            <v>FG04477</v>
          </cell>
          <cell r="C963" t="str">
            <v>PLATEAUX - INOX - PLATS - 300*200*30 ML-I4031</v>
          </cell>
        </row>
        <row r="964">
          <cell r="B964" t="str">
            <v>FG04478</v>
          </cell>
          <cell r="C964" t="str">
            <v>PLATEAUX D’INSTRUMENTS INOX RONDS - 300*200*50</v>
          </cell>
        </row>
        <row r="965">
          <cell r="B965" t="str">
            <v>FG04479</v>
          </cell>
          <cell r="C965" t="str">
            <v>PLATEAUX INOX - PLATS - 200*150*25 ML-I4029</v>
          </cell>
        </row>
        <row r="966">
          <cell r="B966" t="str">
            <v>FG04480</v>
          </cell>
          <cell r="C966" t="str">
            <v>PLATEAUX INSTRUMENTS COUVERCLE 300*200*50 ML-I4007</v>
          </cell>
        </row>
        <row r="967">
          <cell r="B967" t="str">
            <v>FG04481</v>
          </cell>
          <cell r="C967" t="str">
            <v>PLATEAUX INSTRUMENTS INOX RONDS 222*82*41 ML-I4026</v>
          </cell>
        </row>
        <row r="968">
          <cell r="B968" t="str">
            <v>FG04482</v>
          </cell>
          <cell r="C968" t="str">
            <v>PORTE AIGUILLE DE MAYO HEGAR, 15 CM</v>
          </cell>
        </row>
        <row r="969">
          <cell r="B969" t="str">
            <v>FG04483</v>
          </cell>
          <cell r="C969" t="str">
            <v>POTA+MAG BIOFAR CPR EFFV T/20</v>
          </cell>
        </row>
        <row r="970">
          <cell r="B970" t="str">
            <v>FG04484</v>
          </cell>
          <cell r="C970" t="str">
            <v>POUPINEL - STERILISATEUR A CHALEUR 48L</v>
          </cell>
        </row>
        <row r="971">
          <cell r="B971" t="str">
            <v>FG04485</v>
          </cell>
          <cell r="C971" t="str">
            <v>PYRAMAX PL/3 SACHETS</v>
          </cell>
        </row>
        <row r="972">
          <cell r="B972" t="str">
            <v>FG04486</v>
          </cell>
          <cell r="C972" t="str">
            <v>REFRIGERATEUR DE LABORATOIRE 2 À 8 DEGRES - 260L</v>
          </cell>
        </row>
        <row r="973">
          <cell r="B973" t="str">
            <v>FG04487</v>
          </cell>
          <cell r="C973" t="str">
            <v>RESPIMAX SIROP 100ML</v>
          </cell>
        </row>
        <row r="974">
          <cell r="B974" t="str">
            <v>FG04488</v>
          </cell>
          <cell r="C974" t="str">
            <v>RHEUMATOID FACTOR (RF) 20 TESTS</v>
          </cell>
        </row>
        <row r="975">
          <cell r="B975" t="str">
            <v>FG04489</v>
          </cell>
          <cell r="C975" t="str">
            <v>RX PAD</v>
          </cell>
        </row>
        <row r="976">
          <cell r="B976" t="str">
            <v>FG04490</v>
          </cell>
          <cell r="C976" t="str">
            <v>SAC COLLECTEUR DURINE ADULTE 2000ML</v>
          </cell>
        </row>
        <row r="977">
          <cell r="B977" t="str">
            <v>FG04491</v>
          </cell>
          <cell r="C977" t="str">
            <v>SAC COLLECTEUR DURINE PÉDIATRIQUE ( 100ML )***</v>
          </cell>
        </row>
        <row r="978">
          <cell r="B978" t="str">
            <v>FG04492</v>
          </cell>
          <cell r="C978" t="str">
            <v>VENTOLIQUE (SALBUTAMOL) 100MCG SPRAY 200 DOSES</v>
          </cell>
        </row>
        <row r="979">
          <cell r="B979" t="str">
            <v>FG04493</v>
          </cell>
          <cell r="C979" t="str">
            <v>SCIE OSCILLANTE BATTERIE RECHARGEABLE ML-E1009</v>
          </cell>
        </row>
        <row r="980">
          <cell r="B980" t="str">
            <v>FG04494</v>
          </cell>
          <cell r="C980" t="str">
            <v>SERUM PHYSIOLOGIQUE B/20PCS</v>
          </cell>
        </row>
        <row r="981">
          <cell r="B981" t="str">
            <v>FG04495</v>
          </cell>
          <cell r="C981" t="str">
            <v>SICKLE SCAN B/20</v>
          </cell>
        </row>
        <row r="982">
          <cell r="B982" t="str">
            <v>FG04496</v>
          </cell>
          <cell r="C982" t="str">
            <v>SIGNAL MF (FLOW THROUGH) 5 TESTS</v>
          </cell>
        </row>
        <row r="983">
          <cell r="B983" t="str">
            <v>FG04497</v>
          </cell>
          <cell r="C983" t="str">
            <v>SOLUTION TURK</v>
          </cell>
        </row>
        <row r="984">
          <cell r="B984" t="str">
            <v>FG04498</v>
          </cell>
          <cell r="C984" t="str">
            <v>SP TWIN TRINDER/ TETRAPHENYL BORON 2 X 45 ML</v>
          </cell>
        </row>
        <row r="985">
          <cell r="B985" t="str">
            <v>FG04499</v>
          </cell>
          <cell r="C985" t="str">
            <v>SPECULUM GYNECOLOGIQUE GRAVES INOX LARGE ML-I4016</v>
          </cell>
        </row>
        <row r="986">
          <cell r="B986" t="str">
            <v>FG04500</v>
          </cell>
          <cell r="C986" t="str">
            <v>SPECULUM GYNECOLOGIQUE DE CUSCO INBOX - LARGE</v>
          </cell>
        </row>
        <row r="987">
          <cell r="B987" t="str">
            <v>FG04501</v>
          </cell>
          <cell r="C987" t="str">
            <v>SPECULUM GYNECOLOGIQUE DE CUSCO INBOX MEDIUM</v>
          </cell>
        </row>
        <row r="988">
          <cell r="B988" t="str">
            <v>FG04502</v>
          </cell>
          <cell r="C988" t="str">
            <v>SPECULUM GYNECOLOGIQUE DE CUSCO INOX - XL ML-I4010</v>
          </cell>
        </row>
        <row r="989">
          <cell r="B989" t="str">
            <v>FG04503</v>
          </cell>
          <cell r="C989" t="str">
            <v>SPINAL BOARD ML-M072</v>
          </cell>
        </row>
        <row r="990">
          <cell r="B990" t="str">
            <v>FG04504</v>
          </cell>
          <cell r="C990" t="str">
            <v>STERILISATEUR AUTOCLAVE - 24L ( ELECTRIQUE)</v>
          </cell>
        </row>
        <row r="991">
          <cell r="B991" t="str">
            <v>FG04505</v>
          </cell>
          <cell r="C991" t="str">
            <v>STERILISATEUR AUTOCLAVE - 24L (GPL/CHARBON)</v>
          </cell>
        </row>
        <row r="992">
          <cell r="B992" t="str">
            <v>FG04506</v>
          </cell>
          <cell r="C992" t="str">
            <v>STETHOSCOPE FOETAL PINARD ML-D2003</v>
          </cell>
        </row>
        <row r="993">
          <cell r="B993" t="str">
            <v>FG04507</v>
          </cell>
          <cell r="C993" t="str">
            <v>SUN (ARTESUNATE) 180MG INJ</v>
          </cell>
        </row>
        <row r="994">
          <cell r="B994" t="str">
            <v>FG04508</v>
          </cell>
          <cell r="C994" t="str">
            <v>SUN (ARTESUNATE) 240MG INJ</v>
          </cell>
        </row>
        <row r="995">
          <cell r="B995" t="str">
            <v>FG04509</v>
          </cell>
          <cell r="C995" t="str">
            <v>SUPPORT DE PIPETTE LINEAIRE UNIVERSEL</v>
          </cell>
        </row>
        <row r="996">
          <cell r="B996" t="str">
            <v>FG04510</v>
          </cell>
          <cell r="C996" t="str">
            <v>SURGICAL KIT FOR LAPAROTOMY 16PC</v>
          </cell>
        </row>
        <row r="997">
          <cell r="B997" t="str">
            <v>FG04511</v>
          </cell>
          <cell r="C997" t="str">
            <v>SWISS-CLAC (AMOXY,CLAVU) 562.5MG B/14CES</v>
          </cell>
        </row>
        <row r="998">
          <cell r="B998" t="str">
            <v>FG04512</v>
          </cell>
          <cell r="C998" t="str">
            <v>SYPHILIS TRUST (WITH ACCESSORIES) 50 TESTS</v>
          </cell>
        </row>
        <row r="999">
          <cell r="B999" t="str">
            <v>FG04513</v>
          </cell>
          <cell r="C999" t="str">
            <v>T &amp; D BILIRUBIN JENDRASSIK &amp; GROF 2 X 125 ML</v>
          </cell>
        </row>
        <row r="1000">
          <cell r="B1000" t="str">
            <v>FG04514</v>
          </cell>
          <cell r="C1000" t="str">
            <v>T V 22 INCH</v>
          </cell>
        </row>
        <row r="1001">
          <cell r="B1001" t="str">
            <v>FG04515</v>
          </cell>
          <cell r="C1001" t="str">
            <v>T V 24 INCH</v>
          </cell>
        </row>
        <row r="1002">
          <cell r="B1002" t="str">
            <v>FG04516</v>
          </cell>
          <cell r="C1002" t="str">
            <v>T V 32 INCH UNIQUE</v>
          </cell>
        </row>
        <row r="1003">
          <cell r="B1003" t="str">
            <v>FG04517</v>
          </cell>
          <cell r="C1003" t="str">
            <v>T V 32 INCH</v>
          </cell>
        </row>
        <row r="1004">
          <cell r="B1004" t="str">
            <v>FG04518</v>
          </cell>
          <cell r="C1004" t="str">
            <v>T V 40 INCH SAMSUNG</v>
          </cell>
        </row>
        <row r="1005">
          <cell r="B1005" t="str">
            <v>FG04519</v>
          </cell>
          <cell r="C1005" t="str">
            <v>T V 40 INCH</v>
          </cell>
        </row>
        <row r="1006">
          <cell r="B1006" t="str">
            <v>FG04520</v>
          </cell>
          <cell r="C1006" t="str">
            <v>T V 42 INCH</v>
          </cell>
        </row>
        <row r="1007">
          <cell r="B1007" t="str">
            <v>FG04521</v>
          </cell>
          <cell r="C1007" t="str">
            <v>T V 43 INCH</v>
          </cell>
        </row>
        <row r="1008">
          <cell r="B1008" t="str">
            <v>FG04522</v>
          </cell>
          <cell r="C1008" t="str">
            <v>T V 45 INCH</v>
          </cell>
        </row>
        <row r="1009">
          <cell r="B1009" t="str">
            <v>FG04523</v>
          </cell>
          <cell r="C1009" t="str">
            <v>T V 49 INCH</v>
          </cell>
        </row>
        <row r="1010">
          <cell r="B1010" t="str">
            <v>FG04524</v>
          </cell>
          <cell r="C1010" t="str">
            <v>T V 52 INCH</v>
          </cell>
        </row>
        <row r="1011">
          <cell r="B1011" t="str">
            <v>FG04525</v>
          </cell>
          <cell r="C1011" t="str">
            <v>T.V 26 INCH</v>
          </cell>
        </row>
        <row r="1012">
          <cell r="B1012" t="str">
            <v>FG04526</v>
          </cell>
          <cell r="C1012" t="str">
            <v>T.V 39</v>
          </cell>
        </row>
        <row r="1013">
          <cell r="B1013" t="str">
            <v>FG04527</v>
          </cell>
          <cell r="C1013" t="str">
            <v>TABLIERS MEDECIN APRON DOUBLE XL ML-TX0004</v>
          </cell>
        </row>
        <row r="1014">
          <cell r="B1014" t="str">
            <v>FG04528</v>
          </cell>
          <cell r="C1014" t="str">
            <v>TABLIERS MEDECIN APRON EXTRA LARGE ML-TX0003</v>
          </cell>
        </row>
        <row r="1015">
          <cell r="B1015" t="str">
            <v>FG04529</v>
          </cell>
          <cell r="C1015" t="str">
            <v>TABLIERS MEDECIN APRON LARGE ML-TX0002</v>
          </cell>
        </row>
        <row r="1016">
          <cell r="B1016" t="str">
            <v>FG04530</v>
          </cell>
          <cell r="C1016" t="str">
            <v>TAMBOUR ROND A STERILISER - 175 X 175 MM ML-I4032</v>
          </cell>
        </row>
        <row r="1017">
          <cell r="B1017" t="str">
            <v>FG04531</v>
          </cell>
          <cell r="C1017" t="str">
            <v>TAMBOUR ROND A STERILISER - 200 X 200 MM ML-I4033</v>
          </cell>
        </row>
        <row r="1018">
          <cell r="B1018" t="str">
            <v>FG04532</v>
          </cell>
          <cell r="C1018" t="str">
            <v>TAMBOUR ROND A STERILISER - 250 X 200 MM ML-I4034</v>
          </cell>
        </row>
        <row r="1019">
          <cell r="B1019" t="str">
            <v>FG04533</v>
          </cell>
          <cell r="C1019" t="str">
            <v>TAMBOUR ROND A STERILISER - 300 X 150 MM ML-I4036</v>
          </cell>
        </row>
        <row r="1020">
          <cell r="B1020" t="str">
            <v>FG04534</v>
          </cell>
          <cell r="C1020" t="str">
            <v>TAXOTER 80MG ING B/1AMP</v>
          </cell>
        </row>
        <row r="1021">
          <cell r="B1021" t="str">
            <v>FG04535</v>
          </cell>
          <cell r="C1021" t="str">
            <v>TB TUBERCULIN PPD 10 TU / 0.1 ML 5 ML</v>
          </cell>
        </row>
        <row r="1022">
          <cell r="B1022" t="str">
            <v>FG04536</v>
          </cell>
          <cell r="C1022" t="str">
            <v>TDR H PYLORI AG CASSETTE FECAL B/40 TEST</v>
          </cell>
        </row>
        <row r="1023">
          <cell r="B1023" t="str">
            <v>FG04537</v>
          </cell>
          <cell r="C1023" t="str">
            <v>TDR HCV BANDELETE -WB/S/P B/50 TETS</v>
          </cell>
        </row>
        <row r="1024">
          <cell r="B1024" t="str">
            <v>FG04538</v>
          </cell>
          <cell r="C1024" t="str">
            <v>TDR SYPHILIS B/50</v>
          </cell>
        </row>
        <row r="1025">
          <cell r="B1025" t="str">
            <v>FG04539</v>
          </cell>
          <cell r="C1025" t="str">
            <v>TOPGYL (METRONIDAZOLE) 125MG/5ML SUSP 100ML</v>
          </cell>
        </row>
        <row r="1026">
          <cell r="B1026" t="str">
            <v>FG04540</v>
          </cell>
          <cell r="C1026" t="str">
            <v>TOPGYL 500MG (METRONIDAZOLE) B/10 CAPSULE</v>
          </cell>
        </row>
        <row r="1027">
          <cell r="B1027" t="str">
            <v>FG04541</v>
          </cell>
          <cell r="C1027" t="str">
            <v>TOTAL PROTEIN BIURET 1 X 100 ML</v>
          </cell>
        </row>
        <row r="1028">
          <cell r="B1028" t="str">
            <v>FG04542</v>
          </cell>
          <cell r="C1028" t="str">
            <v>TOURNEVIS HEXAGONAL AVEC MANCHON 2,5 MM (EXCEL)</v>
          </cell>
        </row>
        <row r="1029">
          <cell r="B1029" t="str">
            <v>FG04543</v>
          </cell>
          <cell r="C1029" t="str">
            <v>TRIGLYCERIDES GPO/TRINDER 2 X 20 ML</v>
          </cell>
        </row>
        <row r="1030">
          <cell r="B1030" t="str">
            <v>FG04544</v>
          </cell>
          <cell r="C1030" t="str">
            <v>TUBE DE PRÉLÈVEMENT SANGUIN (BLEU) 3,2% B/100PCS</v>
          </cell>
        </row>
        <row r="1031">
          <cell r="B1031" t="str">
            <v>FG04545</v>
          </cell>
          <cell r="C1031" t="str">
            <v>UREA NED-DYE 2 X 125 ML</v>
          </cell>
        </row>
        <row r="1032">
          <cell r="B1032" t="str">
            <v>FG04546</v>
          </cell>
          <cell r="C1032" t="str">
            <v>URINAL FEMME AVEC POIGNÉE INOX</v>
          </cell>
        </row>
        <row r="1033">
          <cell r="B1033" t="str">
            <v>FG04547</v>
          </cell>
          <cell r="C1033" t="str">
            <v>VASCEL (VASOPRESSIN 20MG) B/1AMP</v>
          </cell>
        </row>
        <row r="1034">
          <cell r="B1034" t="str">
            <v>FG04548</v>
          </cell>
          <cell r="C1034" t="str">
            <v>VICRYL NO-3 PCS/1</v>
          </cell>
        </row>
        <row r="1035">
          <cell r="B1035" t="str">
            <v>FG04549</v>
          </cell>
          <cell r="C1035" t="str">
            <v>VIT C1000 BIOFAR CPR EFFV T/20</v>
          </cell>
        </row>
        <row r="1036">
          <cell r="B1036" t="str">
            <v>FG04550</v>
          </cell>
          <cell r="C1036" t="str">
            <v>VITAMINE B12 1000MCG/2ML INJ.B/10AMP</v>
          </cell>
        </row>
        <row r="1037">
          <cell r="B1037" t="str">
            <v>FG04551</v>
          </cell>
          <cell r="C1037" t="str">
            <v>VITAMINE B6 100MG/1ML INJ. B/10AMP</v>
          </cell>
        </row>
        <row r="1038">
          <cell r="B1038" t="str">
            <v>FG04552</v>
          </cell>
          <cell r="C1038" t="str">
            <v>VITAMINE K3 10MG/ML INJ.B/10AMP</v>
          </cell>
        </row>
        <row r="1039">
          <cell r="B1039" t="str">
            <v>FG04553</v>
          </cell>
          <cell r="C1039" t="str">
            <v>VME-2800 HD ENDOSCOPY SYSTEM</v>
          </cell>
        </row>
        <row r="1040">
          <cell r="B1040" t="str">
            <v>FG04554</v>
          </cell>
          <cell r="C1040" t="str">
            <v>WERMOQUE (MEBENDAZOL) 100MG CROQUER B/25X6</v>
          </cell>
        </row>
        <row r="1041">
          <cell r="B1041" t="str">
            <v>FG04555</v>
          </cell>
          <cell r="C1041" t="str">
            <v>WORMINIX (ALBENDAZOLE) 200MG SUSP.10ML</v>
          </cell>
        </row>
        <row r="1042">
          <cell r="B1042" t="str">
            <v>FG04556</v>
          </cell>
          <cell r="C1042" t="str">
            <v>ZEECUF HERBAL COUGH REMEDY 100ML</v>
          </cell>
        </row>
        <row r="1043">
          <cell r="B1043" t="str">
            <v>FG04557</v>
          </cell>
          <cell r="C1043" t="str">
            <v>ZOCID 20MG (OMEPRAZOLE) B/10X10 GELULE</v>
          </cell>
        </row>
        <row r="1044">
          <cell r="B1044" t="str">
            <v>FG04558</v>
          </cell>
          <cell r="C1044" t="str">
            <v>ZORA 20MG B/10 CES</v>
          </cell>
        </row>
        <row r="1045">
          <cell r="B1045" t="str">
            <v>FG04559</v>
          </cell>
          <cell r="C1045" t="str">
            <v>ZORA+D (RABEPRAZOLE+DOMPERIDONE) B/10 CAP</v>
          </cell>
        </row>
        <row r="1046">
          <cell r="B1046" t="str">
            <v>FG04560</v>
          </cell>
          <cell r="C1046" t="str">
            <v>ZWITSAL HUILE BEBE 200ML</v>
          </cell>
        </row>
        <row r="1047">
          <cell r="B1047" t="str">
            <v>FG04561</v>
          </cell>
          <cell r="C1047" t="str">
            <v>3 PLUS FORTE (VIT.B1+B6+B12) B/30CES</v>
          </cell>
        </row>
        <row r="1048">
          <cell r="B1048" t="str">
            <v>FG04562</v>
          </cell>
          <cell r="C1048" t="str">
            <v>ABA 150MG INJ B/3AMP</v>
          </cell>
        </row>
        <row r="1049">
          <cell r="B1049" t="str">
            <v>FG04563</v>
          </cell>
          <cell r="C1049" t="str">
            <v>ABG-I15 CONTROLE QUALITE NIVEAU 1 (5 AMPOULES)</v>
          </cell>
        </row>
        <row r="1050">
          <cell r="B1050" t="str">
            <v>FG04564</v>
          </cell>
          <cell r="C1050" t="str">
            <v>ABG-I15 FLUIDE CALIBRANT B/100 TESTES</v>
          </cell>
        </row>
        <row r="1051">
          <cell r="B1051" t="str">
            <v>FG04565</v>
          </cell>
          <cell r="C1051" t="str">
            <v>ABS BEDSIDE TABLE ML-M027</v>
          </cell>
        </row>
        <row r="1052">
          <cell r="B1052" t="str">
            <v>FG04566</v>
          </cell>
          <cell r="C1052" t="str">
            <v>ACCOUPLEMENT RAPIDE HEXAGONAL-POIGNÉE EN FIBRE</v>
          </cell>
        </row>
        <row r="1053">
          <cell r="B1053" t="str">
            <v>FG04567</v>
          </cell>
          <cell r="C1053" t="str">
            <v>ACTM 20 MG/120 MG DISP. B/12 CES</v>
          </cell>
        </row>
        <row r="1054">
          <cell r="B1054" t="str">
            <v>FG04568</v>
          </cell>
          <cell r="C1054" t="str">
            <v>ADRIL 500MG (CEFADROXIL) B/20</v>
          </cell>
        </row>
        <row r="1055">
          <cell r="B1055" t="str">
            <v>FG04569</v>
          </cell>
          <cell r="C1055" t="str">
            <v>ALKALINE PHOSPHATASE KIND &amp; KING S 20 X 2 ML</v>
          </cell>
        </row>
        <row r="1056">
          <cell r="B1056" t="str">
            <v>FG04570</v>
          </cell>
          <cell r="C1056" t="str">
            <v>ALUKON 5MG 28 CES (FR)</v>
          </cell>
        </row>
        <row r="1057">
          <cell r="B1057" t="str">
            <v>FG04571</v>
          </cell>
          <cell r="C1057" t="str">
            <v>AMLOP-TH (AMLO10MG,TELMI 80MG,HYDRO 12.5MG) B30CES</v>
          </cell>
        </row>
        <row r="1058">
          <cell r="B1058" t="str">
            <v>FG04572</v>
          </cell>
          <cell r="C1058" t="str">
            <v>AMPICILLINE 125MG SP 60ML</v>
          </cell>
        </row>
        <row r="1059">
          <cell r="B1059" t="str">
            <v>FG04573</v>
          </cell>
          <cell r="C1059" t="str">
            <v>AMPICILLINE 1GR. INJ. 1 VIAL</v>
          </cell>
        </row>
        <row r="1060">
          <cell r="B1060" t="str">
            <v>FG04574</v>
          </cell>
          <cell r="C1060" t="str">
            <v>APETA FORTE 200ML SP</v>
          </cell>
        </row>
        <row r="1061">
          <cell r="B1061" t="str">
            <v>FG04575</v>
          </cell>
          <cell r="C1061" t="str">
            <v>ARBRE DE TOURNEVIS HEXAGONAL 1.5 / 2.0 / 2.5 / 3.0</v>
          </cell>
        </row>
        <row r="1062">
          <cell r="B1062" t="str">
            <v>FG04576</v>
          </cell>
          <cell r="C1062" t="str">
            <v>ARH-240MG (ARTESUNATE) INJECTABLE B/ 1 KIT</v>
          </cell>
        </row>
        <row r="1063">
          <cell r="B1063" t="str">
            <v>FG04577</v>
          </cell>
          <cell r="C1063" t="str">
            <v>ARH-60MG (ARTESUNATE) INJECTABLE B/ 1 KIT</v>
          </cell>
        </row>
        <row r="1064">
          <cell r="B1064" t="str">
            <v>FG04578</v>
          </cell>
          <cell r="C1064" t="str">
            <v>ARH-90MG (ARTESUNATE) INJECTABLE B/ 1 KIT</v>
          </cell>
        </row>
        <row r="1065">
          <cell r="B1065" t="str">
            <v>FG04579</v>
          </cell>
          <cell r="C1065" t="str">
            <v>ARIUM 25MG/2.5ML (ATRACURIUM) INJ. B/1 AMP</v>
          </cell>
        </row>
        <row r="1066">
          <cell r="B1066" t="str">
            <v>FG04580</v>
          </cell>
          <cell r="C1066" t="str">
            <v>ASPIRATEUR CHIRURGICAL 2 BOCAUX*2.5L - 40L/MIN</v>
          </cell>
        </row>
        <row r="1067">
          <cell r="B1067" t="str">
            <v>FG04581</v>
          </cell>
          <cell r="C1067" t="str">
            <v>ASPIRINE 500MG 10X10CES</v>
          </cell>
        </row>
        <row r="1068">
          <cell r="B1068" t="str">
            <v>FG04582</v>
          </cell>
          <cell r="C1068" t="str">
            <v>ASTA 20MG (ATROVASTATINE) B/30</v>
          </cell>
        </row>
        <row r="1069">
          <cell r="B1069" t="str">
            <v>FG04583</v>
          </cell>
          <cell r="C1069" t="str">
            <v>ASTRA COLD B/4 CES</v>
          </cell>
        </row>
        <row r="1070">
          <cell r="B1070" t="str">
            <v>FG04584</v>
          </cell>
          <cell r="C1070" t="str">
            <v>AUTOCLAVE DE PAILLASSE (TABLE) 20L - BASIC</v>
          </cell>
        </row>
        <row r="1071">
          <cell r="B1071" t="str">
            <v>FG04585</v>
          </cell>
          <cell r="C1071" t="str">
            <v>BAIN-MARIE POUR LABORATOIRE AVEC 4 POT</v>
          </cell>
        </row>
        <row r="1072">
          <cell r="B1072" t="str">
            <v>FG04586</v>
          </cell>
          <cell r="C1072" t="str">
            <v>BASSINS RÉNIFORME EN INOX</v>
          </cell>
        </row>
        <row r="1073">
          <cell r="B1073" t="str">
            <v>FG04587</v>
          </cell>
          <cell r="C1073" t="str">
            <v>BEDSIDE TABLE ML-M028</v>
          </cell>
        </row>
        <row r="1074">
          <cell r="B1074" t="str">
            <v>FG04588</v>
          </cell>
          <cell r="C1074" t="str">
            <v>BELCEF (CEFTRIAXON + SOLVENT) 1G UPS IM/IV B/1AMP</v>
          </cell>
        </row>
        <row r="1075">
          <cell r="B1075" t="str">
            <v>FG04589</v>
          </cell>
          <cell r="C1075" t="str">
            <v>BENZOATE DE BENZYLE (BENZOSOL) 25% 100ML</v>
          </cell>
        </row>
        <row r="1076">
          <cell r="B1076" t="str">
            <v>FG04590</v>
          </cell>
          <cell r="C1076" t="str">
            <v>BICARBONATE 1KG. SACHETS</v>
          </cell>
        </row>
        <row r="1077">
          <cell r="B1077" t="str">
            <v>FG04591</v>
          </cell>
          <cell r="C1077" t="str">
            <v>BICARBONATE SODIUM CARTRIDGE 720 GRAMS</v>
          </cell>
        </row>
        <row r="1078">
          <cell r="B1078" t="str">
            <v>FG04592</v>
          </cell>
          <cell r="C1078" t="str">
            <v>BLOODLINE TUBING FRESENIUS</v>
          </cell>
        </row>
        <row r="1079">
          <cell r="B1079" t="str">
            <v>FG04593</v>
          </cell>
          <cell r="C1079" t="str">
            <v>BOITE D'INSTRUMENTS A PANSEMENTS</v>
          </cell>
        </row>
        <row r="1080">
          <cell r="B1080" t="str">
            <v>FG04594</v>
          </cell>
          <cell r="C1080" t="str">
            <v>BOITE CESARIENNE</v>
          </cell>
        </row>
        <row r="1081">
          <cell r="B1081" t="str">
            <v>FG04595</v>
          </cell>
          <cell r="C1081" t="str">
            <v>BOITE D'INSTRUMENT POUR ACCOUCHEMENT - HGR</v>
          </cell>
        </row>
        <row r="1082">
          <cell r="B1082" t="str">
            <v>FG04596</v>
          </cell>
          <cell r="C1082" t="str">
            <v>BOÎTE DE PETITE CHIRURGIE 11PC</v>
          </cell>
        </row>
        <row r="1083">
          <cell r="B1083" t="str">
            <v>FG04597</v>
          </cell>
          <cell r="C1083" t="str">
            <v>BOÎTE LAPAROTOMIE 16PC</v>
          </cell>
        </row>
        <row r="1084">
          <cell r="B1084" t="str">
            <v>FG04598</v>
          </cell>
          <cell r="C1084" t="str">
            <v>BONE CHISEL STILLE TYPE - DROIT</v>
          </cell>
        </row>
        <row r="1085">
          <cell r="B1085" t="str">
            <v>FG04599</v>
          </cell>
          <cell r="C1085" t="str">
            <v>CADITOR (ATORVASTATIN) 10 MG B3 X 10/CES</v>
          </cell>
        </row>
        <row r="1086">
          <cell r="B1086" t="str">
            <v>FG04600</v>
          </cell>
          <cell r="C1086" t="str">
            <v>CALCIJOINT (CALCIUM,VD3,MAG,ZINC) B/30CES</v>
          </cell>
        </row>
        <row r="1087">
          <cell r="B1087" t="str">
            <v>FG04601</v>
          </cell>
          <cell r="C1087" t="str">
            <v>CALCIUM VIT D3 BIOFAR CPR EFFV T/20</v>
          </cell>
        </row>
        <row r="1088">
          <cell r="B1088" t="str">
            <v>FG04602</v>
          </cell>
          <cell r="C1088" t="str">
            <v>CANULE DE GUEDEL NO. 1 ML-P6004-1</v>
          </cell>
        </row>
        <row r="1089">
          <cell r="B1089" t="str">
            <v>FG04603</v>
          </cell>
          <cell r="C1089" t="str">
            <v>CEFIM 400MG (CEFIXIME) B/10CES</v>
          </cell>
        </row>
        <row r="1090">
          <cell r="B1090" t="str">
            <v>FG04604</v>
          </cell>
          <cell r="C1090" t="str">
            <v>CEFIXIME 100MG ORAL SIROP 60ML</v>
          </cell>
        </row>
        <row r="1091">
          <cell r="B1091" t="str">
            <v>FG04605</v>
          </cell>
          <cell r="C1091" t="str">
            <v>CEFOTAXIM 1GR. INJ.B/1 VIAL (AVEC EMBALAGE)</v>
          </cell>
        </row>
        <row r="1092">
          <cell r="B1092" t="str">
            <v>FG04606</v>
          </cell>
          <cell r="C1092" t="str">
            <v>CENTRIFUGEUSE DE LABORATOIRE 4K, 12X10ML</v>
          </cell>
        </row>
        <row r="1093">
          <cell r="B1093" t="str">
            <v>FG04607</v>
          </cell>
          <cell r="C1093" t="str">
            <v>CESAPRIL 5MG CES</v>
          </cell>
        </row>
        <row r="1094">
          <cell r="B1094" t="str">
            <v>FG04608</v>
          </cell>
          <cell r="C1094" t="str">
            <v>CETHER-L 150MG B/3 AMP</v>
          </cell>
        </row>
        <row r="1095">
          <cell r="B1095" t="str">
            <v>FG04609</v>
          </cell>
          <cell r="C1095" t="str">
            <v>CETHER-L 225MG ADULT INJ B/3 AMP</v>
          </cell>
        </row>
        <row r="1096">
          <cell r="B1096" t="str">
            <v>FG04610</v>
          </cell>
          <cell r="C1096" t="str">
            <v>CETHER-L 75MG ENFANT INJ B/3 AMP</v>
          </cell>
        </row>
        <row r="1097">
          <cell r="B1097" t="str">
            <v>FG04611</v>
          </cell>
          <cell r="C1097" t="str">
            <v>CHLORAMPHENICOL 0.5% COLLYRE 10ML</v>
          </cell>
        </row>
        <row r="1098">
          <cell r="B1098" t="str">
            <v>FG04612</v>
          </cell>
          <cell r="C1098" t="str">
            <v>CIMETEDINE 200MG B/10X10CES</v>
          </cell>
        </row>
        <row r="1099">
          <cell r="B1099" t="str">
            <v>FG04613</v>
          </cell>
          <cell r="C1099" t="str">
            <v>CISEAUX CHIRURGICAUX M/M DROITS - 14 CM</v>
          </cell>
        </row>
        <row r="1100">
          <cell r="B1100" t="str">
            <v>FG04614</v>
          </cell>
          <cell r="C1100" t="str">
            <v>CISEAUX CHIRURGICAUX M/P DROITS - 14 CM</v>
          </cell>
        </row>
        <row r="1101">
          <cell r="B1101" t="str">
            <v>FG04615</v>
          </cell>
          <cell r="C1101" t="str">
            <v>CLOTRISAN (CLOTRIMAZOLE) POUDRE 50G</v>
          </cell>
        </row>
        <row r="1102">
          <cell r="B1102" t="str">
            <v>FG04616</v>
          </cell>
          <cell r="C1102" t="str">
            <v>CONTHER 80/480 MG B/6 CES</v>
          </cell>
        </row>
        <row r="1103">
          <cell r="B1103" t="str">
            <v>FG04617</v>
          </cell>
          <cell r="C1103" t="str">
            <v>UNITRIM 480MG (COTRIMOXAZOLE) B/10X10 CES</v>
          </cell>
        </row>
        <row r="1104">
          <cell r="B1104" t="str">
            <v>FG04618</v>
          </cell>
          <cell r="C1104" t="str">
            <v>COVID-19 ANTIGEN TEST KIT B/20</v>
          </cell>
        </row>
        <row r="1105">
          <cell r="B1105" t="str">
            <v>FG04619</v>
          </cell>
          <cell r="C1105" t="str">
            <v>CURETTAGE BOX 12PC</v>
          </cell>
        </row>
        <row r="1106">
          <cell r="B1106" t="str">
            <v>FG04620</v>
          </cell>
          <cell r="C1106" t="str">
            <v>CUVETTE HARICOT INOX 20CM 475MLINOX(KIDNEY TRAY)</v>
          </cell>
        </row>
        <row r="1107">
          <cell r="B1107" t="str">
            <v>FG04621</v>
          </cell>
          <cell r="C1107" t="str">
            <v>CYPROPLEX-4 (CYPROHEPTADINE) B/ 10 X 10 CES</v>
          </cell>
        </row>
        <row r="1108">
          <cell r="B1108" t="str">
            <v>FG04622</v>
          </cell>
          <cell r="C1108" t="str">
            <v>DAVIMETHER-LDS B/6</v>
          </cell>
        </row>
        <row r="1109">
          <cell r="B1109" t="str">
            <v>FG04623</v>
          </cell>
          <cell r="C1109" t="str">
            <v>DELIVERY BOX 12PC</v>
          </cell>
        </row>
        <row r="1110">
          <cell r="B1110" t="str">
            <v>FG04624</v>
          </cell>
          <cell r="C1110" t="str">
            <v>DEXALIN (DEXAMETHAZONE) COLLYRE 10ML</v>
          </cell>
        </row>
        <row r="1111">
          <cell r="B1111" t="str">
            <v>FG04625</v>
          </cell>
          <cell r="C1111" t="str">
            <v>DEXAMETHAZONE 4MG/1ML INJ. B/10AMP</v>
          </cell>
        </row>
        <row r="1112">
          <cell r="B1112" t="str">
            <v>FG04626</v>
          </cell>
          <cell r="C1112" t="str">
            <v>DICLIQUE SPORT GEL T/30G</v>
          </cell>
        </row>
        <row r="1113">
          <cell r="B1113" t="str">
            <v>FG04627</v>
          </cell>
          <cell r="C1113" t="str">
            <v>DIRECT HDL-CHOLESTEROL 80 ML</v>
          </cell>
        </row>
        <row r="1114">
          <cell r="B1114" t="str">
            <v>FG04628</v>
          </cell>
          <cell r="C1114" t="str">
            <v>DISQUES ANTIBIOTIQUES ERYTHROMYCIN</v>
          </cell>
        </row>
        <row r="1115">
          <cell r="B1115" t="str">
            <v>FG04629</v>
          </cell>
          <cell r="C1115" t="str">
            <v>DOXYNIC 200MG (DOXYCYCLINE) B/8 CES</v>
          </cell>
        </row>
        <row r="1116">
          <cell r="B1116" t="str">
            <v>FG04630</v>
          </cell>
          <cell r="C1116" t="str">
            <v>DOZEM-50 (TRAMADOL) B/10CAPS</v>
          </cell>
        </row>
        <row r="1117">
          <cell r="B1117" t="str">
            <v>FG04631</v>
          </cell>
          <cell r="C1117" t="str">
            <v>E-200 (VITAMIN E ) B/30 CAPSULE</v>
          </cell>
        </row>
        <row r="1118">
          <cell r="B1118" t="str">
            <v>FG04632</v>
          </cell>
          <cell r="C1118" t="str">
            <v>EAU DISTILLEE B/50 PCS</v>
          </cell>
        </row>
        <row r="1119">
          <cell r="B1119" t="str">
            <v>FG04633</v>
          </cell>
          <cell r="C1119" t="str">
            <v>EFFORTIL ,,,,,,,,,B/50CES (E.O.)</v>
          </cell>
        </row>
        <row r="1120">
          <cell r="B1120" t="str">
            <v>FG04634</v>
          </cell>
          <cell r="C1120" t="str">
            <v>ELUDRIL PRO BAIN DE BOUCHE 55ML(FR)</v>
          </cell>
        </row>
        <row r="1121">
          <cell r="B1121" t="str">
            <v>FG04635</v>
          </cell>
          <cell r="C1121" t="str">
            <v>ENDOSCOPY TROLLEY ML-M035</v>
          </cell>
        </row>
        <row r="1122">
          <cell r="B1122" t="str">
            <v>FG04636</v>
          </cell>
          <cell r="C1122" t="str">
            <v>ERINOCIN (ERYTROMYCINE ) 250MG 100ML</v>
          </cell>
        </row>
        <row r="1123">
          <cell r="B1123" t="str">
            <v>FG04637</v>
          </cell>
          <cell r="C1123" t="str">
            <v>ERYTHROMICINE 1G B/1AMP</v>
          </cell>
        </row>
        <row r="1124">
          <cell r="B1124" t="str">
            <v>FG04638</v>
          </cell>
          <cell r="C1124" t="str">
            <v>EVAPORATEUR ANESTHESIQUE SEVOFLURANE</v>
          </cell>
        </row>
        <row r="1125">
          <cell r="B1125" t="str">
            <v>FG04639</v>
          </cell>
          <cell r="C1125" t="str">
            <v>EXAMINATION GYNECOLOGY COUCH ML-M039</v>
          </cell>
        </row>
        <row r="1126">
          <cell r="B1126" t="str">
            <v>FG04640</v>
          </cell>
          <cell r="C1126" t="str">
            <v>EXTRACTEUR À ONGLES RUSH - KUNTSCHER</v>
          </cell>
        </row>
        <row r="1127">
          <cell r="B1127" t="str">
            <v>FG04641</v>
          </cell>
          <cell r="C1127" t="str">
            <v>FEMOCID DT-40MG B/10 CES</v>
          </cell>
        </row>
        <row r="1128">
          <cell r="B1128" t="str">
            <v>FG04642</v>
          </cell>
          <cell r="C1128" t="str">
            <v>FLAMINGO CLAVICAL BRACE (SMALL)</v>
          </cell>
        </row>
        <row r="1129">
          <cell r="B1129" t="str">
            <v>FG04643</v>
          </cell>
          <cell r="C1129" t="str">
            <v>FLAMINGO HEEL CUSHION (FEMALE)</v>
          </cell>
        </row>
        <row r="1130">
          <cell r="B1130" t="str">
            <v>FG04644</v>
          </cell>
          <cell r="C1130" t="str">
            <v>FLAMINGO STOCKINGS ABOVE KNEE (XXL)</v>
          </cell>
        </row>
        <row r="1131">
          <cell r="B1131" t="str">
            <v>FG04645</v>
          </cell>
          <cell r="C1131" t="str">
            <v>FLAMINGO ABDOMINAL BELT 14CM (DOUBLE EXTRA LARGE)</v>
          </cell>
        </row>
        <row r="1132">
          <cell r="B1132" t="str">
            <v>FG04646</v>
          </cell>
          <cell r="C1132" t="str">
            <v>FLAMINGO ABDOMINAL BELT 14CM (MEDIUM)</v>
          </cell>
        </row>
        <row r="1133">
          <cell r="B1133" t="str">
            <v>FG04647</v>
          </cell>
          <cell r="C1133" t="str">
            <v>FLAMINGO ANKLE BRACE (MEDIUM)</v>
          </cell>
        </row>
        <row r="1134">
          <cell r="B1134" t="str">
            <v>FG04648</v>
          </cell>
          <cell r="C1134" t="str">
            <v>FLAMINGO ANKLE GRIP (MEDIUM)</v>
          </cell>
        </row>
        <row r="1135">
          <cell r="B1135" t="str">
            <v>FG04649</v>
          </cell>
          <cell r="C1135" t="str">
            <v>FLAMINGO ANKLET (XXL)</v>
          </cell>
        </row>
        <row r="1136">
          <cell r="B1136" t="str">
            <v>FG04650</v>
          </cell>
          <cell r="C1136" t="str">
            <v>FLAMINGO ANKLET PREMIUM (MEDIUM)</v>
          </cell>
        </row>
        <row r="1137">
          <cell r="B1137" t="str">
            <v>FG04651</v>
          </cell>
          <cell r="C1137" t="str">
            <v>FLAMINGO ARM IMMOBILIZER (EXTRA LARGE)</v>
          </cell>
        </row>
        <row r="1138">
          <cell r="B1138" t="str">
            <v>FG04652</v>
          </cell>
          <cell r="C1138" t="str">
            <v>FLAMINGO ARM SLING (MEDIUM)</v>
          </cell>
        </row>
        <row r="1139">
          <cell r="B1139" t="str">
            <v>FG04653</v>
          </cell>
          <cell r="C1139" t="str">
            <v>FLAMINGO BACK REST (SMALL)</v>
          </cell>
        </row>
        <row r="1140">
          <cell r="B1140" t="str">
            <v>FG04654</v>
          </cell>
          <cell r="C1140" t="str">
            <v>FLAMINGO BACK REST FOAM TYPE (SMALL)</v>
          </cell>
        </row>
        <row r="1141">
          <cell r="B1141" t="str">
            <v>FG04655</v>
          </cell>
          <cell r="C1141" t="str">
            <v>FLAMINGO BI AXEL HINGED KNEE CAP (XL)</v>
          </cell>
        </row>
        <row r="1142">
          <cell r="B1142" t="str">
            <v>FG04656</v>
          </cell>
          <cell r="C1142" t="str">
            <v>FLAMINGO CALF SUPPORT PREMIUM ( EXTRA LARGE)</v>
          </cell>
        </row>
        <row r="1143">
          <cell r="B1143" t="str">
            <v>FG04657</v>
          </cell>
          <cell r="C1143" t="str">
            <v>FLAMINGO CERVICAL COLLAR (EXTRA LARGE)</v>
          </cell>
        </row>
        <row r="1144">
          <cell r="B1144" t="str">
            <v>FG04658</v>
          </cell>
          <cell r="C1144" t="str">
            <v>FLAMINGO CERVICAL COLLAR SOFT (EXTRA LARGE)</v>
          </cell>
        </row>
        <row r="1145">
          <cell r="B1145" t="str">
            <v>FG04659</v>
          </cell>
          <cell r="C1145" t="str">
            <v>FLAMINGO CERVICAL COLLARE PEDIATRIQ (SMALL)</v>
          </cell>
        </row>
        <row r="1146">
          <cell r="B1146" t="str">
            <v>FG04660</v>
          </cell>
          <cell r="C1146" t="str">
            <v>FLAMINGO CERVICAL IMMOBILIZER (LARGE)</v>
          </cell>
        </row>
        <row r="1147">
          <cell r="B1147" t="str">
            <v>FG04661</v>
          </cell>
          <cell r="C1147" t="str">
            <v>FLAMINGO CERVICAL ORTHOSIS (EXTRA LARGE)</v>
          </cell>
        </row>
        <row r="1148">
          <cell r="B1148" t="str">
            <v>FG04662</v>
          </cell>
          <cell r="C1148" t="str">
            <v>FLAMINGO CERVICAL ORTHOSIS (MEDIUM)</v>
          </cell>
        </row>
        <row r="1149">
          <cell r="B1149" t="str">
            <v>FG04663</v>
          </cell>
          <cell r="C1149" t="str">
            <v>FLAMINGO CERVICAL TRACTION HOLDER SITTING KIT</v>
          </cell>
        </row>
        <row r="1150">
          <cell r="B1150" t="str">
            <v>FG04664</v>
          </cell>
          <cell r="C1150" t="str">
            <v>FLAMINGO CLASSIC FOLDING WALKING STICK</v>
          </cell>
        </row>
        <row r="1151">
          <cell r="B1151" t="str">
            <v>FG04665</v>
          </cell>
          <cell r="C1151" t="str">
            <v>FLAMINGO CONTOURED L.S. BELT (SMALL)</v>
          </cell>
        </row>
        <row r="1152">
          <cell r="B1152" t="str">
            <v>FG04666</v>
          </cell>
          <cell r="C1152" t="str">
            <v>FLAMINGO CONTOURED L.S. SUPPORT (XXL)</v>
          </cell>
        </row>
        <row r="1153">
          <cell r="B1153" t="str">
            <v>FG04667</v>
          </cell>
          <cell r="C1153" t="str">
            <v>FLAMINGO CONTOURED PILLOW</v>
          </cell>
        </row>
        <row r="1154">
          <cell r="B1154" t="str">
            <v>FG04668</v>
          </cell>
          <cell r="C1154" t="str">
            <v>FLAMINGO DORSO LUMBAR SPINAL BRACE (L)</v>
          </cell>
        </row>
        <row r="1155">
          <cell r="B1155" t="str">
            <v>FG04669</v>
          </cell>
          <cell r="C1155" t="str">
            <v>FLAMINGO DORSO LUMBAR SPINAL BRACE PED (SMALL)</v>
          </cell>
        </row>
        <row r="1156">
          <cell r="B1156" t="str">
            <v>FG04670</v>
          </cell>
          <cell r="C1156" t="str">
            <v>FLAMINGO DVT STOCKINGS ABOVE KNEE (L)</v>
          </cell>
        </row>
        <row r="1157">
          <cell r="B1157" t="str">
            <v>FG04671</v>
          </cell>
          <cell r="C1157" t="str">
            <v>FLAMINGO ECO FRAME BELT (LARGE)</v>
          </cell>
        </row>
        <row r="1158">
          <cell r="B1158" t="str">
            <v>FG04672</v>
          </cell>
          <cell r="C1158" t="str">
            <v>FLAMINGO ECO FRAME BELT (SMALL)</v>
          </cell>
        </row>
        <row r="1159">
          <cell r="B1159" t="str">
            <v>FG04673</v>
          </cell>
          <cell r="C1159" t="str">
            <v>FLAMINGO ELASTIC KNEE SUPPORT (EXTRA LARGE)</v>
          </cell>
        </row>
        <row r="1160">
          <cell r="B1160" t="str">
            <v>FG04674</v>
          </cell>
          <cell r="C1160" t="str">
            <v>FLAMINGO ELASTIC WRIST SPLINT (LARGE)</v>
          </cell>
        </row>
        <row r="1161">
          <cell r="B1161" t="str">
            <v>FG04675</v>
          </cell>
          <cell r="C1161" t="str">
            <v>FLAMINGO ELBOW SUPPORT (LARGE)</v>
          </cell>
        </row>
        <row r="1162">
          <cell r="B1162" t="str">
            <v>FG04676</v>
          </cell>
          <cell r="C1162" t="str">
            <v>FLAMINGO ELBOW SUPPORT PREMIUM (SMALL)</v>
          </cell>
        </row>
        <row r="1163">
          <cell r="B1163" t="str">
            <v>FG04677</v>
          </cell>
          <cell r="C1163" t="str">
            <v>FLAMINGO EXTENDED BASEBALL SPLINT (LARGE)</v>
          </cell>
        </row>
        <row r="1164">
          <cell r="B1164" t="str">
            <v>FG04678</v>
          </cell>
          <cell r="C1164" t="str">
            <v>FLAMINGO EXTENDED FOREARM BRACE (SMALL)</v>
          </cell>
        </row>
        <row r="1165">
          <cell r="B1165" t="str">
            <v>FG04679</v>
          </cell>
          <cell r="C1165" t="str">
            <v>FLAMINGO FIN FROG SPLINT (SMALL)</v>
          </cell>
        </row>
        <row r="1166">
          <cell r="B1166" t="str">
            <v>FG04680</v>
          </cell>
          <cell r="C1166" t="str">
            <v>FLAMINGO FIN SPOON SPLINT (LARGE)</v>
          </cell>
        </row>
        <row r="1167">
          <cell r="B1167" t="str">
            <v>FG04681</v>
          </cell>
          <cell r="C1167" t="str">
            <v>FLAMINGO FOOT DROP SPLINT RIGHT (MEDIUM)</v>
          </cell>
        </row>
        <row r="1168">
          <cell r="B1168" t="str">
            <v>FG04682</v>
          </cell>
          <cell r="C1168" t="str">
            <v>FLAMINGO GEL BI-AXEL HIN KNEE BRACE ( X X X L)</v>
          </cell>
        </row>
        <row r="1169">
          <cell r="B1169" t="str">
            <v>FG04683</v>
          </cell>
          <cell r="C1169" t="str">
            <v>FLAMINGO GEL HEEL PAD (MALE)</v>
          </cell>
        </row>
        <row r="1170">
          <cell r="B1170" t="str">
            <v>FG04684</v>
          </cell>
          <cell r="C1170" t="str">
            <v>FLAMINGO GEL KNEE CUSION (MEDIUM)</v>
          </cell>
        </row>
        <row r="1171">
          <cell r="B1171" t="str">
            <v>FG04685</v>
          </cell>
          <cell r="C1171" t="str">
            <v>FLAMINGO HEAT BELT (EXTRA LARGE)</v>
          </cell>
        </row>
        <row r="1172">
          <cell r="B1172" t="str">
            <v>FG04686</v>
          </cell>
          <cell r="C1172" t="str">
            <v>FLAMINGO HEAT BELT (FLORICAN)</v>
          </cell>
        </row>
        <row r="1173">
          <cell r="B1173" t="str">
            <v>FG04687</v>
          </cell>
          <cell r="C1173" t="str">
            <v>FLAMINGO HINGED KNEE CAP (SMALL)</v>
          </cell>
        </row>
        <row r="1174">
          <cell r="B1174" t="str">
            <v>FG04688</v>
          </cell>
          <cell r="C1174" t="str">
            <v>FLAMINGO KNEE BRACE LIGHT (LARGE)</v>
          </cell>
        </row>
        <row r="1175">
          <cell r="B1175" t="str">
            <v>FG04689</v>
          </cell>
          <cell r="C1175" t="str">
            <v>FLAMINGO KNEE BRACE LIGHT (SMALL)</v>
          </cell>
        </row>
        <row r="1176">
          <cell r="B1176" t="str">
            <v>FG04690</v>
          </cell>
          <cell r="C1176" t="str">
            <v>FLAMINGO KNEE BRACE LONG (LARGE)</v>
          </cell>
        </row>
        <row r="1177">
          <cell r="B1177" t="str">
            <v>FG04691</v>
          </cell>
          <cell r="C1177" t="str">
            <v>FLAMINGO KNEE BRACE SHORT (LARGE)</v>
          </cell>
        </row>
        <row r="1178">
          <cell r="B1178" t="str">
            <v>FG04692</v>
          </cell>
          <cell r="C1178" t="str">
            <v>FLAMINGO KNEE CAP PREMIUM (LARGE)</v>
          </cell>
        </row>
        <row r="1179">
          <cell r="B1179" t="str">
            <v>FG04693</v>
          </cell>
          <cell r="C1179" t="str">
            <v>FLAMINGO KNEE CAP PREMIUM (SMALL)</v>
          </cell>
        </row>
        <row r="1180">
          <cell r="B1180" t="str">
            <v>FG04694</v>
          </cell>
          <cell r="C1180" t="str">
            <v>FLAMINGO KNEE IMMOBILIZER (EXTRA LARGE)</v>
          </cell>
        </row>
        <row r="1181">
          <cell r="B1181" t="str">
            <v>FG04695</v>
          </cell>
          <cell r="C1181" t="str">
            <v>FLAMINGO LUMBAR CORSET BELT (LARGE)</v>
          </cell>
        </row>
        <row r="1182">
          <cell r="B1182" t="str">
            <v>FG04696</v>
          </cell>
          <cell r="C1182" t="str">
            <v>FLAMINGO LUMBAR CORSET BELT (X X L)</v>
          </cell>
        </row>
        <row r="1183">
          <cell r="B1183" t="str">
            <v>FG04697</v>
          </cell>
          <cell r="C1183" t="str">
            <v>FLAMINGO LUMBAR SACRO BELT X X X L</v>
          </cell>
        </row>
        <row r="1184">
          <cell r="B1184" t="str">
            <v>FG04698</v>
          </cell>
          <cell r="C1184" t="str">
            <v>FLAMINGO LUMBAR SACRO BELT (LARGE)</v>
          </cell>
        </row>
        <row r="1185">
          <cell r="B1185" t="str">
            <v>FG04699</v>
          </cell>
          <cell r="C1185" t="str">
            <v>FLAMINGO LUMBAR SACRO BELT (MEDIUM)</v>
          </cell>
        </row>
        <row r="1186">
          <cell r="B1186" t="str">
            <v>FG04700</v>
          </cell>
          <cell r="C1186" t="str">
            <v>FLAMINGO OPEN PATELLA KNEE CAP (MEDIUM)</v>
          </cell>
        </row>
        <row r="1187">
          <cell r="B1187" t="str">
            <v>FG04701</v>
          </cell>
          <cell r="C1187" t="str">
            <v>FLAMINGO PELVIC BINDER (XL)</v>
          </cell>
        </row>
        <row r="1188">
          <cell r="B1188" t="str">
            <v>FG04702</v>
          </cell>
          <cell r="C1188" t="str">
            <v>FLAMINGO PELVIC TRACTION BELT (EXTRA LARGE)</v>
          </cell>
        </row>
        <row r="1189">
          <cell r="B1189" t="str">
            <v>FG04703</v>
          </cell>
          <cell r="C1189" t="str">
            <v>FLAMINGO RIB BELT (MEDIUM)</v>
          </cell>
        </row>
        <row r="1190">
          <cell r="B1190" t="str">
            <v>FG04704</v>
          </cell>
          <cell r="C1190" t="str">
            <v>FLAMINGO SACRO LUMBAR PREMIUM (SMALL) BELT</v>
          </cell>
        </row>
        <row r="1191">
          <cell r="B1191" t="str">
            <v>FG04705</v>
          </cell>
          <cell r="C1191" t="str">
            <v>FLAMINGO SACRO LUMBAR PREMIUM (SMALL) SUPPORT</v>
          </cell>
        </row>
        <row r="1192">
          <cell r="B1192" t="str">
            <v>FG04706</v>
          </cell>
          <cell r="C1192" t="str">
            <v>FLAMINGO SCROTAL SUPPORT (LARGE)</v>
          </cell>
        </row>
        <row r="1193">
          <cell r="B1193" t="str">
            <v>FG04707</v>
          </cell>
          <cell r="C1193" t="str">
            <v>FLAMINGO SHORT LEG SPLINT-U</v>
          </cell>
        </row>
        <row r="1194">
          <cell r="B1194" t="str">
            <v>FG04708</v>
          </cell>
          <cell r="C1194" t="str">
            <v>FLAMINGO SHOULDER SUPPORT (LARGE)</v>
          </cell>
        </row>
        <row r="1195">
          <cell r="B1195" t="str">
            <v>FG04709</v>
          </cell>
          <cell r="C1195" t="str">
            <v>FLAMINGO SPORT HEAD BAND</v>
          </cell>
        </row>
        <row r="1196">
          <cell r="B1196" t="str">
            <v>FG04710</v>
          </cell>
          <cell r="C1196" t="str">
            <v>FLAMINGO STERNAL SPLINT BELT (MEDIUM)</v>
          </cell>
        </row>
        <row r="1197">
          <cell r="B1197" t="str">
            <v>FG04711</v>
          </cell>
          <cell r="C1197" t="str">
            <v>FLAMINGO STOCKING BELOW KNEE ( EXTRA LARGE)</v>
          </cell>
        </row>
        <row r="1198">
          <cell r="B1198" t="str">
            <v>FG04712</v>
          </cell>
          <cell r="C1198" t="str">
            <v>FLAMINGO STOCKING BELOW KNEE (LARGE)</v>
          </cell>
        </row>
        <row r="1199">
          <cell r="B1199" t="str">
            <v>FG04713</v>
          </cell>
          <cell r="C1199" t="str">
            <v>FLAMINGO STURRUP ANKLE BRACE (UNIVERSAL)</v>
          </cell>
        </row>
        <row r="1200">
          <cell r="B1200" t="str">
            <v>FG04714</v>
          </cell>
          <cell r="C1200" t="str">
            <v>FLAMINGO THIGH SUPPORT (MEDIUM)</v>
          </cell>
        </row>
        <row r="1201">
          <cell r="B1201" t="str">
            <v>FG04715</v>
          </cell>
          <cell r="C1201" t="str">
            <v>FLAMINGO THIGH SUPPORT (SMALL)</v>
          </cell>
        </row>
        <row r="1202">
          <cell r="B1202" t="str">
            <v>FG04716</v>
          </cell>
          <cell r="C1202" t="str">
            <v>FLAMINGO TRI AXEL HINGED KNEE BRACE (SMALL)</v>
          </cell>
        </row>
        <row r="1203">
          <cell r="B1203" t="str">
            <v>FG04717</v>
          </cell>
          <cell r="C1203" t="str">
            <v>FLAMINGO UNI SHOULDER IMMOBILISER (LARGE)</v>
          </cell>
        </row>
        <row r="1204">
          <cell r="B1204" t="str">
            <v>FG04718</v>
          </cell>
          <cell r="C1204" t="str">
            <v>FLAMINGO VERICOSE VEIN STOCKING (MEDIUM)</v>
          </cell>
        </row>
        <row r="1205">
          <cell r="B1205" t="str">
            <v>FG04719</v>
          </cell>
          <cell r="C1205" t="str">
            <v>FLAMINGO VERICOSE VEIN STOCKING PREMIUM (LARGE)</v>
          </cell>
        </row>
        <row r="1206">
          <cell r="B1206" t="str">
            <v>FG04720</v>
          </cell>
          <cell r="C1206" t="str">
            <v>FLAMINGO VERICOSE VEIN STOCKING PREMIUM (MEDIUM)</v>
          </cell>
        </row>
        <row r="1207">
          <cell r="B1207" t="str">
            <v>FG04721</v>
          </cell>
          <cell r="C1207" t="str">
            <v>FLAMINGO WAIST TRIMMER (MEDIUM)</v>
          </cell>
        </row>
        <row r="1208">
          <cell r="B1208" t="str">
            <v>FG04722</v>
          </cell>
          <cell r="C1208" t="str">
            <v>FLAMINGO WALKER FOLDING</v>
          </cell>
        </row>
        <row r="1209">
          <cell r="B1209" t="str">
            <v>FG04723</v>
          </cell>
          <cell r="C1209" t="str">
            <v>FLAMINGO WRIST BRACE</v>
          </cell>
        </row>
        <row r="1210">
          <cell r="B1210" t="str">
            <v>FG04724</v>
          </cell>
          <cell r="C1210" t="str">
            <v>FOLDABLE EMERGENCY STRETCHER ML-M071A</v>
          </cell>
        </row>
        <row r="1211">
          <cell r="B1211" t="str">
            <v>FG04725</v>
          </cell>
          <cell r="C1211" t="str">
            <v>FRAMINGO DORSO LUMBER SPINAL BELT (X L)</v>
          </cell>
        </row>
        <row r="1212">
          <cell r="B1212" t="str">
            <v>FG04726</v>
          </cell>
          <cell r="C1212" t="str">
            <v>GENTAC (GENTAMICIN) COLLYRE 10ML</v>
          </cell>
        </row>
        <row r="1213">
          <cell r="B1213" t="str">
            <v>FG04727</v>
          </cell>
          <cell r="C1213" t="str">
            <v>GENTAC (GENTAMYCINE) COLLYRE 10ML</v>
          </cell>
        </row>
        <row r="1214">
          <cell r="B1214" t="str">
            <v>FG04728</v>
          </cell>
          <cell r="C1214" t="str">
            <v>GERMITTOL 50ML LIQUID</v>
          </cell>
        </row>
        <row r="1215">
          <cell r="B1215" t="str">
            <v>FG04729</v>
          </cell>
          <cell r="C1215" t="str">
            <v>GOT(AST) IFCC-UV KINETIC 10 X10 ML</v>
          </cell>
        </row>
        <row r="1216">
          <cell r="B1216" t="str">
            <v>FG04730</v>
          </cell>
          <cell r="C1216" t="str">
            <v>HEMODIALYSIS CONCENTRATED POWDER ( PART A)</v>
          </cell>
        </row>
        <row r="1217">
          <cell r="B1217" t="str">
            <v>FG04731</v>
          </cell>
          <cell r="C1217" t="str">
            <v>HOSPITAL BED PLAIN ML-M005A</v>
          </cell>
        </row>
        <row r="1218">
          <cell r="B1218" t="str">
            <v>FG04732</v>
          </cell>
          <cell r="C1218" t="str">
            <v>HOSPITAL INFANT BABY BED CRIB ON CASTORS ML-M069</v>
          </cell>
        </row>
        <row r="1219">
          <cell r="B1219" t="str">
            <v>FG04733</v>
          </cell>
          <cell r="C1219" t="str">
            <v>HOSPITAL ONE STEP STOOL ANTI-SKID ML-M032</v>
          </cell>
        </row>
        <row r="1220">
          <cell r="B1220" t="str">
            <v>FG04734</v>
          </cell>
          <cell r="C1220" t="str">
            <v>HOSPITAL TWO STEP STOOL ANTI-SKID ML-M033</v>
          </cell>
        </row>
        <row r="1221">
          <cell r="B1221" t="str">
            <v>FG04735</v>
          </cell>
          <cell r="C1221" t="str">
            <v>HYDRAULIC OPERATION TABLE ML-M044</v>
          </cell>
        </row>
        <row r="1222">
          <cell r="B1222" t="str">
            <v>FG04736</v>
          </cell>
          <cell r="C1222" t="str">
            <v>I.V STAND FOR HOSPITAL BED ML-M065</v>
          </cell>
        </row>
        <row r="1223">
          <cell r="B1223" t="str">
            <v>FG04737</v>
          </cell>
          <cell r="C1223" t="str">
            <v>I.V STAND ON CASTORS ML-M066</v>
          </cell>
        </row>
        <row r="1224">
          <cell r="B1224" t="str">
            <v>FG04738</v>
          </cell>
          <cell r="C1224" t="str">
            <v>ICU BED MANUALTHREE FUNCTION ML-M021</v>
          </cell>
        </row>
        <row r="1225">
          <cell r="B1225" t="str">
            <v>FG04739</v>
          </cell>
          <cell r="C1225" t="str">
            <v>IMMERSION EN HUILE 30 ML</v>
          </cell>
        </row>
        <row r="1226">
          <cell r="B1226" t="str">
            <v>FG04740</v>
          </cell>
          <cell r="C1226" t="str">
            <v>IMN - FSH, B/25 CARTOUCHES</v>
          </cell>
        </row>
        <row r="1227">
          <cell r="B1227" t="str">
            <v>FG04741</v>
          </cell>
          <cell r="C1227" t="str">
            <v>IMN - IL6, B/25 CARTOUCHES</v>
          </cell>
        </row>
        <row r="1228">
          <cell r="B1228" t="str">
            <v>FG04742</v>
          </cell>
          <cell r="C1228" t="str">
            <v>IMN - LP-PLA2, B/25 CARTOUCHES</v>
          </cell>
        </row>
        <row r="1229">
          <cell r="B1229" t="str">
            <v>FG04743</v>
          </cell>
          <cell r="C1229" t="str">
            <v>IMN - MYO, B/25 CARTOUCHES</v>
          </cell>
        </row>
        <row r="1230">
          <cell r="B1230" t="str">
            <v>FG04744</v>
          </cell>
          <cell r="C1230" t="str">
            <v>IMN - PROGESTERONE, B/25 CARTOUCHES</v>
          </cell>
        </row>
        <row r="1231">
          <cell r="B1231" t="str">
            <v>FG04745</v>
          </cell>
          <cell r="C1231" t="str">
            <v>IMN - TNT, B/25 CARTOUCHES</v>
          </cell>
        </row>
        <row r="1232">
          <cell r="B1232" t="str">
            <v>FG04746</v>
          </cell>
          <cell r="C1232" t="str">
            <v>INSECTICIDES FLACON 1PCS</v>
          </cell>
        </row>
        <row r="1233">
          <cell r="B1233" t="str">
            <v>FG04747</v>
          </cell>
          <cell r="C1233" t="str">
            <v>INTAPLAT(ROMIPIOSTIM &amp; SOLVENT) 250 MCG B/1 VIAL</v>
          </cell>
        </row>
        <row r="1234">
          <cell r="B1234" t="str">
            <v>FG04748</v>
          </cell>
          <cell r="C1234" t="str">
            <v>JERSEY 20CMX25M</v>
          </cell>
        </row>
        <row r="1235">
          <cell r="B1235" t="str">
            <v>FG04749</v>
          </cell>
          <cell r="C1235" t="str">
            <v>KANAMYCINE 1G. INJ. 1 VIAL</v>
          </cell>
        </row>
        <row r="1236">
          <cell r="B1236" t="str">
            <v>FG04750</v>
          </cell>
          <cell r="C1236" t="str">
            <v>KIT DE VALVES DENDOSCOPIE, JETABLES, 3 PIÈCES/KIT</v>
          </cell>
        </row>
        <row r="1237">
          <cell r="B1237" t="str">
            <v>FG04751</v>
          </cell>
          <cell r="C1237" t="str">
            <v>LARYNGOSCOPE À FIBRES OPTIQUES, ADULT, 4 LAMES</v>
          </cell>
        </row>
        <row r="1238">
          <cell r="B1238" t="str">
            <v>FG04752</v>
          </cell>
          <cell r="C1238" t="str">
            <v>LARYNGOSCOPE, ADULT, 4 LAMES, NO 1-2-3-4</v>
          </cell>
        </row>
        <row r="1239">
          <cell r="B1239" t="str">
            <v>FG04753</v>
          </cell>
          <cell r="C1239" t="str">
            <v>LINZOX (LINEZOLIDE) 150ML SP</v>
          </cell>
        </row>
        <row r="1240">
          <cell r="B1240" t="str">
            <v>FG04754</v>
          </cell>
          <cell r="C1240" t="str">
            <v>LOPERIX 2MG(LOPERAMIDE) B/25 X 6CES</v>
          </cell>
        </row>
        <row r="1241">
          <cell r="B1241" t="str">
            <v>FG04755</v>
          </cell>
          <cell r="C1241" t="str">
            <v>MAGNESIUM VIT B6 BIOFAR CPR EFFV T/20</v>
          </cell>
        </row>
        <row r="1242">
          <cell r="B1242" t="str">
            <v>FG04756</v>
          </cell>
          <cell r="C1242" t="str">
            <v>MEDICINE CABINET ML-M067</v>
          </cell>
        </row>
        <row r="1243">
          <cell r="B1243" t="str">
            <v>FG04757</v>
          </cell>
          <cell r="C1243" t="str">
            <v>MELANGEUR VORTEX - PLAQUE ET PIED</v>
          </cell>
        </row>
        <row r="1244">
          <cell r="B1244" t="str">
            <v>FG04758</v>
          </cell>
          <cell r="C1244" t="str">
            <v>MISOPTOL (MISOPROSTOL) 200UG B/4CES</v>
          </cell>
        </row>
        <row r="1245">
          <cell r="B1245" t="str">
            <v>FG04759</v>
          </cell>
          <cell r="C1245" t="str">
            <v>NACEL-1000MG (ACETYLCYSTEINE) INJ. B/1AMP</v>
          </cell>
        </row>
        <row r="1246">
          <cell r="B1246" t="str">
            <v>FG04760</v>
          </cell>
          <cell r="C1246" t="str">
            <v>NACEL-600MG (ACETYLCYSTEINE) PLT/10CES***</v>
          </cell>
        </row>
        <row r="1247">
          <cell r="B1247" t="str">
            <v>FG04761</v>
          </cell>
          <cell r="C1247" t="str">
            <v>NEGATOSCOPE ULTRA SLIM BRIGHT LED THREE SCREENML</v>
          </cell>
        </row>
        <row r="1248">
          <cell r="B1248" t="str">
            <v>FG04762</v>
          </cell>
          <cell r="C1248" t="str">
            <v>NOCIGEL (ANTI-ACIDE) B/10X10 CES</v>
          </cell>
        </row>
        <row r="1249">
          <cell r="B1249" t="str">
            <v>FG04763</v>
          </cell>
          <cell r="C1249" t="str">
            <v>NOCOLD SIROP 100ML</v>
          </cell>
        </row>
        <row r="1250">
          <cell r="B1250" t="str">
            <v>FG04764</v>
          </cell>
          <cell r="C1250" t="str">
            <v>NOTROFIT (PIRACETAM) 1G/5ML INJ B/10 AMP</v>
          </cell>
        </row>
        <row r="1251">
          <cell r="B1251" t="str">
            <v>FG04765</v>
          </cell>
          <cell r="C1251" t="str">
            <v>OSTÉOTOMES TYPE DÉTOILE - DROIT</v>
          </cell>
        </row>
        <row r="1252">
          <cell r="B1252" t="str">
            <v>FG04766</v>
          </cell>
          <cell r="C1252" t="str">
            <v>OTOSCOPE-OPHTALMOSCOPE TROUSSE COMBINÉE 01</v>
          </cell>
        </row>
        <row r="1253">
          <cell r="B1253" t="str">
            <v>FG04767</v>
          </cell>
          <cell r="C1253" t="str">
            <v>OTRINIQUE 0.05% (XYLOMETAZOLINE) GOUTTES 10ML</v>
          </cell>
        </row>
        <row r="1254">
          <cell r="B1254" t="str">
            <v>FG04768</v>
          </cell>
          <cell r="C1254" t="str">
            <v>OVERBED TABLE ML-M059</v>
          </cell>
        </row>
        <row r="1255">
          <cell r="B1255" t="str">
            <v>FG04769</v>
          </cell>
          <cell r="C1255" t="str">
            <v>OXYTOCINE 10UI/1ML INJ. B/10AMP</v>
          </cell>
        </row>
        <row r="1256">
          <cell r="B1256" t="str">
            <v>FG04770</v>
          </cell>
          <cell r="C1256" t="str">
            <v>PA-C (PARACETAMOL+VIT-C) SUSP 100ML</v>
          </cell>
        </row>
        <row r="1257">
          <cell r="B1257" t="str">
            <v>FG04771</v>
          </cell>
          <cell r="C1257" t="str">
            <v>PANIER DE STERILISHTION POUR INSTRUMENTS - LARGE</v>
          </cell>
        </row>
        <row r="1258">
          <cell r="B1258" t="str">
            <v>FG04772</v>
          </cell>
          <cell r="C1258" t="str">
            <v>PATE A L'EAU 35G</v>
          </cell>
        </row>
        <row r="1259">
          <cell r="B1259" t="str">
            <v>FG04773</v>
          </cell>
          <cell r="C1259" t="str">
            <v>PENICILLINE V.K. 250MG B/10 X 10CES</v>
          </cell>
        </row>
        <row r="1260">
          <cell r="B1260" t="str">
            <v>FG04774</v>
          </cell>
          <cell r="C1260" t="str">
            <v>PERCEUSE CHIRURGICAL BATT RECHARGEABLE ML-E1010</v>
          </cell>
        </row>
        <row r="1261">
          <cell r="B1261" t="str">
            <v>FG04775</v>
          </cell>
          <cell r="C1261" t="str">
            <v>PINCE À DISSECTION AVEC GRIFFES 1X2 - 14.5 CM</v>
          </cell>
        </row>
        <row r="1262">
          <cell r="B1262" t="str">
            <v>FG04776</v>
          </cell>
          <cell r="C1262" t="str">
            <v>PINCE À DISSECTION STANDARD 14.5 CM</v>
          </cell>
        </row>
        <row r="1263">
          <cell r="B1263" t="str">
            <v>FG04777</v>
          </cell>
          <cell r="C1263" t="str">
            <v>PIPETTE POMPE, 25ML, ROUGE</v>
          </cell>
        </row>
        <row r="1264">
          <cell r="B1264" t="str">
            <v>FG04778</v>
          </cell>
          <cell r="C1264" t="str">
            <v>PIPETTE POMPE, 2ML, BLEUE</v>
          </cell>
        </row>
        <row r="1265">
          <cell r="B1265" t="str">
            <v>FG04779</v>
          </cell>
          <cell r="C1265" t="str">
            <v>PLATEAUX D’INSTRUMENTS INOX RONDS AVEC COUVERCLE</v>
          </cell>
        </row>
        <row r="1266">
          <cell r="B1266" t="str">
            <v>FG04780</v>
          </cell>
          <cell r="C1266" t="str">
            <v>PLATEAUX INSTRUMENTS INOX 200*150*70 ML-I4006</v>
          </cell>
        </row>
        <row r="1267">
          <cell r="B1267" t="str">
            <v>FG04781</v>
          </cell>
          <cell r="C1267" t="str">
            <v>PLATEAUX INSTRUMENTS INOX RONDS225*150*48 ML-I4027</v>
          </cell>
        </row>
        <row r="1268">
          <cell r="B1268" t="str">
            <v>FG04782</v>
          </cell>
          <cell r="C1268" t="str">
            <v>POMMADE OXY DZINC 50GR.</v>
          </cell>
        </row>
        <row r="1269">
          <cell r="B1269" t="str">
            <v>FG04783</v>
          </cell>
          <cell r="C1269" t="str">
            <v>PREDNISOLONE 5MG B/10X10CES</v>
          </cell>
        </row>
        <row r="1270">
          <cell r="B1270" t="str">
            <v>FG04784</v>
          </cell>
          <cell r="C1270" t="str">
            <v>PROMETHAZINE SP 100 ML (PHATKIN)</v>
          </cell>
        </row>
        <row r="1271">
          <cell r="B1271" t="str">
            <v>FG04785</v>
          </cell>
          <cell r="C1271" t="str">
            <v>PROPOFOL 100MG/10ML INJ B/1VIAL</v>
          </cell>
        </row>
        <row r="1272">
          <cell r="B1272" t="str">
            <v>FG04786</v>
          </cell>
          <cell r="C1272" t="str">
            <v>QUININE 500MG/2ML INJ. B/10AMP (UNIQUE)</v>
          </cell>
        </row>
        <row r="1273">
          <cell r="B1273" t="str">
            <v>FG04787</v>
          </cell>
          <cell r="C1273" t="str">
            <v>REMDESIVIR 100MG INJ. B/1 VIAL</v>
          </cell>
        </row>
        <row r="1274">
          <cell r="B1274" t="str">
            <v>FG04788</v>
          </cell>
          <cell r="C1274" t="str">
            <v>SERUM GLUCOSE 10% + TROUSE 1 LITRE (UNIQUE)</v>
          </cell>
        </row>
        <row r="1275">
          <cell r="B1275" t="str">
            <v>FG04789</v>
          </cell>
          <cell r="C1275" t="str">
            <v>SYPHILIS RPR (WITH ACCESSORIES) 100 TEST</v>
          </cell>
        </row>
        <row r="1276">
          <cell r="B1276" t="str">
            <v>FG04790</v>
          </cell>
          <cell r="C1276" t="str">
            <v>SYPHILIS RPR (WITH ACCESSORIES) 50 TESTS</v>
          </cell>
        </row>
        <row r="1277">
          <cell r="B1277" t="str">
            <v>FG04791</v>
          </cell>
          <cell r="C1277" t="str">
            <v>T V 55 INCH</v>
          </cell>
        </row>
        <row r="1278">
          <cell r="B1278" t="str">
            <v>FG04792</v>
          </cell>
          <cell r="C1278" t="str">
            <v>TADANIQUE 20MG (TADALAFIL) B/4CES</v>
          </cell>
        </row>
        <row r="1279">
          <cell r="B1279" t="str">
            <v>FG04793</v>
          </cell>
          <cell r="C1279" t="str">
            <v>TAMBOUR ROND A STERILISER - 275 X 225 MM ML-I4035</v>
          </cell>
        </row>
        <row r="1280">
          <cell r="B1280" t="str">
            <v>FG04794</v>
          </cell>
          <cell r="C1280" t="str">
            <v>TB TUBERCULIN PPD 5 TU / 0.1 ML 5 ML</v>
          </cell>
        </row>
        <row r="1281">
          <cell r="B1281" t="str">
            <v>FG04795</v>
          </cell>
          <cell r="C1281" t="str">
            <v>TOPISOL (CLOBETASOL) CREME T/15G</v>
          </cell>
        </row>
        <row r="1282">
          <cell r="B1282" t="str">
            <v>FG04796</v>
          </cell>
          <cell r="C1282" t="str">
            <v>TOT HEMA PL/20AMP BUV.</v>
          </cell>
        </row>
        <row r="1283">
          <cell r="B1283" t="str">
            <v>FG04797</v>
          </cell>
          <cell r="C1283" t="str">
            <v>UNIFLAM (PARACETAMOL+IBUPROFEN) SUSPENSION 60ML</v>
          </cell>
        </row>
        <row r="1284">
          <cell r="B1284" t="str">
            <v>FG04798</v>
          </cell>
          <cell r="C1284" t="str">
            <v>UNITRIN (COTRIMOXAZOLE) SUSP. 100ML</v>
          </cell>
        </row>
        <row r="1285">
          <cell r="B1285" t="str">
            <v>FG04799</v>
          </cell>
          <cell r="C1285" t="str">
            <v>URIC ACID PHOSPHOTUNGSTAT 2 X 125 ML</v>
          </cell>
        </row>
        <row r="1286">
          <cell r="B1286" t="str">
            <v>FG04800</v>
          </cell>
          <cell r="C1286" t="str">
            <v>URIC ACID URICASE/TRINDER 2 X 25 ML</v>
          </cell>
        </row>
        <row r="1287">
          <cell r="B1287" t="str">
            <v>FG04801</v>
          </cell>
          <cell r="C1287" t="str">
            <v>URINAL FEMME AVEC POIGNÉE INOX ML-I4002</v>
          </cell>
        </row>
        <row r="1288">
          <cell r="B1288" t="str">
            <v>FG04802</v>
          </cell>
          <cell r="C1288" t="str">
            <v>VIT ACE SE ZN BIOFAR CPR EFF 20</v>
          </cell>
        </row>
        <row r="1289">
          <cell r="B1289" t="str">
            <v>FG04803</v>
          </cell>
          <cell r="C1289" t="str">
            <v>VIT C ACEROLA BIOFAR 500MG CPR EFFV T/20</v>
          </cell>
        </row>
        <row r="1290">
          <cell r="B1290" t="str">
            <v>FG04804</v>
          </cell>
          <cell r="C1290" t="str">
            <v>VITAMINE B1 100MG B/10X10CES</v>
          </cell>
        </row>
        <row r="1291">
          <cell r="B1291" t="str">
            <v>FG04805</v>
          </cell>
          <cell r="C1291" t="str">
            <v>VIVAGEST (VITAMIN B9,IODINE,VITAMIN D3) B/30 OVIL</v>
          </cell>
        </row>
        <row r="1292">
          <cell r="B1292" t="str">
            <v>FG04806</v>
          </cell>
          <cell r="C1292" t="str">
            <v>WALKING STICK(SINGLE)</v>
          </cell>
        </row>
        <row r="1293">
          <cell r="B1293" t="str">
            <v>FG04807</v>
          </cell>
          <cell r="C1293" t="str">
            <v>WERMOQUE (MEBENDAZOLE) 100MG 5ML SUSP.30ML</v>
          </cell>
        </row>
        <row r="1294">
          <cell r="B1294" t="str">
            <v>FG04808</v>
          </cell>
          <cell r="C1294" t="str">
            <v>WIDAL ANTIGEN SET (SLIDE) 4 X 5 ML</v>
          </cell>
        </row>
        <row r="1295">
          <cell r="B1295" t="str">
            <v>FG04809</v>
          </cell>
          <cell r="C1295" t="str">
            <v>WORMINIX 400 (ALBENDAZOLE) B/1X20 CES</v>
          </cell>
        </row>
        <row r="1296">
          <cell r="B1296" t="str">
            <v>FG04810</v>
          </cell>
          <cell r="C1296" t="str">
            <v>3 VIT FORT(VIT B1+B2+B6) SIROP 100ML</v>
          </cell>
        </row>
        <row r="1297">
          <cell r="B1297" t="str">
            <v>FG04811</v>
          </cell>
          <cell r="C1297" t="str">
            <v>ACIRAN ( RANITIDINE 300MG ) B/20CES</v>
          </cell>
        </row>
        <row r="1298">
          <cell r="B1298" t="str">
            <v>FG04812</v>
          </cell>
          <cell r="C1298" t="str">
            <v>ADIP 10 (AMLODIPINE) B/10CES</v>
          </cell>
        </row>
        <row r="1299">
          <cell r="B1299" t="str">
            <v>FG04813</v>
          </cell>
          <cell r="C1299" t="str">
            <v>ADIP 5 (AMLODIPINE) B/10CES</v>
          </cell>
        </row>
        <row r="1300">
          <cell r="B1300" t="str">
            <v>FG04814</v>
          </cell>
          <cell r="C1300" t="str">
            <v>ADJUSTABLE MICROPIPETTE (VOL. 0.1-2.5)AUTOCLAVABLE</v>
          </cell>
        </row>
        <row r="1301">
          <cell r="B1301" t="str">
            <v>FG04815</v>
          </cell>
          <cell r="C1301" t="str">
            <v>ADJUSTABLE MICROPIPETTE (VOL. 0.5-10 )AUTOCLAVABLE</v>
          </cell>
        </row>
        <row r="1302">
          <cell r="B1302" t="str">
            <v>FG04816</v>
          </cell>
          <cell r="C1302" t="str">
            <v>ADRENALINE 1MG/1ML INJ. B/10AMP</v>
          </cell>
        </row>
        <row r="1303">
          <cell r="B1303" t="str">
            <v>FG04817</v>
          </cell>
          <cell r="C1303" t="str">
            <v>ADRIL (CEFADROXIL) SP 60ML</v>
          </cell>
        </row>
        <row r="1304">
          <cell r="B1304" t="str">
            <v>FG04818</v>
          </cell>
          <cell r="C1304" t="str">
            <v>AIGUILLE FISTULE DIALYSE</v>
          </cell>
        </row>
        <row r="1305">
          <cell r="B1305" t="str">
            <v>FG04819</v>
          </cell>
          <cell r="C1305" t="str">
            <v>ANALYSEUR DE BIOCHIMIE SEMI-AUTOMATIQUE URIT-880</v>
          </cell>
        </row>
        <row r="1306">
          <cell r="B1306" t="str">
            <v>FG04820</v>
          </cell>
          <cell r="C1306" t="str">
            <v>ARTESIM 225MG 3AMP</v>
          </cell>
        </row>
        <row r="1307">
          <cell r="B1307" t="str">
            <v>FG04821</v>
          </cell>
          <cell r="C1307" t="str">
            <v>ARTEVIT INJECTION 5 X 3 ML</v>
          </cell>
        </row>
        <row r="1308">
          <cell r="B1308" t="str">
            <v>FG04822</v>
          </cell>
          <cell r="C1308" t="str">
            <v>ASTIR (ARTESUNAT) 180MG ING</v>
          </cell>
        </row>
        <row r="1309">
          <cell r="B1309" t="str">
            <v>FG04823</v>
          </cell>
          <cell r="C1309" t="str">
            <v>BASIC ORTHOPEDIC SET 74PC</v>
          </cell>
        </row>
        <row r="1310">
          <cell r="B1310" t="str">
            <v>FG04824</v>
          </cell>
          <cell r="C1310" t="str">
            <v>BASSIN RENIFORME 12 - INOX ML-I4021</v>
          </cell>
        </row>
        <row r="1311">
          <cell r="B1311" t="str">
            <v>FG04825</v>
          </cell>
          <cell r="C1311" t="str">
            <v>BOITE EXTRACTION DENTAIRE</v>
          </cell>
        </row>
        <row r="1312">
          <cell r="B1312" t="str">
            <v>FG04826</v>
          </cell>
          <cell r="C1312" t="str">
            <v>BOITE POUR LA STERILISATION 200X100X50MM ML-I4023</v>
          </cell>
        </row>
        <row r="1313">
          <cell r="B1313" t="str">
            <v>FG04827</v>
          </cell>
          <cell r="C1313" t="str">
            <v>BOITE POUR LA STERILISATION 350*250*63 ML-I4028</v>
          </cell>
        </row>
        <row r="1314">
          <cell r="B1314" t="str">
            <v>FG04828</v>
          </cell>
          <cell r="C1314" t="str">
            <v>LE BOXEUR (ANTI-MOSQUITO) LIQUID 3.5ML</v>
          </cell>
        </row>
        <row r="1315">
          <cell r="B1315" t="str">
            <v>FG04829</v>
          </cell>
          <cell r="C1315" t="str">
            <v>CADITOR (ATORVASTATIN) 40 MG B30/CES</v>
          </cell>
        </row>
        <row r="1316">
          <cell r="B1316" t="str">
            <v>FG04830</v>
          </cell>
          <cell r="C1316" t="str">
            <v>CANULE DE GUEDEL NO. 0 ML-P6004-0</v>
          </cell>
        </row>
        <row r="1317">
          <cell r="B1317" t="str">
            <v>FG04831</v>
          </cell>
          <cell r="C1317" t="str">
            <v>CEFIM 100 (CEFIXIME) B/10CES (NEW)</v>
          </cell>
        </row>
        <row r="1318">
          <cell r="B1318" t="str">
            <v>FG04832</v>
          </cell>
          <cell r="C1318" t="str">
            <v>CELOVAN 500MG (VANCOMYCIN) INJ. B/1 VIAL</v>
          </cell>
        </row>
        <row r="1319">
          <cell r="B1319" t="str">
            <v>FG04833</v>
          </cell>
          <cell r="C1319" t="str">
            <v>CESAPRIL 20MG CES</v>
          </cell>
        </row>
        <row r="1320">
          <cell r="B1320" t="str">
            <v>FG04834</v>
          </cell>
          <cell r="C1320" t="str">
            <v>CESAREAN BOX 52PC</v>
          </cell>
        </row>
        <row r="1321">
          <cell r="B1321" t="str">
            <v>FG04835</v>
          </cell>
          <cell r="C1321" t="str">
            <v>CHLORAMPHENICOL OTTIQUE 5% 10ML</v>
          </cell>
        </row>
        <row r="1322">
          <cell r="B1322" t="str">
            <v>FG04836</v>
          </cell>
          <cell r="C1322" t="str">
            <v>CLOTRISAN V6 (CLOTRIMAZOLE) B/6 OVULE+APPLOCATOR</v>
          </cell>
        </row>
        <row r="1323">
          <cell r="B1323" t="str">
            <v>FG04837</v>
          </cell>
          <cell r="C1323" t="str">
            <v>COMPEX VIT B BIOFAR CPR EFFV T/20</v>
          </cell>
        </row>
        <row r="1324">
          <cell r="B1324" t="str">
            <v>FG04838</v>
          </cell>
          <cell r="C1324" t="str">
            <v>DAVIMETHER-L SP 60ML</v>
          </cell>
        </row>
        <row r="1325">
          <cell r="B1325" t="str">
            <v>FG04839</v>
          </cell>
          <cell r="C1325" t="str">
            <v>DESPAIN 25MG B/10 CES</v>
          </cell>
        </row>
        <row r="1326">
          <cell r="B1326" t="str">
            <v>FG04840</v>
          </cell>
          <cell r="C1326" t="str">
            <v>DETTOL 6 LINTER</v>
          </cell>
        </row>
        <row r="1327">
          <cell r="B1327" t="str">
            <v>FG04841</v>
          </cell>
          <cell r="C1327" t="str">
            <v>DIALYZER 1.4 HIGH FLUX</v>
          </cell>
        </row>
        <row r="1328">
          <cell r="B1328" t="str">
            <v>FG04842</v>
          </cell>
          <cell r="C1328" t="str">
            <v>DICLIQUE PLUS (DICLO+PARA+CHLORZ) B/10X10 CES</v>
          </cell>
        </row>
        <row r="1329">
          <cell r="B1329" t="str">
            <v>FG04843</v>
          </cell>
          <cell r="C1329" t="str">
            <v>ECARTEUR DE FARABEUF 15CM</v>
          </cell>
        </row>
        <row r="1330">
          <cell r="B1330" t="str">
            <v>FG04844</v>
          </cell>
          <cell r="C1330" t="str">
            <v>EFFERALGAN CODION SEC B/16CES****</v>
          </cell>
        </row>
        <row r="1331">
          <cell r="B1331" t="str">
            <v>FG04845</v>
          </cell>
          <cell r="C1331" t="str">
            <v>ESTRADIOL 5MG/ML INJ. B/10AMP</v>
          </cell>
        </row>
        <row r="1332">
          <cell r="B1332" t="str">
            <v>FG04846</v>
          </cell>
          <cell r="C1332" t="str">
            <v>EXAMINATION LAMP LED ML-E1005B</v>
          </cell>
        </row>
        <row r="1333">
          <cell r="B1333" t="str">
            <v>FG04847</v>
          </cell>
          <cell r="C1333" t="str">
            <v>EXAMINATION TABLE ML-M001</v>
          </cell>
        </row>
        <row r="1334">
          <cell r="B1334" t="str">
            <v>FG04848</v>
          </cell>
          <cell r="C1334" t="str">
            <v>FEMIFER SIROP 200ML</v>
          </cell>
        </row>
        <row r="1335">
          <cell r="B1335" t="str">
            <v>FG04849</v>
          </cell>
          <cell r="C1335" t="str">
            <v>FINOTRIP (TRYPSINE,BROMELEINE,TRITHYDRATE) B/10CES</v>
          </cell>
        </row>
        <row r="1336">
          <cell r="B1336" t="str">
            <v>FG04850</v>
          </cell>
          <cell r="C1336" t="str">
            <v>FLAMINGO TUBULAR SUPPORT GAUNTLET (MEDIUM)</v>
          </cell>
        </row>
        <row r="1337">
          <cell r="B1337" t="str">
            <v>FG04851</v>
          </cell>
          <cell r="C1337" t="str">
            <v>FLAMINGO ANKLE BINDER (LARGE)</v>
          </cell>
        </row>
        <row r="1338">
          <cell r="B1338" t="str">
            <v>FG04852</v>
          </cell>
          <cell r="C1338" t="str">
            <v>FLAMINGO ANKLE BRACE (EXTRA LARGE)</v>
          </cell>
        </row>
        <row r="1339">
          <cell r="B1339" t="str">
            <v>FG04853</v>
          </cell>
          <cell r="C1339" t="str">
            <v>FLAMINGO ANKLE GRIP (LARGE)</v>
          </cell>
        </row>
        <row r="1340">
          <cell r="B1340" t="str">
            <v>FG04854</v>
          </cell>
          <cell r="C1340" t="str">
            <v>FLAMINGO ARM IMMOBILIZER (SMALL)</v>
          </cell>
        </row>
        <row r="1341">
          <cell r="B1341" t="str">
            <v>FG04855</v>
          </cell>
          <cell r="C1341" t="str">
            <v>FLAMINGO ARM POUCH (EXTRA LARGE)</v>
          </cell>
        </row>
        <row r="1342">
          <cell r="B1342" t="str">
            <v>FG04856</v>
          </cell>
          <cell r="C1342" t="str">
            <v>FLAMINGO BI AXEL HINGED KNEE CAP (MEDIUM)</v>
          </cell>
        </row>
        <row r="1343">
          <cell r="B1343" t="str">
            <v>FG04857</v>
          </cell>
          <cell r="C1343" t="str">
            <v>FLAMINGO CALF SUPPORT (SMALL)</v>
          </cell>
        </row>
        <row r="1344">
          <cell r="B1344" t="str">
            <v>FG04858</v>
          </cell>
          <cell r="C1344" t="str">
            <v>FLAMINGO CALF SUPPORT PREMIUM (LARGE)</v>
          </cell>
        </row>
        <row r="1345">
          <cell r="B1345" t="str">
            <v>FG04859</v>
          </cell>
          <cell r="C1345" t="str">
            <v>FLAMINGO CERVICAL COLLAR (XXL)</v>
          </cell>
        </row>
        <row r="1346">
          <cell r="B1346" t="str">
            <v>FG04860</v>
          </cell>
          <cell r="C1346" t="str">
            <v>FLAMINGO CERVICAL COLLAR SOFT (LARGE)</v>
          </cell>
        </row>
        <row r="1347">
          <cell r="B1347" t="str">
            <v>FG04861</v>
          </cell>
          <cell r="C1347" t="str">
            <v>FLAMINGO CERVICAL IMMOBILIZER (MEDIUM)</v>
          </cell>
        </row>
        <row r="1348">
          <cell r="B1348" t="str">
            <v>FG04862</v>
          </cell>
          <cell r="C1348" t="str">
            <v>FLAMINGO COCCYX CUSHION SOFT</v>
          </cell>
        </row>
        <row r="1349">
          <cell r="B1349" t="str">
            <v>FG04863</v>
          </cell>
          <cell r="C1349" t="str">
            <v>FLAMINGO COMPACT SPINAL BRACE (EXTRA LARGE)</v>
          </cell>
        </row>
        <row r="1350">
          <cell r="B1350" t="str">
            <v>FG04864</v>
          </cell>
          <cell r="C1350" t="str">
            <v>FLAMINGO COMPACT SPINAL BRACE (SMALL)</v>
          </cell>
        </row>
        <row r="1351">
          <cell r="B1351" t="str">
            <v>FG04865</v>
          </cell>
          <cell r="C1351" t="str">
            <v>FLAMINGO CONTOURED L.S. SUPPORT (SMALL)</v>
          </cell>
        </row>
        <row r="1352">
          <cell r="B1352" t="str">
            <v>FG04866</v>
          </cell>
          <cell r="C1352" t="str">
            <v>FLAMINGO ELASTIC SHOULDER IMMOBILISER (LARGE)</v>
          </cell>
        </row>
        <row r="1353">
          <cell r="B1353" t="str">
            <v>FG04867</v>
          </cell>
          <cell r="C1353" t="str">
            <v>FLAMINGO ELASTIC SHOULDER IMMOBILISER (XXL)</v>
          </cell>
        </row>
        <row r="1354">
          <cell r="B1354" t="str">
            <v>FG04868</v>
          </cell>
          <cell r="C1354" t="str">
            <v>FLAMINGO ELBOW SUPPORT PREMIUM (LARGE)</v>
          </cell>
        </row>
        <row r="1355">
          <cell r="B1355" t="str">
            <v>FG04869</v>
          </cell>
          <cell r="C1355" t="str">
            <v>FLAMINGO EXTENDED BASE BALL SPLINT (L)</v>
          </cell>
        </row>
        <row r="1356">
          <cell r="B1356" t="str">
            <v>FG04870</v>
          </cell>
          <cell r="C1356" t="str">
            <v>FLAMINGO EXTENDED BASEBALL SPLINT (MEDIUM)</v>
          </cell>
        </row>
        <row r="1357">
          <cell r="B1357" t="str">
            <v>FG04871</v>
          </cell>
          <cell r="C1357" t="str">
            <v>FLAMINGO FIN STAX MALLET (LARGE)</v>
          </cell>
        </row>
        <row r="1358">
          <cell r="B1358" t="str">
            <v>FG04872</v>
          </cell>
          <cell r="C1358" t="str">
            <v>FLAMINGO GEL BI-AXEL HIN KNEE BRACE (L)</v>
          </cell>
        </row>
        <row r="1359">
          <cell r="B1359" t="str">
            <v>FG04873</v>
          </cell>
          <cell r="C1359" t="str">
            <v>FLAMINGO GEL METATARSAL PAD (MALE)</v>
          </cell>
        </row>
        <row r="1360">
          <cell r="B1360" t="str">
            <v>FG04874</v>
          </cell>
          <cell r="C1360" t="str">
            <v>FLAMINGO HERNIA BELT (EXTRA LARGE)</v>
          </cell>
        </row>
        <row r="1361">
          <cell r="B1361" t="str">
            <v>FG04875</v>
          </cell>
          <cell r="C1361" t="str">
            <v>FLAMINGO HINGED KNEE CAP (LARGE)</v>
          </cell>
        </row>
        <row r="1362">
          <cell r="B1362" t="str">
            <v>FG04876</v>
          </cell>
          <cell r="C1362" t="str">
            <v>FLAMINGO KNEE CAP (MEDIUM)</v>
          </cell>
        </row>
        <row r="1363">
          <cell r="B1363" t="str">
            <v>FG04877</v>
          </cell>
          <cell r="C1363" t="str">
            <v>FLAMINGO KNEE STABILISER (MEDIUM)</v>
          </cell>
        </row>
        <row r="1364">
          <cell r="B1364" t="str">
            <v>FG04878</v>
          </cell>
          <cell r="C1364" t="str">
            <v>FLAMINGO KNEE STABILISER (XXXL)</v>
          </cell>
        </row>
        <row r="1365">
          <cell r="B1365" t="str">
            <v>FG04879</v>
          </cell>
          <cell r="C1365" t="str">
            <v>FLAMINGO LONG ARM SPLINT</v>
          </cell>
        </row>
        <row r="1366">
          <cell r="B1366" t="str">
            <v>FG04880</v>
          </cell>
          <cell r="C1366" t="str">
            <v>FLAMINGO PELVIC BINDER (XXXL)</v>
          </cell>
        </row>
        <row r="1367">
          <cell r="B1367" t="str">
            <v>FG04881</v>
          </cell>
          <cell r="C1367" t="str">
            <v>FLAMINGO PELVIC TRACTION BELT (SMALL)</v>
          </cell>
        </row>
        <row r="1368">
          <cell r="B1368" t="str">
            <v>FG04882</v>
          </cell>
          <cell r="C1368" t="str">
            <v>FLAMINGO SACRO LUMBAR PREMIUM (EXTRA LARGE) SUPPORT</v>
          </cell>
        </row>
        <row r="1369">
          <cell r="B1369" t="str">
            <v>FG04883</v>
          </cell>
          <cell r="C1369" t="str">
            <v>FLAMINGO STOCKING BELOW KNEE PREMIUM (LARGE)</v>
          </cell>
        </row>
        <row r="1370">
          <cell r="B1370" t="str">
            <v>FG04884</v>
          </cell>
          <cell r="C1370" t="str">
            <v>FLAMINGO STIRRUP ANKLE BRACE (LARGE)</v>
          </cell>
        </row>
        <row r="1371">
          <cell r="B1371" t="str">
            <v>FG04885</v>
          </cell>
          <cell r="C1371" t="str">
            <v>FLAMINGO TENNIS ELBOW SUPPORT (MEDIUM)</v>
          </cell>
        </row>
        <row r="1372">
          <cell r="B1372" t="str">
            <v>FG04886</v>
          </cell>
          <cell r="C1372" t="str">
            <v>FLAMINGO TENNIS ELBOW SUPPORT (SMALL)</v>
          </cell>
        </row>
        <row r="1373">
          <cell r="B1373" t="str">
            <v>FG04887</v>
          </cell>
          <cell r="C1373" t="str">
            <v>FLAMINGO THUMB SPICA (MEDIUM)</v>
          </cell>
        </row>
        <row r="1374">
          <cell r="B1374" t="str">
            <v>FG04888</v>
          </cell>
          <cell r="C1374" t="str">
            <v>FLAMINGO UNI SHOULDER IMMOBILISER (SMALL)</v>
          </cell>
        </row>
        <row r="1375">
          <cell r="B1375" t="str">
            <v>FG04889</v>
          </cell>
          <cell r="C1375" t="str">
            <v>FLAMINGO VERICOSE VEIN STOCKING PREMIUM (SMALL)</v>
          </cell>
        </row>
        <row r="1376">
          <cell r="B1376" t="str">
            <v>FG04890</v>
          </cell>
          <cell r="C1376" t="str">
            <v>FLAMINGO VERICOSE VEIN STOCKING PREMIUM(EX LARGE)</v>
          </cell>
        </row>
        <row r="1377">
          <cell r="B1377" t="str">
            <v>FG04891</v>
          </cell>
          <cell r="C1377" t="str">
            <v>GAZELLE-HB/DRÉPANOCYTOSE-CARTOUCHE-B/25 TESTS</v>
          </cell>
        </row>
        <row r="1378">
          <cell r="B1378" t="str">
            <v>FG04892</v>
          </cell>
          <cell r="C1378" t="str">
            <v>H -LOC (RANITIDINE) INJ B/5AMP</v>
          </cell>
        </row>
        <row r="1379">
          <cell r="B1379" t="str">
            <v>FG04893</v>
          </cell>
          <cell r="C1379" t="str">
            <v>HAEMACCEL GELINE INFUSION 500ML</v>
          </cell>
        </row>
        <row r="1380">
          <cell r="B1380" t="str">
            <v>FG04894</v>
          </cell>
          <cell r="C1380" t="str">
            <v>HAEMRON SG(V12,ACIDE FLO,ZINC) B/30CES</v>
          </cell>
        </row>
        <row r="1381">
          <cell r="B1381" t="str">
            <v>FG04895</v>
          </cell>
          <cell r="C1381" t="str">
            <v>HOSPITAL BED PLAIN ML-M007</v>
          </cell>
        </row>
        <row r="1382">
          <cell r="B1382" t="str">
            <v>FG04896</v>
          </cell>
          <cell r="C1382" t="str">
            <v>HOSPITAL EMERGENCY ABS TROLLEY ML-M070B</v>
          </cell>
        </row>
        <row r="1383">
          <cell r="B1383" t="str">
            <v>FG04897</v>
          </cell>
          <cell r="C1383" t="str">
            <v>IMN - CK-MB, B/25 CARTOUCHES</v>
          </cell>
        </row>
        <row r="1384">
          <cell r="B1384" t="str">
            <v>FG04898</v>
          </cell>
          <cell r="C1384" t="str">
            <v>IMN - E2, B/25 CARTOUCHES</v>
          </cell>
        </row>
        <row r="1385">
          <cell r="B1385" t="str">
            <v>FG04899</v>
          </cell>
          <cell r="C1385" t="str">
            <v>IMN - PROLACTINE, B/25 CARTOUCHES</v>
          </cell>
        </row>
        <row r="1386">
          <cell r="B1386" t="str">
            <v>FG04900</v>
          </cell>
          <cell r="C1386" t="str">
            <v>IMN - SAA, B/25 CARTOUCHES</v>
          </cell>
        </row>
        <row r="1387">
          <cell r="B1387" t="str">
            <v>FG04901</v>
          </cell>
          <cell r="C1387" t="str">
            <v>INCUBATEUR DE LABORATOIRE 30L</v>
          </cell>
        </row>
        <row r="1388">
          <cell r="B1388" t="str">
            <v>FG04902</v>
          </cell>
          <cell r="C1388" t="str">
            <v>IPRO - 400 ((IBUPROFENE) MG BT/10X10CES</v>
          </cell>
        </row>
        <row r="1389">
          <cell r="B1389" t="str">
            <v>FG04903</v>
          </cell>
          <cell r="C1389" t="str">
            <v>MANCHE DE BISTOURI - SCALPET N°3</v>
          </cell>
        </row>
        <row r="1390">
          <cell r="B1390" t="str">
            <v>FG04904</v>
          </cell>
          <cell r="C1390" t="str">
            <v>MELANGEUR VORTEX - COUSSIN</v>
          </cell>
        </row>
        <row r="1391">
          <cell r="B1391" t="str">
            <v>FG04905</v>
          </cell>
          <cell r="C1391" t="str">
            <v>METRONIDAZOLE 250MG B/10X10CES</v>
          </cell>
        </row>
        <row r="1392">
          <cell r="B1392" t="str">
            <v>FG04906</v>
          </cell>
          <cell r="C1392" t="str">
            <v>MULTIVIT 12 MINRX BIOFAR CPR EFFV T/20</v>
          </cell>
        </row>
        <row r="1393">
          <cell r="B1393" t="str">
            <v>FG04907</v>
          </cell>
          <cell r="C1393" t="str">
            <v>NEBIMEX 2.5MG CES</v>
          </cell>
        </row>
        <row r="1394">
          <cell r="B1394" t="str">
            <v>FG04908</v>
          </cell>
          <cell r="C1394" t="str">
            <v>NEOTONE BODY 100ML LOTION</v>
          </cell>
        </row>
        <row r="1395">
          <cell r="B1395" t="str">
            <v>FG04909</v>
          </cell>
          <cell r="C1395" t="str">
            <v>NURSE CHAIR ML-M060</v>
          </cell>
        </row>
        <row r="1396">
          <cell r="B1396" t="str">
            <v>FG04910</v>
          </cell>
          <cell r="C1396" t="str">
            <v>OMEXA (OMEGA3 FISH OIL &amp; VIT. E) B/30 CES</v>
          </cell>
        </row>
        <row r="1397">
          <cell r="B1397" t="str">
            <v>FG04911</v>
          </cell>
          <cell r="C1397" t="str">
            <v>ONDACET 4MG (ONDASETRON) ORO-DISPER. B/4 CES</v>
          </cell>
        </row>
        <row r="1398">
          <cell r="B1398" t="str">
            <v>FG04912</v>
          </cell>
          <cell r="C1398" t="str">
            <v>OSTÉOTOMES AVEC POIGNÉE EN FIBRE - DROITE</v>
          </cell>
        </row>
        <row r="1399">
          <cell r="B1399" t="str">
            <v>FG04913</v>
          </cell>
          <cell r="C1399" t="str">
            <v>OTRINIQUE 0.1% (XYLOMETAZOLINE) GOUTTES 10ML</v>
          </cell>
        </row>
        <row r="1400">
          <cell r="B1400" t="str">
            <v>FG04914</v>
          </cell>
          <cell r="C1400" t="str">
            <v>PARAHIT F (DEVICE) 25 TEST</v>
          </cell>
        </row>
        <row r="1401">
          <cell r="B1401" t="str">
            <v>FG04915</v>
          </cell>
          <cell r="C1401" t="str">
            <v>PARAMED INFUSION (PARACETAMOL)</v>
          </cell>
        </row>
        <row r="1402">
          <cell r="B1402" t="str">
            <v>FG04916</v>
          </cell>
          <cell r="C1402" t="str">
            <v>PATIENT STRETCHER TROLLEY ML-M030</v>
          </cell>
        </row>
        <row r="1403">
          <cell r="B1403" t="str">
            <v>FG04917</v>
          </cell>
          <cell r="C1403" t="str">
            <v>PINCE À BIOPSIE JETABLE DIIA-2.3MM, LONG-2300MM</v>
          </cell>
        </row>
        <row r="1404">
          <cell r="B1404" t="str">
            <v>FG04918</v>
          </cell>
          <cell r="C1404" t="str">
            <v>PINCE A EPILATION</v>
          </cell>
        </row>
        <row r="1405">
          <cell r="B1405" t="str">
            <v>FG04919</v>
          </cell>
          <cell r="C1405" t="str">
            <v>PINCE DE SPENCER WELLS STÉRILE - DROITE - 14 CM</v>
          </cell>
        </row>
        <row r="1406">
          <cell r="B1406" t="str">
            <v>FG04920</v>
          </cell>
          <cell r="C1406" t="str">
            <v>PORTE AIGUILLE DE MAYO HEGAR, 18 CM</v>
          </cell>
        </row>
        <row r="1407">
          <cell r="B1407" t="str">
            <v>FG04921</v>
          </cell>
          <cell r="C1407" t="str">
            <v>PROMETHAZINE SP 100ML</v>
          </cell>
        </row>
        <row r="1408">
          <cell r="B1408" t="str">
            <v>FG04922</v>
          </cell>
          <cell r="C1408" t="str">
            <v>PYRAMAX PL/9 CP</v>
          </cell>
        </row>
        <row r="1409">
          <cell r="B1409" t="str">
            <v>FG04923</v>
          </cell>
          <cell r="C1409" t="str">
            <v>REFRIGERATEUR DE LABORATOIRE 2 A 8 DEGRES - 1500</v>
          </cell>
        </row>
        <row r="1410">
          <cell r="B1410" t="str">
            <v>FG04924</v>
          </cell>
          <cell r="C1410" t="str">
            <v>SOLUTION GIEMSA</v>
          </cell>
        </row>
        <row r="1411">
          <cell r="B1411" t="str">
            <v>FG04925</v>
          </cell>
          <cell r="C1411" t="str">
            <v>STERILISATEUR AUTOCLAVE - 18L (GPL/CHARBON )</v>
          </cell>
        </row>
        <row r="1412">
          <cell r="B1412" t="str">
            <v>FG04926</v>
          </cell>
          <cell r="C1412" t="str">
            <v>SWISS-CLAC (AMOXY,CLAVU) 1G B\1AMP</v>
          </cell>
        </row>
        <row r="1413">
          <cell r="B1413" t="str">
            <v>FG04927</v>
          </cell>
          <cell r="C1413" t="str">
            <v>TB TUBERCULIN PPD 1 TU / 0.1 ML 5 ML</v>
          </cell>
        </row>
        <row r="1414">
          <cell r="B1414" t="str">
            <v>FG04928</v>
          </cell>
          <cell r="C1414" t="str">
            <v>TETRACYCLINE POMMADE OPT, T/3G</v>
          </cell>
        </row>
        <row r="1415">
          <cell r="B1415" t="str">
            <v>FG04929</v>
          </cell>
          <cell r="C1415" t="str">
            <v>TOURNEVIS HEXAGONAL EMBOUT DE 3,5 MM</v>
          </cell>
        </row>
        <row r="1416">
          <cell r="B1416" t="str">
            <v>FG04930</v>
          </cell>
          <cell r="C1416" t="str">
            <v>UNICAINE PLUS (LIDOCAINE+ADRENALINE) INJ. FL/20ML</v>
          </cell>
        </row>
        <row r="1417">
          <cell r="B1417" t="str">
            <v>FG04931</v>
          </cell>
          <cell r="C1417" t="str">
            <v>UREA BERTHELOT 400 ML</v>
          </cell>
        </row>
        <row r="1418">
          <cell r="B1418" t="str">
            <v>FG04932</v>
          </cell>
          <cell r="C1418" t="str">
            <v>URINAL HOMME AVEC POIGNÉE INOX</v>
          </cell>
        </row>
        <row r="1419">
          <cell r="B1419" t="str">
            <v>FG04933</v>
          </cell>
          <cell r="C1419" t="str">
            <v>VIBRO-4MG (VECURONIUM) B/1AMP</v>
          </cell>
        </row>
        <row r="1420">
          <cell r="B1420" t="str">
            <v>FG04934</v>
          </cell>
          <cell r="C1420" t="str">
            <v>VITAMINE B.COMPLEXE 2ML INJ.B/10AMP</v>
          </cell>
        </row>
        <row r="1421">
          <cell r="B1421" t="str">
            <v>FG04935</v>
          </cell>
          <cell r="C1421" t="str">
            <v>VITAMINE C 500MG 5ML INJ. 10AMP</v>
          </cell>
        </row>
        <row r="1422">
          <cell r="B1422" t="str">
            <v>FG05698</v>
          </cell>
          <cell r="C1422" t="str">
            <v>ADALAT 20MG RETARD (EO) B/30 CES</v>
          </cell>
        </row>
        <row r="1423">
          <cell r="B1423" t="str">
            <v>FG05699</v>
          </cell>
          <cell r="C1423" t="str">
            <v>AA</v>
          </cell>
        </row>
        <row r="1424">
          <cell r="B1424" t="str">
            <v>FG05700</v>
          </cell>
          <cell r="C1424" t="str">
            <v>ADALATE LP 20MG 30CAP (FR)</v>
          </cell>
        </row>
        <row r="1425">
          <cell r="B1425" t="str">
            <v>FG05701</v>
          </cell>
          <cell r="C1425" t="str">
            <v>ALDACTONE 25MG B/20CES (GR)</v>
          </cell>
        </row>
        <row r="1426">
          <cell r="B1426" t="str">
            <v>FG05702</v>
          </cell>
          <cell r="C1426" t="str">
            <v>ALOPATE 45GR (FR)</v>
          </cell>
        </row>
        <row r="1427">
          <cell r="B1427" t="str">
            <v>FG05703</v>
          </cell>
          <cell r="C1427" t="str">
            <v>AMLOR 5MG B56CES (FR)</v>
          </cell>
        </row>
        <row r="1428">
          <cell r="B1428" t="str">
            <v>FG05704</v>
          </cell>
          <cell r="C1428" t="str">
            <v>ANDROTARDYL 250MG I.M. 1ML (FR)</v>
          </cell>
        </row>
        <row r="1429">
          <cell r="B1429" t="str">
            <v>FG05705</v>
          </cell>
          <cell r="C1429" t="str">
            <v>APAZIDE SUSP BUV 100MG 4% (EO)</v>
          </cell>
        </row>
        <row r="1430">
          <cell r="B1430" t="str">
            <v>FG05706</v>
          </cell>
          <cell r="C1430" t="str">
            <v>APPAREIL DECG</v>
          </cell>
        </row>
        <row r="1431">
          <cell r="B1431" t="str">
            <v>FG05707</v>
          </cell>
          <cell r="C1431" t="str">
            <v>ARTOTEC 50MG B/30CES (FR)</v>
          </cell>
        </row>
        <row r="1432">
          <cell r="B1432" t="str">
            <v>FG05708</v>
          </cell>
          <cell r="C1432" t="str">
            <v>ASPIRINE UPSA VIT C 330MG 2TX10" (FR)</v>
          </cell>
        </row>
        <row r="1433">
          <cell r="B1433" t="str">
            <v>FG05709</v>
          </cell>
          <cell r="C1433" t="str">
            <v>ATROVENT SOLUTION 0.03 15ML(FR)</v>
          </cell>
        </row>
        <row r="1434">
          <cell r="B1434" t="str">
            <v>FG05710</v>
          </cell>
          <cell r="C1434" t="str">
            <v>AUGMENTIN INJ. 500/50 B/1AMP (FR)</v>
          </cell>
        </row>
        <row r="1435">
          <cell r="B1435" t="str">
            <v>FG05711</v>
          </cell>
          <cell r="C1435" t="str">
            <v>AUREOMYCINE 3% MONOT 15GR(FR)</v>
          </cell>
        </row>
        <row r="1436">
          <cell r="B1436" t="str">
            <v>FG05712</v>
          </cell>
          <cell r="C1436" t="str">
            <v>AUREOMYCINE VALDA 1% OPHT 5G(FR)</v>
          </cell>
        </row>
        <row r="1437">
          <cell r="B1437" t="str">
            <v>FG05713</v>
          </cell>
          <cell r="C1437" t="str">
            <v>AVODART 0.5MG B/30CES (FR)</v>
          </cell>
        </row>
        <row r="1438">
          <cell r="B1438" t="str">
            <v>FG05714</v>
          </cell>
          <cell r="C1438" t="str">
            <v>AZANTAC 150MG EFF 30CES (FR)</v>
          </cell>
        </row>
        <row r="1439">
          <cell r="B1439" t="str">
            <v>FG05715</v>
          </cell>
          <cell r="C1439" t="str">
            <v>AZANTAC 300MG 14 CES EFF. (FR)</v>
          </cell>
        </row>
        <row r="1440">
          <cell r="B1440" t="str">
            <v>FG05716</v>
          </cell>
          <cell r="C1440" t="str">
            <v>AZANTAC 75MG EFF. 14CES (FR)</v>
          </cell>
        </row>
        <row r="1441">
          <cell r="B1441" t="str">
            <v>FG05717</v>
          </cell>
          <cell r="C1441" t="str">
            <v>AZIX 1500MG SUS 37.5ML (EO)</v>
          </cell>
        </row>
        <row r="1442">
          <cell r="B1442" t="str">
            <v>FG05718</v>
          </cell>
          <cell r="C1442" t="str">
            <v>AZYTER 15MG COLLYRE 6/UNIDOSES</v>
          </cell>
        </row>
        <row r="1443">
          <cell r="B1443" t="str">
            <v>FG05719</v>
          </cell>
          <cell r="C1443" t="str">
            <v>BACTIFLOX 500MG 10CES(FR)</v>
          </cell>
        </row>
        <row r="1444">
          <cell r="B1444" t="str">
            <v>FG05720</v>
          </cell>
          <cell r="C1444" t="str">
            <v>BACTOX 500MG PL DE 10 CAPS</v>
          </cell>
        </row>
        <row r="1445">
          <cell r="B1445" t="str">
            <v>FG05721</v>
          </cell>
          <cell r="C1445" t="str">
            <v>BALANCE PÈSE BÉBÉ MÉCANIQUE</v>
          </cell>
        </row>
        <row r="1446">
          <cell r="B1446" t="str">
            <v>FG05722</v>
          </cell>
          <cell r="C1446" t="str">
            <v>BECONASE 50 AEROSOL 200DOSES</v>
          </cell>
        </row>
        <row r="1447">
          <cell r="B1447" t="str">
            <v>FG05723</v>
          </cell>
          <cell r="C1447" t="str">
            <v>BECOTIDE 250 INHAL BUC 200DOS (EO)^^^</v>
          </cell>
        </row>
        <row r="1448">
          <cell r="B1448" t="str">
            <v>FG05724</v>
          </cell>
          <cell r="C1448" t="str">
            <v>BECOTIDE AER 50MCG (FR)</v>
          </cell>
        </row>
        <row r="1449">
          <cell r="B1449" t="str">
            <v>FG05725</v>
          </cell>
          <cell r="C1449" t="str">
            <v>BECOZYM 20CES (EO)</v>
          </cell>
        </row>
        <row r="1450">
          <cell r="B1450" t="str">
            <v>FG05726</v>
          </cell>
          <cell r="C1450" t="str">
            <v>BI PROFENID 100 MG 20CES (FR)</v>
          </cell>
        </row>
        <row r="1451">
          <cell r="B1451" t="str">
            <v>FG05727</v>
          </cell>
          <cell r="C1451" t="str">
            <v>BI PROFENID B/30CES 150MG</v>
          </cell>
        </row>
        <row r="1452">
          <cell r="B1452" t="str">
            <v>FG05728</v>
          </cell>
          <cell r="C1452" t="str">
            <v>BIAFINE EMULSION 93G (E.O.)</v>
          </cell>
        </row>
        <row r="1453">
          <cell r="B1453" t="str">
            <v>FG05729</v>
          </cell>
          <cell r="C1453" t="str">
            <v>BINOZYT 250MG 6 GELULES (FR)</v>
          </cell>
        </row>
        <row r="1454">
          <cell r="B1454" t="str">
            <v>FG05730</v>
          </cell>
          <cell r="C1454" t="str">
            <v>BIODROXYL 1000MG GELULES B/12 (FR)</v>
          </cell>
        </row>
        <row r="1455">
          <cell r="B1455" t="str">
            <v>FG05731</v>
          </cell>
          <cell r="C1455" t="str">
            <v>BIODROXYL 12GELULES 500MG (FR)</v>
          </cell>
        </row>
        <row r="1456">
          <cell r="B1456" t="str">
            <v>FG05732</v>
          </cell>
          <cell r="C1456" t="str">
            <v>BISOPROLOL 10MG B/28CES (FR) $$</v>
          </cell>
        </row>
        <row r="1457">
          <cell r="B1457" t="str">
            <v>FG05733</v>
          </cell>
          <cell r="C1457" t="str">
            <v>BOITE MATERNITÉ</v>
          </cell>
        </row>
        <row r="1458">
          <cell r="B1458" t="str">
            <v>FG05734</v>
          </cell>
          <cell r="C1458" t="str">
            <v>BOTTE POUR BLOC OPERATOIRE EN PVC</v>
          </cell>
        </row>
        <row r="1459">
          <cell r="B1459" t="str">
            <v>FG05735</v>
          </cell>
          <cell r="C1459" t="str">
            <v>BRIMO (BRIMONIDINE) 0.2% COLLYRE FL5ML</v>
          </cell>
        </row>
        <row r="1460">
          <cell r="B1460" t="str">
            <v>FG05736</v>
          </cell>
          <cell r="C1460" t="str">
            <v>BRUMED 400MG B/100CES(FR)</v>
          </cell>
        </row>
        <row r="1461">
          <cell r="B1461" t="str">
            <v>FG05737</v>
          </cell>
          <cell r="C1461" t="str">
            <v>CALCUIM ACTIVE DENK B/20CES</v>
          </cell>
        </row>
        <row r="1462">
          <cell r="B1462" t="str">
            <v>FG05738</v>
          </cell>
          <cell r="C1462" t="str">
            <v>CANDEREL B/100 SACHET ***</v>
          </cell>
        </row>
        <row r="1463">
          <cell r="B1463" t="str">
            <v>FG05739</v>
          </cell>
          <cell r="C1463" t="str">
            <v>CARDIO ASPIRIN 100MG 28CES(FR)</v>
          </cell>
        </row>
        <row r="1464">
          <cell r="B1464" t="str">
            <v>FG05740</v>
          </cell>
          <cell r="C1464" t="str">
            <v>CASSETTE + ÉCRAN RENFORÇATEUR STANDARD 35*43</v>
          </cell>
        </row>
        <row r="1465">
          <cell r="B1465" t="str">
            <v>FG05741</v>
          </cell>
          <cell r="C1465" t="str">
            <v>CEBESINE 0.4% COLLYRE 10ML (FR)</v>
          </cell>
        </row>
        <row r="1466">
          <cell r="B1466" t="str">
            <v>FG05742</v>
          </cell>
          <cell r="C1466" t="str">
            <v>CEFAXONE 1G IV B/1 (FR)</v>
          </cell>
        </row>
        <row r="1467">
          <cell r="B1467" t="str">
            <v>FG05743</v>
          </cell>
          <cell r="C1467" t="str">
            <v>CELESTAMINE 30CES (EO)</v>
          </cell>
        </row>
        <row r="1468">
          <cell r="B1468" t="str">
            <v>FG05744</v>
          </cell>
          <cell r="C1468" t="str">
            <v>CHAISES POUR SALLE D’ATTENTE</v>
          </cell>
        </row>
        <row r="1469">
          <cell r="B1469" t="str">
            <v>FG05745</v>
          </cell>
          <cell r="C1469" t="str">
            <v>CHLOREXIDINE 4% (CETRIMINE) 1LT</v>
          </cell>
        </row>
        <row r="1470">
          <cell r="B1470" t="str">
            <v>FG05746</v>
          </cell>
          <cell r="C1470" t="str">
            <v>CINABAC (CIPROFLOXACINE) @250MG@ 10CAPS GENPHARMA</v>
          </cell>
        </row>
        <row r="1471">
          <cell r="B1471" t="str">
            <v>FG05747</v>
          </cell>
          <cell r="C1471" t="str">
            <v>CLARITYNE SIROP 60ML (FR)</v>
          </cell>
        </row>
        <row r="1472">
          <cell r="B1472" t="str">
            <v>FG05748</v>
          </cell>
          <cell r="C1472" t="str">
            <v>CLOFAINS 10CES(FR)</v>
          </cell>
        </row>
        <row r="1473">
          <cell r="B1473" t="str">
            <v>FG05749</v>
          </cell>
          <cell r="C1473" t="str">
            <v>COARTEM 20/120MG ****CES/24CE**** (FR)</v>
          </cell>
        </row>
        <row r="1474">
          <cell r="B1474" t="str">
            <v>FG05750</v>
          </cell>
          <cell r="C1474" t="str">
            <v>CONCENTREUR DOXYGÈNES 5LITRE</v>
          </cell>
        </row>
        <row r="1475">
          <cell r="B1475" t="str">
            <v>FG05751</v>
          </cell>
          <cell r="C1475" t="str">
            <v>COVALSAR DENK 80/12.5 B/28 CES (FR)</v>
          </cell>
        </row>
        <row r="1476">
          <cell r="B1476" t="str">
            <v>FG05752</v>
          </cell>
          <cell r="C1476" t="str">
            <v>CYTOTEC PL 10CES @@@@</v>
          </cell>
        </row>
        <row r="1477">
          <cell r="B1477" t="str">
            <v>FG05753</v>
          </cell>
          <cell r="C1477" t="str">
            <v>DAFALGAN 500MG 32CES EFF. (FR)</v>
          </cell>
        </row>
        <row r="1478">
          <cell r="B1478" t="str">
            <v>FG05754</v>
          </cell>
          <cell r="C1478" t="str">
            <v>DALACIN 300MG/2ML INJ B/1AMP</v>
          </cell>
        </row>
        <row r="1479">
          <cell r="B1479" t="str">
            <v>FG05755</v>
          </cell>
          <cell r="C1479" t="str">
            <v>DICETEL 100MG 20CES (FR) $$</v>
          </cell>
        </row>
        <row r="1480">
          <cell r="B1480" t="str">
            <v>FG05756</v>
          </cell>
          <cell r="C1480" t="str">
            <v>DOLIPRANE 1G AD B/8SACH (FR)</v>
          </cell>
        </row>
        <row r="1481">
          <cell r="B1481" t="str">
            <v>FG05757</v>
          </cell>
          <cell r="C1481" t="str">
            <v>DOSTINEX 0.5MG B/2CES (FR)</v>
          </cell>
        </row>
        <row r="1482">
          <cell r="B1482" t="str">
            <v>FG05758</v>
          </cell>
          <cell r="C1482" t="str">
            <v>DRAPS DE LITS</v>
          </cell>
        </row>
        <row r="1483">
          <cell r="B1483" t="str">
            <v>FG05759</v>
          </cell>
          <cell r="C1483" t="str">
            <v>DULOXETINE SANDOZ 60MG B/28 CAP</v>
          </cell>
        </row>
        <row r="1484">
          <cell r="B1484" t="str">
            <v>FG05760</v>
          </cell>
          <cell r="C1484" t="str">
            <v>EFFORTIL 5MG 30CES (FR)</v>
          </cell>
        </row>
        <row r="1485">
          <cell r="B1485" t="str">
            <v>FG05761</v>
          </cell>
          <cell r="C1485" t="str">
            <v>EFFORTIL GOUTTE 30ML(FR)</v>
          </cell>
        </row>
        <row r="1486">
          <cell r="B1486" t="str">
            <v>FG05762</v>
          </cell>
          <cell r="C1486" t="str">
            <v>ELICA 0.1% POMMADE</v>
          </cell>
        </row>
        <row r="1487">
          <cell r="B1487" t="str">
            <v>FG05763</v>
          </cell>
          <cell r="C1487" t="str">
            <v>ELUDRIL COLUTOIRE 55ML(FR)</v>
          </cell>
        </row>
        <row r="1488">
          <cell r="B1488" t="str">
            <v>FG05764</v>
          </cell>
          <cell r="C1488" t="str">
            <v>EPICRANIAN 25G ORAN PCS/10</v>
          </cell>
        </row>
        <row r="1489">
          <cell r="B1489" t="str">
            <v>FG05765</v>
          </cell>
          <cell r="C1489" t="str">
            <v>EQOUTTOIR</v>
          </cell>
        </row>
        <row r="1490">
          <cell r="B1490" t="str">
            <v>FG05766</v>
          </cell>
          <cell r="C1490" t="str">
            <v>EURAX CREAM 60GR 10% (EO)</v>
          </cell>
        </row>
        <row r="1491">
          <cell r="B1491" t="str">
            <v>FG05767</v>
          </cell>
          <cell r="C1491" t="str">
            <v>EXACYL INJ B\6AMP @@@@@@</v>
          </cell>
        </row>
        <row r="1492">
          <cell r="B1492" t="str">
            <v>FG05768</v>
          </cell>
          <cell r="C1492" t="str">
            <v>EYES BLUE AZUR 15ML (EO)</v>
          </cell>
        </row>
        <row r="1493">
          <cell r="B1493" t="str">
            <v>FG05769</v>
          </cell>
          <cell r="C1493" t="str">
            <v>FECOND 100(PROGESTERONE 100MG) B/15 CAP</v>
          </cell>
        </row>
        <row r="1494">
          <cell r="B1494" t="str">
            <v>FG05770</v>
          </cell>
          <cell r="C1494" t="str">
            <v>FELDENE 10MG 20GELULES (FR)</v>
          </cell>
        </row>
        <row r="1495">
          <cell r="B1495" t="str">
            <v>FG05771</v>
          </cell>
          <cell r="C1495" t="str">
            <v>FIL A CORDON OMBILICAL, 3 MM X 15 CM</v>
          </cell>
        </row>
        <row r="1496">
          <cell r="B1496" t="str">
            <v>FG05772</v>
          </cell>
          <cell r="C1496" t="str">
            <v>FILM 35X43 B/100PCS</v>
          </cell>
        </row>
        <row r="1497">
          <cell r="B1497" t="str">
            <v>FG05773</v>
          </cell>
          <cell r="C1497" t="str">
            <v>FIXE CHAMPS</v>
          </cell>
        </row>
        <row r="1498">
          <cell r="B1498" t="str">
            <v>FG05774</v>
          </cell>
          <cell r="C1498" t="str">
            <v>FLOXAPEN 125MG SIROP 60ML (FR)</v>
          </cell>
        </row>
        <row r="1499">
          <cell r="B1499" t="str">
            <v>FG05775</v>
          </cell>
          <cell r="C1499" t="str">
            <v>FLUCANAZOL 150MG 1CAP(FR)</v>
          </cell>
        </row>
        <row r="1500">
          <cell r="B1500" t="str">
            <v>FG05776</v>
          </cell>
          <cell r="C1500" t="str">
            <v>FLUMINOC (ARTENETHER) 80MG+480MG B/6CES</v>
          </cell>
        </row>
        <row r="1501">
          <cell r="B1501" t="str">
            <v>FG05777</v>
          </cell>
          <cell r="C1501" t="str">
            <v>FURADANTINE 21CES(FR)</v>
          </cell>
        </row>
        <row r="1502">
          <cell r="B1502" t="str">
            <v>FG05778</v>
          </cell>
          <cell r="C1502" t="str">
            <v>GANT PLOMBIER</v>
          </cell>
        </row>
        <row r="1503">
          <cell r="B1503" t="str">
            <v>FG05779</v>
          </cell>
          <cell r="C1503" t="str">
            <v>GENTALLINE COLLYRE 5ML(EO)</v>
          </cell>
        </row>
        <row r="1504">
          <cell r="B1504" t="str">
            <v>FG05780</v>
          </cell>
          <cell r="C1504" t="str">
            <v>GLICERINE GILB 60ML(FR)</v>
          </cell>
        </row>
        <row r="1505">
          <cell r="B1505" t="str">
            <v>FG05781</v>
          </cell>
          <cell r="C1505" t="str">
            <v>GLYCERINE COOPER 100ML (EO)</v>
          </cell>
        </row>
        <row r="1506">
          <cell r="B1506" t="str">
            <v>FG05782</v>
          </cell>
          <cell r="C1506" t="str">
            <v>GRANDS CHAMPS OPÉRATOIRE</v>
          </cell>
        </row>
        <row r="1507">
          <cell r="B1507" t="str">
            <v>FG05783</v>
          </cell>
          <cell r="C1507" t="str">
            <v>GRISEOFULVINE 250MG 10CES (SPECI.)</v>
          </cell>
        </row>
        <row r="1508">
          <cell r="B1508" t="str">
            <v>FG05784</v>
          </cell>
          <cell r="C1508" t="str">
            <v>HEXOMEDINE SOLUTION 45ML</v>
          </cell>
        </row>
        <row r="1509">
          <cell r="B1509" t="str">
            <v>FG05785</v>
          </cell>
          <cell r="C1509" t="str">
            <v>HICONCIL 125MG SP 60ML</v>
          </cell>
        </row>
        <row r="1510">
          <cell r="B1510" t="str">
            <v>FG05786</v>
          </cell>
          <cell r="C1510" t="str">
            <v>HICONCIL 250MG SP 60ML</v>
          </cell>
        </row>
        <row r="1511">
          <cell r="B1511" t="str">
            <v>FG05787</v>
          </cell>
          <cell r="C1511" t="str">
            <v>HICONCIL 500MG BT/12CAPS</v>
          </cell>
        </row>
        <row r="1512">
          <cell r="B1512" t="str">
            <v>FG05788</v>
          </cell>
          <cell r="C1512" t="str">
            <v>IBUPROFEN LOGI 600MG B/20CES (EO)</v>
          </cell>
        </row>
        <row r="1513">
          <cell r="B1513" t="str">
            <v>FG05789</v>
          </cell>
          <cell r="C1513" t="str">
            <v>IBUPROFENE 400 MG 10X10 CES (GENERIC)</v>
          </cell>
        </row>
        <row r="1514">
          <cell r="B1514" t="str">
            <v>FG05790</v>
          </cell>
          <cell r="C1514" t="str">
            <v>IMMUNOPLEX N (INTERFERON ALPHA ) B/30CES (EO)</v>
          </cell>
        </row>
        <row r="1515">
          <cell r="B1515" t="str">
            <v>FG05791</v>
          </cell>
          <cell r="C1515" t="str">
            <v>INDERAL 40MG B/100CES (EO)</v>
          </cell>
        </row>
        <row r="1516">
          <cell r="B1516" t="str">
            <v>FG05792</v>
          </cell>
          <cell r="C1516" t="str">
            <v>INNOTEX LARGE PCS/3</v>
          </cell>
        </row>
        <row r="1517">
          <cell r="B1517" t="str">
            <v>FG05793</v>
          </cell>
          <cell r="C1517" t="str">
            <v>INSULINE INSULATARD 100UI 10ML (EO)</v>
          </cell>
        </row>
        <row r="1518">
          <cell r="B1518" t="str">
            <v>FG05794</v>
          </cell>
          <cell r="C1518" t="str">
            <v>KARDEGIC 300MG SACH B/30(FR)</v>
          </cell>
        </row>
        <row r="1519">
          <cell r="B1519" t="str">
            <v>FG05795</v>
          </cell>
          <cell r="C1519" t="str">
            <v>KARDEGIC 75MG SACH B/30(FR)</v>
          </cell>
        </row>
        <row r="1520">
          <cell r="B1520" t="str">
            <v>FG05796</v>
          </cell>
          <cell r="C1520" t="str">
            <v>KETUM 2.5% GEL 60G. (FR)</v>
          </cell>
        </row>
        <row r="1521">
          <cell r="B1521" t="str">
            <v>FG05797</v>
          </cell>
          <cell r="C1521" t="str">
            <v>KIT CVC - J TIP TRIPLE LUMEN 7FR 16CM</v>
          </cell>
        </row>
        <row r="1522">
          <cell r="B1522" t="str">
            <v>FG05798</v>
          </cell>
          <cell r="C1522" t="str">
            <v>KIT P.P.E</v>
          </cell>
        </row>
        <row r="1523">
          <cell r="B1523" t="str">
            <v>FG05799</v>
          </cell>
          <cell r="C1523" t="str">
            <v>LAMISIL 1% CREME 15GR (FR)</v>
          </cell>
        </row>
        <row r="1524">
          <cell r="B1524" t="str">
            <v>FG05800</v>
          </cell>
          <cell r="C1524" t="str">
            <v>LAMISIL 1% CREME 7.5GR (FR)</v>
          </cell>
        </row>
        <row r="1525">
          <cell r="B1525" t="str">
            <v>FG05801</v>
          </cell>
          <cell r="C1525" t="str">
            <v>LAMISIL 250MG 14CES</v>
          </cell>
        </row>
        <row r="1526">
          <cell r="B1526" t="str">
            <v>FG05802</v>
          </cell>
          <cell r="C1526" t="str">
            <v>LARGATIL 100MG PL 10CES (EO) &amp;&amp;&amp;</v>
          </cell>
        </row>
        <row r="1527">
          <cell r="B1527" t="str">
            <v>FG05803</v>
          </cell>
          <cell r="C1527" t="str">
            <v>LARIAM BOITE DE 8 CES (FR)</v>
          </cell>
        </row>
        <row r="1528">
          <cell r="B1528" t="str">
            <v>FG05804</v>
          </cell>
          <cell r="C1528" t="str">
            <v>LASILIX AMP INJ 20MG 2ML (EO)^^^</v>
          </cell>
        </row>
        <row r="1529">
          <cell r="B1529" t="str">
            <v>FG05805</v>
          </cell>
          <cell r="C1529" t="str">
            <v>LATANO (LATANOPROST) COLLYRE 0.005% FL/2.25L</v>
          </cell>
        </row>
        <row r="1530">
          <cell r="B1530" t="str">
            <v>FG05806</v>
          </cell>
          <cell r="C1530" t="str">
            <v>LATANOCOM CY FL/2.5ML</v>
          </cell>
        </row>
        <row r="1531">
          <cell r="B1531" t="str">
            <v>FG05807</v>
          </cell>
          <cell r="C1531" t="str">
            <v>LEMOCIN A SUCER 50CES (FR)</v>
          </cell>
        </row>
        <row r="1532">
          <cell r="B1532" t="str">
            <v>FG05808</v>
          </cell>
          <cell r="C1532" t="str">
            <v>LEUCODININE B POMMADE 30GR (FR)</v>
          </cell>
        </row>
        <row r="1533">
          <cell r="B1533" t="str">
            <v>FG05809</v>
          </cell>
          <cell r="C1533" t="str">
            <v>LIDOCAINE+ADRENALINE 2% FL/30ML</v>
          </cell>
        </row>
        <row r="1534">
          <cell r="B1534" t="str">
            <v>FG05810</v>
          </cell>
          <cell r="C1534" t="str">
            <v>LISINOPRIL 20MG B/20 CES</v>
          </cell>
        </row>
        <row r="1535">
          <cell r="B1535" t="str">
            <v>FG05811</v>
          </cell>
          <cell r="C1535" t="str">
            <v>LONGAMYCINE 200MG B/8CES (EO)</v>
          </cell>
        </row>
        <row r="1536">
          <cell r="B1536" t="str">
            <v>FG05812</v>
          </cell>
          <cell r="C1536" t="str">
            <v>LOSAR DENK 100 B/28CES</v>
          </cell>
        </row>
        <row r="1537">
          <cell r="B1537" t="str">
            <v>FG05813</v>
          </cell>
          <cell r="C1537" t="str">
            <v>LOSAR DENK 50 B/28 CES</v>
          </cell>
        </row>
        <row r="1538">
          <cell r="B1538" t="str">
            <v>FG05814</v>
          </cell>
          <cell r="C1538" t="str">
            <v>MAGNESPASMYL 100 CES</v>
          </cell>
        </row>
        <row r="1539">
          <cell r="B1539" t="str">
            <v>FG05815</v>
          </cell>
          <cell r="C1539" t="str">
            <v>MARIMER (STERIMAR) SPRAY NASAL 100ML (FR) $$</v>
          </cell>
        </row>
        <row r="1540">
          <cell r="B1540" t="str">
            <v>FG05816</v>
          </cell>
          <cell r="C1540" t="str">
            <v>MARIMER SPRAY NASAL 100ML (FR) $$</v>
          </cell>
        </row>
        <row r="1541">
          <cell r="B1541" t="str">
            <v>FG05817</v>
          </cell>
          <cell r="C1541" t="str">
            <v>MENOPUR 75UI 1AMP (FR)</v>
          </cell>
        </row>
        <row r="1542">
          <cell r="B1542" t="str">
            <v>FG05818</v>
          </cell>
          <cell r="C1542" t="str">
            <v>METHERGINE 10ML GOUTTE(ESP)</v>
          </cell>
        </row>
        <row r="1543">
          <cell r="B1543" t="str">
            <v>FG05819</v>
          </cell>
          <cell r="C1543" t="str">
            <v>METHOTREXATE 2.5MG 20CES (EO)###</v>
          </cell>
        </row>
        <row r="1544">
          <cell r="B1544" t="str">
            <v>FG05820</v>
          </cell>
          <cell r="C1544" t="str">
            <v>MICOZAL 2% CREME 15GR (FR)</v>
          </cell>
        </row>
        <row r="1545">
          <cell r="B1545" t="str">
            <v>FG05821</v>
          </cell>
          <cell r="C1545" t="str">
            <v>MICROPIPETTE 10 200UI</v>
          </cell>
        </row>
        <row r="1546">
          <cell r="B1546" t="str">
            <v>FG05822</v>
          </cell>
          <cell r="C1546" t="str">
            <v>MICROSCOPE ELECT. BINOCULAIRE</v>
          </cell>
        </row>
        <row r="1547">
          <cell r="B1547" t="str">
            <v>FG05823</v>
          </cell>
          <cell r="C1547" t="str">
            <v>MITOMYCINE 2MG 2ML B/1AMP(EO)</v>
          </cell>
        </row>
        <row r="1548">
          <cell r="B1548" t="str">
            <v>FG05824</v>
          </cell>
          <cell r="C1548" t="str">
            <v>MONITEUR DE SIGNES VITAUX</v>
          </cell>
        </row>
        <row r="1549">
          <cell r="B1549" t="str">
            <v>FG05825</v>
          </cell>
          <cell r="C1549" t="str">
            <v>MOPRAL 10MG 14CAPS (FR)</v>
          </cell>
        </row>
        <row r="1550">
          <cell r="B1550" t="str">
            <v>FG05826</v>
          </cell>
          <cell r="C1550" t="str">
            <v>MOPRAL 20MG 14CAPS (E.O.)</v>
          </cell>
        </row>
        <row r="1551">
          <cell r="B1551" t="str">
            <v>FG05827</v>
          </cell>
          <cell r="C1551" t="str">
            <v>MOTILIUM PED. SIROP 100ML(FR)</v>
          </cell>
        </row>
        <row r="1552">
          <cell r="B1552" t="str">
            <v>FG05828</v>
          </cell>
          <cell r="C1552" t="str">
            <v>NABYOL FORT B/50CES (EO)</v>
          </cell>
        </row>
        <row r="1553">
          <cell r="B1553" t="str">
            <v>FG05829</v>
          </cell>
          <cell r="C1553" t="str">
            <v>NAPROSYNE 1GR 8CES</v>
          </cell>
        </row>
        <row r="1554">
          <cell r="B1554" t="str">
            <v>FG05830</v>
          </cell>
          <cell r="C1554" t="str">
            <v>NEGATOSCOPE A 2 PLACES</v>
          </cell>
        </row>
        <row r="1555">
          <cell r="B1555" t="str">
            <v>FG05831</v>
          </cell>
          <cell r="C1555" t="str">
            <v>NOOTROPYL 30 AMPOULES BUVABLES (FR)</v>
          </cell>
        </row>
        <row r="1556">
          <cell r="B1556" t="str">
            <v>FG05832</v>
          </cell>
          <cell r="C1556" t="str">
            <v>NUCLEO CMP INJ 3AMP (FR)</v>
          </cell>
        </row>
        <row r="1557">
          <cell r="B1557" t="str">
            <v>FG05833</v>
          </cell>
          <cell r="C1557" t="str">
            <v>OESTROGEL 80GR (FR)</v>
          </cell>
        </row>
        <row r="1558">
          <cell r="B1558" t="str">
            <v>FG05834</v>
          </cell>
          <cell r="C1558" t="str">
            <v>OFLOCET 200MG/40ML I.V. B/1AMP (FR)</v>
          </cell>
        </row>
        <row r="1559">
          <cell r="B1559" t="str">
            <v>FG05835</v>
          </cell>
          <cell r="C1559" t="str">
            <v>OLFEN 100MG CAPS B/10</v>
          </cell>
        </row>
        <row r="1560">
          <cell r="B1560" t="str">
            <v>FG05836</v>
          </cell>
          <cell r="C1560" t="str">
            <v>OLFEN 75MG SR B/30CES (DICLOFENAC RET.)</v>
          </cell>
        </row>
        <row r="1561">
          <cell r="B1561" t="str">
            <v>FG05837</v>
          </cell>
          <cell r="C1561" t="str">
            <v>OLOPAT (OLOPATADINE) 0.1% COLLYRE FL /5ML</v>
          </cell>
        </row>
        <row r="1562">
          <cell r="B1562" t="str">
            <v>FG05838</v>
          </cell>
          <cell r="C1562" t="str">
            <v>OMNIPAQUE 350MG 100ML (FR)</v>
          </cell>
        </row>
        <row r="1563">
          <cell r="B1563" t="str">
            <v>FG05839</v>
          </cell>
          <cell r="C1563" t="str">
            <v>OPTICRON COOLYRE--10 UNIDOSES(FR)</v>
          </cell>
        </row>
        <row r="1564">
          <cell r="B1564" t="str">
            <v>FG05840</v>
          </cell>
          <cell r="C1564" t="str">
            <v>OPTIDEX T (TOBRE+DEXA) COLLYRE 5ML</v>
          </cell>
        </row>
        <row r="1565">
          <cell r="B1565" t="str">
            <v>FG05841</v>
          </cell>
          <cell r="C1565" t="str">
            <v>OSPAMOX 125MG/5ML SUSP. 60ML</v>
          </cell>
        </row>
        <row r="1566">
          <cell r="B1566" t="str">
            <v>FG05842</v>
          </cell>
          <cell r="C1566" t="str">
            <v>OTOCALMINE 8ML AURIC GTTE (FR)</v>
          </cell>
        </row>
        <row r="1567">
          <cell r="B1567" t="str">
            <v>FG05843</v>
          </cell>
          <cell r="C1567" t="str">
            <v>OXOLAMOL (DORZOLAMIDE + TIMOLO) COLLYRE 5ML</v>
          </cell>
        </row>
        <row r="1568">
          <cell r="B1568" t="str">
            <v>FG05844</v>
          </cell>
          <cell r="C1568" t="str">
            <v>PANADOL 20CES 500MG (FR)</v>
          </cell>
        </row>
        <row r="1569">
          <cell r="B1569" t="str">
            <v>FG05845</v>
          </cell>
          <cell r="C1569" t="str">
            <v>PERFALGAN 0.5GR 1AMP SOL PERF ENF</v>
          </cell>
        </row>
        <row r="1570">
          <cell r="B1570" t="str">
            <v>FG05846</v>
          </cell>
          <cell r="C1570" t="str">
            <v>PINCE ANATOMIE 14CM</v>
          </cell>
        </row>
        <row r="1571">
          <cell r="B1571" t="str">
            <v>FG05847</v>
          </cell>
          <cell r="C1571" t="str">
            <v>PINCE EN CŒUR</v>
          </cell>
        </row>
        <row r="1572">
          <cell r="B1572" t="str">
            <v>FG05848</v>
          </cell>
          <cell r="C1572" t="str">
            <v>PINCES ALICES</v>
          </cell>
        </row>
        <row r="1573">
          <cell r="B1573" t="str">
            <v>FG05849</v>
          </cell>
          <cell r="C1573" t="str">
            <v>PRAXILENE 100MG 20 GELULE (FR)</v>
          </cell>
        </row>
        <row r="1574">
          <cell r="B1574" t="str">
            <v>FG05850</v>
          </cell>
          <cell r="C1574" t="str">
            <v>PRIMPERAN 10MG B/40CES (FR)</v>
          </cell>
        </row>
        <row r="1575">
          <cell r="B1575" t="str">
            <v>FG05851</v>
          </cell>
          <cell r="C1575" t="str">
            <v>PROCTO-GLYVENOL 400 MG 10 SUPPO (FR)</v>
          </cell>
        </row>
        <row r="1576">
          <cell r="B1576" t="str">
            <v>FG05852</v>
          </cell>
          <cell r="C1576" t="str">
            <v>PROTAMINE 1000 5 ML 5 AMP (EO)^^^</v>
          </cell>
        </row>
        <row r="1577">
          <cell r="B1577" t="str">
            <v>FG05853</v>
          </cell>
          <cell r="C1577" t="str">
            <v>PROTEC PILL CP B/2</v>
          </cell>
        </row>
        <row r="1578">
          <cell r="B1578" t="str">
            <v>FG05854</v>
          </cell>
          <cell r="C1578" t="str">
            <v>RHUMAGRIP 16CES</v>
          </cell>
        </row>
        <row r="1579">
          <cell r="B1579" t="str">
            <v>FG05855</v>
          </cell>
          <cell r="C1579" t="str">
            <v>ROCEPHINE 500MG IV INJ B/1AMP (EO)</v>
          </cell>
        </row>
        <row r="1580">
          <cell r="B1580" t="str">
            <v>FG05856</v>
          </cell>
          <cell r="C1580" t="str">
            <v>RULID 150MG 10CES (FR)</v>
          </cell>
        </row>
        <row r="1581">
          <cell r="B1581" t="str">
            <v>FG05857</v>
          </cell>
          <cell r="C1581" t="str">
            <v>SARIDON 10CES (FR)</v>
          </cell>
        </row>
        <row r="1582">
          <cell r="B1582" t="str">
            <v>FG05858</v>
          </cell>
          <cell r="C1582" t="str">
            <v>SENSODYNE PRO BLANCHER 75ML</v>
          </cell>
        </row>
        <row r="1583">
          <cell r="B1583" t="str">
            <v>FG05859</v>
          </cell>
          <cell r="C1583" t="str">
            <v>SKILAX GOUTTES (EO)</v>
          </cell>
        </row>
        <row r="1584">
          <cell r="B1584" t="str">
            <v>FG05860</v>
          </cell>
          <cell r="C1584" t="str">
            <v>SOLUBACTER SOLUTION 150ML</v>
          </cell>
        </row>
        <row r="1585">
          <cell r="B1585" t="str">
            <v>FG05861</v>
          </cell>
          <cell r="C1585" t="str">
            <v>SOLUPRED 5MG EFF B/30CES(EO)^^^</v>
          </cell>
        </row>
        <row r="1586">
          <cell r="B1586" t="str">
            <v>FG05862</v>
          </cell>
          <cell r="C1586" t="str">
            <v>SORINZA MOUTH ULCER GEL 15G</v>
          </cell>
        </row>
        <row r="1587">
          <cell r="B1587" t="str">
            <v>FG05863</v>
          </cell>
          <cell r="C1587" t="str">
            <v>SPASFON 80MG 30CES (FR) OLD</v>
          </cell>
        </row>
        <row r="1588">
          <cell r="B1588" t="str">
            <v>FG05864</v>
          </cell>
          <cell r="C1588" t="str">
            <v>SPECTROPHOTOMETRE</v>
          </cell>
        </row>
        <row r="1589">
          <cell r="B1589" t="str">
            <v>FG05865</v>
          </cell>
          <cell r="C1589" t="str">
            <v>SPORILINE LOTION 25ML (FR)</v>
          </cell>
        </row>
        <row r="1590">
          <cell r="B1590" t="str">
            <v>FG05866</v>
          </cell>
          <cell r="C1590" t="str">
            <v>STERDEX POMMADE OPHT</v>
          </cell>
        </row>
        <row r="1591">
          <cell r="B1591" t="str">
            <v>FG05867</v>
          </cell>
          <cell r="C1591" t="str">
            <v>STERIMAR CUIVRE SPRAY 50ML(FR)</v>
          </cell>
        </row>
        <row r="1592">
          <cell r="B1592" t="str">
            <v>FG05868</v>
          </cell>
          <cell r="C1592" t="str">
            <v>STILNOX 10MG 20CES (FR)</v>
          </cell>
        </row>
        <row r="1593">
          <cell r="B1593" t="str">
            <v>FG05869</v>
          </cell>
          <cell r="C1593" t="str">
            <v>STREPSIL COOL MINT 36 PASTILES</v>
          </cell>
        </row>
        <row r="1594">
          <cell r="B1594" t="str">
            <v>FG05870</v>
          </cell>
          <cell r="C1594" t="str">
            <v>STREPSIL PAST ORANG +VITC B/24 (FR)</v>
          </cell>
        </row>
        <row r="1595">
          <cell r="B1595" t="str">
            <v>FG05871</v>
          </cell>
          <cell r="C1595" t="str">
            <v>STRIPS 0.1*8 LGT001</v>
          </cell>
        </row>
        <row r="1596">
          <cell r="B1596" t="str">
            <v>FG05872</v>
          </cell>
          <cell r="C1596" t="str">
            <v>SUPPORT POUR FILM RADIO 35*43 CM</v>
          </cell>
        </row>
        <row r="1597">
          <cell r="B1597" t="str">
            <v>FG05873</v>
          </cell>
          <cell r="C1597" t="str">
            <v>SUPPORT POUR FILM RADIO 24*30 CM</v>
          </cell>
        </row>
        <row r="1598">
          <cell r="B1598" t="str">
            <v>FG05874</v>
          </cell>
          <cell r="C1598" t="str">
            <v>SUPPORT POUR FILM RADIO 30*40 CM</v>
          </cell>
        </row>
        <row r="1599">
          <cell r="B1599" t="str">
            <v>FG05875</v>
          </cell>
          <cell r="C1599" t="str">
            <v>SURQUINA 250MG 6CES PL</v>
          </cell>
        </row>
        <row r="1600">
          <cell r="B1600" t="str">
            <v>FG05876</v>
          </cell>
          <cell r="C1600" t="str">
            <v>SYNTHOCINON 5.U.I. 1ML AMP B/3.......</v>
          </cell>
        </row>
        <row r="1601">
          <cell r="B1601" t="str">
            <v>FG05877</v>
          </cell>
          <cell r="C1601" t="str">
            <v>SYNTHOCINON 5UI INJ AMP B/10 (FR)</v>
          </cell>
        </row>
        <row r="1602">
          <cell r="B1602" t="str">
            <v>FG05878</v>
          </cell>
          <cell r="C1602" t="str">
            <v>TABLE D’ACCOUCHEMENT SIMPLE</v>
          </cell>
        </row>
        <row r="1603">
          <cell r="B1603" t="str">
            <v>FG05879</v>
          </cell>
          <cell r="C1603" t="str">
            <v>TABLES OPÉRATOIRES HYDRAULIQUES VARIANTE</v>
          </cell>
        </row>
        <row r="1604">
          <cell r="B1604" t="str">
            <v>FG05880</v>
          </cell>
          <cell r="C1604" t="str">
            <v>TAMBOURS 190*190</v>
          </cell>
        </row>
        <row r="1605">
          <cell r="B1605" t="str">
            <v>FG05881</v>
          </cell>
          <cell r="C1605" t="str">
            <v>TAMBOURS 240*240</v>
          </cell>
        </row>
        <row r="1606">
          <cell r="B1606" t="str">
            <v>FG05882</v>
          </cell>
          <cell r="C1606" t="str">
            <v>TAMBOURS GRAND FORMAT 150*150</v>
          </cell>
        </row>
        <row r="1607">
          <cell r="B1607" t="str">
            <v>FG05883</v>
          </cell>
          <cell r="C1607" t="str">
            <v>TAMBOURS GRAND FORMAT 240*240</v>
          </cell>
        </row>
        <row r="1608">
          <cell r="B1608" t="str">
            <v>FG05884</v>
          </cell>
          <cell r="C1608" t="str">
            <v>TANAKAN 40MG 90CAPS(FR)</v>
          </cell>
        </row>
        <row r="1609">
          <cell r="B1609" t="str">
            <v>FG05885</v>
          </cell>
          <cell r="C1609" t="str">
            <v>TELEBRIX HYSTERO SOL ING 20ML (FR)</v>
          </cell>
        </row>
        <row r="1610">
          <cell r="B1610" t="str">
            <v>FG05886</v>
          </cell>
          <cell r="C1610" t="str">
            <v>TERBINOL 1/100 @@ SPRAY 30ML (FR)</v>
          </cell>
        </row>
        <row r="1611">
          <cell r="B1611" t="str">
            <v>FG05887</v>
          </cell>
          <cell r="C1611" t="str">
            <v>TERRAMYCINE ONGT OPHT 3.5GR (EO)</v>
          </cell>
        </row>
        <row r="1612">
          <cell r="B1612" t="str">
            <v>FG05888</v>
          </cell>
          <cell r="C1612" t="str">
            <v>TIRLOR 10MG 10CES (FR)</v>
          </cell>
        </row>
        <row r="1613">
          <cell r="B1613" t="str">
            <v>FG05889</v>
          </cell>
          <cell r="C1613" t="str">
            <v>TOBRACORT 3M 5ML (FR)</v>
          </cell>
        </row>
        <row r="1614">
          <cell r="B1614" t="str">
            <v>FG05890</v>
          </cell>
          <cell r="C1614" t="str">
            <v>TOT HEMA PL/10 @@ AMP BUV.</v>
          </cell>
        </row>
        <row r="1615">
          <cell r="B1615" t="str">
            <v>FG05891</v>
          </cell>
          <cell r="C1615" t="str">
            <v>TRIPLIXAM 10/1.25/5MG B/30CES (FR)</v>
          </cell>
        </row>
        <row r="1616">
          <cell r="B1616" t="str">
            <v>FG05892</v>
          </cell>
          <cell r="C1616" t="str">
            <v>TRITAZIDE 28CES SECABLES 30MG (FR)***</v>
          </cell>
        </row>
        <row r="1617">
          <cell r="B1617" t="str">
            <v>FG05893</v>
          </cell>
          <cell r="C1617" t="str">
            <v>TROBIMON (SPECTINOMYCINE) 2GM INJ</v>
          </cell>
        </row>
        <row r="1618">
          <cell r="B1618" t="str">
            <v>FG05894</v>
          </cell>
          <cell r="C1618" t="str">
            <v>ULCAR SACHET BUV.1GR B/#1#SACHETS</v>
          </cell>
        </row>
        <row r="1619">
          <cell r="B1619" t="str">
            <v>FG05895</v>
          </cell>
          <cell r="C1619" t="str">
            <v>ULTRA LEVURE 50MG CAPS B/20 (FR)</v>
          </cell>
        </row>
        <row r="1620">
          <cell r="B1620" t="str">
            <v>FG05896</v>
          </cell>
          <cell r="C1620" t="str">
            <v>UTEPLEX 45AMP BUV (FR)</v>
          </cell>
        </row>
        <row r="1621">
          <cell r="B1621" t="str">
            <v>FG05897</v>
          </cell>
          <cell r="C1621" t="str">
            <v>VALSAR DENK 160 B/28CES (FR)</v>
          </cell>
        </row>
        <row r="1622">
          <cell r="B1622" t="str">
            <v>FG05898</v>
          </cell>
          <cell r="C1622" t="str">
            <v>VASELINE OFFIC. COOPER @@ 80G. (FR) @@</v>
          </cell>
        </row>
        <row r="1623">
          <cell r="B1623" t="str">
            <v>FG05899</v>
          </cell>
          <cell r="C1623" t="str">
            <v>VASELINE OFFIC. COOPER 20G. (FR) $$</v>
          </cell>
        </row>
        <row r="1624">
          <cell r="B1624" t="str">
            <v>FG05900</v>
          </cell>
          <cell r="C1624" t="str">
            <v>VENORUTON FORTE 500MG PLS DE 10CES (EO)</v>
          </cell>
        </row>
        <row r="1625">
          <cell r="B1625" t="str">
            <v>FG05901</v>
          </cell>
          <cell r="C1625" t="str">
            <v>VENOSMIL GEL 60GR(FR)</v>
          </cell>
        </row>
        <row r="1626">
          <cell r="B1626" t="str">
            <v>FG05902</v>
          </cell>
          <cell r="C1626" t="str">
            <v>VISCERALGINE 20MG 20SUPPOS (FR)</v>
          </cell>
        </row>
        <row r="1627">
          <cell r="B1627" t="str">
            <v>FG05903</v>
          </cell>
          <cell r="C1627" t="str">
            <v>VITASCORBOL 500MG 12CES SANS SUCRE VIT.C.</v>
          </cell>
        </row>
        <row r="1628">
          <cell r="B1628" t="str">
            <v>FG05904</v>
          </cell>
          <cell r="C1628" t="str">
            <v>WARIMAZOL 200MG 3CES VAG.(FR)</v>
          </cell>
        </row>
        <row r="1629">
          <cell r="B1629" t="str">
            <v>FG05905</v>
          </cell>
          <cell r="C1629" t="str">
            <v>XOLOMOL COLLYRE</v>
          </cell>
        </row>
        <row r="1630">
          <cell r="B1630" t="str">
            <v>FG05906</v>
          </cell>
          <cell r="C1630" t="str">
            <v>XYLOCAINE AVEC ADRENALINE 1% INJ B/1AMP</v>
          </cell>
        </row>
        <row r="1631">
          <cell r="B1631" t="str">
            <v>FG05907</v>
          </cell>
          <cell r="C1631" t="str">
            <v>ZAMOX 1000MG/125MG ........ 16 SACHETS (EO)</v>
          </cell>
        </row>
        <row r="1632">
          <cell r="B1632" t="str">
            <v>FG05908</v>
          </cell>
          <cell r="C1632" t="str">
            <v>ZENTEL SUSP BUV 10ML (FR)</v>
          </cell>
        </row>
        <row r="1633">
          <cell r="B1633" t="str">
            <v>FG05909</v>
          </cell>
          <cell r="C1633" t="str">
            <v>ZINNAT 250MG SUSP 100ML (FR)</v>
          </cell>
        </row>
        <row r="1634">
          <cell r="B1634" t="str">
            <v>FG05910</v>
          </cell>
          <cell r="C1634" t="str">
            <v>ZITHROMAX 200MG/5ML 22.5ML</v>
          </cell>
        </row>
        <row r="1635">
          <cell r="B1635" t="str">
            <v>FG05911</v>
          </cell>
          <cell r="C1635" t="str">
            <v>ZOVIRAX CREME 10GR (FR) 5%</v>
          </cell>
        </row>
        <row r="1636">
          <cell r="B1636" t="str">
            <v>FG05912</v>
          </cell>
          <cell r="C1636" t="str">
            <v>ZOVIRAX PDE OPHT 3% TB/4.5G (FR)</v>
          </cell>
        </row>
        <row r="1637">
          <cell r="B1637" t="str">
            <v>FG05913</v>
          </cell>
          <cell r="C1637" t="str">
            <v>ZWITSAL BAIN MOUSSANT SANS SAVON 200ML SOF PH</v>
          </cell>
        </row>
        <row r="1638">
          <cell r="B1638" t="str">
            <v>FG05914</v>
          </cell>
          <cell r="C1638" t="str">
            <v>ZWITSAL BAIN MOUSSANT SANS SAVON 500ML</v>
          </cell>
        </row>
        <row r="1639">
          <cell r="B1639" t="str">
            <v>FG05915</v>
          </cell>
          <cell r="C1639" t="str">
            <v>ZWITSAL CONDITIONER APRES SHAMPOOING 200ML</v>
          </cell>
        </row>
        <row r="1640">
          <cell r="B1640" t="str">
            <v>FG05916</v>
          </cell>
          <cell r="C1640" t="str">
            <v>ZWITSAL CREME DOUCE TUBE 100ML</v>
          </cell>
        </row>
        <row r="1641">
          <cell r="B1641" t="str">
            <v>FG05917</v>
          </cell>
          <cell r="C1641" t="str">
            <v>ZWITSAL CREME LAVANTE SANS SAVON 400ML</v>
          </cell>
        </row>
        <row r="1642">
          <cell r="B1642" t="str">
            <v>FG05918</v>
          </cell>
          <cell r="C1642" t="str">
            <v>ZWITSAL GEL BAIN&amp;DOUCHE EUCALYPTUS 400ML</v>
          </cell>
        </row>
        <row r="1643">
          <cell r="B1643" t="str">
            <v>FG05919</v>
          </cell>
          <cell r="C1643" t="str">
            <v>ZWITSAL GEL CAPILLAIRE TUBE 100ML</v>
          </cell>
        </row>
        <row r="1644">
          <cell r="B1644" t="str">
            <v>FG05920</v>
          </cell>
          <cell r="C1644" t="str">
            <v>ZWITSAL GEL LAVANT SANS SAVON 200ML</v>
          </cell>
        </row>
        <row r="1645">
          <cell r="B1645" t="str">
            <v>FG05921</v>
          </cell>
          <cell r="C1645" t="str">
            <v>ZWITSAL GEL LAVANTE SANS SAVON 500ML</v>
          </cell>
        </row>
        <row r="1646">
          <cell r="B1646" t="str">
            <v>FG05922</v>
          </cell>
          <cell r="C1646" t="str">
            <v>ZWITSAL GEL LAVANTE SANS SAVON 75ML</v>
          </cell>
        </row>
        <row r="1647">
          <cell r="B1647" t="str">
            <v>FG05923</v>
          </cell>
          <cell r="C1647" t="str">
            <v>ZWITSAL HUILE BEBE 400ML</v>
          </cell>
        </row>
        <row r="1648">
          <cell r="B1648" t="str">
            <v>FG05924</v>
          </cell>
          <cell r="C1648" t="str">
            <v>ZWITSAL KIDS SHAMPOOING ANTI NOEUDS 400ML-FILLE</v>
          </cell>
        </row>
        <row r="1649">
          <cell r="B1649" t="str">
            <v>FG05925</v>
          </cell>
          <cell r="C1649" t="str">
            <v>ZWITSAL LINGETTES DOUCES PEAU TRES SENS 50PIC</v>
          </cell>
        </row>
        <row r="1650">
          <cell r="B1650" t="str">
            <v>FG05926</v>
          </cell>
          <cell r="C1650" t="str">
            <v>ZWITSAL LINGETTES MAXI B/52</v>
          </cell>
        </row>
        <row r="1651">
          <cell r="B1651" t="str">
            <v>FG05927</v>
          </cell>
          <cell r="C1651" t="str">
            <v>ZWITSAL LOTION CAPILAIRE 200ML</v>
          </cell>
        </row>
        <row r="1652">
          <cell r="B1652" t="str">
            <v>FG05928</v>
          </cell>
          <cell r="C1652" t="str">
            <v>ZWITSAL MAMA BAUME PR LE VENTRE TUBE 150ML</v>
          </cell>
        </row>
        <row r="1653">
          <cell r="B1653" t="str">
            <v>FG05929</v>
          </cell>
          <cell r="C1653" t="str">
            <v>ZWITSAL MOUSSE A LAVER 200ML</v>
          </cell>
        </row>
        <row r="1654">
          <cell r="B1654" t="str">
            <v>FG05930</v>
          </cell>
          <cell r="C1654" t="str">
            <v>ZWITSAL NATURAL EAU MICELLAIRE 200ML</v>
          </cell>
        </row>
        <row r="1655">
          <cell r="B1655" t="str">
            <v>FG05931</v>
          </cell>
          <cell r="C1655" t="str">
            <v>ZWITSAL ONGUENT OXYDE DE ZINC POT 150ML</v>
          </cell>
        </row>
        <row r="1656">
          <cell r="B1656" t="str">
            <v>FG05932</v>
          </cell>
          <cell r="C1656" t="str">
            <v>ZWITSAL POUDRE 100GR-SACHET</v>
          </cell>
        </row>
        <row r="1657">
          <cell r="B1657" t="str">
            <v>FG05933</v>
          </cell>
          <cell r="C1657" t="str">
            <v>ZWITSAL SAVON 4 X 90 GR</v>
          </cell>
        </row>
        <row r="1658">
          <cell r="B1658" t="str">
            <v>FG05934</v>
          </cell>
          <cell r="C1658" t="str">
            <v>ZWITSAL SAVON CREME 250ML.</v>
          </cell>
        </row>
        <row r="1659">
          <cell r="B1659" t="str">
            <v>FG05935</v>
          </cell>
          <cell r="C1659" t="str">
            <v>ZWITSAL SHAMPOOING 200ML</v>
          </cell>
        </row>
        <row r="1660">
          <cell r="B1660" t="str">
            <v>FG05936</v>
          </cell>
          <cell r="C1660" t="str">
            <v>ZWITSAL SHAMPOOING 400ML</v>
          </cell>
        </row>
        <row r="1661">
          <cell r="B1661" t="str">
            <v>FG05937</v>
          </cell>
          <cell r="C1661" t="str">
            <v>ZWITSAL SHAMPOOING 500ML</v>
          </cell>
        </row>
        <row r="1662">
          <cell r="B1662" t="str">
            <v>FG05938</v>
          </cell>
          <cell r="C1662" t="str">
            <v>ZWITSAL SHAMPOOING ANTI NOEUDS 200ML</v>
          </cell>
        </row>
        <row r="1663">
          <cell r="B1663" t="str">
            <v>FG05939</v>
          </cell>
          <cell r="C1663" t="str">
            <v>ZWITSAL SHAPOOING 400ML</v>
          </cell>
        </row>
        <row r="1664">
          <cell r="B1664" t="str">
            <v>FG05940</v>
          </cell>
          <cell r="C1664" t="str">
            <v>ZWITSAL SHP &amp; GEL DOUCHE 2EN1 PTR SES 200ML</v>
          </cell>
        </row>
        <row r="1665">
          <cell r="B1665" t="str">
            <v>FG05941</v>
          </cell>
          <cell r="C1665" t="str">
            <v>ZYRTEC 10MG B/7CES (FR)</v>
          </cell>
        </row>
        <row r="1666">
          <cell r="B1666" t="str">
            <v>FG05942</v>
          </cell>
          <cell r="C1666" t="str">
            <v>ZYRTEC GOUTTES 20ML (NEW) (FR)</v>
          </cell>
        </row>
        <row r="1667">
          <cell r="B1667" t="str">
            <v>FG05943</v>
          </cell>
          <cell r="C1667" t="str">
            <v>ACUILIX 20MG B/28CES (FR)</v>
          </cell>
        </row>
        <row r="1668">
          <cell r="B1668" t="str">
            <v>FG05944</v>
          </cell>
          <cell r="C1668" t="str">
            <v>ADALATE 30CAPS 10MG (FR)</v>
          </cell>
        </row>
        <row r="1669">
          <cell r="B1669" t="str">
            <v>FG05945</v>
          </cell>
          <cell r="C1669" t="str">
            <v>AF</v>
          </cell>
        </row>
        <row r="1670">
          <cell r="B1670" t="str">
            <v>FG05946</v>
          </cell>
          <cell r="C1670" t="str">
            <v>AJ</v>
          </cell>
        </row>
        <row r="1671">
          <cell r="B1671" t="str">
            <v>FG05947</v>
          </cell>
          <cell r="C1671" t="str">
            <v>ALESE PLASTIQUE, ENVIRON 100 X 100 CM</v>
          </cell>
        </row>
        <row r="1672">
          <cell r="B1672" t="str">
            <v>FG05948</v>
          </cell>
          <cell r="C1672" t="str">
            <v>ALOPLASTINE SIMPLE POM T/90G (FR)</v>
          </cell>
        </row>
        <row r="1673">
          <cell r="B1673" t="str">
            <v>FG05949</v>
          </cell>
          <cell r="C1673" t="str">
            <v>ANDROCUR 10MG 3 X 15CES(FR)</v>
          </cell>
        </row>
        <row r="1674">
          <cell r="B1674" t="str">
            <v>FG05950</v>
          </cell>
          <cell r="C1674" t="str">
            <v>APROVASC 300MG /5MG B/28CES (EO)</v>
          </cell>
        </row>
        <row r="1675">
          <cell r="B1675" t="str">
            <v>FG05951</v>
          </cell>
          <cell r="C1675" t="str">
            <v>APROVEL 150MG B/28 CES (FR)</v>
          </cell>
        </row>
        <row r="1676">
          <cell r="B1676" t="str">
            <v>FG05952</v>
          </cell>
          <cell r="C1676" t="str">
            <v>ARMOIRE MÉTALLIQUE</v>
          </cell>
        </row>
        <row r="1677">
          <cell r="B1677" t="str">
            <v>FG05953</v>
          </cell>
          <cell r="C1677" t="str">
            <v>ARMOIRES EN VITRE</v>
          </cell>
        </row>
        <row r="1678">
          <cell r="B1678" t="str">
            <v>FG05954</v>
          </cell>
          <cell r="C1678" t="str">
            <v>ARTEQUIN 600/750 AD 6CES (EO)</v>
          </cell>
        </row>
        <row r="1679">
          <cell r="B1679" t="str">
            <v>FG05955</v>
          </cell>
          <cell r="C1679" t="str">
            <v>ARTHOTEC 50MG B/30CES (EO)</v>
          </cell>
        </row>
        <row r="1680">
          <cell r="B1680" t="str">
            <v>FG05956</v>
          </cell>
          <cell r="C1680" t="str">
            <v>ARTOTEC 75MG B/20CES (FR)</v>
          </cell>
        </row>
        <row r="1681">
          <cell r="B1681" t="str">
            <v>FG05957</v>
          </cell>
          <cell r="C1681" t="str">
            <v>ASPIRINE BAYER +VIT CB/20 EFF</v>
          </cell>
        </row>
        <row r="1682">
          <cell r="B1682" t="str">
            <v>FG05958</v>
          </cell>
          <cell r="C1682" t="str">
            <v>ATARAX 100MG 30CES(FR)</v>
          </cell>
        </row>
        <row r="1683">
          <cell r="B1683" t="str">
            <v>FG05959</v>
          </cell>
          <cell r="C1683" t="str">
            <v>ATRICAN 250MG BT/8CAPS (FR)</v>
          </cell>
        </row>
        <row r="1684">
          <cell r="B1684" t="str">
            <v>FG05960</v>
          </cell>
          <cell r="C1684" t="str">
            <v>AUGMENTIN 1GR/200MG IV 1AMP (FR)</v>
          </cell>
        </row>
        <row r="1685">
          <cell r="B1685" t="str">
            <v>FG05961</v>
          </cell>
          <cell r="C1685" t="str">
            <v>AZANTAC 50MG INJ AMP+SOL B/5 (FR)</v>
          </cell>
        </row>
        <row r="1686">
          <cell r="B1686" t="str">
            <v>FG05962</v>
          </cell>
          <cell r="C1686" t="str">
            <v>BAC DE COLORATION</v>
          </cell>
        </row>
        <row r="1687">
          <cell r="B1687" t="str">
            <v>FG05963</v>
          </cell>
          <cell r="C1687" t="str">
            <v>BACTIFLOX 750MG 10CES (FR)</v>
          </cell>
        </row>
        <row r="1688">
          <cell r="B1688" t="str">
            <v>FG05964</v>
          </cell>
          <cell r="C1688" t="str">
            <v>BAE DE DÉVELOPPEMENT MANUEL</v>
          </cell>
        </row>
        <row r="1689">
          <cell r="B1689" t="str">
            <v>FG05965</v>
          </cell>
          <cell r="C1689" t="str">
            <v>BAUME EHRLICH 75ML (FR)</v>
          </cell>
        </row>
        <row r="1690">
          <cell r="B1690" t="str">
            <v>FG05966</v>
          </cell>
          <cell r="C1690" t="str">
            <v>BEDELIX 3GM 30SACHET(FR)</v>
          </cell>
        </row>
        <row r="1691">
          <cell r="B1691" t="str">
            <v>FG05967</v>
          </cell>
          <cell r="C1691" t="str">
            <v>BETNEVAL CREM T/30G (FR)</v>
          </cell>
        </row>
        <row r="1692">
          <cell r="B1692" t="str">
            <v>FG05968</v>
          </cell>
          <cell r="C1692" t="str">
            <v>BILTRICIDE 600MG BT/4CES (FR) ***</v>
          </cell>
        </row>
        <row r="1693">
          <cell r="B1693" t="str">
            <v>FG05969</v>
          </cell>
          <cell r="C1693" t="str">
            <v>BISOLVON 250 ML SIROP ****</v>
          </cell>
        </row>
        <row r="1694">
          <cell r="B1694" t="str">
            <v>FG05970</v>
          </cell>
          <cell r="C1694" t="str">
            <v>BOITE POUR HERNIORAPHIE</v>
          </cell>
        </row>
        <row r="1695">
          <cell r="B1695" t="str">
            <v>FG05971</v>
          </cell>
          <cell r="C1695" t="str">
            <v>BRANCARD PLIANT SIMPLE</v>
          </cell>
        </row>
        <row r="1696">
          <cell r="B1696" t="str">
            <v>FG05972</v>
          </cell>
          <cell r="C1696" t="str">
            <v>BRISTOPEN 1GM INJ IM/IV B/1AMP (FR)</v>
          </cell>
        </row>
        <row r="1697">
          <cell r="B1697" t="str">
            <v>FG05973</v>
          </cell>
          <cell r="C1697" t="str">
            <v>BRUMED 200MG 100CAPS(FR)</v>
          </cell>
        </row>
        <row r="1698">
          <cell r="B1698" t="str">
            <v>FG05974</v>
          </cell>
          <cell r="C1698" t="str">
            <v>BUSCOPAN 6SUPPOS 10MG (FR)</v>
          </cell>
        </row>
        <row r="1699">
          <cell r="B1699" t="str">
            <v>FG05975</v>
          </cell>
          <cell r="C1699" t="str">
            <v>CALCIUM SANDOZ 500MG 30SACHET(FR)</v>
          </cell>
        </row>
        <row r="1700">
          <cell r="B1700" t="str">
            <v>FG05976</v>
          </cell>
          <cell r="C1700" t="str">
            <v>CANDEREL B/100SACHET(FR)</v>
          </cell>
        </row>
        <row r="1701">
          <cell r="B1701" t="str">
            <v>FG05977</v>
          </cell>
          <cell r="C1701" t="str">
            <v>CAPOTEN 50MG 30CES</v>
          </cell>
        </row>
        <row r="1702">
          <cell r="B1702" t="str">
            <v>FG05978</v>
          </cell>
          <cell r="C1702" t="str">
            <v>CAPTOPRIL HCTD DENK50/25 PL/(10)CES</v>
          </cell>
        </row>
        <row r="1703">
          <cell r="B1703" t="str">
            <v>FG05979</v>
          </cell>
          <cell r="C1703" t="str">
            <v>CASAQUE-PANTALON COMPLETE</v>
          </cell>
        </row>
        <row r="1704">
          <cell r="B1704" t="str">
            <v>FG05980</v>
          </cell>
          <cell r="C1704" t="str">
            <v>CASSETTE + ÉCRAN RENFORÇATEUR STANDARD 18*24</v>
          </cell>
        </row>
        <row r="1705">
          <cell r="B1705" t="str">
            <v>FG05981</v>
          </cell>
          <cell r="C1705" t="str">
            <v>CASSETTE + ÉCRAN RENFORÇATEUR STANDARD 24*30</v>
          </cell>
        </row>
        <row r="1706">
          <cell r="B1706" t="str">
            <v>FG05982</v>
          </cell>
          <cell r="C1706" t="str">
            <v>CASSETTE + ÉCRAN RENFORÇATEUR STANDARD 35*35</v>
          </cell>
        </row>
        <row r="1707">
          <cell r="B1707" t="str">
            <v>FG05983</v>
          </cell>
          <cell r="C1707" t="str">
            <v>CELLULE DE NEWBAWER</v>
          </cell>
        </row>
        <row r="1708">
          <cell r="B1708" t="str">
            <v>FG05984</v>
          </cell>
          <cell r="C1708" t="str">
            <v>CETAFOR 1G I.M. B/1AMP (E.O.)</v>
          </cell>
        </row>
        <row r="1709">
          <cell r="B1709" t="str">
            <v>FG05985</v>
          </cell>
          <cell r="C1709" t="str">
            <v>CETAFOR 500MG I.M. B/1AMP (E.O.)</v>
          </cell>
        </row>
        <row r="1710">
          <cell r="B1710" t="str">
            <v>FG05986</v>
          </cell>
          <cell r="C1710" t="str">
            <v>CHAISES DE BUREAU</v>
          </cell>
        </row>
        <row r="1711">
          <cell r="B1711" t="str">
            <v>FG05987</v>
          </cell>
          <cell r="C1711" t="str">
            <v>CHAISES POUR SALLE DE RÉUNION</v>
          </cell>
        </row>
        <row r="1712">
          <cell r="B1712" t="str">
            <v>FG05988</v>
          </cell>
          <cell r="C1712" t="str">
            <v>CHARIOT DE SOINS</v>
          </cell>
        </row>
        <row r="1713">
          <cell r="B1713" t="str">
            <v>FG05989</v>
          </cell>
          <cell r="C1713" t="str">
            <v>CICATRYL POM 14SACH. (FR)</v>
          </cell>
        </row>
        <row r="1714">
          <cell r="B1714" t="str">
            <v>FG05990</v>
          </cell>
          <cell r="C1714" t="str">
            <v>CIPRO 0.3%5ML COLLYRE (FR)</v>
          </cell>
        </row>
        <row r="1715">
          <cell r="B1715" t="str">
            <v>FG05991</v>
          </cell>
          <cell r="C1715" t="str">
            <v>CLAMOXYL IV/IM 1GR.1AMP(EO)</v>
          </cell>
        </row>
        <row r="1716">
          <cell r="B1716" t="str">
            <v>FG05992</v>
          </cell>
          <cell r="C1716" t="str">
            <v>COARTEM 20/120MG ***18***CES DISPERSIBLE</v>
          </cell>
        </row>
        <row r="1717">
          <cell r="B1717" t="str">
            <v>FG05993</v>
          </cell>
          <cell r="C1717" t="str">
            <v>COLLU HEXRIL 0.2% 40ML (EO) ****</v>
          </cell>
        </row>
        <row r="1718">
          <cell r="B1718" t="str">
            <v>FG05994</v>
          </cell>
          <cell r="C1718" t="str">
            <v>COMPTEUR À UNE TOUCHE</v>
          </cell>
        </row>
        <row r="1719">
          <cell r="B1719" t="str">
            <v>FG05995</v>
          </cell>
          <cell r="C1719" t="str">
            <v>CORVASAL 2MG 30CES (FR)</v>
          </cell>
        </row>
        <row r="1720">
          <cell r="B1720" t="str">
            <v>FG05996</v>
          </cell>
          <cell r="C1720" t="str">
            <v>COTIPRED 20MG EFF. B/20CES(FR)</v>
          </cell>
        </row>
        <row r="1721">
          <cell r="B1721" t="str">
            <v>FG05997</v>
          </cell>
          <cell r="C1721" t="str">
            <v>COVALSAR DENK 160/12.5 B/28 CES (FR)</v>
          </cell>
        </row>
        <row r="1722">
          <cell r="B1722" t="str">
            <v>FG05998</v>
          </cell>
          <cell r="C1722" t="str">
            <v>COZAAR 50MG 28CES</v>
          </cell>
        </row>
        <row r="1723">
          <cell r="B1723" t="str">
            <v>FG05999</v>
          </cell>
          <cell r="C1723" t="str">
            <v>CURAM FORTE SIROP 250MG/62.5MG 60ML(EO)</v>
          </cell>
        </row>
        <row r="1724">
          <cell r="B1724" t="str">
            <v>FG06000</v>
          </cell>
          <cell r="C1724" t="str">
            <v>CURTEC 10MG B/15CES (EO)</v>
          </cell>
        </row>
        <row r="1725">
          <cell r="B1725" t="str">
            <v>FG06001</v>
          </cell>
          <cell r="C1725" t="str">
            <v>CURTEC SUSP BUV 60ML (EO)</v>
          </cell>
        </row>
        <row r="1726">
          <cell r="B1726" t="str">
            <v>FG06002</v>
          </cell>
          <cell r="C1726" t="str">
            <v>DAKTARINE CREME 15GR (FR)</v>
          </cell>
        </row>
        <row r="1727">
          <cell r="B1727" t="str">
            <v>FG06003</v>
          </cell>
          <cell r="C1727" t="str">
            <v>DALACINE C SIROP 80ML 75MG/5ML</v>
          </cell>
        </row>
        <row r="1728">
          <cell r="B1728" t="str">
            <v>FG06004</v>
          </cell>
          <cell r="C1728" t="str">
            <v>D-ARTEPP 40MG/320MG B/9 CES</v>
          </cell>
        </row>
        <row r="1729">
          <cell r="B1729" t="str">
            <v>FG06005</v>
          </cell>
          <cell r="C1729" t="str">
            <v>DENT ELGYDIUM 150GM DENTIFICE(FR)</v>
          </cell>
        </row>
        <row r="1730">
          <cell r="B1730" t="str">
            <v>FG06006</v>
          </cell>
          <cell r="C1730" t="str">
            <v>DENT ELGYDIUM DENT BLANCHEUR T/75ML (FR)</v>
          </cell>
        </row>
        <row r="1731">
          <cell r="B1731" t="str">
            <v>FG06007</v>
          </cell>
          <cell r="C1731" t="str">
            <v>DENT ELGYDIUM DENTS SENSISBLES 75ML</v>
          </cell>
        </row>
        <row r="1732">
          <cell r="B1732" t="str">
            <v>FG06008</v>
          </cell>
          <cell r="C1732" t="str">
            <v>DENT ELGYDIUM JUNIOR 7 A 12 ANS BUBBLE 50ML (FR)</v>
          </cell>
        </row>
        <row r="1733">
          <cell r="B1733" t="str">
            <v>FG06009</v>
          </cell>
          <cell r="C1733" t="str">
            <v>DENT ELGYDIUM PLAQUE DENTAIRE 100GR (FR)</v>
          </cell>
        </row>
        <row r="1734">
          <cell r="B1734" t="str">
            <v>FG06010</v>
          </cell>
          <cell r="C1734" t="str">
            <v>DEPO PROVERA 150MG + SERINGUE 1ML (FR)</v>
          </cell>
        </row>
        <row r="1735">
          <cell r="B1735" t="str">
            <v>FG06011</v>
          </cell>
          <cell r="C1735" t="str">
            <v>DERMOVATE CREME 30GR (EO)</v>
          </cell>
        </row>
        <row r="1736">
          <cell r="B1736" t="str">
            <v>FG06012</v>
          </cell>
          <cell r="C1736" t="str">
            <v>DIABLE VERT POUDRE</v>
          </cell>
        </row>
        <row r="1737">
          <cell r="B1737" t="str">
            <v>FG06013</v>
          </cell>
          <cell r="C1737" t="str">
            <v>DICLOWAL 50MG 20CES (FR)</v>
          </cell>
        </row>
        <row r="1738">
          <cell r="B1738" t="str">
            <v>FG06014</v>
          </cell>
          <cell r="C1738" t="str">
            <v>DISPOSABLE VIRUS SAMPLING TUBE 3ML</v>
          </cell>
        </row>
        <row r="1739">
          <cell r="B1739" t="str">
            <v>FG06015</v>
          </cell>
          <cell r="C1739" t="str">
            <v>DOBUTAMINE PAN 250MG/20ML B/1 AMP</v>
          </cell>
        </row>
        <row r="1740">
          <cell r="B1740" t="str">
            <v>FG06016</v>
          </cell>
          <cell r="C1740" t="str">
            <v>DONTOMYCINE (SPIRAMYCIN) 3 M.U.I B/16CES</v>
          </cell>
        </row>
        <row r="1741">
          <cell r="B1741" t="str">
            <v>FG06017</v>
          </cell>
          <cell r="C1741" t="str">
            <v>DUO-COTECXIN 40/320 MG B/9 CES</v>
          </cell>
        </row>
        <row r="1742">
          <cell r="B1742" t="str">
            <v>FG06018</v>
          </cell>
          <cell r="C1742" t="str">
            <v>EMCONCOR 2.5 MG 28CES (FR)</v>
          </cell>
        </row>
        <row r="1743">
          <cell r="B1743" t="str">
            <v>FG06019</v>
          </cell>
          <cell r="C1743" t="str">
            <v>EMCONCOR 5MG 56CES (EO)</v>
          </cell>
        </row>
        <row r="1744">
          <cell r="B1744" t="str">
            <v>FG06020</v>
          </cell>
          <cell r="C1744" t="str">
            <v>EPI KIT - KIT D ANESTHESIE PERIDURALE</v>
          </cell>
        </row>
        <row r="1745">
          <cell r="B1745" t="str">
            <v>FG06021</v>
          </cell>
          <cell r="C1745" t="str">
            <v>ERCEFURYL 200MG 28 GELS (FR)</v>
          </cell>
        </row>
        <row r="1746">
          <cell r="B1746" t="str">
            <v>FG06022</v>
          </cell>
          <cell r="C1746" t="str">
            <v>ETAGÈRES</v>
          </cell>
        </row>
        <row r="1747">
          <cell r="B1747" t="str">
            <v>FG06023</v>
          </cell>
          <cell r="C1747" t="str">
            <v>FASIGYN 500MG 12CES (FR)</v>
          </cell>
        </row>
        <row r="1748">
          <cell r="B1748" t="str">
            <v>FG06024</v>
          </cell>
          <cell r="C1748" t="str">
            <v>FEBRILEX POCH/4CES (EO)</v>
          </cell>
        </row>
        <row r="1749">
          <cell r="B1749" t="str">
            <v>FG06025</v>
          </cell>
          <cell r="C1749" t="str">
            <v>FEFOL B/30CAP (LOCAL)</v>
          </cell>
        </row>
        <row r="1750">
          <cell r="B1750" t="str">
            <v>FG06026</v>
          </cell>
          <cell r="C1750" t="str">
            <v>FELDENE 20MG B/30 GULULES</v>
          </cell>
        </row>
        <row r="1751">
          <cell r="B1751" t="str">
            <v>FG06027</v>
          </cell>
          <cell r="C1751" t="str">
            <v>FERLIX B12SUSP BUV 200ML (FR)</v>
          </cell>
        </row>
        <row r="1752">
          <cell r="B1752" t="str">
            <v>FG06028</v>
          </cell>
          <cell r="C1752" t="str">
            <v>FERROSTRANE 0.68% ***200ML*** SIROP(FR)</v>
          </cell>
        </row>
        <row r="1753">
          <cell r="B1753" t="str">
            <v>FG06029</v>
          </cell>
          <cell r="C1753" t="str">
            <v>FLOXAPEN SIROP 250MG 100ML (FR)</v>
          </cell>
        </row>
        <row r="1754">
          <cell r="B1754" t="str">
            <v>FG06030</v>
          </cell>
          <cell r="C1754" t="str">
            <v>FUCIDIN 2% CREME DERMQ TB 15GR (FR)</v>
          </cell>
        </row>
        <row r="1755">
          <cell r="B1755" t="str">
            <v>FG06031</v>
          </cell>
          <cell r="C1755" t="str">
            <v>GANFORT COLLYRE 30MCG 3ML (EO)</v>
          </cell>
        </row>
        <row r="1756">
          <cell r="B1756" t="str">
            <v>FG06032</v>
          </cell>
          <cell r="C1756" t="str">
            <v>GARDENAL 80CES 10MG (FR)</v>
          </cell>
        </row>
        <row r="1757">
          <cell r="B1757" t="str">
            <v>FG06033</v>
          </cell>
          <cell r="C1757" t="str">
            <v>GASTROPULGITE PDRE 30 SACHETS</v>
          </cell>
        </row>
        <row r="1758">
          <cell r="B1758" t="str">
            <v>FG06034</v>
          </cell>
          <cell r="C1758" t="str">
            <v>GAZ HYDROPHILLES G.F. (XTRA CARE)</v>
          </cell>
        </row>
        <row r="1759">
          <cell r="B1759" t="str">
            <v>FG06035</v>
          </cell>
          <cell r="C1759" t="str">
            <v>GAZ HYDROPHYLLE P.F. PCS/1 (AFRICANO)</v>
          </cell>
        </row>
        <row r="1760">
          <cell r="B1760" t="str">
            <v>FG06036</v>
          </cell>
          <cell r="C1760" t="str">
            <v>GENTASOL COLLYRE(FR)</v>
          </cell>
        </row>
        <row r="1761">
          <cell r="B1761" t="str">
            <v>FG06037</v>
          </cell>
          <cell r="C1761" t="str">
            <v>GENTEAL COLLYRE 10ML(FR)</v>
          </cell>
        </row>
        <row r="1762">
          <cell r="B1762" t="str">
            <v>FG06038</v>
          </cell>
          <cell r="C1762" t="str">
            <v>GLYCERINE ENF B/10SUPPOS (FR)</v>
          </cell>
        </row>
        <row r="1763">
          <cell r="B1763" t="str">
            <v>FG06039</v>
          </cell>
          <cell r="C1763" t="str">
            <v>GRILLE ANTI DIFFUSANTE MOBILE</v>
          </cell>
        </row>
        <row r="1764">
          <cell r="B1764" t="str">
            <v>FG06040</v>
          </cell>
          <cell r="C1764" t="str">
            <v>GRISEOFULVINE 500MG PL DE 10CES(FR)</v>
          </cell>
        </row>
        <row r="1765">
          <cell r="B1765" t="str">
            <v>FG06041</v>
          </cell>
          <cell r="C1765" t="str">
            <v>GYNO-DAKTARIN 200MG 7OVULES (FR)</v>
          </cell>
        </row>
        <row r="1766">
          <cell r="B1766" t="str">
            <v>FG06042</v>
          </cell>
          <cell r="C1766" t="str">
            <v>GYNO-DAKTARINE 400MG B/3 GYNECO. (FR)</v>
          </cell>
        </row>
        <row r="1767">
          <cell r="B1767" t="str">
            <v>FG06043</v>
          </cell>
          <cell r="C1767" t="str">
            <v>HEXOMEDINE COLLUTOIRE 30GR</v>
          </cell>
        </row>
        <row r="1768">
          <cell r="B1768" t="str">
            <v>FG06044</v>
          </cell>
          <cell r="C1768" t="str">
            <v>HISTADIUS 5MG B/10CES (FR)</v>
          </cell>
        </row>
        <row r="1769">
          <cell r="B1769" t="str">
            <v>FG06045</v>
          </cell>
          <cell r="C1769" t="str">
            <v>HISTADIUS SIROP (FR)</v>
          </cell>
        </row>
        <row r="1770">
          <cell r="B1770" t="str">
            <v>FG06046</v>
          </cell>
          <cell r="C1770" t="str">
            <v>HUMEX SIROP ENFANT</v>
          </cell>
        </row>
        <row r="1771">
          <cell r="B1771" t="str">
            <v>FG06047</v>
          </cell>
          <cell r="C1771" t="str">
            <v>IMPRIMANTE</v>
          </cell>
        </row>
        <row r="1772">
          <cell r="B1772" t="str">
            <v>FG06048</v>
          </cell>
          <cell r="C1772" t="str">
            <v>INTETRIX GELULES B/20 (FR)</v>
          </cell>
        </row>
        <row r="1773">
          <cell r="B1773" t="str">
            <v>FG06049</v>
          </cell>
          <cell r="C1773" t="str">
            <v>JANUMET 50/500MG B/56CES (FR)</v>
          </cell>
        </row>
        <row r="1774">
          <cell r="B1774" t="str">
            <v>FG06050</v>
          </cell>
          <cell r="C1774" t="str">
            <v>JUVAMINE FIZZ VIT C + CALCIUM EFF B/30CES</v>
          </cell>
        </row>
        <row r="1775">
          <cell r="B1775" t="str">
            <v>FG06051</v>
          </cell>
          <cell r="C1775" t="str">
            <v>KINAZOL SHAMPOO 2/100 100ML (FR)</v>
          </cell>
        </row>
        <row r="1776">
          <cell r="B1776" t="str">
            <v>FG06052</v>
          </cell>
          <cell r="C1776" t="str">
            <v>KREDEX 12.5 MG B/14CES (FR)</v>
          </cell>
        </row>
        <row r="1777">
          <cell r="B1777" t="str">
            <v>FG06053</v>
          </cell>
          <cell r="C1777" t="str">
            <v>LACTACYD ***200ML*** SOIN INTIME (FR)</v>
          </cell>
        </row>
        <row r="1778">
          <cell r="B1778" t="str">
            <v>FG06054</v>
          </cell>
          <cell r="C1778" t="str">
            <v>LACTACYD FEMINA PLUS LOT FL/200***</v>
          </cell>
        </row>
        <row r="1779">
          <cell r="B1779" t="str">
            <v>FG06055</v>
          </cell>
          <cell r="C1779" t="str">
            <v>LAMPE INACTINAIRE</v>
          </cell>
        </row>
        <row r="1780">
          <cell r="B1780" t="str">
            <v>FG06056</v>
          </cell>
          <cell r="C1780" t="str">
            <v>LASIX 40MG 12CES (GR)</v>
          </cell>
        </row>
        <row r="1781">
          <cell r="B1781" t="str">
            <v>FG06057</v>
          </cell>
          <cell r="C1781" t="str">
            <v>LINCOCINE 500MG B/12CAP(EO)</v>
          </cell>
        </row>
        <row r="1782">
          <cell r="B1782" t="str">
            <v>FG06058</v>
          </cell>
          <cell r="C1782" t="str">
            <v>LINCOMCIN 500MG B/16CAPS (FR)</v>
          </cell>
        </row>
        <row r="1783">
          <cell r="B1783" t="str">
            <v>FG06059</v>
          </cell>
          <cell r="C1783" t="str">
            <v>LIT DEXAMEN DE RADIO (HERIZON)</v>
          </cell>
        </row>
        <row r="1784">
          <cell r="B1784" t="str">
            <v>FG06060</v>
          </cell>
          <cell r="C1784" t="str">
            <v>LOCAPRED CREME DERMA 15GR</v>
          </cell>
        </row>
        <row r="1785">
          <cell r="B1785" t="str">
            <v>FG06061</v>
          </cell>
          <cell r="C1785" t="str">
            <v>LOSAR DENK 25MG /28 CES</v>
          </cell>
        </row>
        <row r="1786">
          <cell r="B1786" t="str">
            <v>FG06062</v>
          </cell>
          <cell r="C1786" t="str">
            <v>LUDIOMIL 75MG 28CES(FR)</v>
          </cell>
        </row>
        <row r="1787">
          <cell r="B1787" t="str">
            <v>FG06063</v>
          </cell>
          <cell r="C1787" t="str">
            <v>LYRICA 150MG B56CES(FR)</v>
          </cell>
        </row>
        <row r="1788">
          <cell r="B1788" t="str">
            <v>FG06064</v>
          </cell>
          <cell r="C1788" t="str">
            <v>MELADININE FORTE 0.75% SOL FL/24ML</v>
          </cell>
        </row>
        <row r="1789">
          <cell r="B1789" t="str">
            <v>FG06065</v>
          </cell>
          <cell r="C1789" t="str">
            <v>MICOFLU 30G CREME</v>
          </cell>
        </row>
        <row r="1790">
          <cell r="B1790" t="str">
            <v>FG06066</v>
          </cell>
          <cell r="C1790" t="str">
            <v>MIGRALGINE 12 GELULES -FR-</v>
          </cell>
        </row>
        <row r="1791">
          <cell r="B1791" t="str">
            <v>FG06067</v>
          </cell>
          <cell r="C1791" t="str">
            <v>MITOSYL PDE 65GR(FR)|</v>
          </cell>
        </row>
        <row r="1792">
          <cell r="B1792" t="str">
            <v>FG06068</v>
          </cell>
          <cell r="C1792" t="str">
            <v>MUCOMYST 100MG PDRE SUSP.100ML</v>
          </cell>
        </row>
        <row r="1793">
          <cell r="B1793" t="str">
            <v>FG06069</v>
          </cell>
          <cell r="C1793" t="str">
            <v>ADALATE OROS BAYER 30MG 28CES (FR)</v>
          </cell>
        </row>
        <row r="1794">
          <cell r="B1794" t="str">
            <v>FG06070</v>
          </cell>
          <cell r="C1794" t="str">
            <v>AMLOR 30 GELULES(AMLODIPIN) 5MG (FR)</v>
          </cell>
        </row>
        <row r="1795">
          <cell r="B1795" t="str">
            <v>FG06071</v>
          </cell>
          <cell r="C1795" t="str">
            <v>BANK DE SANG SOLAIRE KIT COMPLET</v>
          </cell>
        </row>
        <row r="1796">
          <cell r="B1796" t="str">
            <v>FG06072</v>
          </cell>
          <cell r="C1796" t="str">
            <v>BOUILLOTE 21</v>
          </cell>
        </row>
        <row r="1797">
          <cell r="B1797" t="str">
            <v>FG06073</v>
          </cell>
          <cell r="C1797" t="str">
            <v>BRUMED SUSP 100MG/5ML(FR)</v>
          </cell>
        </row>
        <row r="1798">
          <cell r="B1798" t="str">
            <v>FG06074</v>
          </cell>
          <cell r="C1798" t="str">
            <v>CAPOTEN 25MG 60CES</v>
          </cell>
        </row>
        <row r="1799">
          <cell r="B1799" t="str">
            <v>FG06075</v>
          </cell>
          <cell r="C1799" t="str">
            <v>CASSETTE + ÉCRAN RENFORÇATEUR STANDARD 30*40</v>
          </cell>
        </row>
        <row r="1800">
          <cell r="B1800" t="str">
            <v>FG06076</v>
          </cell>
          <cell r="C1800" t="str">
            <v>CEDOCARD-10 B/100CES (FR)</v>
          </cell>
        </row>
        <row r="1801">
          <cell r="B1801" t="str">
            <v>FG06077</v>
          </cell>
          <cell r="C1801" t="str">
            <v>COARTEM WALLET 20/120 MG 1 X 24 CES</v>
          </cell>
        </row>
        <row r="1802">
          <cell r="B1802" t="str">
            <v>FG06078</v>
          </cell>
          <cell r="C1802" t="str">
            <v>CORVASAL 4MG 30CES</v>
          </cell>
        </row>
        <row r="1803">
          <cell r="B1803" t="str">
            <v>FG06079</v>
          </cell>
          <cell r="C1803" t="str">
            <v>CROSSCAL (CALCIUM AND VIT D3) 500MG 500UI</v>
          </cell>
        </row>
        <row r="1804">
          <cell r="B1804" t="str">
            <v>FG06080</v>
          </cell>
          <cell r="C1804" t="str">
            <v>CYCLOCUR PLS DE 21DRG (EO)</v>
          </cell>
        </row>
        <row r="1805">
          <cell r="B1805" t="str">
            <v>FG06081</v>
          </cell>
          <cell r="C1805" t="str">
            <v>DENT ELGYDIUM DENTIFRICE 100GR(FR)</v>
          </cell>
        </row>
        <row r="1806">
          <cell r="B1806" t="str">
            <v>FG06082</v>
          </cell>
          <cell r="C1806" t="str">
            <v>DENT ELGYDIUM PROTECTION CRIES 75ML (FR)</v>
          </cell>
        </row>
        <row r="1807">
          <cell r="B1807" t="str">
            <v>FG06083</v>
          </cell>
          <cell r="C1807" t="str">
            <v>DICLOMAX (DICLOFENAC) LP 100MG 10CES. GENPHARMA</v>
          </cell>
        </row>
        <row r="1808">
          <cell r="B1808" t="str">
            <v>FG06084</v>
          </cell>
          <cell r="C1808" t="str">
            <v>DONTOMYCINE (SPIRAMYCIN) 1.5M.U.I B/16CES</v>
          </cell>
        </row>
        <row r="1809">
          <cell r="B1809" t="str">
            <v>FG06085</v>
          </cell>
          <cell r="C1809" t="str">
            <v>ELICASAL POMMADE</v>
          </cell>
        </row>
        <row r="1810">
          <cell r="B1810" t="str">
            <v>FG06086</v>
          </cell>
          <cell r="C1810" t="str">
            <v>ERCEFURYL SUSP ORAL 90ML (EO)</v>
          </cell>
        </row>
        <row r="1811">
          <cell r="B1811" t="str">
            <v>FG06087</v>
          </cell>
          <cell r="C1811" t="str">
            <v>FECOND 200 (PROGESTERONE 200MG) B/15 CAP</v>
          </cell>
        </row>
        <row r="1812">
          <cell r="B1812" t="str">
            <v>FG06088</v>
          </cell>
          <cell r="C1812" t="str">
            <v>FELDENE 10MG 30GELULES (FR)</v>
          </cell>
        </row>
        <row r="1813">
          <cell r="B1813" t="str">
            <v>FG06089</v>
          </cell>
          <cell r="C1813" t="str">
            <v>FILM 24X30 B/100PCS</v>
          </cell>
        </row>
        <row r="1814">
          <cell r="B1814" t="str">
            <v>FG06090</v>
          </cell>
          <cell r="C1814" t="str">
            <v>FLAGYL 500MG B/30 CAPS (E.O.)</v>
          </cell>
        </row>
        <row r="1815">
          <cell r="B1815" t="str">
            <v>FG06091</v>
          </cell>
          <cell r="C1815" t="str">
            <v>FLUOROURACIL UPS 500MG/10ML B/1AMP</v>
          </cell>
        </row>
        <row r="1816">
          <cell r="B1816" t="str">
            <v>FG06092</v>
          </cell>
          <cell r="C1816" t="str">
            <v>FURADERM (NITROFURAL) 50G CREAM</v>
          </cell>
        </row>
        <row r="1817">
          <cell r="B1817" t="str">
            <v>FG06093</v>
          </cell>
          <cell r="C1817" t="str">
            <v>GENTA EYE COLLYRE 10ML FR</v>
          </cell>
        </row>
        <row r="1818">
          <cell r="B1818" t="str">
            <v>FG06094</v>
          </cell>
          <cell r="C1818" t="str">
            <v>GLYCERINE ADULT B/10SUPPOS (FR)</v>
          </cell>
        </row>
        <row r="1819">
          <cell r="B1819" t="str">
            <v>FG06095</v>
          </cell>
          <cell r="C1819" t="str">
            <v>INDOCID 100MG 10SUPPO(FR)</v>
          </cell>
        </row>
        <row r="1820">
          <cell r="B1820" t="str">
            <v>FG06096</v>
          </cell>
          <cell r="C1820" t="str">
            <v>INNOTEX NUTUREL B/3PCS</v>
          </cell>
        </row>
        <row r="1821">
          <cell r="B1821" t="str">
            <v>FG06097</v>
          </cell>
          <cell r="C1821" t="str">
            <v>JUVAMINE VIT C 1GR EFF B/30CES</v>
          </cell>
        </row>
        <row r="1822">
          <cell r="B1822" t="str">
            <v>FG06098</v>
          </cell>
          <cell r="C1822" t="str">
            <v>KARDEGIC 160MG SACH /30(FR)</v>
          </cell>
        </row>
        <row r="1823">
          <cell r="B1823" t="str">
            <v>FG06099</v>
          </cell>
          <cell r="C1823" t="str">
            <v>LAMELLE SPÉCIAL BOITE DE 10</v>
          </cell>
        </row>
        <row r="1824">
          <cell r="B1824" t="str">
            <v>FG06100</v>
          </cell>
          <cell r="C1824" t="str">
            <v>LAMPE SCIALYTIQUE AVEC BATTERIE INTÉGRÉE LED</v>
          </cell>
        </row>
        <row r="1825">
          <cell r="B1825" t="str">
            <v>FG06101</v>
          </cell>
          <cell r="C1825" t="str">
            <v>LUDIOMIL 50MG 30CES(FR)</v>
          </cell>
        </row>
        <row r="1826">
          <cell r="B1826" t="str">
            <v>FG06102</v>
          </cell>
          <cell r="C1826" t="str">
            <v>MARIMER HYGIENE NASAL 100ML</v>
          </cell>
        </row>
        <row r="1827">
          <cell r="B1827" t="str">
            <v>FG06103</v>
          </cell>
          <cell r="C1827" t="str">
            <v>MODURETIC 5MG 30CES(FR)</v>
          </cell>
        </row>
        <row r="1828">
          <cell r="B1828" t="str">
            <v>FG06104</v>
          </cell>
          <cell r="C1828" t="str">
            <v>NEO CODION ENF SIROP 125ML</v>
          </cell>
        </row>
        <row r="1829">
          <cell r="B1829" t="str">
            <v>FG06105</v>
          </cell>
          <cell r="C1829" t="str">
            <v>NEO CUTIGENOL POMMADE 50GR (EO)</v>
          </cell>
        </row>
        <row r="1830">
          <cell r="B1830" t="str">
            <v>FG06106</v>
          </cell>
          <cell r="C1830" t="str">
            <v>NEO MEDROL LOTION 25ML DERMIQUE</v>
          </cell>
        </row>
        <row r="1831">
          <cell r="B1831" t="str">
            <v>FG06107</v>
          </cell>
          <cell r="C1831" t="str">
            <v>NIDAZOL 250MG B/20CES (FR)</v>
          </cell>
        </row>
        <row r="1832">
          <cell r="B1832" t="str">
            <v>FG06108</v>
          </cell>
          <cell r="C1832" t="str">
            <v>NIZORAL CREME 15GR. (FR)</v>
          </cell>
        </row>
        <row r="1833">
          <cell r="B1833" t="str">
            <v>FG06109</v>
          </cell>
          <cell r="C1833" t="str">
            <v>NOOTROPYL 400MG B/60CAPS</v>
          </cell>
        </row>
        <row r="1834">
          <cell r="B1834" t="str">
            <v>FG06110</v>
          </cell>
          <cell r="C1834" t="str">
            <v>NORMOPTIC COLLTRE 0.5% 5ML (FR)</v>
          </cell>
        </row>
        <row r="1835">
          <cell r="B1835" t="str">
            <v>FG06111</v>
          </cell>
          <cell r="C1835" t="str">
            <v>OLFEN 100MG 5SUPPOS (FR)</v>
          </cell>
        </row>
        <row r="1836">
          <cell r="B1836" t="str">
            <v>FG06112</v>
          </cell>
          <cell r="C1836" t="str">
            <v>OMEGEN (OMEPRAZOLE) 20MG 28CAPS GEN PHARMA</v>
          </cell>
        </row>
        <row r="1837">
          <cell r="B1837" t="str">
            <v>FG06113</v>
          </cell>
          <cell r="C1837" t="str">
            <v>OMNIBIONTA INTEGRAL 30CAPS (EO)</v>
          </cell>
        </row>
        <row r="1838">
          <cell r="B1838" t="str">
            <v>FG06114</v>
          </cell>
          <cell r="C1838" t="str">
            <v>OMNIPAQUE 300MG 50ML (EO)</v>
          </cell>
        </row>
        <row r="1839">
          <cell r="B1839" t="str">
            <v>FG06115</v>
          </cell>
          <cell r="C1839" t="str">
            <v>OPTICIN 0.3 (CIPROFLOXACINE) COLLYRE 5ML</v>
          </cell>
        </row>
        <row r="1840">
          <cell r="B1840" t="str">
            <v>FG06116</v>
          </cell>
          <cell r="C1840" t="str">
            <v>OPTIFLOX (OFLOXECINE) COLLYRE 5ML</v>
          </cell>
        </row>
        <row r="1841">
          <cell r="B1841" t="str">
            <v>FG06117</v>
          </cell>
          <cell r="C1841" t="str">
            <v>ORACEFAL 125 MG PDRE SP FL/60ML</v>
          </cell>
        </row>
        <row r="1842">
          <cell r="B1842" t="str">
            <v>FG06118</v>
          </cell>
          <cell r="C1842" t="str">
            <v>ORACEFAL 250 MG PDRE SP FL/60ML</v>
          </cell>
        </row>
        <row r="1843">
          <cell r="B1843" t="str">
            <v>FG06119</v>
          </cell>
          <cell r="C1843" t="str">
            <v>ORACEFAL 500 MG GELULE B/12 (FR)</v>
          </cell>
        </row>
        <row r="1844">
          <cell r="B1844" t="str">
            <v>FG06120</v>
          </cell>
          <cell r="C1844" t="str">
            <v>OSPAMOX *** DISP **** 1000MG 12CES</v>
          </cell>
        </row>
        <row r="1845">
          <cell r="B1845" t="str">
            <v>FG06121</v>
          </cell>
          <cell r="C1845" t="str">
            <v>OSPEN 1.000.000 UI 12CES (FR)</v>
          </cell>
        </row>
        <row r="1846">
          <cell r="B1846" t="str">
            <v>FG06122</v>
          </cell>
          <cell r="C1846" t="str">
            <v>PAIRES DE CISEAUX</v>
          </cell>
        </row>
        <row r="1847">
          <cell r="B1847" t="str">
            <v>FG06123</v>
          </cell>
          <cell r="C1847" t="str">
            <v>PANADOL PLUS 500MG B/20CES (FR)</v>
          </cell>
        </row>
        <row r="1848">
          <cell r="B1848" t="str">
            <v>FG06124</v>
          </cell>
          <cell r="C1848" t="str">
            <v>PANADOL RHUME+GRIPPE 16CPS</v>
          </cell>
        </row>
        <row r="1849">
          <cell r="B1849" t="str">
            <v>FG06125</v>
          </cell>
          <cell r="C1849" t="str">
            <v>PARAFLAM 400MG 10CES(FR)</v>
          </cell>
        </row>
        <row r="1850">
          <cell r="B1850" t="str">
            <v>FG06126</v>
          </cell>
          <cell r="C1850" t="str">
            <v>PARAVENT PLOMBIER</v>
          </cell>
        </row>
        <row r="1851">
          <cell r="B1851" t="str">
            <v>FG06127</v>
          </cell>
          <cell r="C1851" t="str">
            <v>PEGLEC (GASTRONTESTIN) B/1SACHET</v>
          </cell>
        </row>
        <row r="1852">
          <cell r="B1852" t="str">
            <v>FG06128</v>
          </cell>
          <cell r="C1852" t="str">
            <v>PERIACTINE 50CES 4MG (EO)</v>
          </cell>
        </row>
        <row r="1853">
          <cell r="B1853" t="str">
            <v>FG06129</v>
          </cell>
          <cell r="C1853" t="str">
            <v>PERSANTINE 75MG 30DRG (FR)</v>
          </cell>
        </row>
        <row r="1854">
          <cell r="B1854" t="str">
            <v>FG06130</v>
          </cell>
          <cell r="C1854" t="str">
            <v>PETIT CHAMPS OPÉRATOIRE</v>
          </cell>
        </row>
        <row r="1855">
          <cell r="B1855" t="str">
            <v>FG06131</v>
          </cell>
          <cell r="C1855" t="str">
            <v>PEVARYL SOLUTION SPRAY 30GR</v>
          </cell>
        </row>
        <row r="1856">
          <cell r="B1856" t="str">
            <v>FG06132</v>
          </cell>
          <cell r="C1856" t="str">
            <v>PHOSPHALUGEL SUSP BUV 250GR</v>
          </cell>
        </row>
        <row r="1857">
          <cell r="B1857" t="str">
            <v>FG06133</v>
          </cell>
          <cell r="C1857" t="str">
            <v>PINCE DE MICHEL</v>
          </cell>
        </row>
        <row r="1858">
          <cell r="B1858" t="str">
            <v>FG06134</v>
          </cell>
          <cell r="C1858" t="str">
            <v>PINCE INTERMÉDIAIRE 20CM</v>
          </cell>
        </row>
        <row r="1859">
          <cell r="B1859" t="str">
            <v>FG06135</v>
          </cell>
          <cell r="C1859" t="str">
            <v>PINCE MOSQUITO 13CM</v>
          </cell>
        </row>
        <row r="1860">
          <cell r="B1860" t="str">
            <v>FG06136</v>
          </cell>
          <cell r="C1860" t="str">
            <v>PINCES HÉMOSTATIQUES 15CM</v>
          </cell>
        </row>
        <row r="1861">
          <cell r="B1861" t="str">
            <v>FG06137</v>
          </cell>
          <cell r="C1861" t="str">
            <v>PIPRAM FORT 400MG 10CES (FR)</v>
          </cell>
        </row>
        <row r="1862">
          <cell r="B1862" t="str">
            <v>FG06138</v>
          </cell>
          <cell r="C1862" t="str">
            <v>PLATEAUX GRAND FORMAT</v>
          </cell>
        </row>
        <row r="1863">
          <cell r="B1863" t="str">
            <v>FG06139</v>
          </cell>
          <cell r="C1863" t="str">
            <v>PLATEAUX PETITS FORMAT</v>
          </cell>
        </row>
        <row r="1864">
          <cell r="B1864" t="str">
            <v>FG06140</v>
          </cell>
          <cell r="C1864" t="str">
            <v>PRAXILENE 200MG @ B/20CES (FR)</v>
          </cell>
        </row>
        <row r="1865">
          <cell r="B1865" t="str">
            <v>FG06141</v>
          </cell>
          <cell r="C1865" t="str">
            <v>PREGNYL 5000UI 3AMP (FR)</v>
          </cell>
        </row>
        <row r="1866">
          <cell r="B1866" t="str">
            <v>FG06142</v>
          </cell>
          <cell r="C1866" t="str">
            <v>PRIADEL 400MG TAB (FR)</v>
          </cell>
        </row>
        <row r="1867">
          <cell r="B1867" t="str">
            <v>FG06143</v>
          </cell>
          <cell r="C1867" t="str">
            <v>PRIMPERAN 10 SUPPO 10MG (EO)</v>
          </cell>
        </row>
        <row r="1868">
          <cell r="B1868" t="str">
            <v>FG06144</v>
          </cell>
          <cell r="C1868" t="str">
            <v>PRODOLAN 200MG BT/10SUPPOS ENF</v>
          </cell>
        </row>
        <row r="1869">
          <cell r="B1869" t="str">
            <v>FG06145</v>
          </cell>
          <cell r="C1869" t="str">
            <v>PROFENID 150ML SIROP (EO)</v>
          </cell>
        </row>
        <row r="1870">
          <cell r="B1870" t="str">
            <v>FG06146</v>
          </cell>
          <cell r="C1870" t="str">
            <v>PROFENID AMP/1 (FR)</v>
          </cell>
        </row>
        <row r="1871">
          <cell r="B1871" t="str">
            <v>FG06147</v>
          </cell>
          <cell r="C1871" t="str">
            <v>PROFENID GEL 2.5% TUBE 60GR(FR)</v>
          </cell>
        </row>
        <row r="1872">
          <cell r="B1872" t="str">
            <v>FG06148</v>
          </cell>
          <cell r="C1872" t="str">
            <v>PROLOPA 250MG 30CES (FR)</v>
          </cell>
        </row>
        <row r="1873">
          <cell r="B1873" t="str">
            <v>FG06149</v>
          </cell>
          <cell r="C1873" t="str">
            <v>PROPOFOL LIPURO 1% 10MG/ML INJ B/1AMP (FR)</v>
          </cell>
        </row>
        <row r="1874">
          <cell r="B1874" t="str">
            <v>FG06150</v>
          </cell>
          <cell r="C1874" t="str">
            <v>PRORHYNEL 10AMP + PIPTT NASALES (EO)</v>
          </cell>
        </row>
        <row r="1875">
          <cell r="B1875" t="str">
            <v>FG06151</v>
          </cell>
          <cell r="C1875" t="str">
            <v>PROVIRON BT/50 CES 25MG (FR)</v>
          </cell>
        </row>
        <row r="1876">
          <cell r="B1876" t="str">
            <v>FG06152</v>
          </cell>
          <cell r="C1876" t="str">
            <v>RALAXON 250 GEL</v>
          </cell>
        </row>
        <row r="1877">
          <cell r="B1877" t="str">
            <v>FG06153</v>
          </cell>
          <cell r="C1877" t="str">
            <v>RECHARGE ACTIVE DENK B/12 SCH(FR)</v>
          </cell>
        </row>
        <row r="1878">
          <cell r="B1878" t="str">
            <v>FG06154</v>
          </cell>
          <cell r="C1878" t="str">
            <v>RISPERDAL 1 MG B/60CES (FR)</v>
          </cell>
        </row>
        <row r="1879">
          <cell r="B1879" t="str">
            <v>FG06155</v>
          </cell>
          <cell r="C1879" t="str">
            <v>ROCEPHINE 250MG...IM...INJ B/1AMP (FR)</v>
          </cell>
        </row>
        <row r="1880">
          <cell r="B1880" t="str">
            <v>FG06156</v>
          </cell>
          <cell r="C1880" t="str">
            <v>ROCEPHINE 250MG...IV...INJ B/1AMP (FR)</v>
          </cell>
        </row>
        <row r="1881">
          <cell r="B1881" t="str">
            <v>FG06157</v>
          </cell>
          <cell r="C1881" t="str">
            <v>ROCEPHINE 500MG...IM...INJ B/1AMP (FR)</v>
          </cell>
        </row>
        <row r="1882">
          <cell r="B1882" t="str">
            <v>FG06158</v>
          </cell>
          <cell r="C1882" t="str">
            <v>SAVON PETIT MARS HUILE ARGAN 2X100GR(FR)</v>
          </cell>
        </row>
        <row r="1883">
          <cell r="B1883" t="str">
            <v>FG06159</v>
          </cell>
          <cell r="C1883" t="str">
            <v>SAVON PETIT MARSEILLAIS CITRON 200GR</v>
          </cell>
        </row>
        <row r="1884">
          <cell r="B1884" t="str">
            <v>FG06160</v>
          </cell>
          <cell r="C1884" t="str">
            <v>SAVON PETIT MARSEILLAIS LAIT 200GR</v>
          </cell>
        </row>
        <row r="1885">
          <cell r="B1885" t="str">
            <v>FG06161</v>
          </cell>
          <cell r="C1885" t="str">
            <v>SCHERIPROCT 12 SUPPOS (FR)</v>
          </cell>
        </row>
        <row r="1886">
          <cell r="B1886" t="str">
            <v>FG06162</v>
          </cell>
          <cell r="C1886" t="str">
            <v>SERVIFLOX 250MG 10CES (EO)</v>
          </cell>
        </row>
        <row r="1887">
          <cell r="B1887" t="str">
            <v>FG06163</v>
          </cell>
          <cell r="C1887" t="str">
            <v>SERVIFLOX 500MG 10CES (EO)</v>
          </cell>
        </row>
        <row r="1888">
          <cell r="B1888" t="str">
            <v>FG06164</v>
          </cell>
          <cell r="C1888" t="str">
            <v>SERVIFLOX 750MG 10CES (FR)</v>
          </cell>
        </row>
        <row r="1889">
          <cell r="B1889" t="str">
            <v>FG06165</v>
          </cell>
          <cell r="C1889" t="str">
            <v>SOLUPRED 20MG B/20CES (EO)</v>
          </cell>
        </row>
        <row r="1890">
          <cell r="B1890" t="str">
            <v>FG06166</v>
          </cell>
          <cell r="C1890" t="str">
            <v>SOLUTION DE BÉNÉDICTE</v>
          </cell>
        </row>
        <row r="1891">
          <cell r="B1891" t="str">
            <v>FG06167</v>
          </cell>
          <cell r="C1891" t="str">
            <v>SORBITOL 20 SACHETS (FR)</v>
          </cell>
        </row>
        <row r="1892">
          <cell r="B1892" t="str">
            <v>FG06168</v>
          </cell>
          <cell r="C1892" t="str">
            <v>SPASMED 4ML B/6 (FR)</v>
          </cell>
        </row>
        <row r="1893">
          <cell r="B1893" t="str">
            <v>FG06169</v>
          </cell>
          <cell r="C1893" t="str">
            <v>STERILISATEUR POUPINEL 120L</v>
          </cell>
        </row>
        <row r="1894">
          <cell r="B1894" t="str">
            <v>FG06170</v>
          </cell>
          <cell r="C1894" t="str">
            <v>STÉRILISATEUR POUPINEL 60L</v>
          </cell>
        </row>
        <row r="1895">
          <cell r="B1895" t="str">
            <v>FG06171</v>
          </cell>
          <cell r="C1895" t="str">
            <v>SULFOBACTIN 250 MG B/16 CES (FR)</v>
          </cell>
        </row>
        <row r="1896">
          <cell r="B1896" t="str">
            <v>FG06172</v>
          </cell>
          <cell r="C1896" t="str">
            <v>SUPPORT POUR FILM RADIO 18*24 CM</v>
          </cell>
        </row>
        <row r="1897">
          <cell r="B1897" t="str">
            <v>FG06173</v>
          </cell>
          <cell r="C1897" t="str">
            <v>SUPPORT POUR FILM RADIO 35*35 CM</v>
          </cell>
        </row>
        <row r="1898">
          <cell r="B1898" t="str">
            <v>FG06174</v>
          </cell>
          <cell r="C1898" t="str">
            <v>TABLE D’ACCOUCHEMENT IMPORTÉE</v>
          </cell>
        </row>
        <row r="1899">
          <cell r="B1899" t="str">
            <v>FG06175</v>
          </cell>
          <cell r="C1899" t="str">
            <v>TABLE DE TRAVAIL RECOUVERT DE PLOMB</v>
          </cell>
        </row>
        <row r="1900">
          <cell r="B1900" t="str">
            <v>FG06176</v>
          </cell>
          <cell r="C1900" t="str">
            <v>TABLE OPÉRATOIRE UNIVERSELLE</v>
          </cell>
        </row>
        <row r="1901">
          <cell r="B1901" t="str">
            <v>FG06177</v>
          </cell>
          <cell r="C1901" t="str">
            <v>TABLES DE BUREAU</v>
          </cell>
        </row>
        <row r="1902">
          <cell r="B1902" t="str">
            <v>FG06178</v>
          </cell>
          <cell r="C1902" t="str">
            <v>TABLIER PLOMBIER</v>
          </cell>
        </row>
        <row r="1903">
          <cell r="B1903" t="str">
            <v>FG06179</v>
          </cell>
          <cell r="C1903" t="str">
            <v>TAHOR 40MG CES B/28 (FR)</v>
          </cell>
        </row>
        <row r="1904">
          <cell r="B1904" t="str">
            <v>FG06180</v>
          </cell>
          <cell r="C1904" t="str">
            <v>TAMBOURS 150*150</v>
          </cell>
        </row>
        <row r="1905">
          <cell r="B1905" t="str">
            <v>FG06181</v>
          </cell>
          <cell r="C1905" t="str">
            <v>TAMBOURS GRAND FORMAT 190*190</v>
          </cell>
        </row>
        <row r="1906">
          <cell r="B1906" t="str">
            <v>FG06182</v>
          </cell>
          <cell r="C1906" t="str">
            <v>TANAKAN GOUTTE BUV. 40MG 30ML</v>
          </cell>
        </row>
        <row r="1907">
          <cell r="B1907" t="str">
            <v>FG06183</v>
          </cell>
          <cell r="C1907" t="str">
            <v>TARDYTERON 80MG 30CES (EO)</v>
          </cell>
        </row>
        <row r="1908">
          <cell r="B1908" t="str">
            <v>FG06184</v>
          </cell>
          <cell r="C1908" t="str">
            <v>TEMESTA 2.5MG 30CES (EO)</v>
          </cell>
        </row>
        <row r="1909">
          <cell r="B1909" t="str">
            <v>FG06185</v>
          </cell>
          <cell r="C1909" t="str">
            <v>TINIDAZOLE 500MG B/4 CES (GENERIQUE)</v>
          </cell>
        </row>
        <row r="1910">
          <cell r="B1910" t="str">
            <v>FG06186</v>
          </cell>
          <cell r="C1910" t="str">
            <v>TOPICREM HYDRA CREME VISAGE RICHE FL/75ML</v>
          </cell>
        </row>
        <row r="1911">
          <cell r="B1911" t="str">
            <v>FG06187</v>
          </cell>
          <cell r="C1911" t="str">
            <v>TRABAR 100MG 5AMP</v>
          </cell>
        </row>
        <row r="1912">
          <cell r="B1912" t="str">
            <v>FG06188</v>
          </cell>
          <cell r="C1912" t="str">
            <v>TRABAR 50MG 10GELULE (FR)</v>
          </cell>
        </row>
        <row r="1913">
          <cell r="B1913" t="str">
            <v>FG06189</v>
          </cell>
          <cell r="C1913" t="str">
            <v>TUBES CAPILLAIRES POUR HB 301</v>
          </cell>
        </row>
        <row r="1914">
          <cell r="B1914" t="str">
            <v>FG06190</v>
          </cell>
          <cell r="C1914" t="str">
            <v>UCEMINE PP 50CES 100MG (FR)</v>
          </cell>
        </row>
        <row r="1915">
          <cell r="B1915" t="str">
            <v>FG06191</v>
          </cell>
          <cell r="C1915" t="str">
            <v>UNICROM 2% 3M (FR)</v>
          </cell>
        </row>
        <row r="1916">
          <cell r="B1916" t="str">
            <v>FG06192</v>
          </cell>
          <cell r="C1916" t="str">
            <v>URALYT-U GRANULES 28MG (FR)</v>
          </cell>
        </row>
        <row r="1917">
          <cell r="B1917" t="str">
            <v>FG06193</v>
          </cell>
          <cell r="C1917" t="str">
            <v>VALIUM 10MG B/30CES(E.O.)</v>
          </cell>
        </row>
        <row r="1918">
          <cell r="B1918" t="str">
            <v>FG06194</v>
          </cell>
          <cell r="C1918" t="str">
            <v>VALSAR DENK 320 B/28CES (FR)</v>
          </cell>
        </row>
        <row r="1919">
          <cell r="B1919" t="str">
            <v>FG06195</v>
          </cell>
          <cell r="C1919" t="str">
            <v>VALSAR DENK 40MG B/28CES</v>
          </cell>
        </row>
        <row r="1920">
          <cell r="B1920" t="str">
            <v>FG06196</v>
          </cell>
          <cell r="C1920" t="str">
            <v>VENORUTON FORT 500MG $$ 60CES $$ ( FR)</v>
          </cell>
        </row>
        <row r="1921">
          <cell r="B1921" t="str">
            <v>FG06197</v>
          </cell>
          <cell r="C1921" t="str">
            <v>VENTOLINE SIROP 150ML (FR)</v>
          </cell>
        </row>
        <row r="1922">
          <cell r="B1922" t="str">
            <v>FG06198</v>
          </cell>
          <cell r="C1922" t="str">
            <v>VIAGRA B/4CES****50MG(PFIZER)</v>
          </cell>
        </row>
        <row r="1923">
          <cell r="B1923" t="str">
            <v>FG06199</v>
          </cell>
          <cell r="C1923" t="str">
            <v>VIBRA 100MG @@@ B/10 CES SEC (FR)</v>
          </cell>
        </row>
        <row r="1924">
          <cell r="B1924" t="str">
            <v>FG06200</v>
          </cell>
          <cell r="C1924" t="str">
            <v>VICKS INHALER (FR)</v>
          </cell>
        </row>
        <row r="1925">
          <cell r="B1925" t="str">
            <v>FG06201</v>
          </cell>
          <cell r="C1925" t="str">
            <v>VISCERALGINE 50MG 30CES (FR)</v>
          </cell>
        </row>
        <row r="1926">
          <cell r="B1926" t="str">
            <v>FG06202</v>
          </cell>
          <cell r="C1926" t="str">
            <v>VISCERALGINE 5MG/2ML 10AMP (FR)</v>
          </cell>
        </row>
        <row r="1927">
          <cell r="B1927" t="str">
            <v>FG06203</v>
          </cell>
          <cell r="C1927" t="str">
            <v>VISINE COLLYRE 15ML (FR)</v>
          </cell>
        </row>
        <row r="1928">
          <cell r="B1928" t="str">
            <v>FG06204</v>
          </cell>
          <cell r="C1928" t="str">
            <v>VIT A POM.OPHT T/10GR (FR)</v>
          </cell>
        </row>
        <row r="1929">
          <cell r="B1929" t="str">
            <v>FG06205</v>
          </cell>
          <cell r="C1929" t="str">
            <v>VOLTARENE EMULGEL 1% @100GR@ (FR)</v>
          </cell>
        </row>
        <row r="1930">
          <cell r="B1930" t="str">
            <v>FG06206</v>
          </cell>
          <cell r="C1930" t="str">
            <v>WARIMAZOL DERMIQUE 20GR **(FR)**</v>
          </cell>
        </row>
        <row r="1931">
          <cell r="B1931" t="str">
            <v>FG06207</v>
          </cell>
          <cell r="C1931" t="str">
            <v>XANAX 0.5MG 50CES (EO)</v>
          </cell>
        </row>
        <row r="1932">
          <cell r="B1932" t="str">
            <v>FG06208</v>
          </cell>
          <cell r="C1932" t="str">
            <v>XARELTO 15MG B/14CES (FR)</v>
          </cell>
        </row>
        <row r="1933">
          <cell r="B1933" t="str">
            <v>FG06209</v>
          </cell>
          <cell r="C1933" t="str">
            <v>XATRAL LP 5MG 56CES (EO)</v>
          </cell>
        </row>
        <row r="1934">
          <cell r="B1934" t="str">
            <v>FG06210</v>
          </cell>
          <cell r="C1934" t="str">
            <v>XYLO MEPHA 0.05% 10ML (EO)</v>
          </cell>
        </row>
        <row r="1935">
          <cell r="B1935" t="str">
            <v>FG06211</v>
          </cell>
          <cell r="C1935" t="str">
            <v>XYLO MEPHA 0.1% 10ML (EO)</v>
          </cell>
        </row>
        <row r="1936">
          <cell r="B1936" t="str">
            <v>FG06212</v>
          </cell>
          <cell r="C1936" t="str">
            <v>XYLOCAINE +ADRENALINE 2% 20ML (FR)</v>
          </cell>
        </row>
        <row r="1937">
          <cell r="B1937" t="str">
            <v>FG06213</v>
          </cell>
          <cell r="C1937" t="str">
            <v>YENDOL 10 SACHETS(FR)</v>
          </cell>
        </row>
        <row r="1938">
          <cell r="B1938" t="str">
            <v>FG06214</v>
          </cell>
          <cell r="C1938" t="str">
            <v>ZAMO 1000MG/125MG 12SACHETS (EO)</v>
          </cell>
        </row>
        <row r="1939">
          <cell r="B1939" t="str">
            <v>FG06215</v>
          </cell>
          <cell r="C1939" t="str">
            <v>ZAMOX 500MG/62.5MG 12SACHETS (EO)</v>
          </cell>
        </row>
        <row r="1940">
          <cell r="B1940" t="str">
            <v>FG06216</v>
          </cell>
          <cell r="C1940" t="str">
            <v>ZAMOX SUSP BUV 60MK 100MG/12.5MG (EO)</v>
          </cell>
        </row>
        <row r="1941">
          <cell r="B1941" t="str">
            <v>FG06217</v>
          </cell>
          <cell r="C1941" t="str">
            <v>ZEBEN 400MG/20ML SUSP 20ML</v>
          </cell>
        </row>
        <row r="1942">
          <cell r="B1942" t="str">
            <v>FG06218</v>
          </cell>
          <cell r="C1942" t="str">
            <v>ZEBU PLUS (PARACETAMOL) SUSPENSION ORALE</v>
          </cell>
        </row>
        <row r="1943">
          <cell r="B1943" t="str">
            <v>FG06219</v>
          </cell>
          <cell r="C1943" t="str">
            <v>ZESTRIL 20MG 28CES</v>
          </cell>
        </row>
        <row r="1944">
          <cell r="B1944" t="str">
            <v>FG06220</v>
          </cell>
          <cell r="C1944" t="str">
            <v>ZINNAT 80ML 125MG SUSP (FR)</v>
          </cell>
        </row>
        <row r="1945">
          <cell r="B1945" t="str">
            <v>FG06221</v>
          </cell>
          <cell r="C1945" t="str">
            <v>ZOCOR 20MG 28CES (FR)</v>
          </cell>
        </row>
        <row r="1946">
          <cell r="B1946" t="str">
            <v>FG06222</v>
          </cell>
          <cell r="C1946" t="str">
            <v>ZWITSAL BADOLIE HUILE BE BAIN 200ML</v>
          </cell>
        </row>
        <row r="1947">
          <cell r="B1947" t="str">
            <v>FG06223</v>
          </cell>
          <cell r="C1947" t="str">
            <v>ZWITSAL BAIN MOUSSANT SANS SAVON 200ML</v>
          </cell>
        </row>
        <row r="1948">
          <cell r="B1948" t="str">
            <v>FG06224</v>
          </cell>
          <cell r="C1948" t="str">
            <v>ZWITSAL BAIN MOUSSANT SANS SAVON 400ML</v>
          </cell>
        </row>
        <row r="1949">
          <cell r="B1949" t="str">
            <v>FG06225</v>
          </cell>
          <cell r="C1949" t="str">
            <v>ZWITSAL BAIN MOUSSANT SANS SAVON 700ML</v>
          </cell>
        </row>
        <row r="1950">
          <cell r="B1950" t="str">
            <v>FG06226</v>
          </cell>
          <cell r="C1950" t="str">
            <v>ZWITSAL CREME DOUCE POT 200ML</v>
          </cell>
        </row>
        <row r="1951">
          <cell r="B1951" t="str">
            <v>FG06227</v>
          </cell>
          <cell r="C1951" t="str">
            <v>ZWITSAL CREME LAVANTE SANS SAVON 200ML</v>
          </cell>
        </row>
        <row r="1952">
          <cell r="B1952" t="str">
            <v>FG06228</v>
          </cell>
          <cell r="C1952" t="str">
            <v>ZWITSAL CREME LAVANTE SANS SAVON 500ML</v>
          </cell>
        </row>
        <row r="1953">
          <cell r="B1953" t="str">
            <v>FG06229</v>
          </cell>
          <cell r="C1953" t="str">
            <v>ZWITSAL DEODORANT ORIGINAL 100ML</v>
          </cell>
        </row>
        <row r="1954">
          <cell r="B1954" t="str">
            <v>FG06230</v>
          </cell>
          <cell r="C1954" t="str">
            <v>ZWITSAL DEODORANT POUDRE DOUCE 100ML (ZACHT)</v>
          </cell>
        </row>
        <row r="1955">
          <cell r="B1955" t="str">
            <v>FG06231</v>
          </cell>
          <cell r="C1955" t="str">
            <v>ZWITSAL EAU DE ZWITSAL (EAU DE TOILETE) 95ML</v>
          </cell>
        </row>
        <row r="1956">
          <cell r="B1956" t="str">
            <v>FG06232</v>
          </cell>
          <cell r="C1956" t="str">
            <v>ZWITSAL FACIAL CREME SUR LES JOUES 100ML</v>
          </cell>
        </row>
        <row r="1957">
          <cell r="B1957" t="str">
            <v>FG06233</v>
          </cell>
          <cell r="C1957" t="str">
            <v>ZWITSAL GEL BAIN &amp; DOUCHE 400ML (LAVENDE)</v>
          </cell>
        </row>
        <row r="1958">
          <cell r="B1958" t="str">
            <v>FG06234</v>
          </cell>
          <cell r="C1958" t="str">
            <v>ZWITSAL GEL LAVANTE SANS SAVON 700ML</v>
          </cell>
        </row>
        <row r="1959">
          <cell r="B1959" t="str">
            <v>FG06235</v>
          </cell>
          <cell r="C1959" t="str">
            <v>ZWITSAL KIDS SHOMPOOING 400ML -GARCON</v>
          </cell>
        </row>
        <row r="1960">
          <cell r="B1960" t="str">
            <v>FG06236</v>
          </cell>
          <cell r="C1960" t="str">
            <v>ZWITSAL LAIT DE TOILETTE 200ML (LOTION CORPORELLE)</v>
          </cell>
        </row>
        <row r="1961">
          <cell r="B1961" t="str">
            <v>FG06237</v>
          </cell>
          <cell r="C1961" t="str">
            <v>ZWITSAL LINGETTES A BASE DE LOTION 72 PIECES</v>
          </cell>
        </row>
        <row r="1962">
          <cell r="B1962" t="str">
            <v>FG06238</v>
          </cell>
          <cell r="C1962" t="str">
            <v>ZWITSAL LINGETTES DEBARBOUILLETTETTES 40 PIC</v>
          </cell>
        </row>
        <row r="1963">
          <cell r="B1963" t="str">
            <v>FG06239</v>
          </cell>
          <cell r="C1963" t="str">
            <v>ZWITSAL LINGETTES HUMIDES SENSITIVE B/57</v>
          </cell>
        </row>
        <row r="1964">
          <cell r="B1964" t="str">
            <v>FG06240</v>
          </cell>
          <cell r="C1964" t="str">
            <v>ZWITSAL LINGETTES LOTION 40PIECES</v>
          </cell>
        </row>
        <row r="1965">
          <cell r="B1965" t="str">
            <v>FG06241</v>
          </cell>
          <cell r="C1965" t="str">
            <v>ZWITSAL LINGETTES LOTION 65PIECES</v>
          </cell>
        </row>
        <row r="1966">
          <cell r="B1966" t="str">
            <v>FG06242</v>
          </cell>
          <cell r="C1966" t="str">
            <v>ZWITSAL LINGETTES SENSITIVE 57 PIECES</v>
          </cell>
        </row>
        <row r="1967">
          <cell r="B1967" t="str">
            <v>FG06243</v>
          </cell>
          <cell r="C1967" t="str">
            <v>ZWITSAL LOTION CORPORELLE 75ML</v>
          </cell>
        </row>
        <row r="1968">
          <cell r="B1968" t="str">
            <v>FG06244</v>
          </cell>
          <cell r="C1968" t="str">
            <v>ZWITSAL LOTION CREME TUBE 150ML (LAVENDE)</v>
          </cell>
        </row>
        <row r="1969">
          <cell r="B1969" t="str">
            <v>FG06245</v>
          </cell>
          <cell r="C1969" t="str">
            <v>ZWITSAL MOUCHOIRS HUMIDES B/20 EUCALYPTUS</v>
          </cell>
        </row>
        <row r="1970">
          <cell r="B1970" t="str">
            <v>FG06246</v>
          </cell>
          <cell r="C1970" t="str">
            <v>ZWITSAL NATURAL CREME LAVANTE ET BAIN 250ML</v>
          </cell>
        </row>
        <row r="1971">
          <cell r="B1971" t="str">
            <v>FG06247</v>
          </cell>
          <cell r="C1971" t="str">
            <v>ZWITSAL NATURAL SHP ET GEL DOUCHE 250ML</v>
          </cell>
        </row>
        <row r="1972">
          <cell r="B1972" t="str">
            <v>FG06248</v>
          </cell>
          <cell r="C1972" t="str">
            <v>ZWITSAL NATURALS CREME PR LE TUBE 100ML</v>
          </cell>
        </row>
        <row r="1973">
          <cell r="B1973" t="str">
            <v>FG06249</v>
          </cell>
          <cell r="C1973" t="str">
            <v>ZWITSAL ONGUENT OXYDE DE ZINC TUBE 100ML</v>
          </cell>
        </row>
        <row r="1974">
          <cell r="B1974" t="str">
            <v>FG06250</v>
          </cell>
          <cell r="C1974" t="str">
            <v>ZWITSAL SHAMPOOING 700ML</v>
          </cell>
        </row>
        <row r="1975">
          <cell r="B1975" t="str">
            <v>FG06251</v>
          </cell>
          <cell r="C1975" t="str">
            <v>ZWITSAL SHAMPOOING 75ML</v>
          </cell>
        </row>
        <row r="1976">
          <cell r="B1976" t="str">
            <v>FG06252</v>
          </cell>
          <cell r="C1976" t="str">
            <v>ZYRTEC PED BUV 60ML(FR)</v>
          </cell>
        </row>
        <row r="1977">
          <cell r="B1977" t="str">
            <v>FG06254</v>
          </cell>
          <cell r="C1977" t="str">
            <v>ABG PT1000 -CARTOUCHE PT-10, B/60 TESTS</v>
          </cell>
        </row>
        <row r="1978">
          <cell r="B1978" t="str">
            <v>FG06255</v>
          </cell>
          <cell r="C1978" t="str">
            <v>ABG PT1000-CONTROLE QUALITE NIVEAU 1-2-3 (3 AMP)</v>
          </cell>
        </row>
        <row r="1979">
          <cell r="B1979" t="str">
            <v>FG06256</v>
          </cell>
          <cell r="C1979" t="str">
            <v>AGITATEUR ORBITAL LABORATOIRE</v>
          </cell>
        </row>
        <row r="1980">
          <cell r="B1980" t="str">
            <v>FG06257</v>
          </cell>
          <cell r="C1980" t="str">
            <v>ALAIZE 200ML SUSPENSION</v>
          </cell>
        </row>
        <row r="1981">
          <cell r="B1981" t="str">
            <v>FG06258</v>
          </cell>
          <cell r="C1981" t="str">
            <v>ALCOHOL PAD 6 X 3CM B/100 PCS</v>
          </cell>
        </row>
        <row r="1982">
          <cell r="B1982" t="str">
            <v>FG06259</v>
          </cell>
          <cell r="C1982" t="str">
            <v>ALSHEA 250G CREME</v>
          </cell>
        </row>
        <row r="1983">
          <cell r="B1983" t="str">
            <v>FG06260</v>
          </cell>
          <cell r="C1983" t="str">
            <v>ANALYSEUR D'HEMOGLOBINE (HEMOGLOBINOMETRE)</v>
          </cell>
        </row>
        <row r="1984">
          <cell r="B1984" t="str">
            <v>FG06261</v>
          </cell>
          <cell r="C1984" t="str">
            <v>APPAREIL D'ANESTHESIE - 2 EVAPORATEURS, AGSS</v>
          </cell>
        </row>
        <row r="1985">
          <cell r="B1985" t="str">
            <v>FG06262</v>
          </cell>
          <cell r="C1985" t="str">
            <v>APPAREIL DE PHOTOTHERAPIE NEONATALE</v>
          </cell>
        </row>
        <row r="1986">
          <cell r="B1986" t="str">
            <v>FG06263</v>
          </cell>
          <cell r="C1986" t="str">
            <v>APPAREIL D'ECG 3 CANAUX</v>
          </cell>
        </row>
        <row r="1987">
          <cell r="B1987" t="str">
            <v>FG06264</v>
          </cell>
          <cell r="C1987" t="str">
            <v>APPAREILS DE DISTILLATION LAUDA PURIDEST PD 12 R M</v>
          </cell>
        </row>
        <row r="1988">
          <cell r="B1988" t="str">
            <v>FG06265</v>
          </cell>
          <cell r="C1988" t="str">
            <v>APPETITBON 100ML SP</v>
          </cell>
        </row>
        <row r="1989">
          <cell r="B1989" t="str">
            <v>FG06266</v>
          </cell>
          <cell r="C1989" t="str">
            <v>AROBACTER SOLUTION 125ML</v>
          </cell>
        </row>
        <row r="1990">
          <cell r="B1990" t="str">
            <v>FG06267</v>
          </cell>
          <cell r="C1990" t="str">
            <v>ASPIRATEUR CHIRURGICAL PORTABLE - ELECTRIQUE 7E-G</v>
          </cell>
        </row>
        <row r="1991">
          <cell r="B1991" t="str">
            <v>FG06268</v>
          </cell>
          <cell r="C1991" t="str">
            <v>AV FISTULA NEEDLE 16G</v>
          </cell>
        </row>
        <row r="1992">
          <cell r="B1992" t="str">
            <v>FG06269</v>
          </cell>
          <cell r="C1992" t="str">
            <v>BANDELETTES - HEMOGLOBINOMETRE B/50</v>
          </cell>
        </row>
        <row r="1993">
          <cell r="B1993" t="str">
            <v>FG06270</v>
          </cell>
          <cell r="C1993" t="str">
            <v>BEKRACINE 100MG/5ML (CEFIXIME) SUSP. ORALE 60ML</v>
          </cell>
        </row>
        <row r="1994">
          <cell r="B1994" t="str">
            <v>FG06271</v>
          </cell>
          <cell r="C1994" t="str">
            <v>BIOCHIMIE S - ACIDE URIQUE 2X125 ML</v>
          </cell>
        </row>
        <row r="1995">
          <cell r="B1995" t="str">
            <v>FG06272</v>
          </cell>
          <cell r="C1995" t="str">
            <v>BIOCHIMIE S - ALBUMINE 4X100 ML</v>
          </cell>
        </row>
        <row r="1996">
          <cell r="B1996" t="str">
            <v>FG06273</v>
          </cell>
          <cell r="C1996" t="str">
            <v>BIOCHIMIE S - BILIRUBINE TOTALE/DIRECTE 2X125 ML</v>
          </cell>
        </row>
        <row r="1997">
          <cell r="B1997" t="str">
            <v>FG06274</v>
          </cell>
          <cell r="C1997" t="str">
            <v>BIOCHIMIE S - CHLORURE 2X100 ML</v>
          </cell>
        </row>
        <row r="1998">
          <cell r="B1998" t="str">
            <v>FG06275</v>
          </cell>
          <cell r="C1998" t="str">
            <v>BIOCHIMIE S - CHOLESTEROL TOTAL ET HDL 2X50 ML</v>
          </cell>
        </row>
        <row r="1999">
          <cell r="B1999" t="str">
            <v>FG06276</v>
          </cell>
          <cell r="C1999" t="str">
            <v>BIOCHIMIE S - LDH 5X5 ML</v>
          </cell>
        </row>
        <row r="2000">
          <cell r="B2000" t="str">
            <v>FG06277</v>
          </cell>
          <cell r="C2000" t="str">
            <v>BIOCHIMIE S - PROTEINES TOTALES 1X100 ML</v>
          </cell>
        </row>
        <row r="2001">
          <cell r="B2001" t="str">
            <v>FG06278</v>
          </cell>
          <cell r="C2001" t="str">
            <v>BIOCHIMIE S - TRIGLYCERIDES 2X50 ML</v>
          </cell>
        </row>
        <row r="2002">
          <cell r="B2002" t="str">
            <v>FG06279</v>
          </cell>
          <cell r="C2002" t="str">
            <v>BLOC DE 20 PUITS POUR DBS</v>
          </cell>
        </row>
        <row r="2003">
          <cell r="B2003" t="str">
            <v>FG06280</v>
          </cell>
          <cell r="C2003" t="str">
            <v>BLOCS CHAUFFANTS A SEC NUMERIQUES</v>
          </cell>
        </row>
        <row r="2004">
          <cell r="B2004" t="str">
            <v>FG06281</v>
          </cell>
          <cell r="C2004" t="str">
            <v>BOITE A CATARACTE</v>
          </cell>
        </row>
        <row r="2005">
          <cell r="B2005" t="str">
            <v>FG06282</v>
          </cell>
          <cell r="C2005" t="str">
            <v>BOITE A GLAUCOME</v>
          </cell>
        </row>
        <row r="2006">
          <cell r="B2006" t="str">
            <v>FG06283</v>
          </cell>
          <cell r="C2006" t="str">
            <v>BOITE A PETITE INCISION</v>
          </cell>
        </row>
        <row r="2007">
          <cell r="B2007" t="str">
            <v>FG06284</v>
          </cell>
          <cell r="C2007" t="str">
            <v>BOITE CHIRURGIE ENDOSCOPIQUE DES SINUS DU FESSIER</v>
          </cell>
        </row>
        <row r="2008">
          <cell r="B2008" t="str">
            <v>FG06285</v>
          </cell>
          <cell r="C2008" t="str">
            <v>BOITE CHIRURGIE OCULAIRE</v>
          </cell>
        </row>
        <row r="2009">
          <cell r="B2009" t="str">
            <v>FG06286</v>
          </cell>
          <cell r="C2009" t="str">
            <v>BOITE D'INSTRUMENT POUR ACCOUCHEMENT - CS</v>
          </cell>
        </row>
        <row r="2010">
          <cell r="B2010" t="str">
            <v>FG06287</v>
          </cell>
          <cell r="C2010" t="str">
            <v>BOITE DE PETITE CHIRURGIE</v>
          </cell>
        </row>
        <row r="2011">
          <cell r="B2011" t="str">
            <v>FG06288</v>
          </cell>
          <cell r="C2011" t="str">
            <v>BOITE DE SUTURE</v>
          </cell>
        </row>
        <row r="2012">
          <cell r="B2012" t="str">
            <v>FG06289</v>
          </cell>
          <cell r="C2012" t="str">
            <v>BOITE D'EXTRACTION INTRACAPSULAIRE CATARACTE</v>
          </cell>
        </row>
        <row r="2013">
          <cell r="B2013" t="str">
            <v>FG06290</v>
          </cell>
          <cell r="C2013" t="str">
            <v>BOITE LAPAROTOMIE</v>
          </cell>
        </row>
        <row r="2014">
          <cell r="B2014" t="str">
            <v>FG06291</v>
          </cell>
          <cell r="C2014" t="str">
            <v>BOITE PETRI VERRE BOROSILICATE 3.3 50X17MM Ø60 MM</v>
          </cell>
        </row>
        <row r="2015">
          <cell r="B2015" t="str">
            <v>FG06292</v>
          </cell>
          <cell r="C2015" t="str">
            <v>BOITE POUR CHIRURGIE PLASTIQUE MAXILLO-FACIA</v>
          </cell>
        </row>
        <row r="2016">
          <cell r="B2016" t="str">
            <v>FG06293</v>
          </cell>
          <cell r="C2016" t="str">
            <v>BROSSE CERVICALE STERILE B/50</v>
          </cell>
        </row>
        <row r="2017">
          <cell r="B2017" t="str">
            <v>FG06294</v>
          </cell>
          <cell r="C2017" t="str">
            <v>CALENDER TABLE</v>
          </cell>
        </row>
        <row r="2018">
          <cell r="B2018" t="str">
            <v>FG06295</v>
          </cell>
          <cell r="C2018" t="str">
            <v>CALENDER WALL</v>
          </cell>
        </row>
        <row r="2019">
          <cell r="B2019" t="str">
            <v>FG06296</v>
          </cell>
          <cell r="C2019" t="str">
            <v>CARDULAR 4MG 20TAB (FR)</v>
          </cell>
        </row>
        <row r="2020">
          <cell r="B2020" t="str">
            <v>FG06297</v>
          </cell>
          <cell r="C2020" t="str">
            <v>CATHETER DIALYSE DOUBLE-LUMIERE PERM14.5FRX24CM1PC</v>
          </cell>
        </row>
        <row r="2021">
          <cell r="B2021" t="str">
            <v>FG06298</v>
          </cell>
          <cell r="C2021" t="str">
            <v>CELLULES DE NEUBAUER IMPROVED (AMELIORE) 1 PCS</v>
          </cell>
        </row>
        <row r="2022">
          <cell r="B2022" t="str">
            <v>FG06299</v>
          </cell>
          <cell r="C2022" t="str">
            <v>CELOFEN-100 (CELECOXIB) B/20 CAP</v>
          </cell>
        </row>
        <row r="2023">
          <cell r="B2023" t="str">
            <v>FG06300</v>
          </cell>
          <cell r="C2023" t="str">
            <v>CELOFEN-200 (CELECOXIB) B/10 CAP</v>
          </cell>
        </row>
        <row r="2024">
          <cell r="B2024" t="str">
            <v>FG06301</v>
          </cell>
          <cell r="C2024" t="str">
            <v>CENTRIFUGEUSE - MANUEL</v>
          </cell>
        </row>
        <row r="2025">
          <cell r="B2025" t="str">
            <v>FG06302</v>
          </cell>
          <cell r="C2025" t="str">
            <v>CESAMOL (PARACETAMOL) 1000MG EFF. B/12 CES</v>
          </cell>
        </row>
        <row r="2026">
          <cell r="B2026" t="str">
            <v>FG06303</v>
          </cell>
          <cell r="C2026" t="str">
            <v>CESAMOL (PARACETAMOL) 500MG EFF. B/16 CES</v>
          </cell>
        </row>
        <row r="2027">
          <cell r="B2027" t="str">
            <v>FG06304</v>
          </cell>
          <cell r="C2027" t="str">
            <v>CISEAUX CHIRURGICAUX M/M COURBE - 16.5 CM</v>
          </cell>
        </row>
        <row r="2028">
          <cell r="B2028" t="str">
            <v>FG06305</v>
          </cell>
          <cell r="C2028" t="str">
            <v>CISEAUX CHIRURGICAUX M/M COURBE - 18.5 CM</v>
          </cell>
        </row>
        <row r="2029">
          <cell r="B2029" t="str">
            <v>FG06306</v>
          </cell>
          <cell r="C2029" t="str">
            <v>CISEAUX CHIRURGICAUX M/M DROITS - 14.5 CM</v>
          </cell>
        </row>
        <row r="2030">
          <cell r="B2030" t="str">
            <v>FG06307</v>
          </cell>
          <cell r="C2030" t="str">
            <v>CISEAUX CHIRURGICAUX M/M DROITS - 16.5 CM</v>
          </cell>
        </row>
        <row r="2031">
          <cell r="B2031" t="str">
            <v>FG06308</v>
          </cell>
          <cell r="C2031" t="str">
            <v>CISEAUX CHIRURGICAUX M/M DROITS - 18.5 CM</v>
          </cell>
        </row>
        <row r="2032">
          <cell r="B2032" t="str">
            <v>FG06309</v>
          </cell>
          <cell r="C2032" t="str">
            <v>CISEAUX CHIRURGICAUX M/P COURBE - 14.5 CM</v>
          </cell>
        </row>
        <row r="2033">
          <cell r="B2033" t="str">
            <v>FG06310</v>
          </cell>
          <cell r="C2033" t="str">
            <v>CISEAUX CHIRURGICAUX M/P COURBE - 16.5 CM</v>
          </cell>
        </row>
        <row r="2034">
          <cell r="B2034" t="str">
            <v>FG06311</v>
          </cell>
          <cell r="C2034" t="str">
            <v>CISEAUX CHIRURGICAUX M/P DROITS - 16.5 CM</v>
          </cell>
        </row>
        <row r="2035">
          <cell r="B2035" t="str">
            <v>FG06312</v>
          </cell>
          <cell r="C2035" t="str">
            <v>CLOMIFEX (CITRATE DE CLOMIFENE 50MG) B/10 CES</v>
          </cell>
        </row>
        <row r="2036">
          <cell r="B2036" t="str">
            <v>FG06313</v>
          </cell>
          <cell r="C2036" t="str">
            <v>COLD SPAN POCH/4CES</v>
          </cell>
        </row>
        <row r="2037">
          <cell r="B2037" t="str">
            <v>FG06314</v>
          </cell>
          <cell r="C2037" t="str">
            <v>COLD STERILIANT - DIALYZER REPROCESS - 5 LITER</v>
          </cell>
        </row>
        <row r="2038">
          <cell r="B2038" t="str">
            <v>FG06315</v>
          </cell>
          <cell r="C2038" t="str">
            <v>COMBO-PAIN (PAIN RELIEF) B/10CES</v>
          </cell>
        </row>
        <row r="2039">
          <cell r="B2039" t="str">
            <v>FG06316</v>
          </cell>
          <cell r="C2039" t="str">
            <v>COMFREY DIAPERS L 10PC</v>
          </cell>
        </row>
        <row r="2040">
          <cell r="B2040" t="str">
            <v>FG06317</v>
          </cell>
          <cell r="C2040" t="str">
            <v>CONGILATEUR 160 LTR</v>
          </cell>
        </row>
        <row r="2041">
          <cell r="B2041" t="str">
            <v>FG06318</v>
          </cell>
          <cell r="C2041" t="str">
            <v>CONGILATEUR 300 LTR</v>
          </cell>
        </row>
        <row r="2042">
          <cell r="B2042" t="str">
            <v>FG06319</v>
          </cell>
          <cell r="C2042" t="str">
            <v>CONGILATEUR 500 LTR</v>
          </cell>
        </row>
        <row r="2043">
          <cell r="B2043" t="str">
            <v>FG06320</v>
          </cell>
          <cell r="C2043" t="str">
            <v>CONTROLES HEMATOLOGIE 3ML*1 (H) DH-3D</v>
          </cell>
        </row>
        <row r="2044">
          <cell r="B2044" t="str">
            <v>FG06321</v>
          </cell>
          <cell r="C2044" t="str">
            <v>COREFLAM (IBUPROFENE.+PARA) 10X10 CES</v>
          </cell>
        </row>
        <row r="2045">
          <cell r="B2045" t="str">
            <v>FG06322</v>
          </cell>
          <cell r="C2045" t="str">
            <v>CROMFIX EYE DROPS 5ML</v>
          </cell>
        </row>
        <row r="2046">
          <cell r="B2046" t="str">
            <v>FG06323</v>
          </cell>
          <cell r="C2046" t="str">
            <v>CRP C-REACTIVE PROTEIN - LATEX B/20 TESTS</v>
          </cell>
        </row>
        <row r="2047">
          <cell r="B2047" t="str">
            <v>FG06324</v>
          </cell>
          <cell r="C2047" t="str">
            <v>CRUTCH FS937L</v>
          </cell>
        </row>
        <row r="2048">
          <cell r="B2048" t="str">
            <v>FG06325</v>
          </cell>
          <cell r="C2048" t="str">
            <v>CYPRESS MAGNESIUM 2X125ML</v>
          </cell>
        </row>
        <row r="2049">
          <cell r="B2049" t="str">
            <v>FG06326</v>
          </cell>
          <cell r="C2049" t="str">
            <v>CYPRESS POTASSIUM PREC 2X50ML</v>
          </cell>
        </row>
        <row r="2050">
          <cell r="B2050" t="str">
            <v>FG06327</v>
          </cell>
          <cell r="C2050" t="str">
            <v>CYPRESS SODIUM PREC 60ML</v>
          </cell>
        </row>
        <row r="2051">
          <cell r="B2051" t="str">
            <v>FG06328</v>
          </cell>
          <cell r="C2051" t="str">
            <v>CYPROPLEX (CYPROHEPTADINE) SIROP 100ML</v>
          </cell>
        </row>
        <row r="2052">
          <cell r="B2052" t="str">
            <v>FG06329</v>
          </cell>
          <cell r="C2052" t="str">
            <v>DAPAZIN 5-M PLUS B/30 TAB</v>
          </cell>
        </row>
        <row r="2053">
          <cell r="B2053" t="str">
            <v>FG06330</v>
          </cell>
          <cell r="C2053" t="str">
            <v>DAPZIN 10-M PLUS B/30 TAB</v>
          </cell>
        </row>
        <row r="2054">
          <cell r="B2054" t="str">
            <v>FG06331</v>
          </cell>
          <cell r="C2054" t="str">
            <v>DAVIGRA (SILDENAFIL 100MG) B/12 ORAL JELLY</v>
          </cell>
        </row>
        <row r="2055">
          <cell r="B2055" t="str">
            <v>FG06332</v>
          </cell>
          <cell r="C2055" t="str">
            <v>DEFIBRILLATEUR</v>
          </cell>
        </row>
        <row r="2056">
          <cell r="B2056" t="str">
            <v>FG06333</v>
          </cell>
          <cell r="C2056" t="str">
            <v>DIALYSIS KIT</v>
          </cell>
        </row>
        <row r="2057">
          <cell r="B2057" t="str">
            <v>FG06334</v>
          </cell>
          <cell r="C2057" t="str">
            <v>DIARY</v>
          </cell>
        </row>
        <row r="2058">
          <cell r="B2058" t="str">
            <v>FG06335</v>
          </cell>
          <cell r="C2058" t="str">
            <v>DICQUE-VISION (DICLOFENAC ) COLLYRE 10ML</v>
          </cell>
        </row>
        <row r="2059">
          <cell r="B2059" t="str">
            <v>FG06336</v>
          </cell>
          <cell r="C2059" t="str">
            <v>DIMUPROST 05MG/0.4MG B/30 CES</v>
          </cell>
        </row>
        <row r="2060">
          <cell r="B2060" t="str">
            <v>FG06337</v>
          </cell>
          <cell r="C2060" t="str">
            <v>DISQUES ANTIBIOGRAMMES - AMIKACINE BT/50</v>
          </cell>
        </row>
        <row r="2061">
          <cell r="B2061" t="str">
            <v>FG06338</v>
          </cell>
          <cell r="C2061" t="str">
            <v>DISQUES ANTIBIOGRAMMES - CEFADROXIL BT/50</v>
          </cell>
        </row>
        <row r="2062">
          <cell r="B2062" t="str">
            <v>FG06339</v>
          </cell>
          <cell r="C2062" t="str">
            <v>DISQUES ANTIBIOGRAMMES - CEFOPERAZONE BT/50</v>
          </cell>
        </row>
        <row r="2063">
          <cell r="B2063" t="str">
            <v>FG06340</v>
          </cell>
          <cell r="C2063" t="str">
            <v>DISQUES ANTIBIOGRAMMES - CLARITHROMYCINE BT/50</v>
          </cell>
        </row>
        <row r="2064">
          <cell r="B2064" t="str">
            <v>FG06341</v>
          </cell>
          <cell r="C2064" t="str">
            <v>DISQUES ANTIBIOGRAMMES - CLINDAMYCINE BT/50</v>
          </cell>
        </row>
        <row r="2065">
          <cell r="B2065" t="str">
            <v>FG06342</v>
          </cell>
          <cell r="C2065" t="str">
            <v>DISQUES ANTIBIOGRAMMES - IMIPENEM BT/100</v>
          </cell>
        </row>
        <row r="2066">
          <cell r="B2066" t="str">
            <v>FG06343</v>
          </cell>
          <cell r="C2066" t="str">
            <v>DISQUES ANTIBIOGRAMMES - LEVOFLOXACINE BT/50</v>
          </cell>
        </row>
        <row r="2067">
          <cell r="B2067" t="str">
            <v>FG06344</v>
          </cell>
          <cell r="C2067" t="str">
            <v>DISQUES ANTIBIOGRAMMES - NORFLOXACINE BT/50</v>
          </cell>
        </row>
        <row r="2068">
          <cell r="B2068" t="str">
            <v>FG06345</v>
          </cell>
          <cell r="C2068" t="str">
            <v>DISQUES ANTIBIOGRAMMES - VANCOMYCINE BT/50</v>
          </cell>
        </row>
        <row r="2069">
          <cell r="B2069" t="str">
            <v>FG06346</v>
          </cell>
          <cell r="C2069" t="str">
            <v>DISQUES ANTIBIOGRAMMES-PIPERACILLINEBT/50</v>
          </cell>
        </row>
        <row r="2070">
          <cell r="B2070" t="str">
            <v>FG06347</v>
          </cell>
          <cell r="C2070" t="str">
            <v>DISQUES ANTIBIOGRAMMES-TETRACYCLINE BT/50</v>
          </cell>
        </row>
        <row r="2071">
          <cell r="B2071" t="str">
            <v>FG06348</v>
          </cell>
          <cell r="C2071" t="str">
            <v>DIVA SUPER 10PADS</v>
          </cell>
        </row>
        <row r="2072">
          <cell r="B2072" t="str">
            <v>FG06349</v>
          </cell>
          <cell r="C2072" t="str">
            <v>DOVERIN 20MG INJECTION</v>
          </cell>
        </row>
        <row r="2073">
          <cell r="B2073" t="str">
            <v>FG06350</v>
          </cell>
          <cell r="C2073" t="str">
            <v>ELECTRIC MOSQUITO ZAPPER WITH LAMP</v>
          </cell>
        </row>
        <row r="2074">
          <cell r="B2074" t="str">
            <v>FG06351</v>
          </cell>
          <cell r="C2074" t="str">
            <v>ELECTRIC MOSQUITO ZAPPER WITH LAMP ITEM</v>
          </cell>
        </row>
        <row r="2075">
          <cell r="B2075" t="str">
            <v>FG06352</v>
          </cell>
          <cell r="C2075" t="str">
            <v>EMBOUTS BLUE AVEC FILTRE B/100</v>
          </cell>
        </row>
        <row r="2076">
          <cell r="B2076" t="str">
            <v>FG06353</v>
          </cell>
          <cell r="C2076" t="str">
            <v>ENOXA 4000UI 2 SERINGUES (FR)</v>
          </cell>
        </row>
        <row r="2077">
          <cell r="B2077" t="str">
            <v>FG06354</v>
          </cell>
          <cell r="C2077" t="str">
            <v>ENTIZOL B/6 OVL (METRONIDAZOLE)</v>
          </cell>
        </row>
        <row r="2078">
          <cell r="B2078" t="str">
            <v>FG06355</v>
          </cell>
          <cell r="C2078" t="str">
            <v>EPIZAP 0.5MG (CLONAZEPAM) B/30CES</v>
          </cell>
        </row>
        <row r="2079">
          <cell r="B2079" t="str">
            <v>FG06356</v>
          </cell>
          <cell r="C2079" t="str">
            <v>EPIZAP 2MG (CLONAZEPAM) B/30CES</v>
          </cell>
        </row>
        <row r="2080">
          <cell r="B2080" t="str">
            <v>FG06357</v>
          </cell>
          <cell r="C2080" t="str">
            <v>ESTOCOOL 200ML SP</v>
          </cell>
        </row>
        <row r="2081">
          <cell r="B2081" t="str">
            <v>FG06358</v>
          </cell>
          <cell r="C2081" t="str">
            <v>EUPHON 50 PASTILLES (FR)</v>
          </cell>
        </row>
        <row r="2082">
          <cell r="B2082" t="str">
            <v>FG06359</v>
          </cell>
          <cell r="C2082" t="str">
            <v>FER A REPASSER (IRON)</v>
          </cell>
        </row>
        <row r="2083">
          <cell r="B2083" t="str">
            <v>FG06360</v>
          </cell>
          <cell r="C2083" t="str">
            <v>FLAMINGO CLAVICAL BRACE (XXL)</v>
          </cell>
        </row>
        <row r="2084">
          <cell r="B2084" t="str">
            <v>FG06361</v>
          </cell>
          <cell r="C2084" t="str">
            <v>FLAMINGO TUBULAR SUPPORT GAUNTLET (L)</v>
          </cell>
        </row>
        <row r="2085">
          <cell r="B2085" t="str">
            <v>FG06362</v>
          </cell>
          <cell r="C2085" t="str">
            <v>FLAMINGO ABDOMINAL BINDER (L)</v>
          </cell>
        </row>
        <row r="2086">
          <cell r="B2086" t="str">
            <v>FG06363</v>
          </cell>
          <cell r="C2086" t="str">
            <v>FLAMINGO ABDOMINAL BINDER (M)</v>
          </cell>
        </row>
        <row r="2087">
          <cell r="B2087" t="str">
            <v>FG06364</v>
          </cell>
          <cell r="C2087" t="str">
            <v>FLAMINGO ABDOMINAL BINDER (S)</v>
          </cell>
        </row>
        <row r="2088">
          <cell r="B2088" t="str">
            <v>FG06365</v>
          </cell>
          <cell r="C2088" t="str">
            <v>FLAMINGO ABDOMINAL BINDER (XL)</v>
          </cell>
        </row>
        <row r="2089">
          <cell r="B2089" t="str">
            <v>FG06366</v>
          </cell>
          <cell r="C2089" t="str">
            <v>FLAMINGO ABDOMINAL BINDER (XXL)</v>
          </cell>
        </row>
        <row r="2090">
          <cell r="B2090" t="str">
            <v>FG06367</v>
          </cell>
          <cell r="C2090" t="str">
            <v>FLAMINGO ABDOMINAL BINDER (XXXL)</v>
          </cell>
        </row>
        <row r="2091">
          <cell r="B2091" t="str">
            <v>FG06368</v>
          </cell>
          <cell r="C2091" t="str">
            <v>FLAMINGO ANKLE BINDER (XXXL)</v>
          </cell>
        </row>
        <row r="2092">
          <cell r="B2092" t="str">
            <v>FG06369</v>
          </cell>
          <cell r="C2092" t="str">
            <v>FLAMINGO ANKLE BRACE (XXL)</v>
          </cell>
        </row>
        <row r="2093">
          <cell r="B2093" t="str">
            <v>FG06370</v>
          </cell>
          <cell r="C2093" t="str">
            <v>FLAMINGO ANKLE GRIP (XXXL)</v>
          </cell>
        </row>
        <row r="2094">
          <cell r="B2094" t="str">
            <v>FG06371</v>
          </cell>
          <cell r="C2094" t="str">
            <v>FLAMINGO ANKLET (XXXL)</v>
          </cell>
        </row>
        <row r="2095">
          <cell r="B2095" t="str">
            <v>FG06372</v>
          </cell>
          <cell r="C2095" t="str">
            <v>FLAMINGO ARM POUCH (XXL)</v>
          </cell>
        </row>
        <row r="2096">
          <cell r="B2096" t="str">
            <v>FG06373</v>
          </cell>
          <cell r="C2096" t="str">
            <v>FLAMINGO ARM SLING (XXL)</v>
          </cell>
        </row>
        <row r="2097">
          <cell r="B2097" t="str">
            <v>FG06374</v>
          </cell>
          <cell r="C2097" t="str">
            <v>FLAMINGO ARM SLING (XXXL)</v>
          </cell>
        </row>
        <row r="2098">
          <cell r="B2098" t="str">
            <v>FG06375</v>
          </cell>
          <cell r="C2098" t="str">
            <v>FLAMINGO BI AXEL HINGED KNEE CAP (XXL)</v>
          </cell>
        </row>
        <row r="2099">
          <cell r="B2099" t="str">
            <v>FG06376</v>
          </cell>
          <cell r="C2099" t="str">
            <v>FLAMINGO CERVICAL COLLAR WITH NECK SUPPORT (S)</v>
          </cell>
        </row>
        <row r="2100">
          <cell r="B2100" t="str">
            <v>FG06377</v>
          </cell>
          <cell r="C2100" t="str">
            <v>FLAMINGO CERVICAL COLLAR WITH NECK SUPPORT (XL)</v>
          </cell>
        </row>
        <row r="2101">
          <cell r="B2101" t="str">
            <v>FG06378</v>
          </cell>
          <cell r="C2101" t="str">
            <v>FLAMINGO COMPACT SPINAL BRACE (XXXL)</v>
          </cell>
        </row>
        <row r="2102">
          <cell r="B2102" t="str">
            <v>FG06379</v>
          </cell>
          <cell r="C2102" t="str">
            <v>FLAMINGO DORSO LUMBER SPINAL BRACE (XXL)</v>
          </cell>
        </row>
        <row r="2103">
          <cell r="B2103" t="str">
            <v>FG06380</v>
          </cell>
          <cell r="C2103" t="str">
            <v>FLAMINGO DORSO LUMBER SPINAL BRACE (XXXL)</v>
          </cell>
        </row>
        <row r="2104">
          <cell r="B2104" t="str">
            <v>FG06381</v>
          </cell>
          <cell r="C2104" t="str">
            <v>FLAMINGO ELASTIC KNEE SUPPORT (XXXL)</v>
          </cell>
        </row>
        <row r="2105">
          <cell r="B2105" t="str">
            <v>FG06382</v>
          </cell>
          <cell r="C2105" t="str">
            <v>FLAMINGO GEL BI-AXEL HIN KNEE BRACE (S)</v>
          </cell>
        </row>
        <row r="2106">
          <cell r="B2106" t="str">
            <v>FG06383</v>
          </cell>
          <cell r="C2106" t="str">
            <v>FLAMINGO HEIGHT ADJUSTABLE HARD COLLAR (S)</v>
          </cell>
        </row>
        <row r="2107">
          <cell r="B2107" t="str">
            <v>FG06384</v>
          </cell>
          <cell r="C2107" t="str">
            <v>FLAMINGO KNEE BRACE LONG (XXXL)</v>
          </cell>
        </row>
        <row r="2108">
          <cell r="B2108" t="str">
            <v>FG06385</v>
          </cell>
          <cell r="C2108" t="str">
            <v>FLAMINGO KNEE BRACE SHORT (XXXL)</v>
          </cell>
        </row>
        <row r="2109">
          <cell r="B2109" t="str">
            <v>FG06386</v>
          </cell>
          <cell r="C2109" t="str">
            <v>FLAMINGO KNEE CAP (XXXL)</v>
          </cell>
        </row>
        <row r="2110">
          <cell r="B2110" t="str">
            <v>FG06387</v>
          </cell>
          <cell r="C2110" t="str">
            <v>FLAMINGO KNEE IMMOBILIZER (XXXL)</v>
          </cell>
        </row>
        <row r="2111">
          <cell r="B2111" t="str">
            <v>FG06388</v>
          </cell>
          <cell r="C2111" t="str">
            <v>FLAMINGO LONG ARM SPLINT-U</v>
          </cell>
        </row>
        <row r="2112">
          <cell r="B2112" t="str">
            <v>FG06389</v>
          </cell>
          <cell r="C2112" t="str">
            <v>FLAMINGO LUMBAR CORSET BELT (XXX L)</v>
          </cell>
        </row>
        <row r="2113">
          <cell r="B2113" t="str">
            <v>FG06390</v>
          </cell>
          <cell r="C2113" t="str">
            <v>FLAMINGO LUMBAR SACRO BELT (XXL)</v>
          </cell>
        </row>
        <row r="2114">
          <cell r="B2114" t="str">
            <v>FG06391</v>
          </cell>
          <cell r="C2114" t="str">
            <v>FLAMINGO MEDICAL COMPRES STOCKINGS ABOVE KNEE (XXL)</v>
          </cell>
        </row>
        <row r="2115">
          <cell r="B2115" t="str">
            <v>FG06392</v>
          </cell>
          <cell r="C2115" t="str">
            <v>FLAMINGO MEDICAL COMPRES STOCKINGS ABOVE KNEE (L)</v>
          </cell>
        </row>
        <row r="2116">
          <cell r="B2116" t="str">
            <v>FG06393</v>
          </cell>
          <cell r="C2116" t="str">
            <v>FLAMINGO MEDICAL COMPRES STOCKINGS ABOVE KNEE (M)</v>
          </cell>
        </row>
        <row r="2117">
          <cell r="B2117" t="str">
            <v>FG06394</v>
          </cell>
          <cell r="C2117" t="str">
            <v>FLAMINGO PALM BRACE (XXL)</v>
          </cell>
        </row>
        <row r="2118">
          <cell r="B2118" t="str">
            <v>FG06395</v>
          </cell>
          <cell r="C2118" t="str">
            <v>FLAMINGO PELVIC TRACTION KIT WITH WATER BAG (L)</v>
          </cell>
        </row>
        <row r="2119">
          <cell r="B2119" t="str">
            <v>FG06396</v>
          </cell>
          <cell r="C2119" t="str">
            <v>FLAMINGO PELVIC TRACTION KIT WITH WATER BAG (XXL)</v>
          </cell>
        </row>
        <row r="2120">
          <cell r="B2120" t="str">
            <v>FG06397</v>
          </cell>
          <cell r="C2120" t="str">
            <v>FLAMINGO PREMIUM SILICONE PED MED ARCH INSOLE (L)</v>
          </cell>
        </row>
        <row r="2121">
          <cell r="B2121" t="str">
            <v>FG06398</v>
          </cell>
          <cell r="C2121" t="str">
            <v>FLAMINGO PREMIUM SILICONE PED MED ARCH INSOLE (M)</v>
          </cell>
        </row>
        <row r="2122">
          <cell r="B2122" t="str">
            <v>FG06399</v>
          </cell>
          <cell r="C2122" t="str">
            <v>FLAMINGO PREMIUM SILICONE PED MED ARCH INSOLE (S)</v>
          </cell>
        </row>
        <row r="2123">
          <cell r="B2123" t="str">
            <v>FG06400</v>
          </cell>
          <cell r="C2123" t="str">
            <v>FLAMINGO SCROTAL SUPPORT (XXXL)</v>
          </cell>
        </row>
        <row r="2124">
          <cell r="B2124" t="str">
            <v>FG06401</v>
          </cell>
          <cell r="C2124" t="str">
            <v>FLAMINGO SOFT COLLAR (L)</v>
          </cell>
        </row>
        <row r="2125">
          <cell r="B2125" t="str">
            <v>FG06402</v>
          </cell>
          <cell r="C2125" t="str">
            <v>FLAMINGO SOFT COLLAR (M)</v>
          </cell>
        </row>
        <row r="2126">
          <cell r="B2126" t="str">
            <v>FG06403</v>
          </cell>
          <cell r="C2126" t="str">
            <v>FLAMINGO SOFT COLLAR (XXL)</v>
          </cell>
        </row>
        <row r="2127">
          <cell r="B2127" t="str">
            <v>FG06404</v>
          </cell>
          <cell r="C2127" t="str">
            <v>FLAMINGO WAIST &amp; FOREARM SPLINT (XL)</v>
          </cell>
        </row>
        <row r="2128">
          <cell r="B2128" t="str">
            <v>FG06405</v>
          </cell>
          <cell r="C2128" t="str">
            <v>FORMIMET SR 850MG ( METFORMIN LP) B/30 CES</v>
          </cell>
        </row>
        <row r="2129">
          <cell r="B2129" t="str">
            <v>FG06406</v>
          </cell>
          <cell r="C2129" t="str">
            <v>FRIGO 140LTR</v>
          </cell>
        </row>
        <row r="2130">
          <cell r="B2130" t="str">
            <v>FG06407</v>
          </cell>
          <cell r="C2130" t="str">
            <v>FRIGO 200LTR</v>
          </cell>
        </row>
        <row r="2131">
          <cell r="B2131" t="str">
            <v>FG06408</v>
          </cell>
          <cell r="C2131" t="str">
            <v>FRIGO 300LTR</v>
          </cell>
        </row>
        <row r="2132">
          <cell r="B2132" t="str">
            <v>FG06409</v>
          </cell>
          <cell r="C2132" t="str">
            <v>FRIGO 400LTR</v>
          </cell>
        </row>
        <row r="2133">
          <cell r="B2133" t="str">
            <v>FG06410</v>
          </cell>
          <cell r="C2133" t="str">
            <v>GALVUS 50MG 2 X 14 CES (FR)</v>
          </cell>
        </row>
        <row r="2134">
          <cell r="B2134" t="str">
            <v>FG06411</v>
          </cell>
          <cell r="C2134" t="str">
            <v>GAZELLE - COVID - CARTOUCHE - B/25 TESTS</v>
          </cell>
        </row>
        <row r="2135">
          <cell r="B2135" t="str">
            <v>FG06412</v>
          </cell>
          <cell r="C2135" t="str">
            <v>GEL POUR ECHOGRAPHIE FL 2.5L</v>
          </cell>
        </row>
        <row r="2136">
          <cell r="B2136" t="str">
            <v>FG06413</v>
          </cell>
          <cell r="C2136" t="str">
            <v>GODET 1 PC</v>
          </cell>
        </row>
        <row r="2137">
          <cell r="B2137" t="str">
            <v>FG06414</v>
          </cell>
          <cell r="C2137" t="str">
            <v>HAEMODIALYSIS BICARBONATE BI BAG 650GM (FRESENIUS)</v>
          </cell>
        </row>
        <row r="2138">
          <cell r="B2138" t="str">
            <v>FG06415</v>
          </cell>
          <cell r="C2138" t="str">
            <v>HEMODIALYSIS BLOOD TUBING SET</v>
          </cell>
        </row>
        <row r="2139">
          <cell r="B2139" t="str">
            <v>FG06416</v>
          </cell>
          <cell r="C2139" t="str">
            <v>HEXAXIM 1SER SSA+2AIG (FR)</v>
          </cell>
        </row>
        <row r="2140">
          <cell r="B2140" t="str">
            <v>FG06417</v>
          </cell>
          <cell r="C2140" t="str">
            <v>HOILOW FIBER DIALYZER B -16 P</v>
          </cell>
        </row>
        <row r="2141">
          <cell r="B2141" t="str">
            <v>FG06418</v>
          </cell>
          <cell r="C2141" t="str">
            <v>HOILOW FIBER DIALYZER B -18 P</v>
          </cell>
        </row>
        <row r="2142">
          <cell r="B2142" t="str">
            <v>FG06419</v>
          </cell>
          <cell r="C2142" t="str">
            <v>HOME CINEMA 5.1</v>
          </cell>
        </row>
        <row r="2143">
          <cell r="B2143" t="str">
            <v>FG06420</v>
          </cell>
          <cell r="C2143" t="str">
            <v>IMN - IGE TOTAL, B/25 CARTOUCHES</v>
          </cell>
        </row>
        <row r="2144">
          <cell r="B2144" t="str">
            <v>FG06421</v>
          </cell>
          <cell r="C2144" t="str">
            <v>INCUBATEUR - COUVEUSE NEONATALE</v>
          </cell>
        </row>
        <row r="2145">
          <cell r="B2145" t="str">
            <v>FG06422</v>
          </cell>
          <cell r="C2145" t="str">
            <v>IV FLOW REGULATOR WITH 45CM TUBE WITH Y TUBE</v>
          </cell>
        </row>
        <row r="2146">
          <cell r="B2146" t="str">
            <v>FG06423</v>
          </cell>
          <cell r="C2146" t="str">
            <v>JUTE SHOPPING BAG</v>
          </cell>
        </row>
        <row r="2147">
          <cell r="B2147" t="str">
            <v>FG06424</v>
          </cell>
          <cell r="C2147" t="str">
            <v>KIT EXTRACTION DNA/RNA B/48 TESTS</v>
          </cell>
        </row>
        <row r="2148">
          <cell r="B2148" t="str">
            <v>FG06425</v>
          </cell>
          <cell r="C2148" t="str">
            <v>KIT UNIGOLD HIV</v>
          </cell>
        </row>
        <row r="2149">
          <cell r="B2149" t="str">
            <v>FG06426</v>
          </cell>
          <cell r="C2149" t="str">
            <v>LAMELLE COUVRE OBJET 18 X18MM B/100</v>
          </cell>
        </row>
        <row r="2150">
          <cell r="B2150" t="str">
            <v>FG06427</v>
          </cell>
          <cell r="C2150" t="str">
            <v>LAMELLE COUVRE OBJET 22X22MM B/100</v>
          </cell>
        </row>
        <row r="2151">
          <cell r="B2151" t="str">
            <v>FG06428</v>
          </cell>
          <cell r="C2151" t="str">
            <v>LAMPE FORNTALE</v>
          </cell>
        </row>
        <row r="2152">
          <cell r="B2152" t="str">
            <v>FG06429</v>
          </cell>
          <cell r="C2152" t="str">
            <v>LDPE APRONE 70X140CM, 70G100/PCS</v>
          </cell>
        </row>
        <row r="2153">
          <cell r="B2153" t="str">
            <v>FG06430</v>
          </cell>
          <cell r="C2153" t="str">
            <v>LENTILLE 20D VOLK (TRANSPARENTE/REVETUE AU LASER)</v>
          </cell>
        </row>
        <row r="2154">
          <cell r="B2154" t="str">
            <v>FG06431</v>
          </cell>
          <cell r="C2154" t="str">
            <v>LUTHER JUN 20+120 (ARTE.+LUME.) B/ 24 CES SIMPLE</v>
          </cell>
        </row>
        <row r="2155">
          <cell r="B2155" t="str">
            <v>FG06432</v>
          </cell>
          <cell r="C2155" t="str">
            <v>MACHINE SILAI</v>
          </cell>
        </row>
        <row r="2156">
          <cell r="B2156" t="str">
            <v>FG06433</v>
          </cell>
          <cell r="C2156" t="str">
            <v>MANIX CONTACT (PRESERVATIF) B/12</v>
          </cell>
        </row>
        <row r="2157">
          <cell r="B2157" t="str">
            <v>FG06434</v>
          </cell>
          <cell r="C2157" t="str">
            <v>MANIX CONTACT (PRESERVATIF) B/3CES</v>
          </cell>
        </row>
        <row r="2158">
          <cell r="B2158" t="str">
            <v>FG06435</v>
          </cell>
          <cell r="C2158" t="str">
            <v>MC - CHLORURE DE MAGNESIUM HEXAHY, PURI 500G</v>
          </cell>
        </row>
        <row r="2159">
          <cell r="B2159" t="str">
            <v>FG06436</v>
          </cell>
          <cell r="C2159" t="str">
            <v>MC - CLED AVEC INDICATEUR D'ANDRADE (GELOSE) 500G</v>
          </cell>
        </row>
        <row r="2160">
          <cell r="B2160" t="str">
            <v>FG06437</v>
          </cell>
          <cell r="C2160" t="str">
            <v>MC - GELOSE EMB (EOSIN METHYLENE BLUE) 100G</v>
          </cell>
        </row>
        <row r="2161">
          <cell r="B2161" t="str">
            <v>FG06438</v>
          </cell>
          <cell r="C2161" t="str">
            <v>MC - GELOSE EMB (EOSIN METHYLENE BLUE) 25G</v>
          </cell>
        </row>
        <row r="2162">
          <cell r="B2162" t="str">
            <v>FG06439</v>
          </cell>
          <cell r="C2162" t="str">
            <v>MC - GELOSE EMB (EOSIN METHYLENE BLUE) 500G</v>
          </cell>
        </row>
        <row r="2163">
          <cell r="B2163" t="str">
            <v>FG06440</v>
          </cell>
          <cell r="C2163" t="str">
            <v>MC - GELOSE MAC CONKEY 500G</v>
          </cell>
        </row>
        <row r="2164">
          <cell r="B2164" t="str">
            <v>FG06441</v>
          </cell>
          <cell r="C2164" t="str">
            <v>MC - GELOSE MUELLER HINTON 500G</v>
          </cell>
        </row>
        <row r="2165">
          <cell r="B2165" t="str">
            <v>FG06442</v>
          </cell>
          <cell r="C2165" t="str">
            <v>MC - GELOSE SABOURAUD CHLORAMPHENICOL 500G</v>
          </cell>
        </row>
        <row r="2166">
          <cell r="B2166" t="str">
            <v>FG06443</v>
          </cell>
          <cell r="C2166" t="str">
            <v>MC - GELOSE XLD (XYLOSE-LYSINE-DESOXYCHOLATE) 500G</v>
          </cell>
        </row>
        <row r="2167">
          <cell r="B2167" t="str">
            <v>FG06444</v>
          </cell>
          <cell r="C2167" t="str">
            <v>MC - MSA GELOSE DE CHAPMAN (SEL DE MANNITOL) 500G</v>
          </cell>
        </row>
        <row r="2168">
          <cell r="B2168" t="str">
            <v>FG06445</v>
          </cell>
          <cell r="C2168" t="str">
            <v>MC - TAMPON TRIS 500G</v>
          </cell>
        </row>
        <row r="2169">
          <cell r="B2169" t="str">
            <v>FG06446</v>
          </cell>
          <cell r="C2169" t="str">
            <v>MC-BASE DE GELOSE AU SANG (GELOSE D'INFUSION) 500G</v>
          </cell>
        </row>
        <row r="2170">
          <cell r="B2170" t="str">
            <v>FG06447</v>
          </cell>
          <cell r="C2170" t="str">
            <v>MC-BOUILLON-SELENITE- BOUILLON (DOUBLE) 500G</v>
          </cell>
        </row>
        <row r="2171">
          <cell r="B2171" t="str">
            <v>FG06448</v>
          </cell>
          <cell r="C2171" t="str">
            <v>MC-CRISTAL VIOLET (VIOL DE GENT) EN POU-PURI 100G</v>
          </cell>
        </row>
        <row r="2172">
          <cell r="B2172" t="str">
            <v>FG06449</v>
          </cell>
          <cell r="C2172" t="str">
            <v>MC-VRBL (LACTOSEE BILIEE-CRISTAL VIOL- ROU) 500G</v>
          </cell>
        </row>
        <row r="2173">
          <cell r="B2173" t="str">
            <v>FG06450</v>
          </cell>
          <cell r="C2173" t="str">
            <v>MEDLYTE-L ORANGE 1LTR</v>
          </cell>
        </row>
        <row r="2174">
          <cell r="B2174" t="str">
            <v>FG06451</v>
          </cell>
          <cell r="C2174" t="str">
            <v>MELOMINE CREME 30G</v>
          </cell>
        </row>
        <row r="2175">
          <cell r="B2175" t="str">
            <v>FG06452</v>
          </cell>
          <cell r="C2175" t="str">
            <v>MICROTUBE EPPENDORF 1,5ML B/500</v>
          </cell>
        </row>
        <row r="2176">
          <cell r="B2176" t="str">
            <v>FG06453</v>
          </cell>
          <cell r="C2176" t="str">
            <v>NEBILONG AM B/30 CES</v>
          </cell>
        </row>
        <row r="2177">
          <cell r="B2177" t="str">
            <v>FG06454</v>
          </cell>
          <cell r="C2177" t="str">
            <v>ONDASKY 4MG (ONDASETRON) B/4 CES</v>
          </cell>
        </row>
        <row r="2178">
          <cell r="B2178" t="str">
            <v>FG06455</v>
          </cell>
          <cell r="C2178" t="str">
            <v>OPHTALMOSCOPE INDIRECT ALL PUPIL II SUR BANDEAU</v>
          </cell>
        </row>
        <row r="2179">
          <cell r="B2179" t="str">
            <v>FG06456</v>
          </cell>
          <cell r="C2179" t="str">
            <v>PANOTAC-40 (PANTOPRAZOLE) 40MG INJ</v>
          </cell>
        </row>
        <row r="2180">
          <cell r="B2180" t="str">
            <v>FG06457</v>
          </cell>
          <cell r="C2180" t="str">
            <v>PARACETA-M (PARACETAMOL) PERFUSION I.V.FL/100ML</v>
          </cell>
        </row>
        <row r="2181">
          <cell r="B2181" t="str">
            <v>FG06458</v>
          </cell>
          <cell r="C2181" t="str">
            <v>PARACETA-M 500MG/50ML INJ B/1</v>
          </cell>
        </row>
        <row r="2182">
          <cell r="B2182" t="str">
            <v>FG06459</v>
          </cell>
          <cell r="C2182" t="str">
            <v>PERFEN (PARACETAMOL+VIT.C EFF.) B/18 CES</v>
          </cell>
        </row>
        <row r="2183">
          <cell r="B2183" t="str">
            <v>FG06460</v>
          </cell>
          <cell r="C2183" t="str">
            <v>PIPETTE PASTEUR 3ML SAC/500</v>
          </cell>
        </row>
        <row r="2184">
          <cell r="B2184" t="str">
            <v>FG06461</v>
          </cell>
          <cell r="C2184" t="str">
            <v>PIPETTE REPETITIVE HANDYSTEP 1UNITE</v>
          </cell>
        </row>
        <row r="2185">
          <cell r="B2185" t="str">
            <v>FG06462</v>
          </cell>
          <cell r="C2185" t="str">
            <v>PLAN B PILULE (LEVONORGESTREL) B/1CES</v>
          </cell>
        </row>
        <row r="2186">
          <cell r="B2186" t="str">
            <v>FG06463</v>
          </cell>
          <cell r="C2186" t="str">
            <v>POCKET BOOKS</v>
          </cell>
        </row>
        <row r="2187">
          <cell r="B2187" t="str">
            <v>FG06464</v>
          </cell>
          <cell r="C2187" t="str">
            <v>POSTE DE SECURITE MICROBIOLOGIQUE-1300 CLASSEIIA2</v>
          </cell>
        </row>
        <row r="2188">
          <cell r="B2188" t="str">
            <v>FG06465</v>
          </cell>
          <cell r="C2188" t="str">
            <v>PREGA-75 (PREGABALIN) B/30 CAPSULE</v>
          </cell>
        </row>
        <row r="2189">
          <cell r="B2189" t="str">
            <v>FG06466</v>
          </cell>
          <cell r="C2189" t="str">
            <v>RANICER (RANITIDINE 300MG) B/20 CES</v>
          </cell>
        </row>
        <row r="2190">
          <cell r="B2190" t="str">
            <v>FG06467</v>
          </cell>
          <cell r="C2190" t="str">
            <v>REFRIGERATEUR BANQUE DE SANG +4°C -160L</v>
          </cell>
        </row>
        <row r="2191">
          <cell r="B2191" t="str">
            <v>FG06468</v>
          </cell>
          <cell r="C2191" t="str">
            <v>RHUMALGAN GEL 30G</v>
          </cell>
        </row>
        <row r="2192">
          <cell r="B2192" t="str">
            <v>FG06469</v>
          </cell>
          <cell r="C2192" t="str">
            <v>ROYAL OMEGA-3 120ML SP</v>
          </cell>
        </row>
        <row r="2193">
          <cell r="B2193" t="str">
            <v>FG06470</v>
          </cell>
          <cell r="C2193" t="str">
            <v>ROZALIN INTIME LIQUIDE DE LAVAGE 100ML</v>
          </cell>
        </row>
        <row r="2194">
          <cell r="B2194" t="str">
            <v>FG06471</v>
          </cell>
          <cell r="C2194" t="str">
            <v>ROZALIN PLUS INTIME LIQUIDE DE LAVAGE 100ML</v>
          </cell>
        </row>
        <row r="2195">
          <cell r="B2195" t="str">
            <v>FG06472</v>
          </cell>
          <cell r="C2195" t="str">
            <v>SAFORELLE SOIN LAV DOUX 250ML FL</v>
          </cell>
        </row>
        <row r="2196">
          <cell r="B2196" t="str">
            <v>FG06473</v>
          </cell>
          <cell r="C2196" t="str">
            <v>SECOURS (ANTI-MOSQUITO) POMMADE 10GR</v>
          </cell>
        </row>
        <row r="2197">
          <cell r="B2197" t="str">
            <v>FG06474</v>
          </cell>
          <cell r="C2197" t="str">
            <v>SECOURS (ANTI-MOSQUITO) LIQUID 3.5ML</v>
          </cell>
        </row>
        <row r="2198">
          <cell r="B2198" t="str">
            <v>FG06475</v>
          </cell>
          <cell r="C2198" t="str">
            <v>SENSODYNE DENTISTES 2MM</v>
          </cell>
        </row>
        <row r="2199">
          <cell r="B2199" t="str">
            <v>FG06476</v>
          </cell>
          <cell r="C2199" t="str">
            <v>SENSODYNE MENTHE FRAICHE (BAIN DE BOUCHE) 500ML</v>
          </cell>
        </row>
        <row r="2200">
          <cell r="B2200" t="str">
            <v>FG06477</v>
          </cell>
          <cell r="C2200" t="str">
            <v>SENSODYNE SOIN COMPLET 75ML</v>
          </cell>
        </row>
        <row r="2201">
          <cell r="B2201" t="str">
            <v>FG06478</v>
          </cell>
          <cell r="C2201" t="str">
            <v>STATINOR 10MG (ROSUVASTATIN) B/30 CES</v>
          </cell>
        </row>
        <row r="2202">
          <cell r="B2202" t="str">
            <v>FG06479</v>
          </cell>
          <cell r="C2202" t="str">
            <v>STERIXONE-S-750MG (CEFTRI.+SULBAC.) INJ.B/1 VIAL</v>
          </cell>
        </row>
        <row r="2203">
          <cell r="B2203" t="str">
            <v>FG06480</v>
          </cell>
          <cell r="C2203" t="str">
            <v>T V 19 INCH</v>
          </cell>
        </row>
        <row r="2204">
          <cell r="B2204" t="str">
            <v>FG06481</v>
          </cell>
          <cell r="C2204" t="str">
            <v>TABLE GYNÉCOLOGIE ET OBSTÉTRIQUE SEMI</v>
          </cell>
        </row>
        <row r="2205">
          <cell r="B2205" t="str">
            <v>FG06482</v>
          </cell>
          <cell r="C2205" t="str">
            <v>TALOHEAL (ADOUCISSANTE LES PIEDS) 60G CREME</v>
          </cell>
        </row>
        <row r="2206">
          <cell r="B2206" t="str">
            <v>FG06483</v>
          </cell>
          <cell r="C2206" t="str">
            <v>TENSIOMETRE ANEROIDE DE TYPE PALME</v>
          </cell>
        </row>
        <row r="2207">
          <cell r="B2207" t="str">
            <v>FG06484</v>
          </cell>
          <cell r="C2207" t="str">
            <v>TERBFINE (TERBINAFINE) 250MG B/14 CES</v>
          </cell>
        </row>
        <row r="2208">
          <cell r="B2208" t="str">
            <v>FG06485</v>
          </cell>
          <cell r="C2208" t="str">
            <v>TEST ANTI /A</v>
          </cell>
        </row>
        <row r="2209">
          <cell r="B2209" t="str">
            <v>FG06486</v>
          </cell>
          <cell r="C2209" t="str">
            <v>TRANSDUCER PROTECTOR</v>
          </cell>
        </row>
        <row r="2210">
          <cell r="B2210" t="str">
            <v>FG06487</v>
          </cell>
          <cell r="C2210" t="str">
            <v>TRODEZ (TETRACAINE) 10ML COLLYRE</v>
          </cell>
        </row>
        <row r="2211">
          <cell r="B2211" t="str">
            <v>FG06488</v>
          </cell>
          <cell r="C2211" t="str">
            <v>TUBE CAPILLAIRE (BLEU) - NON HEPARINES, FIOLE/100</v>
          </cell>
        </row>
        <row r="2212">
          <cell r="B2212" t="str">
            <v>FG06489</v>
          </cell>
          <cell r="C2212" t="str">
            <v>TUBE ESSAI VERRE VIS ALUMINIUM-PLAT-25ML</v>
          </cell>
        </row>
        <row r="2213">
          <cell r="B2213" t="str">
            <v>FG06490</v>
          </cell>
          <cell r="C2213" t="str">
            <v>TV (BLEU) EDTA K2/K3-PET 13*75-4ML-B/100PCS</v>
          </cell>
        </row>
        <row r="2214">
          <cell r="B2214" t="str">
            <v>FG06491</v>
          </cell>
          <cell r="C2214" t="str">
            <v>TV (ROUGE) ACTIV-COA VERRE 13*75-4ML-B/100PCS</v>
          </cell>
        </row>
        <row r="2215">
          <cell r="B2215" t="str">
            <v>FG06492</v>
          </cell>
          <cell r="C2215" t="str">
            <v>TV (VERT) HEPARINE-LITHIUM-PET 13*75-4ML-B/100PCS</v>
          </cell>
        </row>
        <row r="2216">
          <cell r="B2216" t="str">
            <v>FG06493</v>
          </cell>
          <cell r="C2216" t="str">
            <v>TV (VERT) HEPARINE-SODIUM-PET 13*75-4ML-B/100PCS</v>
          </cell>
        </row>
        <row r="2217">
          <cell r="B2217" t="str">
            <v>FG06494</v>
          </cell>
          <cell r="C2217" t="str">
            <v>TV MICRO (ROUGE) PET 10*45-0.5ML-B/100PCS</v>
          </cell>
        </row>
        <row r="2218">
          <cell r="B2218" t="str">
            <v>FG06495</v>
          </cell>
          <cell r="C2218" t="str">
            <v>UFLAM (PARACETAMOL+IBUPROFEN) SIROP 60ML</v>
          </cell>
        </row>
        <row r="2219">
          <cell r="B2219" t="str">
            <v>FG06496</v>
          </cell>
          <cell r="C2219" t="str">
            <v>ULTRASONIC MOSQUITO REPELLENT MICRO USB</v>
          </cell>
        </row>
        <row r="2220">
          <cell r="B2220" t="str">
            <v>FG06497</v>
          </cell>
          <cell r="C2220" t="str">
            <v>VAGINAL SPECULUM WITH SIDE SCREW (SIZE: L/M/S)</v>
          </cell>
        </row>
        <row r="2221">
          <cell r="B2221" t="str">
            <v>FG06498</v>
          </cell>
          <cell r="C2221" t="str">
            <v>VEGEBAUME BAUME 100GR(FR)</v>
          </cell>
        </row>
        <row r="2222">
          <cell r="B2222" t="str">
            <v>FG06499</v>
          </cell>
          <cell r="C2222" t="str">
            <v>VITA PLANET (SANS SUCRE) 200ML SP</v>
          </cell>
        </row>
        <row r="2223">
          <cell r="B2223" t="str">
            <v>FG06500</v>
          </cell>
          <cell r="C2223" t="str">
            <v>WATER TREATMENT PLANT 500 ITR ACCESSORIES</v>
          </cell>
        </row>
        <row r="2224">
          <cell r="B2224" t="str">
            <v>FG06501</v>
          </cell>
          <cell r="C2224" t="str">
            <v>WATER TREATMENT PLANT 500 LTR</v>
          </cell>
        </row>
        <row r="2225">
          <cell r="B2225" t="str">
            <v>FG06502</v>
          </cell>
          <cell r="C2225" t="str">
            <v>ABG PT1000-ANALYSEUR D'ELECTROLYTE ET GAZ SANGUINE</v>
          </cell>
        </row>
        <row r="2226">
          <cell r="B2226" t="str">
            <v>FG06503</v>
          </cell>
          <cell r="C2226" t="str">
            <v>ADALATE LA 30MG B/30 CES (FR)</v>
          </cell>
        </row>
        <row r="2227">
          <cell r="B2227" t="str">
            <v>FG06504</v>
          </cell>
          <cell r="C2227" t="str">
            <v>ALINTO (LEVOSALBUTAMOL) INHALER</v>
          </cell>
        </row>
        <row r="2228">
          <cell r="B2228" t="str">
            <v>FG06505</v>
          </cell>
          <cell r="C2228" t="str">
            <v>ARTES 210MG INJ B/1 AMP</v>
          </cell>
        </row>
        <row r="2229">
          <cell r="B2229" t="str">
            <v>FG06506</v>
          </cell>
          <cell r="C2229" t="str">
            <v>ASPIRATEUR CHIRURGICAL PORTABLE - ELECTRIQUE 7E-C</v>
          </cell>
        </row>
        <row r="2230">
          <cell r="B2230" t="str">
            <v>FG06507</v>
          </cell>
          <cell r="C2230" t="str">
            <v>ASPIRATEUR CHIRURGICAL PORTABLE - MANUEL</v>
          </cell>
        </row>
        <row r="2231">
          <cell r="B2231" t="str">
            <v>FG06508</v>
          </cell>
          <cell r="C2231" t="str">
            <v>AUTOCLAVE VERTICAL 100L-OUVERTURE ROUE-AFFICHAGE</v>
          </cell>
        </row>
        <row r="2232">
          <cell r="B2232" t="str">
            <v>FG06509</v>
          </cell>
          <cell r="C2232" t="str">
            <v>AUTOCLAVE VERTICAL 150L-OUVERTURE ROUE-AFFICHAGE</v>
          </cell>
        </row>
        <row r="2233">
          <cell r="B2233" t="str">
            <v>FG06510</v>
          </cell>
          <cell r="C2233" t="str">
            <v>BAC DE COLORATION INOX 60 LAMES</v>
          </cell>
        </row>
        <row r="2234">
          <cell r="B2234" t="str">
            <v>FG06511</v>
          </cell>
          <cell r="C2234" t="str">
            <v>BAC DE COLORATION PLASTIQUE 50 LAMES</v>
          </cell>
        </row>
        <row r="2235">
          <cell r="B2235" t="str">
            <v>FG06512</v>
          </cell>
          <cell r="C2235" t="str">
            <v>BEKRACINE (CEFIXIME 200MG) B/10 CES</v>
          </cell>
        </row>
        <row r="2236">
          <cell r="B2236" t="str">
            <v>FG06513</v>
          </cell>
          <cell r="C2236" t="str">
            <v>BICARBONATE MIXTER 100 ITR</v>
          </cell>
        </row>
        <row r="2237">
          <cell r="B2237" t="str">
            <v>FG06514</v>
          </cell>
          <cell r="C2237" t="str">
            <v>BIEN MANGER PLUS (CYPR.&amp;LUS.ET VIT.) 200ML SIROP</v>
          </cell>
        </row>
        <row r="2238">
          <cell r="B2238" t="str">
            <v>FG06515</v>
          </cell>
          <cell r="C2238" t="str">
            <v>BIOCHIMIE S - CALCIUM 2X50 ML</v>
          </cell>
        </row>
        <row r="2239">
          <cell r="B2239" t="str">
            <v>FG06516</v>
          </cell>
          <cell r="C2239" t="str">
            <v>BIOCHIMIE S - CREATININE 2X125 ML</v>
          </cell>
        </row>
        <row r="2240">
          <cell r="B2240" t="str">
            <v>FG06517</v>
          </cell>
          <cell r="C2240" t="str">
            <v>BIOCHIMIE S - GOT(AST) 10X10 ML</v>
          </cell>
        </row>
        <row r="2241">
          <cell r="B2241" t="str">
            <v>FG06518</v>
          </cell>
          <cell r="C2241" t="str">
            <v>BIOCHIMIE S - GPT(ALT) 10X10 ML</v>
          </cell>
        </row>
        <row r="2242">
          <cell r="B2242" t="str">
            <v>FG06519</v>
          </cell>
          <cell r="C2242" t="str">
            <v>BIOCHIMIE S - MAGNESIUM 2X100 ML</v>
          </cell>
        </row>
        <row r="2243">
          <cell r="B2243" t="str">
            <v>FG06520</v>
          </cell>
          <cell r="C2243" t="str">
            <v>BIOCHIMIE S - PHOSPHATASE ALCALINE 10X5 ML</v>
          </cell>
        </row>
        <row r="2244">
          <cell r="B2244" t="str">
            <v>FG06521</v>
          </cell>
          <cell r="C2244" t="str">
            <v>BIOCHIMIE S - SODIUM ET POTASSIUM 2X45 ML</v>
          </cell>
        </row>
        <row r="2245">
          <cell r="B2245" t="str">
            <v>FG06522</v>
          </cell>
          <cell r="C2245" t="str">
            <v>BIOCHIMIE S - UREE 2X125 ML</v>
          </cell>
        </row>
        <row r="2246">
          <cell r="B2246" t="str">
            <v>FG06523</v>
          </cell>
          <cell r="C2246" t="str">
            <v>BOITE A PANSEMENTS</v>
          </cell>
        </row>
        <row r="2247">
          <cell r="B2247" t="str">
            <v>FG06524</v>
          </cell>
          <cell r="C2247" t="str">
            <v>BOITE CATARACTE A PETITE INCISION</v>
          </cell>
        </row>
        <row r="2248">
          <cell r="B2248" t="str">
            <v>FG06525</v>
          </cell>
          <cell r="C2248" t="str">
            <v>BOITE DE CHIRURGIE POUR UROLOGIE</v>
          </cell>
        </row>
        <row r="2249">
          <cell r="B2249" t="str">
            <v>FG06526</v>
          </cell>
          <cell r="C2249" t="str">
            <v>BOITE EPISIOTOMIE</v>
          </cell>
        </row>
        <row r="2250">
          <cell r="B2250" t="str">
            <v>FG06527</v>
          </cell>
          <cell r="C2250" t="str">
            <v>BOITE TRACHEOTOMIE</v>
          </cell>
        </row>
        <row r="2251">
          <cell r="B2251" t="str">
            <v>FG06528</v>
          </cell>
          <cell r="C2251" t="str">
            <v>BOITE TRACHOME</v>
          </cell>
        </row>
        <row r="2252">
          <cell r="B2252" t="str">
            <v>FG06529</v>
          </cell>
          <cell r="C2252" t="str">
            <v>CAISTHER PLUS 60ML SP</v>
          </cell>
        </row>
        <row r="2253">
          <cell r="B2253" t="str">
            <v>FG06530</v>
          </cell>
          <cell r="C2253" t="str">
            <v>CALVI-D 200ML SP</v>
          </cell>
        </row>
        <row r="2254">
          <cell r="B2254" t="str">
            <v>FG06531</v>
          </cell>
          <cell r="C2254" t="str">
            <v>CAPECITABINE BIOGARAN 500MG 120 CES</v>
          </cell>
        </row>
        <row r="2255">
          <cell r="B2255" t="str">
            <v>FG06532</v>
          </cell>
          <cell r="C2255" t="str">
            <v>CATHETER DIALYSE DOUBLE-LUMIERE PERM14.5FRX28CM1PC</v>
          </cell>
        </row>
        <row r="2256">
          <cell r="B2256" t="str">
            <v>FG06533</v>
          </cell>
          <cell r="C2256" t="str">
            <v>CATHETER DIALYSE, DOUBLE-LUMIERE TAMP 12FRX16CM1PC</v>
          </cell>
        </row>
        <row r="2257">
          <cell r="B2257" t="str">
            <v>FG06534</v>
          </cell>
          <cell r="C2257" t="str">
            <v>CATHETER DIALYSE, DOUBLE-LUMIERE TEMP 12FRX20CM1PC</v>
          </cell>
        </row>
        <row r="2258">
          <cell r="B2258" t="str">
            <v>FG06535</v>
          </cell>
          <cell r="C2258" t="str">
            <v>CHLORE POUR EAU PORTABLE</v>
          </cell>
        </row>
        <row r="2259">
          <cell r="B2259" t="str">
            <v>FG06536</v>
          </cell>
          <cell r="C2259" t="str">
            <v>CISEAUX CHIRURGICAUX M/M COURBE - 14.5 CM</v>
          </cell>
        </row>
        <row r="2260">
          <cell r="B2260" t="str">
            <v>FG06537</v>
          </cell>
          <cell r="C2260" t="str">
            <v>CISEAUX CHIRURGICAUX M/P COURBE - 18.5 CM</v>
          </cell>
        </row>
        <row r="2261">
          <cell r="B2261" t="str">
            <v>FG06538</v>
          </cell>
          <cell r="C2261" t="str">
            <v>CISEAUX CHIRURGICAUX M/P DROITS - 14.5 CM</v>
          </cell>
        </row>
        <row r="2262">
          <cell r="B2262" t="str">
            <v>FG06539</v>
          </cell>
          <cell r="C2262" t="str">
            <v>CISEAUX CHIRURGICAUX M/P DROITS - 18.5 CM</v>
          </cell>
        </row>
        <row r="2263">
          <cell r="B2263" t="str">
            <v>FG06540</v>
          </cell>
          <cell r="C2263" t="str">
            <v>CONGILATEUR 220 LTR</v>
          </cell>
        </row>
        <row r="2264">
          <cell r="B2264" t="str">
            <v>FG06541</v>
          </cell>
          <cell r="C2264" t="str">
            <v>CONGILATEUR 350 LTR</v>
          </cell>
        </row>
        <row r="2265">
          <cell r="B2265" t="str">
            <v>FG06542</v>
          </cell>
          <cell r="C2265" t="str">
            <v>CONTAX (CEFOTAXIME) 1G INJ</v>
          </cell>
        </row>
        <row r="2266">
          <cell r="B2266" t="str">
            <v>FG06543</v>
          </cell>
          <cell r="C2266" t="str">
            <v>CONTROLES HEMATOLOGIE 3ML*1 (L) DH-3D</v>
          </cell>
        </row>
        <row r="2267">
          <cell r="B2267" t="str">
            <v>FG06544</v>
          </cell>
          <cell r="C2267" t="str">
            <v>CPE GOWN 40G/PCS BLUE</v>
          </cell>
        </row>
        <row r="2268">
          <cell r="B2268" t="str">
            <v>FG06545</v>
          </cell>
          <cell r="C2268" t="str">
            <v>DAPZIN (DAPAGLIFLOZIN) 10MG B/30 CES</v>
          </cell>
        </row>
        <row r="2269">
          <cell r="B2269" t="str">
            <v>FG06546</v>
          </cell>
          <cell r="C2269" t="str">
            <v>DAPZIN (DAPAGLIFLOZIN) 5MG B/30 CES</v>
          </cell>
        </row>
        <row r="2270">
          <cell r="B2270" t="str">
            <v>FG06547</v>
          </cell>
          <cell r="C2270" t="str">
            <v>DBS PUNCHER 1UNITE</v>
          </cell>
        </row>
        <row r="2271">
          <cell r="B2271" t="str">
            <v>FG06548</v>
          </cell>
          <cell r="C2271" t="str">
            <v>DEBRIDAT 100 MG 10 SUPPOS</v>
          </cell>
        </row>
        <row r="2272">
          <cell r="B2272" t="str">
            <v>FG06549</v>
          </cell>
          <cell r="C2272" t="str">
            <v>DESPAIN 50MG INJ</v>
          </cell>
        </row>
        <row r="2273">
          <cell r="B2273" t="str">
            <v>FG06550</v>
          </cell>
          <cell r="C2273" t="str">
            <v>DEXAMETHASONE (DEXALINE ) COLLYRE/OTTIQUE 10ML</v>
          </cell>
        </row>
        <row r="2274">
          <cell r="B2274" t="str">
            <v>FG06551</v>
          </cell>
          <cell r="C2274" t="str">
            <v>DIALYSIS CHAIR - ACCESSORIES</v>
          </cell>
        </row>
        <row r="2275">
          <cell r="B2275" t="str">
            <v>FG06552</v>
          </cell>
          <cell r="C2275" t="str">
            <v>DIAYSIS CHAIR</v>
          </cell>
        </row>
        <row r="2276">
          <cell r="B2276" t="str">
            <v>FG06553</v>
          </cell>
          <cell r="C2276" t="str">
            <v>DICLOFENC GEL CREAM 30GR....GENERIQUE</v>
          </cell>
        </row>
        <row r="2277">
          <cell r="B2277" t="str">
            <v>FG06554</v>
          </cell>
          <cell r="C2277" t="str">
            <v>DISQUES ANTIBIOGRAMMES - AMOXICILLINE BT/50</v>
          </cell>
        </row>
        <row r="2278">
          <cell r="B2278" t="str">
            <v>FG06555</v>
          </cell>
          <cell r="C2278" t="str">
            <v>DISQUES ANTIBIOGRAMMES - AZITHROMYCINE BT/50</v>
          </cell>
        </row>
        <row r="2279">
          <cell r="B2279" t="str">
            <v>FG06556</v>
          </cell>
          <cell r="C2279" t="str">
            <v>DISQUES ANTIBIOGRAMMES - CEFTRIAXONE BT/50</v>
          </cell>
        </row>
        <row r="2280">
          <cell r="B2280" t="str">
            <v>FG06557</v>
          </cell>
          <cell r="C2280" t="str">
            <v>DISQUES ANTIBIOGRAMMES - DOXYCYCLINE HCL BT/50</v>
          </cell>
        </row>
        <row r="2281">
          <cell r="B2281" t="str">
            <v>FG06558</v>
          </cell>
          <cell r="C2281" t="str">
            <v>DISQUES ANTIBIOGRAMMES - MEROPENEME BT/100</v>
          </cell>
        </row>
        <row r="2282">
          <cell r="B2282" t="str">
            <v>FG06559</v>
          </cell>
          <cell r="C2282" t="str">
            <v>DISQUES ANTIBIOGRAMMES - OFLOXACINE BT/50</v>
          </cell>
        </row>
        <row r="2283">
          <cell r="B2283" t="str">
            <v>FG06560</v>
          </cell>
          <cell r="C2283" t="str">
            <v>DISQUES ANTIBIOGRAMMES - PIPERACILLINE BT/50</v>
          </cell>
        </row>
        <row r="2284">
          <cell r="B2284" t="str">
            <v>FG06561</v>
          </cell>
          <cell r="C2284" t="str">
            <v>DIVA PRINCESSE 10PADS</v>
          </cell>
        </row>
        <row r="2285">
          <cell r="B2285" t="str">
            <v>FG06562</v>
          </cell>
          <cell r="C2285" t="str">
            <v>DIVA REGULAR 10PADS</v>
          </cell>
        </row>
        <row r="2286">
          <cell r="B2286" t="str">
            <v>FG06563</v>
          </cell>
          <cell r="C2286" t="str">
            <v>ECHOGRAPHIE CHARIOT COULEUR CBIT10-4 SONDE</v>
          </cell>
        </row>
        <row r="2287">
          <cell r="B2287" t="str">
            <v>FG06564</v>
          </cell>
          <cell r="C2287" t="str">
            <v>ECHOGRAPHIE CHARIOT COULEUR CBIT8-4 SONDE</v>
          </cell>
        </row>
        <row r="2288">
          <cell r="B2288" t="str">
            <v>FG06565</v>
          </cell>
          <cell r="C2288" t="str">
            <v>ECHOGRAPHIE PORTABLE - ECO 6 CONVEX</v>
          </cell>
        </row>
        <row r="2289">
          <cell r="B2289" t="str">
            <v>FG06566</v>
          </cell>
          <cell r="C2289" t="str">
            <v>ECOUVILLON COTON STERILE SACHET/100</v>
          </cell>
        </row>
        <row r="2290">
          <cell r="B2290" t="str">
            <v>FG06567</v>
          </cell>
          <cell r="C2290" t="str">
            <v>ELETRIPTAN MYLAN 40MG B/10 CES (FR)</v>
          </cell>
        </row>
        <row r="2291">
          <cell r="B2291" t="str">
            <v>FG06568</v>
          </cell>
          <cell r="C2291" t="str">
            <v>EMBOUT JAUNE AVEC FILTRE B/96</v>
          </cell>
        </row>
        <row r="2292">
          <cell r="B2292" t="str">
            <v>FG06569</v>
          </cell>
          <cell r="C2292" t="str">
            <v>EVALINA INTIME LIQUIDE 50ML</v>
          </cell>
        </row>
        <row r="2293">
          <cell r="B2293" t="str">
            <v>FG06570</v>
          </cell>
          <cell r="C2293" t="str">
            <v>FEET AID 15G CREAM</v>
          </cell>
        </row>
        <row r="2294">
          <cell r="B2294" t="str">
            <v>FG06571</v>
          </cell>
          <cell r="C2294" t="str">
            <v>FLAMINGO TUBULAR SUPPORT GAUNTLET (SMALL)</v>
          </cell>
        </row>
        <row r="2295">
          <cell r="B2295" t="str">
            <v>FG06572</v>
          </cell>
          <cell r="C2295" t="str">
            <v>FLAMINGO TUBULAR SUPPORT GAUNTLET (XL)</v>
          </cell>
        </row>
        <row r="2296">
          <cell r="B2296" t="str">
            <v>FG06573</v>
          </cell>
          <cell r="C2296" t="str">
            <v>FLAMINGO TUBULAR SUPPORT GAUNTLET (XXL)</v>
          </cell>
        </row>
        <row r="2297">
          <cell r="B2297" t="str">
            <v>FG06574</v>
          </cell>
          <cell r="C2297" t="str">
            <v>FLAMINGO ABDOMINAL BELT (XXXL) (20 CM)</v>
          </cell>
        </row>
        <row r="2298">
          <cell r="B2298" t="str">
            <v>FG06575</v>
          </cell>
          <cell r="C2298" t="str">
            <v>FLAMINGO BI AXEL HINGED KNEE CAP (XXXL)</v>
          </cell>
        </row>
        <row r="2299">
          <cell r="B2299" t="str">
            <v>FG06576</v>
          </cell>
          <cell r="C2299" t="str">
            <v>FLAMINGO BUNION SPLINT-U</v>
          </cell>
        </row>
        <row r="2300">
          <cell r="B2300" t="str">
            <v>FG06577</v>
          </cell>
          <cell r="C2300" t="str">
            <v>FLAMINGO CERVICAL COLLAR WITH NECK SUPPORT (XXL)</v>
          </cell>
        </row>
        <row r="2301">
          <cell r="B2301" t="str">
            <v>FG06578</v>
          </cell>
          <cell r="C2301" t="str">
            <v>FLAMINGO CERVICAL TRACTION KIT WITH WATER BAG-SLEE</v>
          </cell>
        </row>
        <row r="2302">
          <cell r="B2302" t="str">
            <v>FG06579</v>
          </cell>
          <cell r="C2302" t="str">
            <v>FLAMINGO HEIGHT ADJUSTABLE HARD COLLAR (XXL)</v>
          </cell>
        </row>
        <row r="2303">
          <cell r="B2303" t="str">
            <v>FG06580</v>
          </cell>
          <cell r="C2303" t="str">
            <v>FLAMINGO HERNIA BELT (XXL)</v>
          </cell>
        </row>
        <row r="2304">
          <cell r="B2304" t="str">
            <v>FG06581</v>
          </cell>
          <cell r="C2304" t="str">
            <v>FLAMINGO HERNIA BELT (XXXL)</v>
          </cell>
        </row>
        <row r="2305">
          <cell r="B2305" t="str">
            <v>FG06582</v>
          </cell>
          <cell r="C2305" t="str">
            <v>FLAMINGO LUMBAR SACRO BELT (XXXL)</v>
          </cell>
        </row>
        <row r="2306">
          <cell r="B2306" t="str">
            <v>FG06583</v>
          </cell>
          <cell r="C2306" t="str">
            <v>FLAMINGO MEDICAL COMPRES STOCKINGS ABOVE KNEE (XL)</v>
          </cell>
        </row>
        <row r="2307">
          <cell r="B2307" t="str">
            <v>FG06584</v>
          </cell>
          <cell r="C2307" t="str">
            <v>FLAMINGO OPEN PATELLA KNEE CAP (XXXL)</v>
          </cell>
        </row>
        <row r="2308">
          <cell r="B2308" t="str">
            <v>FG06585</v>
          </cell>
          <cell r="C2308" t="str">
            <v>FLAMINGO PELVIC TRACTION KIT WITH WATER BAG (M)</v>
          </cell>
        </row>
        <row r="2309">
          <cell r="B2309" t="str">
            <v>FG06586</v>
          </cell>
          <cell r="C2309" t="str">
            <v>FLAMINGO PELVIC TRACTION KIT WITH WATER BAG (XL)</v>
          </cell>
        </row>
        <row r="2310">
          <cell r="B2310" t="str">
            <v>FG06587</v>
          </cell>
          <cell r="C2310" t="str">
            <v>FLAMINGO PREMIUM SILICONE PED MED ARCH INSOLE (XL)</v>
          </cell>
        </row>
        <row r="2311">
          <cell r="B2311" t="str">
            <v>FG06588</v>
          </cell>
          <cell r="C2311" t="str">
            <v>FLAMINGO SCROTAL SUPPORT (SMALL)</v>
          </cell>
        </row>
        <row r="2312">
          <cell r="B2312" t="str">
            <v>FG06589</v>
          </cell>
          <cell r="C2312" t="str">
            <v>FLAMINGO SCROTAL SUPPORT (XL)</v>
          </cell>
        </row>
        <row r="2313">
          <cell r="B2313" t="str">
            <v>FG06590</v>
          </cell>
          <cell r="C2313" t="str">
            <v>FLAMINGO SCROTAL SUPPORT (XXL)</v>
          </cell>
        </row>
        <row r="2314">
          <cell r="B2314" t="str">
            <v>FG06591</v>
          </cell>
          <cell r="C2314" t="str">
            <v>FLAMINGO SHOULDER SUPPORT (XXL)</v>
          </cell>
        </row>
        <row r="2315">
          <cell r="B2315" t="str">
            <v>FG06592</v>
          </cell>
          <cell r="C2315" t="str">
            <v>FLAMINGO SOFT COLLAR (SMALL)</v>
          </cell>
        </row>
        <row r="2316">
          <cell r="B2316" t="str">
            <v>FG06593</v>
          </cell>
          <cell r="C2316" t="str">
            <v>FLAMINGO SOFT COLLAR (XL)</v>
          </cell>
        </row>
        <row r="2317">
          <cell r="B2317" t="str">
            <v>FG06594</v>
          </cell>
          <cell r="C2317" t="str">
            <v>FLAMINGO UNI SHOULDER IMMOBILISER (XXXL)</v>
          </cell>
        </row>
        <row r="2318">
          <cell r="B2318" t="str">
            <v>FG06595</v>
          </cell>
          <cell r="C2318" t="str">
            <v>GASOGEL B/25 SACHAT</v>
          </cell>
        </row>
        <row r="2319">
          <cell r="B2319" t="str">
            <v>FG06596</v>
          </cell>
          <cell r="C2319" t="str">
            <v>GLICLAMIN-M(GLICLAZIDE80MG+METFORMIN500MG)B/30CES</v>
          </cell>
        </row>
        <row r="2320">
          <cell r="B2320" t="str">
            <v>FG06597</v>
          </cell>
          <cell r="C2320" t="str">
            <v>GLUCOBAY 50MG B/30 (FR)</v>
          </cell>
        </row>
        <row r="2321">
          <cell r="B2321" t="str">
            <v>FG06598</v>
          </cell>
          <cell r="C2321" t="str">
            <v>GLUCOPHAGE RETARD PLS 15CES 850MG</v>
          </cell>
        </row>
        <row r="2322">
          <cell r="B2322" t="str">
            <v>FG06599</v>
          </cell>
          <cell r="C2322" t="str">
            <v>GROUP 1.1 KV</v>
          </cell>
        </row>
        <row r="2323">
          <cell r="B2323" t="str">
            <v>FG06600</v>
          </cell>
          <cell r="C2323" t="str">
            <v>GROUP 3.5 KV</v>
          </cell>
        </row>
        <row r="2324">
          <cell r="B2324" t="str">
            <v>FG06601</v>
          </cell>
          <cell r="C2324" t="str">
            <v>HEMODIALYSIS ACID CONCENTRATE PART A</v>
          </cell>
        </row>
        <row r="2325">
          <cell r="B2325" t="str">
            <v>FG06602</v>
          </cell>
          <cell r="C2325" t="str">
            <v>IBUPAR BT/20CES</v>
          </cell>
        </row>
        <row r="2326">
          <cell r="B2326" t="str">
            <v>FG06603</v>
          </cell>
          <cell r="C2326" t="str">
            <v>IMODIUM B/20CAPS INSTANT (FR)</v>
          </cell>
        </row>
        <row r="2327">
          <cell r="B2327" t="str">
            <v>FG06604</v>
          </cell>
          <cell r="C2327" t="str">
            <v>IMPRIMANTE MEDICALE NUMERIQUE - COULEUR - UPD25MD</v>
          </cell>
        </row>
        <row r="2328">
          <cell r="B2328" t="str">
            <v>FG06605</v>
          </cell>
          <cell r="C2328" t="str">
            <v>INDACEFT-1G (CEFTRIAXONE) INJ. B/1 VIAL+EAU DIST.</v>
          </cell>
        </row>
        <row r="2329">
          <cell r="B2329" t="str">
            <v>FG06606</v>
          </cell>
          <cell r="C2329" t="str">
            <v>INDACEFT-S-1500 MG (CEFTRI.+SULBAC) INJ. B/1 VIAL</v>
          </cell>
        </row>
        <row r="2330">
          <cell r="B2330" t="str">
            <v>FG06607</v>
          </cell>
          <cell r="C2330" t="str">
            <v>KEPRA 250MG 50TAB (FR)</v>
          </cell>
        </row>
        <row r="2331">
          <cell r="B2331" t="str">
            <v>FG06608</v>
          </cell>
          <cell r="C2331" t="str">
            <v>KEPRA 500MG 50TAB (FR)</v>
          </cell>
        </row>
        <row r="2332">
          <cell r="B2332" t="str">
            <v>FG06609</v>
          </cell>
          <cell r="C2332" t="str">
            <v>LAME P.O.DEPOLIES-BORDS BISEAUTES A45°-B/72</v>
          </cell>
        </row>
        <row r="2333">
          <cell r="B2333" t="str">
            <v>FG06610</v>
          </cell>
          <cell r="C2333" t="str">
            <v>LAMELLE COUVRE OBJET 24X50MM B/100</v>
          </cell>
        </row>
        <row r="2334">
          <cell r="B2334" t="str">
            <v>FG06611</v>
          </cell>
          <cell r="C2334" t="str">
            <v>MAIGRIX 60 (ORLISTAT 60MG) B/10 CES</v>
          </cell>
        </row>
        <row r="2335">
          <cell r="B2335" t="str">
            <v>FG06612</v>
          </cell>
          <cell r="C2335" t="str">
            <v>MC - BASE DE GELOSE AU SANG COLUMBIA 500G</v>
          </cell>
        </row>
        <row r="2336">
          <cell r="B2336" t="str">
            <v>FG06613</v>
          </cell>
          <cell r="C2336" t="str">
            <v>MC - GELOSE AU CITRATE DE SIMMONS 500G</v>
          </cell>
        </row>
        <row r="2337">
          <cell r="B2337" t="str">
            <v>FG06614</v>
          </cell>
          <cell r="C2337" t="str">
            <v>MC - GELOSE AU FER DE KLIGLER 500G</v>
          </cell>
        </row>
        <row r="2338">
          <cell r="B2338" t="str">
            <v>FG06615</v>
          </cell>
          <cell r="C2338" t="str">
            <v>MC - GELOSE DE SABOURAUD AU DEXTROSE 500G</v>
          </cell>
        </row>
        <row r="2339">
          <cell r="B2339" t="str">
            <v>FG06616</v>
          </cell>
          <cell r="C2339" t="str">
            <v>MC - GELOSE LYSINE FER 500G</v>
          </cell>
        </row>
        <row r="2340">
          <cell r="B2340" t="str">
            <v>FG06617</v>
          </cell>
          <cell r="C2340" t="str">
            <v>MC - GELOSE SS (SALMONELLA SHIGELLA) MODIFIEE 500G</v>
          </cell>
        </row>
        <row r="2341">
          <cell r="B2341" t="str">
            <v>FG06618</v>
          </cell>
          <cell r="C2341" t="str">
            <v>MC - GLYCINE (ACIDE AMINE ACETIQUE) 500G</v>
          </cell>
        </row>
        <row r="2342">
          <cell r="B2342" t="str">
            <v>FG06619</v>
          </cell>
          <cell r="C2342" t="str">
            <v>MC - SMA PHOSPHATE DE DIHYDROG DE POTAS, PURI 500G</v>
          </cell>
        </row>
        <row r="2343">
          <cell r="B2343" t="str">
            <v>FG06620</v>
          </cell>
          <cell r="C2343" t="str">
            <v>MC-BHIB BOUILLON INFUSION DE COEUR-CERVELLE 500G</v>
          </cell>
        </row>
        <row r="2344">
          <cell r="B2344" t="str">
            <v>FG06621</v>
          </cell>
          <cell r="C2344" t="str">
            <v>MC-CRISTAL VIOLET (VIOL DE GENT) EN POU-PURI 500G</v>
          </cell>
        </row>
        <row r="2345">
          <cell r="B2345" t="str">
            <v>FG06622</v>
          </cell>
          <cell r="C2345" t="str">
            <v>MONOMETRE 1PC</v>
          </cell>
        </row>
        <row r="2346">
          <cell r="B2346" t="str">
            <v>FG06623</v>
          </cell>
          <cell r="C2346" t="str">
            <v>MOSQUITO KILLER LAMP WITH SOLAR</v>
          </cell>
        </row>
        <row r="2347">
          <cell r="B2347" t="str">
            <v>FG06624</v>
          </cell>
          <cell r="C2347" t="str">
            <v>MOSQUITO REPELLENT BRACELET 1PC/COLOR BOX</v>
          </cell>
        </row>
        <row r="2348">
          <cell r="B2348" t="str">
            <v>FG06625</v>
          </cell>
          <cell r="C2348" t="str">
            <v>MUSTEL PN HYDRA CROPS 500ML</v>
          </cell>
        </row>
        <row r="2349">
          <cell r="B2349" t="str">
            <v>FG06626</v>
          </cell>
          <cell r="C2349" t="str">
            <v>NETTOYANT DE SURFACES BIDON 5L</v>
          </cell>
        </row>
        <row r="2350">
          <cell r="B2350" t="str">
            <v>FG06627</v>
          </cell>
          <cell r="C2350" t="str">
            <v>NETTOYANT ET DESINFECTANT INSTRUMENTS BIDON 5L</v>
          </cell>
        </row>
        <row r="2351">
          <cell r="B2351" t="str">
            <v>FG06628</v>
          </cell>
          <cell r="C2351" t="str">
            <v>OPHTALMOSCOPE KEELER AVEC BATTERIE INTEGREE</v>
          </cell>
        </row>
        <row r="2352">
          <cell r="B2352" t="str">
            <v>FG06629</v>
          </cell>
          <cell r="C2352" t="str">
            <v>PACOD-PLUS (PARA+COD+CAF) B/3 X10 CES</v>
          </cell>
        </row>
        <row r="2353">
          <cell r="B2353" t="str">
            <v>FG06630</v>
          </cell>
          <cell r="C2353" t="str">
            <v>PANOTAC-D (PANTOPRAZOLE+DOMPERI.) B/ 10 GELULES</v>
          </cell>
        </row>
        <row r="2354">
          <cell r="B2354" t="str">
            <v>FG06631</v>
          </cell>
          <cell r="C2354" t="str">
            <v>PANTIN 40MG B/30 CES</v>
          </cell>
        </row>
        <row r="2355">
          <cell r="B2355" t="str">
            <v>FG06632</v>
          </cell>
          <cell r="C2355" t="str">
            <v>PERFEN (PARACETAMOL+VIT.C EFF.) AD B/10 SACHATS</v>
          </cell>
        </row>
        <row r="2356">
          <cell r="B2356" t="str">
            <v>FG06633</v>
          </cell>
          <cell r="C2356" t="str">
            <v>PERFEN IV 100ML</v>
          </cell>
        </row>
        <row r="2357">
          <cell r="B2357" t="str">
            <v>FG06634</v>
          </cell>
          <cell r="C2357" t="str">
            <v>POMPE A PERFUSION</v>
          </cell>
        </row>
        <row r="2358">
          <cell r="B2358" t="str">
            <v>FG06635</v>
          </cell>
          <cell r="C2358" t="str">
            <v>PORTOIRE TUBE A ESSAI INOX</v>
          </cell>
        </row>
        <row r="2359">
          <cell r="B2359" t="str">
            <v>FG06636</v>
          </cell>
          <cell r="C2359" t="str">
            <v>POSTER</v>
          </cell>
        </row>
        <row r="2360">
          <cell r="B2360" t="str">
            <v>FG06637</v>
          </cell>
          <cell r="C2360" t="str">
            <v>POUSSE SERINGUE ELECTRIQUE</v>
          </cell>
        </row>
        <row r="2361">
          <cell r="B2361" t="str">
            <v>FG06638</v>
          </cell>
          <cell r="C2361" t="str">
            <v>PROOPRANOLOL EG (INDERAL)40MG B/100 CES</v>
          </cell>
        </row>
        <row r="2362">
          <cell r="B2362" t="str">
            <v>FG06639</v>
          </cell>
          <cell r="C2362" t="str">
            <v>PROTAX 1G (CEFOTAXIME) INJ. B/1 VIAL + EAU</v>
          </cell>
        </row>
        <row r="2363">
          <cell r="B2363" t="str">
            <v>FG06640</v>
          </cell>
          <cell r="C2363" t="str">
            <v>QUICK 210 (ARTESU) IM/IV B/1AMP</v>
          </cell>
        </row>
        <row r="2364">
          <cell r="B2364" t="str">
            <v>FG06641</v>
          </cell>
          <cell r="C2364" t="str">
            <v>RANICER (RANITIDINE 150MG) B/20 CES</v>
          </cell>
        </row>
        <row r="2365">
          <cell r="B2365" t="str">
            <v>FG06642</v>
          </cell>
          <cell r="C2365" t="str">
            <v>REFRIGERATEUR DE LABORATOIRE-2À 8DEGRES-160L</v>
          </cell>
        </row>
        <row r="2366">
          <cell r="B2366" t="str">
            <v>FG06643</v>
          </cell>
          <cell r="C2366" t="str">
            <v>SAFORELLE SOIN LAV DOUX 500ML FL</v>
          </cell>
        </row>
        <row r="2367">
          <cell r="B2367" t="str">
            <v>FG06644</v>
          </cell>
          <cell r="C2367" t="str">
            <v>SARS-COV-2 FLUORESCENT PCR,96 TESTS/KITS</v>
          </cell>
        </row>
        <row r="2368">
          <cell r="B2368" t="str">
            <v>FG06645</v>
          </cell>
          <cell r="C2368" t="str">
            <v>SECOURS (PAIN RELIEF) SPRAY 75ML</v>
          </cell>
        </row>
        <row r="2369">
          <cell r="B2369" t="str">
            <v>FG06646</v>
          </cell>
          <cell r="C2369" t="str">
            <v>SOLAR LIGHT ITEL</v>
          </cell>
        </row>
        <row r="2370">
          <cell r="B2370" t="str">
            <v>FG06647</v>
          </cell>
          <cell r="C2370" t="str">
            <v>SPASDOL (DICYCLOMINE HYDO.+PARACETAMOL) B/10 TAB</v>
          </cell>
        </row>
        <row r="2371">
          <cell r="B2371" t="str">
            <v>FG06648</v>
          </cell>
          <cell r="C2371" t="str">
            <v>STATINOR 20MG (ROSUVASTATIN) B/30 CES</v>
          </cell>
        </row>
        <row r="2372">
          <cell r="B2372" t="str">
            <v>FG06649</v>
          </cell>
          <cell r="C2372" t="str">
            <v>STORAGE DRUM 100LTR</v>
          </cell>
        </row>
        <row r="2373">
          <cell r="B2373" t="str">
            <v>FG06650</v>
          </cell>
          <cell r="C2373" t="str">
            <v>SURLIEN (ANTITUSSIF) 100ML SIROP</v>
          </cell>
        </row>
        <row r="2374">
          <cell r="B2374" t="str">
            <v>FG06651</v>
          </cell>
          <cell r="C2374" t="str">
            <v>T V 60"</v>
          </cell>
        </row>
        <row r="2375">
          <cell r="B2375" t="str">
            <v>FG06652</v>
          </cell>
          <cell r="C2375" t="str">
            <v>T V STAND</v>
          </cell>
        </row>
        <row r="2376">
          <cell r="B2376" t="str">
            <v>FG06653</v>
          </cell>
          <cell r="C2376" t="str">
            <v>TABLE DE REANIMATION NEONATALE RECHAUFFEUR RADIANT</v>
          </cell>
        </row>
        <row r="2377">
          <cell r="B2377" t="str">
            <v>FG06654</v>
          </cell>
          <cell r="C2377" t="str">
            <v>TANO (ITRACONAZOLE 100MG) B/10 GELULES</v>
          </cell>
        </row>
        <row r="2378">
          <cell r="B2378" t="str">
            <v>FG06655</v>
          </cell>
          <cell r="C2378" t="str">
            <v>TEST ANTI /B</v>
          </cell>
        </row>
        <row r="2379">
          <cell r="B2379" t="str">
            <v>FG06656</v>
          </cell>
          <cell r="C2379" t="str">
            <v>TONOMETRE SCHIOTZ, PLAQUE OR (RIESTER, ALLEMAGNE)</v>
          </cell>
        </row>
        <row r="2380">
          <cell r="B2380" t="str">
            <v>FG06657</v>
          </cell>
          <cell r="C2380" t="str">
            <v>TORCH 1 PC</v>
          </cell>
        </row>
        <row r="2381">
          <cell r="B2381" t="str">
            <v>FG06658</v>
          </cell>
          <cell r="C2381" t="str">
            <v>TOURNIQUET</v>
          </cell>
        </row>
        <row r="2382">
          <cell r="B2382" t="str">
            <v>FG06659</v>
          </cell>
          <cell r="C2382" t="str">
            <v>TUBE CAPILLAIRE (ROUGE) - HEPARINES, FIOLE/100</v>
          </cell>
        </row>
        <row r="2383">
          <cell r="B2383" t="str">
            <v>FG06660</v>
          </cell>
          <cell r="C2383" t="str">
            <v>TUBE WESTERGREN 300MM 0-180CM-PC</v>
          </cell>
        </row>
        <row r="2384">
          <cell r="B2384" t="str">
            <v>FG06661</v>
          </cell>
          <cell r="C2384" t="str">
            <v>TUBES CRYOGENIQUES 2ML SAC/500 PCS</v>
          </cell>
        </row>
        <row r="2385">
          <cell r="B2385" t="str">
            <v>FG06662</v>
          </cell>
          <cell r="C2385" t="str">
            <v>TV (BLEU)-SODIUM CITRATE VER-13*75-4.5ML-B/100PCS</v>
          </cell>
        </row>
        <row r="2386">
          <cell r="B2386" t="str">
            <v>FG06663</v>
          </cell>
          <cell r="C2386" t="str">
            <v>TV (GRIS) GLUCOSE-FLUORURE-PET 13*75-4ML-B/100PCS</v>
          </cell>
        </row>
        <row r="2387">
          <cell r="B2387" t="str">
            <v>FG06664</v>
          </cell>
          <cell r="C2387" t="str">
            <v>TV (JAUNE) GEL/ACTIV-COA VERRE13*75-3.5ML-B/100PCS</v>
          </cell>
        </row>
        <row r="2388">
          <cell r="B2388" t="str">
            <v>FG06665</v>
          </cell>
          <cell r="C2388" t="str">
            <v>TV (NOIR) PET 13*75-2.4ML-B/100PCS</v>
          </cell>
        </row>
        <row r="2389">
          <cell r="B2389" t="str">
            <v>FG06666</v>
          </cell>
          <cell r="C2389" t="str">
            <v>TV (ROUGE) SEC VERRE 16*100, 10ML-B/100PCS</v>
          </cell>
        </row>
        <row r="2390">
          <cell r="B2390" t="str">
            <v>FG06667</v>
          </cell>
          <cell r="C2390" t="str">
            <v>TV MICRO(BLEU)K2/K3 EDTA PET-10*45-0.5ML-B/100PCS</v>
          </cell>
        </row>
        <row r="2391">
          <cell r="B2391" t="str">
            <v>FG06668</v>
          </cell>
          <cell r="C2391" t="str">
            <v>URAPIDIL 60MG B/30 CES</v>
          </cell>
        </row>
        <row r="2392">
          <cell r="B2392" t="str">
            <v>FG06669</v>
          </cell>
          <cell r="C2392" t="str">
            <v>VENTILATEUR DE REANIMATION</v>
          </cell>
        </row>
        <row r="2393">
          <cell r="B2393" t="str">
            <v>FG06670</v>
          </cell>
          <cell r="C2393" t="str">
            <v>ZEBU PLUS 35G/50ML SPRAY</v>
          </cell>
        </row>
        <row r="2394">
          <cell r="B2394" t="str">
            <v>FG08830</v>
          </cell>
          <cell r="C2394" t="str">
            <v>MOX 400MG (MOXIFLOXACIN) PERFUSION 100M</v>
          </cell>
        </row>
        <row r="2395">
          <cell r="B2395" t="str">
            <v>FG04969</v>
          </cell>
          <cell r="C2395" t="str">
            <v>INSULINE INSULATARD 100UI 10ML ( EO)</v>
          </cell>
        </row>
        <row r="2396">
          <cell r="B2396" t="str">
            <v>FG04970</v>
          </cell>
          <cell r="C2396" t="str">
            <v>APROVASAC 150MG/5MG B/28CES ) EO)</v>
          </cell>
        </row>
        <row r="2397">
          <cell r="B2397" t="str">
            <v>FG04971</v>
          </cell>
          <cell r="C2397" t="str">
            <v>OFLOCET 200MG 10CES(EO)</v>
          </cell>
        </row>
        <row r="2398">
          <cell r="B2398" t="str">
            <v>FG04972</v>
          </cell>
          <cell r="C2398" t="str">
            <v>TAMSULOSINE SDZ LAP,4MG 30 GELULS ( FR)</v>
          </cell>
        </row>
        <row r="2399">
          <cell r="B2399" t="str">
            <v>FG04973</v>
          </cell>
          <cell r="C2399" t="str">
            <v>TOBREX COOLYRE(FR)</v>
          </cell>
        </row>
        <row r="2400">
          <cell r="B2400" t="str">
            <v>FG04974</v>
          </cell>
          <cell r="C2400" t="str">
            <v>ZINNAT 80ML 125MG SUSP (FR) INACTIVE</v>
          </cell>
        </row>
        <row r="2401">
          <cell r="B2401" t="str">
            <v>FG04975</v>
          </cell>
          <cell r="C2401" t="str">
            <v>TEGRETOL 200MG 50CES (EO)</v>
          </cell>
        </row>
        <row r="2402">
          <cell r="B2402" t="str">
            <v>FG04985</v>
          </cell>
          <cell r="C2402" t="str">
            <v>APROVASC 300MG /5MG B/28CES ( EO)</v>
          </cell>
        </row>
        <row r="2403">
          <cell r="B2403" t="str">
            <v>FG04988</v>
          </cell>
          <cell r="C2403" t="str">
            <v>EFLAVYL 200UI B/50 GGELULES</v>
          </cell>
        </row>
        <row r="2404">
          <cell r="B2404" t="str">
            <v>FG04989</v>
          </cell>
          <cell r="C2404" t="str">
            <v>INSULINE MIXTARD 100UI ( FR) $$</v>
          </cell>
        </row>
        <row r="2405">
          <cell r="B2405" t="str">
            <v>FG04992</v>
          </cell>
          <cell r="C2405" t="str">
            <v>MICARDIS PLUS 80MG/25MG B/30CPR INACTIVE</v>
          </cell>
        </row>
        <row r="2406">
          <cell r="B2406" t="str">
            <v>FG04993</v>
          </cell>
          <cell r="C2406" t="str">
            <v>SPASFON 80MG 30CES ( FR)</v>
          </cell>
        </row>
        <row r="2407">
          <cell r="B2407" t="str">
            <v>FG04994</v>
          </cell>
          <cell r="C2407" t="str">
            <v>CLAMOXYL PDRE SUSP.BUVABLE 500MG INACTIVE</v>
          </cell>
        </row>
        <row r="2408">
          <cell r="B2408" t="str">
            <v>FG04995</v>
          </cell>
          <cell r="C2408" t="str">
            <v>APPAREIL HEMOTOCRIT</v>
          </cell>
        </row>
        <row r="2409">
          <cell r="B2409" t="str">
            <v>FG04996</v>
          </cell>
          <cell r="C2409" t="str">
            <v>TEST RAPIDE HBS</v>
          </cell>
        </row>
        <row r="2410">
          <cell r="B2410" t="str">
            <v>FG04997</v>
          </cell>
          <cell r="C2410" t="str">
            <v>BOITE CHIRURGICALE ABOMINALE</v>
          </cell>
        </row>
        <row r="2411">
          <cell r="B2411" t="str">
            <v>FG05001</v>
          </cell>
          <cell r="C2411" t="str">
            <v>COVERAM 10/10***CES B/30***</v>
          </cell>
        </row>
        <row r="2412">
          <cell r="B2412" t="str">
            <v>FG05002</v>
          </cell>
          <cell r="C2412" t="str">
            <v>OCUGUARD GELLULES B/20 CES</v>
          </cell>
        </row>
        <row r="2413">
          <cell r="B2413" t="str">
            <v>FG05003</v>
          </cell>
          <cell r="C2413" t="str">
            <v>PENTASA ( MESALAZINE 500MG) B/100TAB ( FR)</v>
          </cell>
        </row>
        <row r="2414">
          <cell r="B2414" t="str">
            <v>FG05004</v>
          </cell>
          <cell r="C2414" t="str">
            <v>PROFENID 100MG ING 2AMP IM (EO)</v>
          </cell>
        </row>
        <row r="2415">
          <cell r="B2415" t="str">
            <v>FG05005</v>
          </cell>
          <cell r="C2415" t="str">
            <v>PRIADEL 400MG TAB ( FR)</v>
          </cell>
        </row>
        <row r="2416">
          <cell r="B2416" t="str">
            <v>FG05006</v>
          </cell>
          <cell r="C2416" t="str">
            <v>CAHIER 48Q DZ</v>
          </cell>
        </row>
        <row r="2417">
          <cell r="B2417" t="str">
            <v>FG05007</v>
          </cell>
          <cell r="C2417" t="str">
            <v>COMPASS</v>
          </cell>
        </row>
        <row r="2418">
          <cell r="B2418" t="str">
            <v>FG05008</v>
          </cell>
          <cell r="C2418" t="str">
            <v>LUNCH BOX &amp; WATER BAG</v>
          </cell>
        </row>
        <row r="2419">
          <cell r="B2419" t="str">
            <v>FG05009</v>
          </cell>
          <cell r="C2419" t="str">
            <v>PEN B/10</v>
          </cell>
        </row>
        <row r="2420">
          <cell r="B2420" t="str">
            <v>FG05010</v>
          </cell>
          <cell r="C2420" t="str">
            <v>SAC MEDIUM</v>
          </cell>
        </row>
        <row r="2421">
          <cell r="B2421" t="str">
            <v>FG05011</v>
          </cell>
          <cell r="C2421" t="str">
            <v>FUCIDIN 2% CREME DERMQ TB 15GR ( FR)</v>
          </cell>
        </row>
        <row r="2422">
          <cell r="B2422" t="str">
            <v>FG05012</v>
          </cell>
          <cell r="C2422" t="str">
            <v>ANALYSEUR D'HEMATOLOGIE A DIFFE EN 3 PARTIES</v>
          </cell>
        </row>
        <row r="2423">
          <cell r="B2423" t="str">
            <v>FG05013</v>
          </cell>
          <cell r="C2423" t="str">
            <v>HEMATOLOGIE 5 PARTIES DIL-C ( 20L) - DILUENT</v>
          </cell>
        </row>
        <row r="2424">
          <cell r="B2424" t="str">
            <v>FG05014</v>
          </cell>
          <cell r="C2424" t="str">
            <v>ALUPHO 10.5G B/20 SACHET (FR)</v>
          </cell>
        </row>
        <row r="2425">
          <cell r="B2425" t="str">
            <v>FG05015</v>
          </cell>
          <cell r="C2425" t="str">
            <v>HEMATOLOGIE 5 PARTIES LYC-1 (200ML) - LYSE 1</v>
          </cell>
        </row>
        <row r="2426">
          <cell r="B2426" t="str">
            <v>FG05016</v>
          </cell>
          <cell r="C2426" t="str">
            <v>HEMATOLOGIE 5 PARTIES LYC-2 (500ML) - LYSE 2</v>
          </cell>
        </row>
        <row r="2427">
          <cell r="B2427" t="str">
            <v>FG05017</v>
          </cell>
          <cell r="C2427" t="str">
            <v>LOXEN 10MG 10ML 5AMP (FR)</v>
          </cell>
        </row>
        <row r="2428">
          <cell r="B2428" t="str">
            <v>FG05018</v>
          </cell>
          <cell r="C2428" t="str">
            <v>LIPANTHYL 200MG 30GELULES (FR)</v>
          </cell>
        </row>
        <row r="2429">
          <cell r="B2429" t="str">
            <v>FG05019</v>
          </cell>
          <cell r="C2429" t="str">
            <v>ULCAR SACHET BUV.1GR 30SACHETS</v>
          </cell>
        </row>
        <row r="2430">
          <cell r="B2430" t="str">
            <v>FG05020</v>
          </cell>
          <cell r="C2430" t="str">
            <v>AUGMENTIN 100MG SP NOUR 30ML (FR)</v>
          </cell>
        </row>
        <row r="2431">
          <cell r="B2431" t="str">
            <v>FG05021</v>
          </cell>
          <cell r="C2431" t="str">
            <v>HITZINE (CITRIZINE) 10MG B/10 CES</v>
          </cell>
        </row>
        <row r="2432">
          <cell r="B2432" t="str">
            <v>FG05022</v>
          </cell>
          <cell r="C2432" t="str">
            <v>ALPHAGAN COLLY 0.2% FL/5ML ^^^</v>
          </cell>
        </row>
        <row r="2433">
          <cell r="B2433" t="str">
            <v>FG05023</v>
          </cell>
          <cell r="C2433" t="str">
            <v>ARTANE 5MG 20CES (FR)</v>
          </cell>
        </row>
        <row r="2434">
          <cell r="B2434" t="str">
            <v>FG05024</v>
          </cell>
          <cell r="C2434" t="str">
            <v>RHINATHIOL ENFANTS SIROP 125ML</v>
          </cell>
        </row>
        <row r="2435">
          <cell r="B2435" t="str">
            <v>FG05025</v>
          </cell>
          <cell r="C2435" t="str">
            <v>AERIUS 5MG ***BT/15 CES ***( FR )</v>
          </cell>
        </row>
        <row r="2436">
          <cell r="B2436" t="str">
            <v>FG05026</v>
          </cell>
          <cell r="C2436" t="str">
            <v>BETASERC 100CES 8MG (FR)</v>
          </cell>
        </row>
        <row r="2437">
          <cell r="B2437" t="str">
            <v>FG05027</v>
          </cell>
          <cell r="C2437" t="str">
            <v>SPASFON LYOC SOLUBLE B/10CES (FR)</v>
          </cell>
        </row>
        <row r="2438">
          <cell r="B2438" t="str">
            <v>FG05028</v>
          </cell>
          <cell r="C2438" t="str">
            <v>ACLAV 100MG/12.5MG 30ML (FR)</v>
          </cell>
        </row>
        <row r="2439">
          <cell r="B2439" t="str">
            <v>FG05029</v>
          </cell>
          <cell r="C2439" t="str">
            <v>ANALYSEUR D'HÉMATOLOGIE À DIFFÉ EN 5 PARTIES</v>
          </cell>
        </row>
        <row r="2440">
          <cell r="B2440" t="str">
            <v>FG05030</v>
          </cell>
          <cell r="C2440" t="str">
            <v>HEMATOLOGIE 3 PARTIES DIL-E (20L) - DILUENT</v>
          </cell>
        </row>
        <row r="2441">
          <cell r="B2441" t="str">
            <v>FG05031</v>
          </cell>
          <cell r="C2441" t="str">
            <v>ANALYSEUR DE BIOCHIMIE SEMI (INCUBATEUR)</v>
          </cell>
        </row>
        <row r="2442">
          <cell r="B2442" t="str">
            <v>FG05032</v>
          </cell>
          <cell r="C2442" t="str">
            <v>HEMATOLOGIE CLE-P (50ML) - CLEANSER</v>
          </cell>
        </row>
        <row r="2443">
          <cell r="B2443" t="str">
            <v>FG05033</v>
          </cell>
          <cell r="C2443" t="str">
            <v>ALDACTONE 25MG PLS DE 5 CES (EO)</v>
          </cell>
        </row>
        <row r="2444">
          <cell r="B2444" t="str">
            <v>FG05034</v>
          </cell>
          <cell r="C2444" t="str">
            <v>ASCABIOL LOTION US EXT 125ML (FR)</v>
          </cell>
        </row>
        <row r="2445">
          <cell r="B2445" t="str">
            <v>FG05035</v>
          </cell>
          <cell r="C2445" t="str">
            <v>ASTAPH 500MG GEL B/12 (FR)</v>
          </cell>
        </row>
        <row r="2446">
          <cell r="B2446" t="str">
            <v>FG05036</v>
          </cell>
          <cell r="C2446" t="str">
            <v>COVERAM 10/5MG @@@ 30 GELULES(FR) @@@@</v>
          </cell>
        </row>
        <row r="2447">
          <cell r="B2447" t="str">
            <v>FG05037</v>
          </cell>
          <cell r="C2447" t="str">
            <v>CUTACNYL 10 GEL DERM 40GR (FR)</v>
          </cell>
        </row>
        <row r="2448">
          <cell r="B2448" t="str">
            <v>FG05038</v>
          </cell>
          <cell r="C2448" t="str">
            <v>DIFLUCAN 150 MG B/1GELULE</v>
          </cell>
        </row>
        <row r="2449">
          <cell r="B2449" t="str">
            <v>FG05039</v>
          </cell>
          <cell r="C2449" t="str">
            <v>CELESTENE CHRONO INJ AMP B/1 ***</v>
          </cell>
        </row>
        <row r="2450">
          <cell r="B2450" t="str">
            <v>FG05040</v>
          </cell>
          <cell r="C2450" t="str">
            <v>CONTOUR NEXT APPAREIL</v>
          </cell>
        </row>
        <row r="2451">
          <cell r="B2451" t="str">
            <v>FG05041</v>
          </cell>
          <cell r="C2451" t="str">
            <v>RINOMICINE 10MG B/10SACH (FR)</v>
          </cell>
        </row>
        <row r="2452">
          <cell r="B2452" t="str">
            <v>FG05042</v>
          </cell>
          <cell r="C2452" t="str">
            <v>ASPEGIC 1000MG 20 SACHET (FR)</v>
          </cell>
        </row>
        <row r="2453">
          <cell r="B2453" t="str">
            <v>FG05043</v>
          </cell>
          <cell r="C2453" t="str">
            <v>ACLAV 1G/125MG SACH B/12 (FR)</v>
          </cell>
        </row>
        <row r="2454">
          <cell r="B2454" t="str">
            <v>FG05045</v>
          </cell>
          <cell r="C2454" t="str">
            <v>AMAREL 4MG 30CES (FR)</v>
          </cell>
        </row>
        <row r="2455">
          <cell r="B2455" t="str">
            <v>FG05048</v>
          </cell>
          <cell r="C2455" t="str">
            <v>COVERAM 5/10MG 30 GELULES(FR)</v>
          </cell>
        </row>
        <row r="2456">
          <cell r="B2456" t="str">
            <v>FG05049</v>
          </cell>
          <cell r="C2456" t="str">
            <v>APRANAX 550MG 30CES (E.O.)</v>
          </cell>
        </row>
        <row r="2457">
          <cell r="B2457" t="str">
            <v>FG05050</v>
          </cell>
          <cell r="C2457" t="str">
            <v>ASAFLOW 80MG 56CES (FR)</v>
          </cell>
        </row>
        <row r="2458">
          <cell r="B2458" t="str">
            <v>FG05051</v>
          </cell>
          <cell r="C2458" t="str">
            <v>DEPO MEDROL 40MG INJ B/1AMP (FR)</v>
          </cell>
        </row>
        <row r="2459">
          <cell r="B2459" t="str">
            <v>FG05052</v>
          </cell>
          <cell r="C2459" t="str">
            <v>SENSODYNE REPAIR &amp; PROTECT 75ML</v>
          </cell>
        </row>
        <row r="2460">
          <cell r="B2460" t="str">
            <v>FG05053</v>
          </cell>
          <cell r="C2460" t="str">
            <v>QUINIMAX 500MG B/9CES (FR)</v>
          </cell>
        </row>
        <row r="2461">
          <cell r="B2461" t="str">
            <v>FG05066</v>
          </cell>
          <cell r="C2461" t="str">
            <v>BETADINE 250MG 8CES GYN€O</v>
          </cell>
        </row>
        <row r="2462">
          <cell r="B2462" t="str">
            <v>FG05095</v>
          </cell>
          <cell r="C2462" t="str">
            <v>EMBOU BLEU B/500</v>
          </cell>
        </row>
        <row r="2463">
          <cell r="B2463" t="str">
            <v>FG05160</v>
          </cell>
          <cell r="C2463" t="str">
            <v>ROACCUTANE 10MG 30GELS</v>
          </cell>
        </row>
        <row r="2464">
          <cell r="B2464" t="str">
            <v>FG05173</v>
          </cell>
          <cell r="C2464" t="str">
            <v>FORXIGA 10MG B/28 CES</v>
          </cell>
        </row>
        <row r="2465">
          <cell r="B2465" t="str">
            <v>FG05174</v>
          </cell>
          <cell r="C2465" t="str">
            <v>ARAUCID-OM 100ML SUSPENSION</v>
          </cell>
        </row>
        <row r="2466">
          <cell r="B2466" t="str">
            <v>FG05175</v>
          </cell>
          <cell r="C2466" t="str">
            <v>AROTRO 0.5MG 1X1 CES</v>
          </cell>
        </row>
        <row r="2467">
          <cell r="B2467" t="str">
            <v>FG05176</v>
          </cell>
          <cell r="C2467" t="str">
            <v>BACILEX 100MG 1X10 CAP</v>
          </cell>
        </row>
        <row r="2468">
          <cell r="B2468" t="str">
            <v>FG05177</v>
          </cell>
          <cell r="C2468" t="str">
            <v>BUTHOL 100ML SIROP</v>
          </cell>
        </row>
        <row r="2469">
          <cell r="B2469" t="str">
            <v>FG05178</v>
          </cell>
          <cell r="C2469" t="str">
            <v>DEXRON 30MG 1X10 CAP</v>
          </cell>
        </row>
        <row r="2470">
          <cell r="B2470" t="str">
            <v>FG05179</v>
          </cell>
          <cell r="C2470" t="str">
            <v>FEMROZ 2.5MG 1X10 CES</v>
          </cell>
        </row>
        <row r="2471">
          <cell r="B2471" t="str">
            <v>FG05180</v>
          </cell>
          <cell r="C2471" t="str">
            <v>FEZORA 2X30 CAP</v>
          </cell>
        </row>
        <row r="2472">
          <cell r="B2472" t="str">
            <v>FG05181</v>
          </cell>
          <cell r="C2472" t="str">
            <v>MELTON 7.5MG 1X10 CES</v>
          </cell>
        </row>
        <row r="2473">
          <cell r="B2473" t="str">
            <v>FG05182</v>
          </cell>
          <cell r="C2473" t="str">
            <v>MELTON 7.5MG SUPPO</v>
          </cell>
        </row>
        <row r="2474">
          <cell r="B2474" t="str">
            <v>FG05183</v>
          </cell>
          <cell r="C2474" t="str">
            <v>RIZATON 5MG 1X4 CES</v>
          </cell>
        </row>
        <row r="2475">
          <cell r="B2475" t="str">
            <v>FG05184</v>
          </cell>
          <cell r="C2475" t="str">
            <v>SETZOL 15GM CREAM</v>
          </cell>
        </row>
        <row r="2476">
          <cell r="B2476" t="str">
            <v>FG05185</v>
          </cell>
          <cell r="C2476" t="str">
            <v>TANO 100MG 1X10 CAP</v>
          </cell>
        </row>
        <row r="2477">
          <cell r="B2477" t="str">
            <v>FG05186</v>
          </cell>
          <cell r="C2477" t="str">
            <v>ARAUCLAV NOURRISON 281.25MG SACHET</v>
          </cell>
        </row>
        <row r="2478">
          <cell r="B2478" t="str">
            <v>FG05187</v>
          </cell>
          <cell r="C2478" t="str">
            <v>ARAUCLAV ENF 562.5MG SACHAT</v>
          </cell>
        </row>
        <row r="2479">
          <cell r="B2479" t="str">
            <v>FG05188</v>
          </cell>
          <cell r="C2479" t="str">
            <v>ARAUCLAV DUO 1125MG SACHET</v>
          </cell>
        </row>
        <row r="2480">
          <cell r="B2480" t="str">
            <v>FG05189</v>
          </cell>
          <cell r="C2480" t="str">
            <v>D-CLAIR 0.005% 15GM CREME</v>
          </cell>
        </row>
        <row r="2481">
          <cell r="B2481" t="str">
            <v>FG05190</v>
          </cell>
          <cell r="C2481" t="str">
            <v>D-CLAIR 0.025% 15GM CREME</v>
          </cell>
        </row>
        <row r="2482">
          <cell r="B2482" t="str">
            <v>FG05191</v>
          </cell>
          <cell r="C2482" t="str">
            <v>D-CLAIR PLUS 15GM CREME</v>
          </cell>
        </row>
        <row r="2483">
          <cell r="B2483" t="str">
            <v>FG05192</v>
          </cell>
          <cell r="C2483" t="str">
            <v>NATISPRAY 0.30MG 200DOSES (EO)</v>
          </cell>
        </row>
        <row r="2484">
          <cell r="B2484" t="str">
            <v>FG05193</v>
          </cell>
          <cell r="C2484" t="str">
            <v>RIFOCINE 500MG 2AMP IV (FR)</v>
          </cell>
        </row>
        <row r="2485">
          <cell r="B2485" t="str">
            <v>FG05197</v>
          </cell>
          <cell r="C2485" t="str">
            <v>PRED FORTE 1% COLLYRE 5ML (FR)</v>
          </cell>
        </row>
        <row r="2486">
          <cell r="B2486" t="str">
            <v>FG05403</v>
          </cell>
          <cell r="C2486" t="str">
            <v>NEGATOSCOPE ULTRA SLIM BRIGHT LED TWO SCREENML</v>
          </cell>
        </row>
        <row r="2487">
          <cell r="B2487" t="str">
            <v>FG05404</v>
          </cell>
          <cell r="C2487" t="str">
            <v>PARODONTAX GEL FLUOR 75ML (FR)</v>
          </cell>
        </row>
        <row r="2488">
          <cell r="B2488" t="str">
            <v>FG05405</v>
          </cell>
          <cell r="C2488" t="str">
            <v>PHENOBARBITAL *** 200MG *** B/10AMP (STEROP)</v>
          </cell>
        </row>
        <row r="2489">
          <cell r="B2489" t="str">
            <v>FG05406</v>
          </cell>
          <cell r="C2489" t="str">
            <v>PILOCARPINE 4% 15ML (GR)</v>
          </cell>
        </row>
        <row r="2490">
          <cell r="B2490" t="str">
            <v>FG05407</v>
          </cell>
          <cell r="C2490" t="str">
            <v>SENSODYNE MULTICARE 75ML</v>
          </cell>
        </row>
        <row r="2491">
          <cell r="B2491" t="str">
            <v>FG05408</v>
          </cell>
          <cell r="C2491" t="str">
            <v>SENSODYNE SOIN BLANC DENT.##</v>
          </cell>
        </row>
        <row r="2492">
          <cell r="B2492" t="str">
            <v>FG05409</v>
          </cell>
          <cell r="C2492" t="str">
            <v>SOPHTHL 0.1% COLLYRE 10ML (FR)</v>
          </cell>
        </row>
        <row r="2493">
          <cell r="B2493" t="str">
            <v>FG05410</v>
          </cell>
          <cell r="C2493" t="str">
            <v>TAMSULOSINE SDZ LP0,4MG 30 GELULS(FR)</v>
          </cell>
        </row>
        <row r="2494">
          <cell r="B2494" t="str">
            <v>FG05411</v>
          </cell>
          <cell r="C2494" t="str">
            <v>TENSIOMETRE A MERCURE B/1PCS G.F.</v>
          </cell>
        </row>
        <row r="2495">
          <cell r="B2495" t="str">
            <v>FG05412</v>
          </cell>
          <cell r="C2495" t="str">
            <v>VENTOLINE 2.5MG/2.5ML B/60 UNIDOSES</v>
          </cell>
        </row>
        <row r="2496">
          <cell r="B2496" t="str">
            <v>FG05413</v>
          </cell>
          <cell r="C2496" t="str">
            <v>VENTOLINE 5MG/2.5ML B/60 UNIDOSES</v>
          </cell>
        </row>
        <row r="2497">
          <cell r="B2497" t="str">
            <v>FG05416</v>
          </cell>
          <cell r="C2497" t="str">
            <v>ZWITSAL POUDRE DE TALC FLACON 100GR</v>
          </cell>
        </row>
        <row r="2498">
          <cell r="B2498" t="str">
            <v>FG05417</v>
          </cell>
          <cell r="C2498" t="str">
            <v>ZWITSAL 90G SAVON</v>
          </cell>
        </row>
        <row r="2499">
          <cell r="B2499" t="str">
            <v>FG05422</v>
          </cell>
          <cell r="C2499" t="str">
            <v>ZOVIRAX CREME DERM T/2G (FR)</v>
          </cell>
        </row>
        <row r="2500">
          <cell r="B2500" t="str">
            <v>FG05563</v>
          </cell>
          <cell r="C2500" t="str">
            <v>ZOVIRAX 5% CREAME DERMIQUE 2GR (FR)</v>
          </cell>
        </row>
        <row r="2501">
          <cell r="B2501" t="str">
            <v>FG05567</v>
          </cell>
          <cell r="C2501" t="str">
            <v>ZOLMITRIPTAN BIOGRAN 2.5MG B/6 CES</v>
          </cell>
        </row>
        <row r="2502">
          <cell r="B2502" t="str">
            <v>FG05574</v>
          </cell>
          <cell r="C2502" t="str">
            <v>ZOLEDRO DENK 4MG/5ML B/1AMP</v>
          </cell>
        </row>
        <row r="2503">
          <cell r="B2503" t="str">
            <v>FG05578</v>
          </cell>
          <cell r="C2503" t="str">
            <v>ZOCOR 40MG 28CES (FR)</v>
          </cell>
        </row>
        <row r="2504">
          <cell r="B2504" t="str">
            <v>FG05645</v>
          </cell>
          <cell r="C2504" t="str">
            <v>ZESTORETIC 28CES (FR)</v>
          </cell>
        </row>
        <row r="2505">
          <cell r="B2505" t="str">
            <v>FG05663</v>
          </cell>
          <cell r="C2505" t="str">
            <v>YASMINE 1X21CES(FR)</v>
          </cell>
        </row>
        <row r="2506">
          <cell r="B2506" t="str">
            <v>FG05664</v>
          </cell>
          <cell r="C2506" t="str">
            <v>XYLOCAINE 1% 20CC INJ B/1AMP (FR)</v>
          </cell>
        </row>
        <row r="2507">
          <cell r="B2507" t="str">
            <v>FG05665</v>
          </cell>
          <cell r="C2507" t="str">
            <v>XARELTO 10MG B/10 TAB</v>
          </cell>
        </row>
        <row r="2508">
          <cell r="B2508" t="str">
            <v>FG05668</v>
          </cell>
          <cell r="C2508" t="str">
            <v>XOLA (DORZOLAMIDE) COLLYRE 5ML</v>
          </cell>
        </row>
        <row r="2509">
          <cell r="B2509" t="str">
            <v>FG05673</v>
          </cell>
          <cell r="C2509" t="str">
            <v>XATRAL 2.5MG 30 CES</v>
          </cell>
        </row>
        <row r="2510">
          <cell r="B2510" t="str">
            <v>FG06253</v>
          </cell>
          <cell r="C2510" t="str">
            <v>KLOBAM 10MG (CLOBAZAM) B/30CES</v>
          </cell>
        </row>
        <row r="2511">
          <cell r="B2511" t="str">
            <v>FG06673</v>
          </cell>
          <cell r="C2511" t="str">
            <v>ZITA (AZITHROMYCINE 500MG) B/5 CES</v>
          </cell>
        </row>
        <row r="2512">
          <cell r="B2512" t="str">
            <v>FG06679</v>
          </cell>
          <cell r="C2512" t="str">
            <v>BISOPROLOL 5MG B/30CES</v>
          </cell>
        </row>
        <row r="2513">
          <cell r="B2513" t="str">
            <v>FG06680</v>
          </cell>
          <cell r="C2513" t="str">
            <v>ELECTRODOC ORANGE S.R.O 200ML</v>
          </cell>
        </row>
        <row r="2514">
          <cell r="B2514" t="str">
            <v>FG06681</v>
          </cell>
          <cell r="C2514" t="str">
            <v>SPASCOL (DROTAVERINE HYDR. &amp; PARA.) B/20 CES</v>
          </cell>
        </row>
        <row r="2515">
          <cell r="B2515" t="str">
            <v>FG06682</v>
          </cell>
          <cell r="C2515" t="str">
            <v>T V 17"</v>
          </cell>
        </row>
        <row r="2516">
          <cell r="B2516" t="str">
            <v>FG06736</v>
          </cell>
          <cell r="C2516" t="str">
            <v>ARAUCIP 10ML COLLYRE</v>
          </cell>
        </row>
        <row r="2517">
          <cell r="B2517" t="str">
            <v>FG06756</v>
          </cell>
          <cell r="C2517" t="str">
            <v>TRIKOF EXPECTORANT-ANTITUSSIF 200ML SIROP</v>
          </cell>
        </row>
        <row r="2518">
          <cell r="B2518" t="str">
            <v>FG06757</v>
          </cell>
          <cell r="C2518" t="str">
            <v>KIT D'ASPIRATION MANUELLE INTRA UTÉRINE (AMIU)</v>
          </cell>
        </row>
        <row r="2519">
          <cell r="B2519" t="str">
            <v>FG06760</v>
          </cell>
          <cell r="C2519" t="str">
            <v>INVERTER</v>
          </cell>
        </row>
        <row r="2520">
          <cell r="B2520" t="str">
            <v>FG06764</v>
          </cell>
          <cell r="C2520" t="str">
            <v>A-DEM SOAP 125MG</v>
          </cell>
        </row>
        <row r="2521">
          <cell r="B2521" t="str">
            <v>FG06768</v>
          </cell>
          <cell r="C2521" t="str">
            <v>BACTERI - URIN SYSTEM CHROM 20 TESTS</v>
          </cell>
        </row>
        <row r="2522">
          <cell r="B2522" t="str">
            <v>FG06769</v>
          </cell>
          <cell r="C2522" t="str">
            <v>BACTERI - PATHOGENIC SYSTEM AST 20 TESTS</v>
          </cell>
        </row>
        <row r="2523">
          <cell r="B2523" t="str">
            <v>FG06770</v>
          </cell>
          <cell r="C2523" t="str">
            <v>BACTERI - AF GENITAL SYSTEM 20 TESTS</v>
          </cell>
        </row>
        <row r="2524">
          <cell r="B2524" t="str">
            <v>FG06771</v>
          </cell>
          <cell r="C2524" t="str">
            <v>BACTERI - VASELINE OIL 4*50 ML</v>
          </cell>
        </row>
        <row r="2525">
          <cell r="B2525" t="str">
            <v>FG06772</v>
          </cell>
          <cell r="C2525" t="str">
            <v>BACTERI - VP NAOH REAGENT 100 TESTS</v>
          </cell>
        </row>
        <row r="2526">
          <cell r="B2526" t="str">
            <v>FG06773</v>
          </cell>
          <cell r="C2526" t="str">
            <v>BACTERI - KOVAC'S REAGENT 4*25 ML</v>
          </cell>
        </row>
        <row r="2527">
          <cell r="B2527" t="str">
            <v>FG06774</v>
          </cell>
          <cell r="C2527" t="str">
            <v>KANDATE 5MG CES</v>
          </cell>
        </row>
        <row r="2528">
          <cell r="B2528" t="str">
            <v>FG06775</v>
          </cell>
          <cell r="C2528" t="str">
            <v>CROSSCAL (CALCIUM AND VIT D3) 250MG 250UI 200ML</v>
          </cell>
        </row>
        <row r="2529">
          <cell r="B2529" t="str">
            <v>FG06795</v>
          </cell>
          <cell r="C2529" t="str">
            <v>LAMOTRIGINE RELONCHEM 100MG B/56 TAB</v>
          </cell>
        </row>
        <row r="2530">
          <cell r="B2530" t="str">
            <v>FG06796</v>
          </cell>
          <cell r="C2530" t="str">
            <v>KOZIC 75GM SAVON</v>
          </cell>
        </row>
        <row r="2531">
          <cell r="B2531" t="str">
            <v>FG06797</v>
          </cell>
          <cell r="C2531" t="str">
            <v>MELOMINE 30GM CREAM</v>
          </cell>
        </row>
        <row r="2532">
          <cell r="B2532" t="str">
            <v>FG06798</v>
          </cell>
          <cell r="C2532" t="str">
            <v>TALOHEAL 60GM CREAM</v>
          </cell>
        </row>
        <row r="2533">
          <cell r="B2533" t="str">
            <v>FG06799</v>
          </cell>
          <cell r="C2533" t="str">
            <v>EREGRA FORTE (SILDENAFIL &amp; DAPOXETINE) B/4 CES</v>
          </cell>
        </row>
        <row r="2534">
          <cell r="B2534" t="str">
            <v>FG06813</v>
          </cell>
          <cell r="C2534" t="str">
            <v>STOPTOUX PASTILLES B/50 PL</v>
          </cell>
        </row>
        <row r="2535">
          <cell r="B2535" t="str">
            <v>FG06814</v>
          </cell>
          <cell r="C2535" t="str">
            <v>OFCINE (OFLOXACINE 200MG/100ML) 100ML INF</v>
          </cell>
        </row>
        <row r="2536">
          <cell r="B2536" t="str">
            <v>FG06837</v>
          </cell>
          <cell r="C2536" t="str">
            <v>KIFARU FROCE (SILDENAFIL + DAPOX.) 100/60 B/4CES</v>
          </cell>
        </row>
        <row r="2537">
          <cell r="B2537" t="str">
            <v>FG06838</v>
          </cell>
          <cell r="C2537" t="str">
            <v>KIFARU FROCE (SILDENAFIL + DAPOXE.) 50/30 B/4CES</v>
          </cell>
        </row>
        <row r="2538">
          <cell r="B2538" t="str">
            <v>FG06839</v>
          </cell>
          <cell r="C2538" t="str">
            <v>CAMERA</v>
          </cell>
        </row>
        <row r="2539">
          <cell r="B2539" t="str">
            <v>FG06890</v>
          </cell>
          <cell r="C2539" t="str">
            <v>APEXIME 500MG B/3CES (FR)</v>
          </cell>
        </row>
        <row r="2540">
          <cell r="B2540" t="str">
            <v>FG06891</v>
          </cell>
          <cell r="C2540" t="str">
            <v>APEXIME 15ML SUSP (FR)</v>
          </cell>
        </row>
        <row r="2541">
          <cell r="B2541" t="str">
            <v>FG06895</v>
          </cell>
          <cell r="C2541" t="str">
            <v>PARACATO (PARACETAMOL 100ML INFUSION)</v>
          </cell>
        </row>
        <row r="2542">
          <cell r="B2542" t="str">
            <v>FG06896</v>
          </cell>
          <cell r="C2542" t="str">
            <v>SCOTCH RUBAN ADHÉSIF</v>
          </cell>
        </row>
        <row r="2543">
          <cell r="B2543" t="str">
            <v>FG06897</v>
          </cell>
          <cell r="C2543" t="str">
            <v>ENVELOPPE A4 - P/50 PC</v>
          </cell>
        </row>
        <row r="2544">
          <cell r="B2544" t="str">
            <v>FG06898</v>
          </cell>
          <cell r="C2544" t="str">
            <v>MARQUEUR INDELEBILE</v>
          </cell>
        </row>
        <row r="2545">
          <cell r="B2545" t="str">
            <v>FG06941</v>
          </cell>
          <cell r="C2545" t="str">
            <v>PRIMALAN SIROP 125ML (FR)</v>
          </cell>
        </row>
        <row r="2546">
          <cell r="B2546" t="str">
            <v>FG06942</v>
          </cell>
          <cell r="C2546" t="str">
            <v>UNADOL COLD &amp; FLU DAY B/24 CES</v>
          </cell>
        </row>
        <row r="2547">
          <cell r="B2547" t="str">
            <v>FG06943</v>
          </cell>
          <cell r="C2547" t="str">
            <v>UNADOL EXTRA B/24 CES</v>
          </cell>
        </row>
        <row r="2548">
          <cell r="B2548" t="str">
            <v>FG06944</v>
          </cell>
          <cell r="C2548" t="str">
            <v>UNADOL ALL IN ONE B/20 GELULES</v>
          </cell>
        </row>
        <row r="2549">
          <cell r="B2549" t="str">
            <v>FG06945</v>
          </cell>
          <cell r="C2549" t="str">
            <v>UNADOL JOINT B/20 CES</v>
          </cell>
        </row>
        <row r="2550">
          <cell r="B2550" t="str">
            <v>FG06955</v>
          </cell>
          <cell r="C2550" t="str">
            <v>CHLOROMBYL GEL 20G</v>
          </cell>
        </row>
        <row r="2551">
          <cell r="B2551" t="str">
            <v>FG06966</v>
          </cell>
          <cell r="C2551" t="str">
            <v>PERINAM DENK 4/10 MG B/30 CES</v>
          </cell>
        </row>
        <row r="2552">
          <cell r="B2552" t="str">
            <v>FG06973</v>
          </cell>
          <cell r="C2552" t="str">
            <v>ENDROIDE (ANTI-HEMORROIDAIRE) CREME 20G</v>
          </cell>
        </row>
        <row r="2553">
          <cell r="B2553" t="str">
            <v>FG06974</v>
          </cell>
          <cell r="C2553" t="str">
            <v>PIVIDOC-ER B/10 CES</v>
          </cell>
        </row>
        <row r="2554">
          <cell r="B2554" t="str">
            <v>FG06980</v>
          </cell>
          <cell r="C2554" t="str">
            <v>ALCAEX (CITRATE D'HYDROGENE DISODIQUE) 200ML SIROP</v>
          </cell>
        </row>
        <row r="2555">
          <cell r="B2555" t="str">
            <v>FG06983</v>
          </cell>
          <cell r="C2555" t="str">
            <v>FOSCIN (FOSFOMYCNIE TROMETAMOL) B/1X8G SACHETS</v>
          </cell>
        </row>
        <row r="2556">
          <cell r="B2556" t="str">
            <v>FG06996</v>
          </cell>
          <cell r="C2556" t="str">
            <v>LECITZIN DT 5MG B/10 CES</v>
          </cell>
        </row>
        <row r="2557">
          <cell r="B2557" t="str">
            <v>FG06999</v>
          </cell>
          <cell r="C2557" t="str">
            <v>LECITZIN - M B/10 CES</v>
          </cell>
        </row>
        <row r="2558">
          <cell r="B2558" t="str">
            <v>FG07000</v>
          </cell>
          <cell r="C2558" t="str">
            <v>ROX-C (CEFUROXIME) 750MG I.M/I.V INJ</v>
          </cell>
        </row>
        <row r="2559">
          <cell r="B2559" t="str">
            <v>FG07001</v>
          </cell>
          <cell r="C2559" t="str">
            <v>TAMSULEX-D B/30 CES</v>
          </cell>
        </row>
        <row r="2560">
          <cell r="B2560" t="str">
            <v>FG07002</v>
          </cell>
          <cell r="C2560" t="str">
            <v>TAMSULEX (TAMSULOSINE 0.4MG) B/30 CES</v>
          </cell>
        </row>
        <row r="2561">
          <cell r="B2561" t="str">
            <v>FG07005</v>
          </cell>
          <cell r="C2561" t="str">
            <v>MEBENDA (MEBENDAZOEL) 500MG B/1CES</v>
          </cell>
        </row>
        <row r="2562">
          <cell r="B2562" t="str">
            <v>FG07006</v>
          </cell>
          <cell r="C2562" t="str">
            <v>MISSPRO (MISOPTOL 200MCG) B/4 CES</v>
          </cell>
        </row>
        <row r="2563">
          <cell r="B2563" t="str">
            <v>FG07009</v>
          </cell>
          <cell r="C2563" t="str">
            <v>SCOTCH 1 CT</v>
          </cell>
        </row>
        <row r="2564">
          <cell r="B2564" t="str">
            <v>FG07010</v>
          </cell>
          <cell r="C2564" t="str">
            <v>ALPRAZOLAM BIOGARAN 0.50MG B/30 CES (FR)</v>
          </cell>
        </row>
        <row r="2565">
          <cell r="B2565" t="str">
            <v>FG07011</v>
          </cell>
          <cell r="C2565" t="str">
            <v>CEFINIR 300GM B/10CES</v>
          </cell>
        </row>
        <row r="2566">
          <cell r="B2566" t="str">
            <v>FG07012</v>
          </cell>
          <cell r="C2566" t="str">
            <v>FEMOCID 20MG INJ</v>
          </cell>
        </row>
        <row r="2567">
          <cell r="B2567" t="str">
            <v>FG07014</v>
          </cell>
          <cell r="C2567" t="str">
            <v>ZINNAT 500MG 20CES (FR)</v>
          </cell>
        </row>
        <row r="2568">
          <cell r="B2568" t="str">
            <v>FG07052</v>
          </cell>
          <cell r="C2568" t="str">
            <v>DAKIKA TATU B/100 CES</v>
          </cell>
        </row>
        <row r="2569">
          <cell r="B2569" t="str">
            <v>FG07138</v>
          </cell>
          <cell r="C2569" t="str">
            <v>A4 SIZE PAPER 1CT</v>
          </cell>
        </row>
        <row r="2570">
          <cell r="B2570" t="str">
            <v>FG07139</v>
          </cell>
          <cell r="C2570" t="str">
            <v>ANSE DE PLATINE PC</v>
          </cell>
        </row>
        <row r="2571">
          <cell r="B2571" t="str">
            <v>FG07142</v>
          </cell>
          <cell r="C2571" t="str">
            <v>BACTOL SAVON 200GM</v>
          </cell>
        </row>
        <row r="2572">
          <cell r="B2572" t="str">
            <v>FG07143</v>
          </cell>
          <cell r="C2572" t="str">
            <v>BACTOL SAVON 80GM</v>
          </cell>
        </row>
        <row r="2573">
          <cell r="B2573" t="str">
            <v>FG07149</v>
          </cell>
          <cell r="C2573" t="str">
            <v>SUMAMOUSSE DETERGENT MULTI-USAGES 5L</v>
          </cell>
        </row>
        <row r="2574">
          <cell r="B2574" t="str">
            <v>FG07165</v>
          </cell>
          <cell r="C2574" t="str">
            <v>VIM</v>
          </cell>
        </row>
        <row r="2575">
          <cell r="B2575" t="str">
            <v>FG07188</v>
          </cell>
          <cell r="C2575" t="str">
            <v>TRAMADOL B/10AMP</v>
          </cell>
        </row>
        <row r="2576">
          <cell r="B2576" t="str">
            <v>FG07189</v>
          </cell>
          <cell r="C2576" t="str">
            <v>PERINAM DENK 8/10MG B/30 CES</v>
          </cell>
        </row>
        <row r="2577">
          <cell r="B2577" t="str">
            <v>FG07190</v>
          </cell>
          <cell r="C2577" t="str">
            <v>VILDA DENK 50 B/28 CES</v>
          </cell>
        </row>
        <row r="2578">
          <cell r="B2578" t="str">
            <v>FG07200</v>
          </cell>
          <cell r="C2578" t="str">
            <v>TRIBEM (VITAMINE B1+B6+B12 ) B/30 CES</v>
          </cell>
        </row>
        <row r="2579">
          <cell r="B2579" t="str">
            <v>FG07204</v>
          </cell>
          <cell r="C2579" t="str">
            <v>ARAUCOF-N SIROP 100ML SIROP</v>
          </cell>
        </row>
        <row r="2580">
          <cell r="B2580" t="str">
            <v>FG07205</v>
          </cell>
          <cell r="C2580" t="str">
            <v>ARAUCOF-E SIROP 100ML SIROP</v>
          </cell>
        </row>
        <row r="2581">
          <cell r="B2581" t="str">
            <v>FG07206</v>
          </cell>
          <cell r="C2581" t="str">
            <v>HAEMBANK 200ML SIROP</v>
          </cell>
        </row>
        <row r="2582">
          <cell r="B2582" t="str">
            <v>FG07252</v>
          </cell>
          <cell r="C2582" t="str">
            <v>OMIX LP 0.4MG 30 GELULES (FR)</v>
          </cell>
        </row>
        <row r="2583">
          <cell r="B2583" t="str">
            <v>FG07264</v>
          </cell>
          <cell r="C2583" t="str">
            <v>NOTROFIT (PIRACETAM) 1G/5ML INJ B/12 AMP***</v>
          </cell>
        </row>
        <row r="2584">
          <cell r="B2584" t="str">
            <v>FG07366</v>
          </cell>
          <cell r="C2584" t="str">
            <v>PROMILASE SP 150ML</v>
          </cell>
        </row>
        <row r="2585">
          <cell r="B2585" t="str">
            <v>FG07380</v>
          </cell>
          <cell r="C2585" t="str">
            <v>FRANCE LAIT 0-6MOIS</v>
          </cell>
        </row>
        <row r="2586">
          <cell r="B2586" t="str">
            <v>FG07381</v>
          </cell>
          <cell r="C2586" t="str">
            <v>FRANCE LAIT PRE 400G</v>
          </cell>
        </row>
        <row r="2587">
          <cell r="B2587" t="str">
            <v>FG07385</v>
          </cell>
          <cell r="C2587" t="str">
            <v>CALCULATOR</v>
          </cell>
        </row>
        <row r="2588">
          <cell r="B2588" t="str">
            <v>FG07388</v>
          </cell>
          <cell r="C2588" t="str">
            <v>NORADRENALINE B/1 AMP</v>
          </cell>
        </row>
        <row r="2589">
          <cell r="B2589" t="str">
            <v>FG07389</v>
          </cell>
          <cell r="C2589" t="str">
            <v>TOISE MURAL</v>
          </cell>
        </row>
        <row r="2590">
          <cell r="B2590" t="str">
            <v>FG07390</v>
          </cell>
          <cell r="C2590" t="str">
            <v>MOTRIVIT (VITAMIN B1+B6+B12) 100ML SP</v>
          </cell>
        </row>
        <row r="2591">
          <cell r="B2591" t="str">
            <v>FG07396</v>
          </cell>
          <cell r="C2591" t="str">
            <v>FLOSEIN 0.05% 3 ML GOUTTE</v>
          </cell>
        </row>
        <row r="2592">
          <cell r="B2592" t="str">
            <v>FG07408</v>
          </cell>
          <cell r="C2592" t="str">
            <v>MENGA (HERBACEE 5% DE L'EXTRAIT) 200MG SP</v>
          </cell>
        </row>
        <row r="2593">
          <cell r="B2593" t="str">
            <v>FG07434</v>
          </cell>
          <cell r="C2593" t="str">
            <v>ECLAMPINE 10ML-B/5AMP</v>
          </cell>
        </row>
        <row r="2594">
          <cell r="B2594" t="str">
            <v>FG07435</v>
          </cell>
          <cell r="C2594" t="str">
            <v>ALCOOL DENATURE 100ML</v>
          </cell>
        </row>
        <row r="2595">
          <cell r="B2595" t="str">
            <v>FG07436</v>
          </cell>
          <cell r="C2595" t="str">
            <v>ALCOOL DINATURE BIDON DE 5 LITRE</v>
          </cell>
        </row>
        <row r="2596">
          <cell r="B2596" t="str">
            <v>FG07437</v>
          </cell>
          <cell r="C2596" t="str">
            <v>ALCOOL IODE BIDON DE 5 LITRE</v>
          </cell>
        </row>
        <row r="2597">
          <cell r="B2597" t="str">
            <v>FG07438</v>
          </cell>
          <cell r="C2597" t="str">
            <v>ALCOOL SPRAY 100ML</v>
          </cell>
        </row>
        <row r="2598">
          <cell r="B2598" t="str">
            <v>FG07439</v>
          </cell>
          <cell r="C2598" t="str">
            <v>ALSHEA 250GM CREAM</v>
          </cell>
        </row>
        <row r="2599">
          <cell r="B2599" t="str">
            <v>FG07440</v>
          </cell>
          <cell r="C2599" t="str">
            <v>ALUGEL PLUS (ANTIACID) 200ML SIROP</v>
          </cell>
        </row>
        <row r="2600">
          <cell r="B2600" t="str">
            <v>FG07441</v>
          </cell>
          <cell r="C2600" t="str">
            <v>ALVEONEM 1GM INJ</v>
          </cell>
        </row>
        <row r="2601">
          <cell r="B2601" t="str">
            <v>FG07442</v>
          </cell>
          <cell r="C2601" t="str">
            <v>ALVITYL 30CES EFF (FR)</v>
          </cell>
        </row>
        <row r="2602">
          <cell r="B2602" t="str">
            <v>FG07443</v>
          </cell>
          <cell r="C2602" t="str">
            <v>AMIDOL FEMME TAB 500/20MG 1X10T</v>
          </cell>
        </row>
        <row r="2603">
          <cell r="B2603" t="str">
            <v>FG07444</v>
          </cell>
          <cell r="C2603" t="str">
            <v>AMIDOL GRIP SACHET 1X8</v>
          </cell>
        </row>
        <row r="2604">
          <cell r="B2604" t="str">
            <v>FG07445</v>
          </cell>
          <cell r="C2604" t="str">
            <v>AMIDOL RHUME &amp; GRIPE B/25CES</v>
          </cell>
        </row>
        <row r="2605">
          <cell r="B2605" t="str">
            <v>FG07446</v>
          </cell>
          <cell r="C2605" t="str">
            <v>AMLOTEN -- 10MG -- B/30 CAP 1BT</v>
          </cell>
        </row>
        <row r="2606">
          <cell r="B2606" t="str">
            <v>FG07447</v>
          </cell>
          <cell r="C2606" t="str">
            <v>AMLOTEN -- 5MG-- B/30 CAP 1BT</v>
          </cell>
        </row>
        <row r="2607">
          <cell r="B2607" t="str">
            <v>FG07448</v>
          </cell>
          <cell r="C2607" t="str">
            <v>AMOXICILLINE BIOGARAN 125MG PDR SUSP</v>
          </cell>
        </row>
        <row r="2608">
          <cell r="B2608" t="str">
            <v>FG07449</v>
          </cell>
          <cell r="C2608" t="str">
            <v>AMOXICILLINE BIOGARAN 1GR 14CES DISP</v>
          </cell>
        </row>
        <row r="2609">
          <cell r="B2609" t="str">
            <v>FG07450</v>
          </cell>
          <cell r="C2609" t="str">
            <v>AMOXICILLINE BIOGARAN 250MG PDR SUSP</v>
          </cell>
        </row>
        <row r="2610">
          <cell r="B2610" t="str">
            <v>FG07451</v>
          </cell>
          <cell r="C2610" t="str">
            <v>AMVA DENK 5MG/160MG CES B/28 ( FR )</v>
          </cell>
        </row>
        <row r="2611">
          <cell r="B2611" t="str">
            <v>FG07452</v>
          </cell>
          <cell r="C2611" t="str">
            <v>ANESTHESIE DENATAIRE B/50 AMP</v>
          </cell>
        </row>
        <row r="2612">
          <cell r="B2612" t="str">
            <v>FG07453</v>
          </cell>
          <cell r="C2612" t="str">
            <v>ANT 30GM CREME</v>
          </cell>
        </row>
        <row r="2613">
          <cell r="B2613" t="str">
            <v>FG07454</v>
          </cell>
          <cell r="C2613" t="str">
            <v>ANTI - RABBIES FREEZE DRIED VACCINES</v>
          </cell>
        </row>
        <row r="2614">
          <cell r="B2614" t="str">
            <v>FG07455</v>
          </cell>
          <cell r="C2614" t="str">
            <v>ANTI-B KIT 1BT</v>
          </cell>
        </row>
        <row r="2615">
          <cell r="B2615" t="str">
            <v>FG07456</v>
          </cell>
          <cell r="C2615" t="str">
            <v>ANUSOL 18 SUPPOS (IMPORTE)</v>
          </cell>
        </row>
        <row r="2616">
          <cell r="B2616" t="str">
            <v>FG07457</v>
          </cell>
          <cell r="C2616" t="str">
            <v>ARAUCOLD 100L SP</v>
          </cell>
        </row>
        <row r="2617">
          <cell r="B2617" t="str">
            <v>FG07458</v>
          </cell>
          <cell r="C2617" t="str">
            <v>ARO BB POMMADE 40GM</v>
          </cell>
        </row>
        <row r="2618">
          <cell r="B2618" t="str">
            <v>FG07459</v>
          </cell>
          <cell r="C2618" t="str">
            <v>ARODERME SAVON BEBE 75GM</v>
          </cell>
        </row>
        <row r="2619">
          <cell r="B2619" t="str">
            <v>FG07460</v>
          </cell>
          <cell r="C2619" t="str">
            <v>AROXIM OX B/10 CES 1BT</v>
          </cell>
        </row>
        <row r="2620">
          <cell r="B2620" t="str">
            <v>FG07461</v>
          </cell>
          <cell r="C2620" t="str">
            <v>ARTANE 5MG 50CES(FR)</v>
          </cell>
        </row>
        <row r="2621">
          <cell r="B2621" t="str">
            <v>FG07462</v>
          </cell>
          <cell r="C2621" t="str">
            <v>ARTEMED 150MG INJ</v>
          </cell>
        </row>
        <row r="2622">
          <cell r="B2622" t="str">
            <v>FG07463</v>
          </cell>
          <cell r="C2622" t="str">
            <v>ARTE--PED ADULTE B/6 CES 1BT</v>
          </cell>
        </row>
        <row r="2623">
          <cell r="B2623" t="str">
            <v>FG07464</v>
          </cell>
          <cell r="C2623" t="str">
            <v>ARTESET AD BT/4CES 1BT</v>
          </cell>
        </row>
        <row r="2624">
          <cell r="B2624" t="str">
            <v>FG07465</v>
          </cell>
          <cell r="C2624" t="str">
            <v>ARTE-TAB CES B/6</v>
          </cell>
        </row>
        <row r="2625">
          <cell r="B2625" t="str">
            <v>FG07466</v>
          </cell>
          <cell r="C2625" t="str">
            <v>ARTHRO ACTIVE DENK .. BTE/14SACH</v>
          </cell>
        </row>
        <row r="2626">
          <cell r="B2626" t="str">
            <v>FG07467</v>
          </cell>
          <cell r="C2626" t="str">
            <v>AUGMACILILLIN 200MG PDRE FL/60ML (FR)</v>
          </cell>
        </row>
        <row r="2627">
          <cell r="B2627" t="str">
            <v>FG07468</v>
          </cell>
          <cell r="C2627" t="str">
            <v>AUGMENTIN 875MG 10CES</v>
          </cell>
        </row>
        <row r="2628">
          <cell r="B2628" t="str">
            <v>FG07469</v>
          </cell>
          <cell r="C2628" t="str">
            <v>AUVAX 10MG B/20CES</v>
          </cell>
        </row>
        <row r="2629">
          <cell r="B2629" t="str">
            <v>FG07470</v>
          </cell>
          <cell r="C2629" t="str">
            <v>AZIRAM 100 MG SUSP 30</v>
          </cell>
        </row>
        <row r="2630">
          <cell r="B2630" t="str">
            <v>FG07471</v>
          </cell>
          <cell r="C2630" t="str">
            <v>AZISIF ( AZITHROMYCINE ) 30ML SP</v>
          </cell>
        </row>
        <row r="2631">
          <cell r="B2631" t="str">
            <v>FG07472</v>
          </cell>
          <cell r="C2631" t="str">
            <v>AZISIF 500MG B/3 CES 1BT</v>
          </cell>
        </row>
        <row r="2632">
          <cell r="B2632" t="str">
            <v>FG07473</v>
          </cell>
          <cell r="C2632" t="str">
            <v>AZITHRO-DENK 250MG B/6CES</v>
          </cell>
        </row>
        <row r="2633">
          <cell r="B2633" t="str">
            <v>FG07474</v>
          </cell>
          <cell r="C2633" t="str">
            <v>AZITHRO-DENK 250MG B/6CES *****</v>
          </cell>
        </row>
        <row r="2634">
          <cell r="B2634" t="str">
            <v>FG07475</v>
          </cell>
          <cell r="C2634" t="str">
            <v>AZITHRO-DENK 500 B/ 3 CES</v>
          </cell>
        </row>
        <row r="2635">
          <cell r="B2635" t="str">
            <v>FG07476</v>
          </cell>
          <cell r="C2635" t="str">
            <v>BACILUS PREBIOTIC &amp; PROBIOTIC SCH B/10</v>
          </cell>
        </row>
        <row r="2636">
          <cell r="B2636" t="str">
            <v>FG07477</v>
          </cell>
          <cell r="C2636" t="str">
            <v>BACTRIM 480MG 5ML ING AMP B/1 (FR)</v>
          </cell>
        </row>
        <row r="2637">
          <cell r="B2637" t="str">
            <v>FG07478</v>
          </cell>
          <cell r="C2637" t="str">
            <v>BANDELET ACCU CHEK ACTIVE B/50 PS</v>
          </cell>
        </row>
        <row r="2638">
          <cell r="B2638" t="str">
            <v>FG07479</v>
          </cell>
          <cell r="C2638" t="str">
            <v>BANDELET GLUCO PLUS B/50 STRIPS</v>
          </cell>
        </row>
        <row r="2639">
          <cell r="B2639" t="str">
            <v>FG07480</v>
          </cell>
          <cell r="C2639" t="str">
            <v>BANDELET ONE TOOUCH SELECT PLUS B/50 STRIPS</v>
          </cell>
        </row>
        <row r="2640">
          <cell r="B2640" t="str">
            <v>FG07481</v>
          </cell>
          <cell r="C2640" t="str">
            <v>BANDELETTE CONTOUR PLUS B/50</v>
          </cell>
        </row>
        <row r="2641">
          <cell r="B2641" t="str">
            <v>FG07482</v>
          </cell>
          <cell r="C2641" t="str">
            <v>BAUME DE NERF 38GM PETIT</v>
          </cell>
        </row>
        <row r="2642">
          <cell r="B2642" t="str">
            <v>FG07483</v>
          </cell>
          <cell r="C2642" t="str">
            <v>BECODERM POUDRE 100GR</v>
          </cell>
        </row>
        <row r="2643">
          <cell r="B2643" t="str">
            <v>FG07484</v>
          </cell>
          <cell r="C2643" t="str">
            <v>BEFACT 5MG 30DRG</v>
          </cell>
        </row>
        <row r="2644">
          <cell r="B2644" t="str">
            <v>FG07485</v>
          </cell>
          <cell r="C2644" t="str">
            <v>BEPANTHEN CREAME 50ML (FR)</v>
          </cell>
        </row>
        <row r="2645">
          <cell r="B2645" t="str">
            <v>FG07486</v>
          </cell>
          <cell r="C2645" t="str">
            <v>BEPANTHENE. CREME 30GR</v>
          </cell>
        </row>
        <row r="2646">
          <cell r="B2646" t="str">
            <v>FG07487</v>
          </cell>
          <cell r="C2646" t="str">
            <v>BI PROFENID 150MG B/30 CES</v>
          </cell>
        </row>
        <row r="2647">
          <cell r="B2647" t="str">
            <v>FG07488</v>
          </cell>
          <cell r="C2647" t="str">
            <v>BURINEX 5MG 20CES</v>
          </cell>
        </row>
        <row r="2648">
          <cell r="B2648" t="str">
            <v>FG07489</v>
          </cell>
          <cell r="C2648" t="str">
            <v>BURNOX CREME 30GR</v>
          </cell>
        </row>
        <row r="2649">
          <cell r="B2649" t="str">
            <v>FG07490</v>
          </cell>
          <cell r="C2649" t="str">
            <v>BUSCOPAN B/10 X10 CES</v>
          </cell>
        </row>
        <row r="2650">
          <cell r="B2650" t="str">
            <v>FG07491</v>
          </cell>
          <cell r="C2650" t="str">
            <v>CABLINE 0.5MG B/8 CES</v>
          </cell>
        </row>
        <row r="2651">
          <cell r="B2651" t="str">
            <v>FG07492</v>
          </cell>
          <cell r="C2651" t="str">
            <v>CALBON 15 CES 1BT</v>
          </cell>
        </row>
        <row r="2652">
          <cell r="B2652" t="str">
            <v>FG07493</v>
          </cell>
          <cell r="C2652" t="str">
            <v>CALVID SP</v>
          </cell>
        </row>
        <row r="2653">
          <cell r="B2653" t="str">
            <v>FG07494</v>
          </cell>
          <cell r="C2653" t="str">
            <v>CANESTENE 6CES VAG.100MG (FR)</v>
          </cell>
        </row>
        <row r="2654">
          <cell r="B2654" t="str">
            <v>FG07495</v>
          </cell>
          <cell r="C2654" t="str">
            <v>CANESTENE CREME 15GR(FR)</v>
          </cell>
        </row>
        <row r="2655">
          <cell r="B2655" t="str">
            <v>FG07496</v>
          </cell>
          <cell r="C2655" t="str">
            <v>CAPTOPRIL DENK 25MG B/10 X 10 CES</v>
          </cell>
        </row>
        <row r="2656">
          <cell r="B2656" t="str">
            <v>FG07497</v>
          </cell>
          <cell r="C2656" t="str">
            <v>CARVEDILOL 25MG 56CES</v>
          </cell>
        </row>
        <row r="2657">
          <cell r="B2657" t="str">
            <v>FG07498</v>
          </cell>
          <cell r="C2657" t="str">
            <v>CEFALEXIN 125MG SP 1FL</v>
          </cell>
        </row>
        <row r="2658">
          <cell r="B2658" t="str">
            <v>FG07499</v>
          </cell>
          <cell r="C2658" t="str">
            <v>CEFALEXIN 250 MG SP 1FL</v>
          </cell>
        </row>
        <row r="2659">
          <cell r="B2659" t="str">
            <v>FG07500</v>
          </cell>
          <cell r="C2659" t="str">
            <v>CEFALEXIN 500MG B/10 X 10 CAPS</v>
          </cell>
        </row>
        <row r="2660">
          <cell r="B2660" t="str">
            <v>FG07501</v>
          </cell>
          <cell r="C2660" t="str">
            <v>CEFEX 1GR INJ</v>
          </cell>
        </row>
        <row r="2661">
          <cell r="B2661" t="str">
            <v>FG07502</v>
          </cell>
          <cell r="C2661" t="str">
            <v>CEFIXIME BIOGARAN 200MG CES</v>
          </cell>
        </row>
        <row r="2662">
          <cell r="B2662" t="str">
            <v>FG07503</v>
          </cell>
          <cell r="C2662" t="str">
            <v>CEFPQUE 100MG/5ML ( CEFPODOXIME) SUSP. ORALE 100ML</v>
          </cell>
        </row>
        <row r="2663">
          <cell r="B2663" t="str">
            <v>FG07504</v>
          </cell>
          <cell r="C2663" t="str">
            <v>CELEXON GOUTE 30ML 1FL</v>
          </cell>
        </row>
        <row r="2664">
          <cell r="B2664" t="str">
            <v>FG07505</v>
          </cell>
          <cell r="C2664" t="str">
            <v>CEPRA-S PLUS 0.50MG</v>
          </cell>
        </row>
        <row r="2665">
          <cell r="B2665" t="str">
            <v>FG07506</v>
          </cell>
          <cell r="C2665" t="str">
            <v>CEPSHAL DS SUSP 125MG 60ML</v>
          </cell>
        </row>
        <row r="2666">
          <cell r="B2666" t="str">
            <v>FG07507</v>
          </cell>
          <cell r="C2666" t="str">
            <v>CESACAL EFFE B/20</v>
          </cell>
        </row>
        <row r="2667">
          <cell r="B2667" t="str">
            <v>FG07508</v>
          </cell>
          <cell r="C2667" t="str">
            <v>CESAVERT 16MG 1X10 CES</v>
          </cell>
        </row>
        <row r="2668">
          <cell r="B2668" t="str">
            <v>FG07509</v>
          </cell>
          <cell r="C2668" t="str">
            <v>CESAVERT 24MG 1X10 CES</v>
          </cell>
        </row>
        <row r="2669">
          <cell r="B2669" t="str">
            <v>FG07510</v>
          </cell>
          <cell r="C2669" t="str">
            <v>CHONDROGEN CES B/20</v>
          </cell>
        </row>
        <row r="2670">
          <cell r="B2670" t="str">
            <v>FG07511</v>
          </cell>
          <cell r="C2670" t="str">
            <v>CICATRYL POM SACH 2G B/14 (FR)</v>
          </cell>
        </row>
        <row r="2671">
          <cell r="B2671" t="str">
            <v>FG07512</v>
          </cell>
          <cell r="C2671" t="str">
            <v>CLIPIMOR 10MG B/30CES</v>
          </cell>
        </row>
        <row r="2672">
          <cell r="B2672" t="str">
            <v>FG07513</v>
          </cell>
          <cell r="C2672" t="str">
            <v>CLOGREL - 75MG B/30 CES 1BT</v>
          </cell>
        </row>
        <row r="2673">
          <cell r="B2673" t="str">
            <v>FG07514</v>
          </cell>
          <cell r="C2673" t="str">
            <v>CLOTSFINE 30GM CREME</v>
          </cell>
        </row>
        <row r="2674">
          <cell r="B2674" t="str">
            <v>FG07515</v>
          </cell>
          <cell r="C2674" t="str">
            <v>CLOZIDERM LOTION 30ML</v>
          </cell>
        </row>
        <row r="2675">
          <cell r="B2675" t="str">
            <v>FG07516</v>
          </cell>
          <cell r="C2675" t="str">
            <v>COLDRIL 100ML SP</v>
          </cell>
        </row>
        <row r="2676">
          <cell r="B2676" t="str">
            <v>FG07517</v>
          </cell>
          <cell r="C2676" t="str">
            <v>COLDRIL CAPS B/20</v>
          </cell>
        </row>
        <row r="2677">
          <cell r="B2677" t="str">
            <v>FG07518</v>
          </cell>
          <cell r="C2677" t="str">
            <v>CONCOR 10MG 28CES( FR)</v>
          </cell>
        </row>
        <row r="2678">
          <cell r="B2678" t="str">
            <v>FG07519</v>
          </cell>
          <cell r="C2678" t="str">
            <v>CONCOR 5MG 28CES (EO)</v>
          </cell>
        </row>
        <row r="2679">
          <cell r="B2679" t="str">
            <v>FG07520</v>
          </cell>
          <cell r="C2679" t="str">
            <v>CONTOUR PLUS APPAREL</v>
          </cell>
        </row>
        <row r="2680">
          <cell r="B2680" t="str">
            <v>FG07521</v>
          </cell>
          <cell r="C2680" t="str">
            <v>CONTOUR TS</v>
          </cell>
        </row>
        <row r="2681">
          <cell r="B2681" t="str">
            <v>FG07522</v>
          </cell>
          <cell r="C2681" t="str">
            <v>CONTRA 1.5MG B/1 CES</v>
          </cell>
        </row>
        <row r="2682">
          <cell r="B2682" t="str">
            <v>FG07523</v>
          </cell>
          <cell r="C2682" t="str">
            <v>CONTRAMAL IM-IV 10AMP 100MG 2ML (EO)</v>
          </cell>
        </row>
        <row r="2683">
          <cell r="B2683" t="str">
            <v>FG07524</v>
          </cell>
          <cell r="C2683" t="str">
            <v>CORSODYL BAIN DE BOUCHE 200ML</v>
          </cell>
        </row>
        <row r="2684">
          <cell r="B2684" t="str">
            <v>FG07525</v>
          </cell>
          <cell r="C2684" t="str">
            <v>COXIPAIN 90MG (1X10 CES)</v>
          </cell>
        </row>
        <row r="2685">
          <cell r="B2685" t="str">
            <v>FG07526</v>
          </cell>
          <cell r="C2685" t="str">
            <v>CYPLA -4 10X10 CES 1BT</v>
          </cell>
        </row>
        <row r="2686">
          <cell r="B2686" t="str">
            <v>FG07527</v>
          </cell>
          <cell r="C2686" t="str">
            <v>CYPLA- 4 SP 100ML 1FL</v>
          </cell>
        </row>
        <row r="2687">
          <cell r="B2687" t="str">
            <v>FG07528</v>
          </cell>
          <cell r="C2687" t="str">
            <v>CYPRO TZ B/10CES</v>
          </cell>
        </row>
        <row r="2688">
          <cell r="B2688" t="str">
            <v>FG07529</v>
          </cell>
          <cell r="C2688" t="str">
            <v>CYSTONE B/30CES</v>
          </cell>
        </row>
        <row r="2689">
          <cell r="B2689" t="str">
            <v>FG07530</v>
          </cell>
          <cell r="C2689" t="str">
            <v>D3 ACTIVE DENK B/100CES</v>
          </cell>
        </row>
        <row r="2690">
          <cell r="B2690" t="str">
            <v>FG07531</v>
          </cell>
          <cell r="C2690" t="str">
            <v>DAFALGAN FORTE 1GR EFF B/40CES(FR)</v>
          </cell>
        </row>
        <row r="2691">
          <cell r="B2691" t="str">
            <v>FG07532</v>
          </cell>
          <cell r="C2691" t="str">
            <v>DAWAKOF 100ML SP 1FL</v>
          </cell>
        </row>
        <row r="2692">
          <cell r="B2692" t="str">
            <v>FG07533</v>
          </cell>
          <cell r="C2692" t="str">
            <v>DECAVITYL 200 ML SIROP</v>
          </cell>
        </row>
        <row r="2693">
          <cell r="B2693" t="str">
            <v>FG07534</v>
          </cell>
          <cell r="C2693" t="str">
            <v>DETTOL LIQUID 250ML</v>
          </cell>
        </row>
        <row r="2694">
          <cell r="B2694" t="str">
            <v>FG07535</v>
          </cell>
          <cell r="C2694" t="str">
            <v>DETTOL LIQUIDE 750 ML</v>
          </cell>
        </row>
        <row r="2695">
          <cell r="B2695" t="str">
            <v>FG07536</v>
          </cell>
          <cell r="C2695" t="str">
            <v>DEZOLIN 0.5MG/ML ORAL SOLU</v>
          </cell>
        </row>
        <row r="2696">
          <cell r="B2696" t="str">
            <v>FG07537</v>
          </cell>
          <cell r="C2696" t="str">
            <v>DEZOLIN 5MG B/10 TAB</v>
          </cell>
        </row>
        <row r="2697">
          <cell r="B2697" t="str">
            <v>FG07538</v>
          </cell>
          <cell r="C2697" t="str">
            <v>DICLO DENK 50MG B/ 10 X 10 CES</v>
          </cell>
        </row>
        <row r="2698">
          <cell r="B2698" t="str">
            <v>FG07539</v>
          </cell>
          <cell r="C2698" t="str">
            <v>DICLO PHARMA 75MG/3ML INJ 6AMP</v>
          </cell>
        </row>
        <row r="2699">
          <cell r="B2699" t="str">
            <v>FG07540</v>
          </cell>
          <cell r="C2699" t="str">
            <v>DICLO PHARMA5 100MG 10SUPPOS</v>
          </cell>
        </row>
        <row r="2700">
          <cell r="B2700" t="str">
            <v>FG07541</v>
          </cell>
          <cell r="C2700" t="str">
            <v>DIMESULID B/10CES</v>
          </cell>
        </row>
        <row r="2701">
          <cell r="B2701" t="str">
            <v>FG07542</v>
          </cell>
          <cell r="C2701" t="str">
            <v>DOLAREN PLUS** GEL CREME 30GR**</v>
          </cell>
        </row>
        <row r="2702">
          <cell r="B2702" t="str">
            <v>FG07543</v>
          </cell>
          <cell r="C2702" t="str">
            <v>DOLASIF 30GR CREAM</v>
          </cell>
        </row>
        <row r="2703">
          <cell r="B2703" t="str">
            <v>FG07544</v>
          </cell>
          <cell r="C2703" t="str">
            <v>DOPAMINE 200MG INJ B/1AMP ***</v>
          </cell>
        </row>
        <row r="2704">
          <cell r="B2704" t="str">
            <v>FG07545</v>
          </cell>
          <cell r="C2704" t="str">
            <v>DOXY ***** DENK 200 B/8 CES ******</v>
          </cell>
        </row>
        <row r="2705">
          <cell r="B2705" t="str">
            <v>FG07546</v>
          </cell>
          <cell r="C2705" t="str">
            <v>DUFAGEL 15ML SACHET B/20</v>
          </cell>
        </row>
        <row r="2706">
          <cell r="B2706" t="str">
            <v>FG07547</v>
          </cell>
          <cell r="C2706" t="str">
            <v>EMLA CREME 5% TB 5GR (EO)</v>
          </cell>
        </row>
        <row r="2707">
          <cell r="B2707" t="str">
            <v>FG07548</v>
          </cell>
          <cell r="C2707" t="str">
            <v>ERYTHROMYCINE 250MG 10 X 10 CES</v>
          </cell>
        </row>
        <row r="2708">
          <cell r="B2708" t="str">
            <v>FG07549</v>
          </cell>
          <cell r="C2708" t="str">
            <v>ESMODOM (OMEPRAZOLE) B/10CAPS</v>
          </cell>
        </row>
        <row r="2709">
          <cell r="B2709" t="str">
            <v>FG07550</v>
          </cell>
          <cell r="C2709" t="str">
            <v>ESTOMAGEL ( ANTI ACID ) 150ML</v>
          </cell>
        </row>
        <row r="2710">
          <cell r="B2710" t="str">
            <v>FG07551</v>
          </cell>
          <cell r="C2710" t="str">
            <v>EXOFEN POUDRE SILICONEE T/160GR MEDICAL</v>
          </cell>
        </row>
        <row r="2711">
          <cell r="B2711" t="str">
            <v>FG07552</v>
          </cell>
          <cell r="C2711" t="str">
            <v>EXOZOL -- PLUS 30GM CREME</v>
          </cell>
        </row>
        <row r="2712">
          <cell r="B2712" t="str">
            <v>FG07553</v>
          </cell>
          <cell r="C2712" t="str">
            <v>EXOZOL CREME 30GR</v>
          </cell>
        </row>
        <row r="2713">
          <cell r="B2713" t="str">
            <v>FG07554</v>
          </cell>
          <cell r="C2713" t="str">
            <v>EXOZOL PLUS 50GM TUBE</v>
          </cell>
        </row>
        <row r="2714">
          <cell r="B2714" t="str">
            <v>FG07555</v>
          </cell>
          <cell r="C2714" t="str">
            <v>EXOZOL POUDRE 75GR</v>
          </cell>
        </row>
        <row r="2715">
          <cell r="B2715" t="str">
            <v>FG07556</v>
          </cell>
          <cell r="C2715" t="str">
            <v>EXOZOL SAVON 100GM</v>
          </cell>
        </row>
        <row r="2716">
          <cell r="B2716" t="str">
            <v>FG07557</v>
          </cell>
          <cell r="C2716" t="str">
            <v>FENISTIL GEL T/30G (FR)</v>
          </cell>
        </row>
        <row r="2717">
          <cell r="B2717" t="str">
            <v>FG07558</v>
          </cell>
          <cell r="C2717" t="str">
            <v>FENTANYL 0.05MG/2ML B/10 AMP (EO)</v>
          </cell>
        </row>
        <row r="2718">
          <cell r="B2718" t="str">
            <v>FG07559</v>
          </cell>
          <cell r="C2718" t="str">
            <v>FERROMIX SP FL/120ML (FR)</v>
          </cell>
        </row>
        <row r="2719">
          <cell r="B2719" t="str">
            <v>FG07560</v>
          </cell>
          <cell r="C2719" t="str">
            <v>FERTILO FORTE CAPS B/60</v>
          </cell>
        </row>
        <row r="2720">
          <cell r="B2720" t="str">
            <v>FG07561</v>
          </cell>
          <cell r="C2720" t="str">
            <v>FETON 200ML SP 1FL</v>
          </cell>
        </row>
        <row r="2721">
          <cell r="B2721" t="str">
            <v>FG07562</v>
          </cell>
          <cell r="C2721" t="str">
            <v>FETON B/30 CAP 1BT</v>
          </cell>
        </row>
        <row r="2722">
          <cell r="B2722" t="str">
            <v>FG07563</v>
          </cell>
          <cell r="C2722" t="str">
            <v>FIMAZOL SPARY 10ML</v>
          </cell>
        </row>
        <row r="2723">
          <cell r="B2723" t="str">
            <v>FG07564</v>
          </cell>
          <cell r="C2723" t="str">
            <v>FINOTRIP B/10CES</v>
          </cell>
        </row>
        <row r="2724">
          <cell r="B2724" t="str">
            <v>FG07565</v>
          </cell>
          <cell r="C2724" t="str">
            <v>FIXALEN (CEFIXIME) 60ML SUSP</v>
          </cell>
        </row>
        <row r="2725">
          <cell r="B2725" t="str">
            <v>FG07566</v>
          </cell>
          <cell r="C2725" t="str">
            <v>FORXIGA 10MG B/28 CES (E.O)</v>
          </cell>
        </row>
        <row r="2726">
          <cell r="B2726" t="str">
            <v>FG07567</v>
          </cell>
          <cell r="C2726" t="str">
            <v>FOSCIN 3G SACHET</v>
          </cell>
        </row>
        <row r="2727">
          <cell r="B2727" t="str">
            <v>FG07568</v>
          </cell>
          <cell r="C2727" t="str">
            <v>FULL FORCE 100MG 4CES</v>
          </cell>
        </row>
        <row r="2728">
          <cell r="B2728" t="str">
            <v>FG07569</v>
          </cell>
          <cell r="C2728" t="str">
            <v>FULL FORCE 100MG GEL</v>
          </cell>
        </row>
        <row r="2729">
          <cell r="B2729" t="str">
            <v>FG07570</v>
          </cell>
          <cell r="C2729" t="str">
            <v>FULL FORCE 50MG 4CES</v>
          </cell>
        </row>
        <row r="2730">
          <cell r="B2730" t="str">
            <v>FG07571</v>
          </cell>
          <cell r="C2730" t="str">
            <v>GANVIR ( GANCICLOVIR 0.15% ) COLLYRE /GEL 10GM</v>
          </cell>
        </row>
        <row r="2731">
          <cell r="B2731" t="str">
            <v>FG07572</v>
          </cell>
          <cell r="C2731" t="str">
            <v>GERMOL LIQUID 250 ML</v>
          </cell>
        </row>
        <row r="2732">
          <cell r="B2732" t="str">
            <v>FG07573</v>
          </cell>
          <cell r="C2732" t="str">
            <v>GERMOL LIQUID 500ML</v>
          </cell>
        </row>
        <row r="2733">
          <cell r="B2733" t="str">
            <v>FG07574</v>
          </cell>
          <cell r="C2733" t="str">
            <v>GERMOL LIQUID FL/1000ML</v>
          </cell>
        </row>
        <row r="2734">
          <cell r="B2734" t="str">
            <v>FG07575</v>
          </cell>
          <cell r="C2734" t="str">
            <v>GERMOL SAVON 75GR.(PF)</v>
          </cell>
        </row>
        <row r="2735">
          <cell r="B2735" t="str">
            <v>FG07576</v>
          </cell>
          <cell r="C2735" t="str">
            <v>GLUCOMET FORTE B/30CES</v>
          </cell>
        </row>
        <row r="2736">
          <cell r="B2736" t="str">
            <v>FG07577</v>
          </cell>
          <cell r="C2736" t="str">
            <v>GLUCONIL -G B/30CES 1BT</v>
          </cell>
        </row>
        <row r="2737">
          <cell r="B2737" t="str">
            <v>FG07578</v>
          </cell>
          <cell r="C2737" t="str">
            <v>GOOD MORNIG CES 1BT</v>
          </cell>
        </row>
        <row r="2738">
          <cell r="B2738" t="str">
            <v>FG07579</v>
          </cell>
          <cell r="C2738" t="str">
            <v>GOOD MORNIG SIROP 50ML</v>
          </cell>
        </row>
        <row r="2739">
          <cell r="B2739" t="str">
            <v>FG07580</v>
          </cell>
          <cell r="C2739" t="str">
            <v>GUAFLEX SP FL/120ML (FR)</v>
          </cell>
        </row>
        <row r="2740">
          <cell r="B2740" t="str">
            <v>FG07581</v>
          </cell>
          <cell r="C2740" t="str">
            <v>HEMOPLA CAP B/60</v>
          </cell>
        </row>
        <row r="2741">
          <cell r="B2741" t="str">
            <v>FG07582</v>
          </cell>
          <cell r="C2741" t="str">
            <v>HEMOPLA TUBE 30GM 1PCS</v>
          </cell>
        </row>
        <row r="2742">
          <cell r="B2742" t="str">
            <v>FG07583</v>
          </cell>
          <cell r="C2742" t="str">
            <v>HEMOREX PLUS 30G CREAM</v>
          </cell>
        </row>
        <row r="2743">
          <cell r="B2743" t="str">
            <v>FG07584</v>
          </cell>
          <cell r="C2743" t="str">
            <v>HYDRALIN GYN SOLUTION VAG.SOL FL/200ML ( F.R )</v>
          </cell>
        </row>
        <row r="2744">
          <cell r="B2744" t="str">
            <v>FG07585</v>
          </cell>
          <cell r="C2744" t="str">
            <v>HYSTEN 0.3% 10ML COLLYER</v>
          </cell>
        </row>
        <row r="2745">
          <cell r="B2745" t="str">
            <v>FG07586</v>
          </cell>
          <cell r="C2745" t="str">
            <v>IBUCAP FORT 10 X 10CAPS</v>
          </cell>
        </row>
        <row r="2746">
          <cell r="B2746" t="str">
            <v>FG07587</v>
          </cell>
          <cell r="C2746" t="str">
            <v>IBUPROFEN DENK 400MG B/ 10 X 10 CES</v>
          </cell>
        </row>
        <row r="2747">
          <cell r="B2747" t="str">
            <v>FG07588</v>
          </cell>
          <cell r="C2747" t="str">
            <v>IMMUN-DENK ACTIVE B/20 SACHET</v>
          </cell>
        </row>
        <row r="2748">
          <cell r="B2748" t="str">
            <v>FG07589</v>
          </cell>
          <cell r="C2748" t="str">
            <v>IMMUNE PLANET EFF. B/10</v>
          </cell>
        </row>
        <row r="2749">
          <cell r="B2749" t="str">
            <v>FG07590</v>
          </cell>
          <cell r="C2749" t="str">
            <v>IMODIUM INSTANT (FR)</v>
          </cell>
        </row>
        <row r="2750">
          <cell r="B2750" t="str">
            <v>FG07591</v>
          </cell>
          <cell r="C2750" t="str">
            <v>INDOCID 100MG SUPPO B/10 (FR)</v>
          </cell>
        </row>
        <row r="2751">
          <cell r="B2751" t="str">
            <v>FG07592</v>
          </cell>
          <cell r="C2751" t="str">
            <v>INDONIQUE B/10SUPPOS (UNIQUE)</v>
          </cell>
        </row>
        <row r="2752">
          <cell r="B2752" t="str">
            <v>FG07593</v>
          </cell>
          <cell r="C2752" t="str">
            <v>KETAZOLE LOTION 30 ML</v>
          </cell>
        </row>
        <row r="2753">
          <cell r="B2753" t="str">
            <v>FG07594</v>
          </cell>
          <cell r="C2753" t="str">
            <v>KIPTAR KIT (1 X 4 CES )</v>
          </cell>
        </row>
        <row r="2754">
          <cell r="B2754" t="str">
            <v>FG07595</v>
          </cell>
          <cell r="C2754" t="str">
            <v>KLAMOBAC 125MG/5ML</v>
          </cell>
        </row>
        <row r="2755">
          <cell r="B2755" t="str">
            <v>FG07596</v>
          </cell>
          <cell r="C2755" t="str">
            <v>KLAMOBAC 250MG / 5ML</v>
          </cell>
        </row>
        <row r="2756">
          <cell r="B2756" t="str">
            <v>FG07597</v>
          </cell>
          <cell r="C2756" t="str">
            <v>KOFFGO 100ML SP 1FL</v>
          </cell>
        </row>
        <row r="2757">
          <cell r="B2757" t="str">
            <v>FG07598</v>
          </cell>
          <cell r="C2757" t="str">
            <v>KOFLYN 100ML SP ***</v>
          </cell>
        </row>
        <row r="2758">
          <cell r="B2758" t="str">
            <v>FG07599</v>
          </cell>
          <cell r="C2758" t="str">
            <v>KOFSIL 100ML SP 1FL</v>
          </cell>
        </row>
        <row r="2759">
          <cell r="B2759" t="str">
            <v>FG07600</v>
          </cell>
          <cell r="C2759" t="str">
            <v>KOFSIL PASTILS B/20X6 1BT</v>
          </cell>
        </row>
        <row r="2760">
          <cell r="B2760" t="str">
            <v>FG07601</v>
          </cell>
          <cell r="C2760" t="str">
            <v>KOPAZIL 150ML SP</v>
          </cell>
        </row>
        <row r="2761">
          <cell r="B2761" t="str">
            <v>FG07602</v>
          </cell>
          <cell r="C2761" t="str">
            <v>L ACTIVE DENK B/100 CES ( EUP )</v>
          </cell>
        </row>
        <row r="2762">
          <cell r="B2762" t="str">
            <v>FG07603</v>
          </cell>
          <cell r="C2762" t="str">
            <v>LACTACYD SOIN INTIME 400ML</v>
          </cell>
        </row>
        <row r="2763">
          <cell r="B2763" t="str">
            <v>FG07604</v>
          </cell>
          <cell r="C2763" t="str">
            <v>LACTOLASE LIQUIED 100ML</v>
          </cell>
        </row>
        <row r="2764">
          <cell r="B2764" t="str">
            <v>FG07605</v>
          </cell>
          <cell r="C2764" t="str">
            <v>LANTUS SOLOSTAR 100UI/ML 1STYLOS (FR)</v>
          </cell>
        </row>
        <row r="2765">
          <cell r="B2765" t="str">
            <v>FG07606</v>
          </cell>
          <cell r="C2765" t="str">
            <v>LARGACTIL 25MG INJ BT/10AMP ( FR )</v>
          </cell>
        </row>
        <row r="2766">
          <cell r="B2766" t="str">
            <v>FG07607</v>
          </cell>
          <cell r="C2766" t="str">
            <v>L-CARNITINE PLUS 1000MG/50MG CES B/20</v>
          </cell>
        </row>
        <row r="2767">
          <cell r="B2767" t="str">
            <v>FG07608</v>
          </cell>
          <cell r="C2767" t="str">
            <v>LEMONTIN B/10CES ( MONTELUKAST &amp; LEVOCETRIZINE )</v>
          </cell>
        </row>
        <row r="2768">
          <cell r="B2768" t="str">
            <v>FG07609</v>
          </cell>
          <cell r="C2768" t="str">
            <v>LEMONTIN ENF SYRP ( MONTELUKAST &amp; LEVOCETRIZINE )</v>
          </cell>
        </row>
        <row r="2769">
          <cell r="B2769" t="str">
            <v>FG07610</v>
          </cell>
          <cell r="C2769" t="str">
            <v>LEMONTIN JUNIOR B/10CES</v>
          </cell>
        </row>
        <row r="2770">
          <cell r="B2770" t="str">
            <v>FG07611</v>
          </cell>
          <cell r="C2770" t="str">
            <v>LEVOFLOXACINE 500MG B/10CES</v>
          </cell>
        </row>
        <row r="2771">
          <cell r="B2771" t="str">
            <v>FG07612</v>
          </cell>
          <cell r="C2771" t="str">
            <v>LIBIDO LADY DENK B/30CES</v>
          </cell>
        </row>
        <row r="2772">
          <cell r="B2772" t="str">
            <v>FG07613</v>
          </cell>
          <cell r="C2772" t="str">
            <v>LOSA-CARD 50MG B/30CES 1BT</v>
          </cell>
        </row>
        <row r="2773">
          <cell r="B2773" t="str">
            <v>FG07614</v>
          </cell>
          <cell r="C2773" t="str">
            <v>LOSACARD -H B/30CES 1BT</v>
          </cell>
        </row>
        <row r="2774">
          <cell r="B2774" t="str">
            <v>FG07615</v>
          </cell>
          <cell r="C2774" t="str">
            <v>LUAGRA ( SILDENAFIL ) SACHET</v>
          </cell>
        </row>
        <row r="2775">
          <cell r="B2775" t="str">
            <v>FG07616</v>
          </cell>
          <cell r="C2775" t="str">
            <v>LUAGRA B/2CES</v>
          </cell>
        </row>
        <row r="2776">
          <cell r="B2776" t="str">
            <v>FG07617</v>
          </cell>
          <cell r="C2776" t="str">
            <v>LUMART ADULTE B/6CES ( KIM )</v>
          </cell>
        </row>
        <row r="2777">
          <cell r="B2777" t="str">
            <v>FG07618</v>
          </cell>
          <cell r="C2777" t="str">
            <v>LUMART - E B/12 CES ( KIM )</v>
          </cell>
        </row>
        <row r="2778">
          <cell r="B2778" t="str">
            <v>FG07619</v>
          </cell>
          <cell r="C2778" t="str">
            <v>LUMEART 80/480 B/6CES</v>
          </cell>
        </row>
        <row r="2779">
          <cell r="B2779" t="str">
            <v>FG07620</v>
          </cell>
          <cell r="C2779" t="str">
            <v>LYRICA 75 MG B/56GELULES(FR)</v>
          </cell>
        </row>
        <row r="2780">
          <cell r="B2780" t="str">
            <v>FG07621</v>
          </cell>
          <cell r="C2780" t="str">
            <v>MADECASSOL ONGT 1% CREME TUBE $ 10GR # (E.O.)</v>
          </cell>
        </row>
        <row r="2781">
          <cell r="B2781" t="str">
            <v>FG07622</v>
          </cell>
          <cell r="C2781" t="str">
            <v>MADECASSOL ONGT 1% CREME TUBE $$$$ 10GR ### (E.O.)</v>
          </cell>
        </row>
        <row r="2782">
          <cell r="B2782" t="str">
            <v>FG07623</v>
          </cell>
          <cell r="C2782" t="str">
            <v>MAGNES ACTIVE DENK B/30 SACHET</v>
          </cell>
        </row>
        <row r="2783">
          <cell r="B2783" t="str">
            <v>FG07624</v>
          </cell>
          <cell r="C2783" t="str">
            <v>MAGNES DIRECT DENK B/30 STICKS (FR) *****</v>
          </cell>
        </row>
        <row r="2784">
          <cell r="B2784" t="str">
            <v>FG07625</v>
          </cell>
          <cell r="C2784" t="str">
            <v>MEBENDAZOLE 100MG B/25X6 CES</v>
          </cell>
        </row>
        <row r="2785">
          <cell r="B2785" t="str">
            <v>FG07626</v>
          </cell>
          <cell r="C2785" t="str">
            <v>MEFTAL FORTE B/2X10CES</v>
          </cell>
        </row>
        <row r="2786">
          <cell r="B2786" t="str">
            <v>FG07627</v>
          </cell>
          <cell r="C2786" t="str">
            <v>MEGAFFIN LIQIUD PARAFEN 225ML</v>
          </cell>
        </row>
        <row r="2787">
          <cell r="B2787" t="str">
            <v>FG07628</v>
          </cell>
          <cell r="C2787" t="str">
            <v>MEOFLOX 60ML SP 1FL</v>
          </cell>
        </row>
        <row r="2788">
          <cell r="B2788" t="str">
            <v>FG07629</v>
          </cell>
          <cell r="C2788" t="str">
            <v>MEOFLOX B/10CES 1BT</v>
          </cell>
        </row>
        <row r="2789">
          <cell r="B2789" t="str">
            <v>FG07630</v>
          </cell>
          <cell r="C2789" t="str">
            <v>METFORMIN DENK 500MG B/10 X 10 CES</v>
          </cell>
        </row>
        <row r="2790">
          <cell r="B2790" t="str">
            <v>FG07631</v>
          </cell>
          <cell r="C2790" t="str">
            <v>METFORMIN DENK 850MG B/ 120 CES</v>
          </cell>
        </row>
        <row r="2791">
          <cell r="B2791" t="str">
            <v>FG07632</v>
          </cell>
          <cell r="C2791" t="str">
            <v>METHERGINE BUV GOUTTE FL 10ML(FR)</v>
          </cell>
        </row>
        <row r="2792">
          <cell r="B2792" t="str">
            <v>FG07633</v>
          </cell>
          <cell r="C2792" t="str">
            <v>MICOFLU 2% GM CREAM</v>
          </cell>
        </row>
        <row r="2793">
          <cell r="B2793" t="str">
            <v>FG07634</v>
          </cell>
          <cell r="C2793" t="str">
            <v>MONGANGA MEDICAL POUDRE ( 70GM)</v>
          </cell>
        </row>
        <row r="2794">
          <cell r="B2794" t="str">
            <v>FG07635</v>
          </cell>
          <cell r="C2794" t="str">
            <v>MONGANGA POUDRE 300GR</v>
          </cell>
        </row>
        <row r="2795">
          <cell r="B2795" t="str">
            <v>FG07636</v>
          </cell>
          <cell r="C2795" t="str">
            <v>MONGANGA SAVON 90GR</v>
          </cell>
        </row>
        <row r="2796">
          <cell r="B2796" t="str">
            <v>FG07637</v>
          </cell>
          <cell r="C2796" t="str">
            <v>MOTILIUM 10MG CES B/20(EO)</v>
          </cell>
        </row>
        <row r="2797">
          <cell r="B2797" t="str">
            <v>FG07638</v>
          </cell>
          <cell r="C2797" t="str">
            <v>MOXYCLAV DUO 1125MG 12 PCS</v>
          </cell>
        </row>
        <row r="2798">
          <cell r="B2798" t="str">
            <v>FG07639</v>
          </cell>
          <cell r="C2798" t="str">
            <v>MOXYCLAV SUSP 228.5MG 70ML</v>
          </cell>
        </row>
        <row r="2799">
          <cell r="B2799" t="str">
            <v>FG07640</v>
          </cell>
          <cell r="C2799" t="str">
            <v>MUCO ASTHALIN SIROP 100ML</v>
          </cell>
        </row>
        <row r="2800">
          <cell r="B2800" t="str">
            <v>FG07641</v>
          </cell>
          <cell r="C2800" t="str">
            <v>MUCOLYN -- AD --. SIROP 100ML</v>
          </cell>
        </row>
        <row r="2801">
          <cell r="B2801" t="str">
            <v>FG07642</v>
          </cell>
          <cell r="C2801" t="str">
            <v>MUCOLYN -- PED -- SIROP 100ML</v>
          </cell>
        </row>
        <row r="2802">
          <cell r="B2802" t="str">
            <v>FG07643</v>
          </cell>
          <cell r="C2802" t="str">
            <v>MUCOSIF AD 100ML SP 1FL</v>
          </cell>
        </row>
        <row r="2803">
          <cell r="B2803" t="str">
            <v>FG07644</v>
          </cell>
          <cell r="C2803" t="str">
            <v>MUCOSIF PED 100ML SP 1FL</v>
          </cell>
        </row>
        <row r="2804">
          <cell r="B2804" t="str">
            <v>FG07645</v>
          </cell>
          <cell r="C2804" t="str">
            <v>NAOMI TRIPLE ACTION CREAM 30GM</v>
          </cell>
        </row>
        <row r="2805">
          <cell r="B2805" t="str">
            <v>FG07646</v>
          </cell>
          <cell r="C2805" t="str">
            <v>NAOMI TRIPLE ACTION CREAM 50GM</v>
          </cell>
        </row>
        <row r="2806">
          <cell r="B2806" t="str">
            <v>FG07647</v>
          </cell>
          <cell r="C2806" t="str">
            <v>NEOFAST 10ML DROP</v>
          </cell>
        </row>
        <row r="2807">
          <cell r="B2807" t="str">
            <v>FG07648</v>
          </cell>
          <cell r="C2807" t="str">
            <v>NEUROTON 50ML SOLUTION 1FL</v>
          </cell>
        </row>
        <row r="2808">
          <cell r="B2808" t="str">
            <v>FG07649</v>
          </cell>
          <cell r="C2808" t="str">
            <v>NEUROTON B/10CES 1BT</v>
          </cell>
        </row>
        <row r="2809">
          <cell r="B2809" t="str">
            <v>FG07650</v>
          </cell>
          <cell r="C2809" t="str">
            <v>NEVXAL COLLYRE</v>
          </cell>
        </row>
        <row r="2810">
          <cell r="B2810" t="str">
            <v>FG07651</v>
          </cell>
          <cell r="C2810" t="str">
            <v>NEW DIMESULID CES 10 CES</v>
          </cell>
        </row>
        <row r="2811">
          <cell r="B2811" t="str">
            <v>FG07652</v>
          </cell>
          <cell r="C2811" t="str">
            <v>NEXIUM 28C#S 40MG (FR)</v>
          </cell>
        </row>
        <row r="2812">
          <cell r="B2812" t="str">
            <v>FG07653</v>
          </cell>
          <cell r="C2812" t="str">
            <v>NEXIUM 28CES 20MG (FR)</v>
          </cell>
        </row>
        <row r="2813">
          <cell r="B2813" t="str">
            <v>FG07654</v>
          </cell>
          <cell r="C2813" t="str">
            <v>NIFEDI DENK 10MG RETARD B/ 10 X 10 CES</v>
          </cell>
        </row>
        <row r="2814">
          <cell r="B2814" t="str">
            <v>FG07655</v>
          </cell>
          <cell r="C2814" t="str">
            <v>NIFEDI DENK 20MG RETARD B/ 10 X 10 CES (FR)</v>
          </cell>
        </row>
        <row r="2815">
          <cell r="B2815" t="str">
            <v>FG07656</v>
          </cell>
          <cell r="C2815" t="str">
            <v>NIMOTOP 30MG B/50 CES</v>
          </cell>
        </row>
        <row r="2816">
          <cell r="B2816" t="str">
            <v>FG07657</v>
          </cell>
          <cell r="C2816" t="str">
            <v>NOR PLUS METRO 30 ML SP 1FL **</v>
          </cell>
        </row>
        <row r="2817">
          <cell r="B2817" t="str">
            <v>FG07658</v>
          </cell>
          <cell r="C2817" t="str">
            <v>NOR PLUS METRO B/10CES 1BT</v>
          </cell>
        </row>
        <row r="2818">
          <cell r="B2818" t="str">
            <v>FG07659</v>
          </cell>
          <cell r="C2818" t="str">
            <v>NOR PLUS METRO SP - 60ML</v>
          </cell>
        </row>
        <row r="2819">
          <cell r="B2819" t="str">
            <v>FG07660</v>
          </cell>
          <cell r="C2819" t="str">
            <v>NORFOMET 200 MG B/10 CES</v>
          </cell>
        </row>
        <row r="2820">
          <cell r="B2820" t="str">
            <v>FG07661</v>
          </cell>
          <cell r="C2820" t="str">
            <v>NORFOMET SP ML</v>
          </cell>
        </row>
        <row r="2821">
          <cell r="B2821" t="str">
            <v>FG07662</v>
          </cell>
          <cell r="C2821" t="str">
            <v>NORITHER DP CES</v>
          </cell>
        </row>
        <row r="2822">
          <cell r="B2822" t="str">
            <v>FG07663</v>
          </cell>
          <cell r="C2822" t="str">
            <v>NORMEGYL---DP--- B/10CES</v>
          </cell>
        </row>
        <row r="2823">
          <cell r="B2823" t="str">
            <v>FG07664</v>
          </cell>
          <cell r="C2823" t="str">
            <v>NORMEZOL 30ML SP 1FL</v>
          </cell>
        </row>
        <row r="2824">
          <cell r="B2824" t="str">
            <v>FG07665</v>
          </cell>
          <cell r="C2824" t="str">
            <v>NORMEZOL B/10CES 1BT</v>
          </cell>
        </row>
        <row r="2825">
          <cell r="B2825" t="str">
            <v>FG07666</v>
          </cell>
          <cell r="C2825" t="str">
            <v>NOTRISIF FORT 800MG B/45CES 1BT</v>
          </cell>
        </row>
        <row r="2826">
          <cell r="B2826" t="str">
            <v>FG07667</v>
          </cell>
          <cell r="C2826" t="str">
            <v>OMEXA-3 B/20 CAP</v>
          </cell>
        </row>
        <row r="2827">
          <cell r="B2827" t="str">
            <v>FG07668</v>
          </cell>
          <cell r="C2827" t="str">
            <v>ORAFLORA MOUTH WASH 150ML</v>
          </cell>
        </row>
        <row r="2828">
          <cell r="B2828" t="str">
            <v>FG07669</v>
          </cell>
          <cell r="C2828" t="str">
            <v>ORELOX SUSP BUV 100ML 8MG (FR)</v>
          </cell>
        </row>
        <row r="2829">
          <cell r="B2829" t="str">
            <v>FG07670</v>
          </cell>
          <cell r="C2829" t="str">
            <v>OTRIPLA 10ML GOUTE -- BEBE--</v>
          </cell>
        </row>
        <row r="2830">
          <cell r="B2830" t="str">
            <v>FG07671</v>
          </cell>
          <cell r="C2830" t="str">
            <v>OTRIPLA 10ML GOUTE -- ENF --</v>
          </cell>
        </row>
        <row r="2831">
          <cell r="B2831" t="str">
            <v>FG07672</v>
          </cell>
          <cell r="C2831" t="str">
            <v>OTRIPLA 10ML GOUTE --AD--</v>
          </cell>
        </row>
        <row r="2832">
          <cell r="B2832" t="str">
            <v>FG07673</v>
          </cell>
          <cell r="C2832" t="str">
            <v>OTRIVINE 0.1% NEBULISER 10ML</v>
          </cell>
        </row>
        <row r="2833">
          <cell r="B2833" t="str">
            <v>FG07674</v>
          </cell>
          <cell r="C2833" t="str">
            <v>PARACETAMOL 100ML IV ( GENERIC)</v>
          </cell>
        </row>
        <row r="2834">
          <cell r="B2834" t="str">
            <v>FG07675</v>
          </cell>
          <cell r="C2834" t="str">
            <v>PARAFEN 60ML SP 1FL</v>
          </cell>
        </row>
        <row r="2835">
          <cell r="B2835" t="str">
            <v>FG07676</v>
          </cell>
          <cell r="C2835" t="str">
            <v>PARAFEN B/ 10 X10 CES 1BT</v>
          </cell>
        </row>
        <row r="2836">
          <cell r="B2836" t="str">
            <v>FG07677</v>
          </cell>
          <cell r="C2836" t="str">
            <v>PARAKIM 500MG CES B/10CES</v>
          </cell>
        </row>
        <row r="2837">
          <cell r="B2837" t="str">
            <v>FG07678</v>
          </cell>
          <cell r="C2837" t="str">
            <v>PAUSE 500MG B/30CES</v>
          </cell>
        </row>
        <row r="2838">
          <cell r="B2838" t="str">
            <v>FG07679</v>
          </cell>
          <cell r="C2838" t="str">
            <v>PAUSE INJ B/5 AMP</v>
          </cell>
        </row>
        <row r="2839">
          <cell r="B2839" t="str">
            <v>FG07680</v>
          </cell>
          <cell r="C2839" t="str">
            <v>PAUSE MF B/30CES</v>
          </cell>
        </row>
        <row r="2840">
          <cell r="B2840" t="str">
            <v>FG07681</v>
          </cell>
          <cell r="C2840" t="str">
            <v>PEDZINC B/10CES</v>
          </cell>
        </row>
        <row r="2841">
          <cell r="B2841" t="str">
            <v>FG07682</v>
          </cell>
          <cell r="C2841" t="str">
            <v>PERINAM -DENK 4/5MG...B/30CES</v>
          </cell>
        </row>
        <row r="2842">
          <cell r="B2842" t="str">
            <v>FG07683</v>
          </cell>
          <cell r="C2842" t="str">
            <v>PERINAM -DENK 4/5MG...B/30CES**</v>
          </cell>
        </row>
        <row r="2843">
          <cell r="B2843" t="str">
            <v>FG07684</v>
          </cell>
          <cell r="C2843" t="str">
            <v>PERINAM -DENK 8/10MG...B/30CES</v>
          </cell>
        </row>
        <row r="2844">
          <cell r="B2844" t="str">
            <v>FG07685</v>
          </cell>
          <cell r="C2844" t="str">
            <v>PERINAM -DENK 8/5MG...B/30CES</v>
          </cell>
        </row>
        <row r="2845">
          <cell r="B2845" t="str">
            <v>FG07686</v>
          </cell>
          <cell r="C2845" t="str">
            <v>PLACLAV 1000+125MG CES B/16 CES</v>
          </cell>
        </row>
        <row r="2846">
          <cell r="B2846" t="str">
            <v>FG07687</v>
          </cell>
          <cell r="C2846" t="str">
            <v>PLACLAV 250+31.25 MG SUSP 60ML</v>
          </cell>
        </row>
        <row r="2847">
          <cell r="B2847" t="str">
            <v>FG07688</v>
          </cell>
          <cell r="C2847" t="str">
            <v>PLACLAV 500+62.5 MG CES B/16 CES</v>
          </cell>
        </row>
        <row r="2848">
          <cell r="B2848" t="str">
            <v>FG07689</v>
          </cell>
          <cell r="C2848" t="str">
            <v>PLAFEX 100MG 60ML SP 1FL</v>
          </cell>
        </row>
        <row r="2849">
          <cell r="B2849" t="str">
            <v>FG07690</v>
          </cell>
          <cell r="C2849" t="str">
            <v>PLAFEX 200MG B/10 CES 1BT</v>
          </cell>
        </row>
        <row r="2850">
          <cell r="B2850" t="str">
            <v>FG07691</v>
          </cell>
          <cell r="C2850" t="str">
            <v>PLAFEX 400MG (CEFIXIME) B/10CES</v>
          </cell>
        </row>
        <row r="2851">
          <cell r="B2851" t="str">
            <v>FG07692</v>
          </cell>
          <cell r="C2851" t="str">
            <v>PLANETO B/20 CES 1BT</v>
          </cell>
        </row>
        <row r="2852">
          <cell r="B2852" t="str">
            <v>FG07693</v>
          </cell>
          <cell r="C2852" t="str">
            <v>PLAZI 200MG 30ML SP 1FL</v>
          </cell>
        </row>
        <row r="2853">
          <cell r="B2853" t="str">
            <v>FG07694</v>
          </cell>
          <cell r="C2853" t="str">
            <v>PLNET COLD POMMADE 50GM</v>
          </cell>
        </row>
        <row r="2854">
          <cell r="B2854" t="str">
            <v>FG07695</v>
          </cell>
          <cell r="C2854" t="str">
            <v>POLYGEL DUAL SUSP 120ML</v>
          </cell>
        </row>
        <row r="2855">
          <cell r="B2855" t="str">
            <v>FG07696</v>
          </cell>
          <cell r="C2855" t="str">
            <v>POLYGEL SACHET 10ML B/20</v>
          </cell>
        </row>
        <row r="2856">
          <cell r="B2856" t="str">
            <v>FG07697</v>
          </cell>
          <cell r="C2856" t="str">
            <v>POP POUDRE</v>
          </cell>
        </row>
        <row r="2857">
          <cell r="B2857" t="str">
            <v>FG07698</v>
          </cell>
          <cell r="C2857" t="str">
            <v>POWER PLUS 30GM CREAM</v>
          </cell>
        </row>
        <row r="2858">
          <cell r="B2858" t="str">
            <v>FG07699</v>
          </cell>
          <cell r="C2858" t="str">
            <v>POWER PLUS KIDS ( PARA+ACELOFENAC)60ML SP</v>
          </cell>
        </row>
        <row r="2859">
          <cell r="B2859" t="str">
            <v>FG07700</v>
          </cell>
          <cell r="C2859" t="str">
            <v>PREVOLITHAR SIROP 100ML</v>
          </cell>
        </row>
        <row r="2860">
          <cell r="B2860" t="str">
            <v>FG07701</v>
          </cell>
          <cell r="C2860" t="str">
            <v>PROCYL B/5AMP (ACIDE TRANEXAMIQUE)</v>
          </cell>
        </row>
        <row r="2861">
          <cell r="B2861" t="str">
            <v>FG07702</v>
          </cell>
          <cell r="C2861" t="str">
            <v>PROGYNOVA 20DRG 2MG (FR)</v>
          </cell>
        </row>
        <row r="2862">
          <cell r="B2862" t="str">
            <v>FG07703</v>
          </cell>
          <cell r="C2862" t="str">
            <v>PROMCLAIR PLUS CREAM 15GM</v>
          </cell>
        </row>
        <row r="2863">
          <cell r="B2863" t="str">
            <v>FG07704</v>
          </cell>
          <cell r="C2863" t="str">
            <v>PROTAM B/30 CAP 1BT</v>
          </cell>
        </row>
        <row r="2864">
          <cell r="B2864" t="str">
            <v>FG07705</v>
          </cell>
          <cell r="C2864" t="str">
            <v>QUICK (ANTI DOULEUR) B/10 CES</v>
          </cell>
        </row>
        <row r="2865">
          <cell r="B2865" t="str">
            <v>FG07706</v>
          </cell>
          <cell r="C2865" t="str">
            <v>QUICK GEL 30GM</v>
          </cell>
        </row>
        <row r="2866">
          <cell r="B2866" t="str">
            <v>FG07707</v>
          </cell>
          <cell r="C2866" t="str">
            <v>FAST QUICK SPARY 150ML</v>
          </cell>
        </row>
        <row r="2867">
          <cell r="B2867" t="str">
            <v>FG07708</v>
          </cell>
          <cell r="C2867" t="str">
            <v>RECHARGE ACTIVE DENK B/12 STICKS</v>
          </cell>
        </row>
        <row r="2868">
          <cell r="B2868" t="str">
            <v>FG07709</v>
          </cell>
          <cell r="C2868" t="str">
            <v>RECTOSTOL CREME</v>
          </cell>
        </row>
        <row r="2869">
          <cell r="B2869" t="str">
            <v>FG07710</v>
          </cell>
          <cell r="C2869" t="str">
            <v>RELIEF CREME 50MG</v>
          </cell>
        </row>
        <row r="2870">
          <cell r="B2870" t="str">
            <v>FG07711</v>
          </cell>
          <cell r="C2870" t="str">
            <v>RHUM COLD 1*4CES</v>
          </cell>
        </row>
        <row r="2871">
          <cell r="B2871" t="str">
            <v>FG07712</v>
          </cell>
          <cell r="C2871" t="str">
            <v>RHUMALGAN SPRAY</v>
          </cell>
        </row>
        <row r="2872">
          <cell r="B2872" t="str">
            <v>FG07713</v>
          </cell>
          <cell r="C2872" t="str">
            <v>RHUMARRET B\25 CES PL</v>
          </cell>
        </row>
        <row r="2873">
          <cell r="B2873" t="str">
            <v>FG07714</v>
          </cell>
          <cell r="C2873" t="str">
            <v>ROVA-TZ 1125MG INJ</v>
          </cell>
        </row>
        <row r="2874">
          <cell r="B2874" t="str">
            <v>FG07715</v>
          </cell>
          <cell r="C2874" t="str">
            <v>ROVENAC-SD INJ B/5AMP 1BT</v>
          </cell>
        </row>
        <row r="2875">
          <cell r="B2875" t="str">
            <v>FG07716</v>
          </cell>
          <cell r="C2875" t="str">
            <v>SALBUTAMOL 1MG B/6 SUPPO (GENERIQUE )</v>
          </cell>
        </row>
        <row r="2876">
          <cell r="B2876" t="str">
            <v>FG07717</v>
          </cell>
          <cell r="C2876" t="str">
            <v>SCORVITEX -Z CES B/10</v>
          </cell>
        </row>
        <row r="2877">
          <cell r="B2877" t="str">
            <v>FG07718</v>
          </cell>
          <cell r="C2877" t="str">
            <v>SERINGUE 2CC...100PCS (UNIQUE)</v>
          </cell>
        </row>
        <row r="2878">
          <cell r="B2878" t="str">
            <v>FG07719</v>
          </cell>
          <cell r="C2878" t="str">
            <v>S-FORCE 10*2 CES</v>
          </cell>
        </row>
        <row r="2879">
          <cell r="B2879" t="str">
            <v>FG07720</v>
          </cell>
          <cell r="C2879" t="str">
            <v>S-FORCE 10*4 CES</v>
          </cell>
        </row>
        <row r="2880">
          <cell r="B2880" t="str">
            <v>FG07721</v>
          </cell>
          <cell r="C2880" t="str">
            <v>SHALGLI - M 2MG/500MG B/30 CES</v>
          </cell>
        </row>
        <row r="2881">
          <cell r="B2881" t="str">
            <v>FG07722</v>
          </cell>
          <cell r="C2881" t="str">
            <v>SIFACOLD 100ML SP 1FL</v>
          </cell>
        </row>
        <row r="2882">
          <cell r="B2882" t="str">
            <v>FG07723</v>
          </cell>
          <cell r="C2882" t="str">
            <v>SIFACOLD ENF GOUTTE 15ML 1FL</v>
          </cell>
        </row>
        <row r="2883">
          <cell r="B2883" t="str">
            <v>FG07724</v>
          </cell>
          <cell r="C2883" t="str">
            <v>SINTRON 4MG 20CES (FR)</v>
          </cell>
        </row>
        <row r="2884">
          <cell r="B2884" t="str">
            <v>FG07725</v>
          </cell>
          <cell r="C2884" t="str">
            <v>SNUFEN SP 125ML 1FL</v>
          </cell>
        </row>
        <row r="2885">
          <cell r="B2885" t="str">
            <v>FG07726</v>
          </cell>
          <cell r="C2885" t="str">
            <v>SORINAZ 15GM CREAME</v>
          </cell>
        </row>
        <row r="2886">
          <cell r="B2886" t="str">
            <v>FG07727</v>
          </cell>
          <cell r="C2886" t="str">
            <v>SPASMASIF ( BALARGEN ) B/10 X10 CES 1BT</v>
          </cell>
        </row>
        <row r="2887">
          <cell r="B2887" t="str">
            <v>FG07728</v>
          </cell>
          <cell r="C2887" t="str">
            <v>SULTANI FORCE 100MG B/4CES</v>
          </cell>
        </row>
        <row r="2888">
          <cell r="B2888" t="str">
            <v>FG07729</v>
          </cell>
          <cell r="C2888" t="str">
            <v>SULTANI FORCE 50MG B/4CES 1BT</v>
          </cell>
        </row>
        <row r="2889">
          <cell r="B2889" t="str">
            <v>FG07730</v>
          </cell>
          <cell r="C2889" t="str">
            <v>SULTANI FORCE JALLY SACHET B/4</v>
          </cell>
        </row>
        <row r="2890">
          <cell r="B2890" t="str">
            <v>FG07731</v>
          </cell>
          <cell r="C2890" t="str">
            <v>SUPERCAL ZINC B/20 CES (FR)</v>
          </cell>
        </row>
        <row r="2891">
          <cell r="B2891" t="str">
            <v>FG07732</v>
          </cell>
          <cell r="C2891" t="str">
            <v>SYLUMET FORTE B/10CES</v>
          </cell>
        </row>
        <row r="2892">
          <cell r="B2892" t="str">
            <v>FG07733</v>
          </cell>
          <cell r="C2892" t="str">
            <v>TADALAFIL BIOGARAN 10MG 4CES</v>
          </cell>
        </row>
        <row r="2893">
          <cell r="B2893" t="str">
            <v>FG07734</v>
          </cell>
          <cell r="C2893" t="str">
            <v>TADALAFIL BIOGARAN 20MG 4CES</v>
          </cell>
        </row>
        <row r="2894">
          <cell r="B2894" t="str">
            <v>FG07735</v>
          </cell>
          <cell r="C2894" t="str">
            <v>TAMSULEX - D 0.5MG B/30 CAP</v>
          </cell>
        </row>
        <row r="2895">
          <cell r="B2895" t="str">
            <v>FG07736</v>
          </cell>
          <cell r="C2895" t="str">
            <v>TAMSULOSINE (OMIX) LP 0.4MG 30 GELUES(FR)</v>
          </cell>
        </row>
        <row r="2896">
          <cell r="B2896" t="str">
            <v>FG07737</v>
          </cell>
          <cell r="C2896" t="str">
            <v>TANZOL B/1CES</v>
          </cell>
        </row>
        <row r="2897">
          <cell r="B2897" t="str">
            <v>FG07738</v>
          </cell>
          <cell r="C2897" t="str">
            <v>TANZOL PLUS TAB 1X1T</v>
          </cell>
        </row>
        <row r="2898">
          <cell r="B2898" t="str">
            <v>FG07739</v>
          </cell>
          <cell r="C2898" t="str">
            <v>TEST RAPIDE H.I.V. 1KIT B/100</v>
          </cell>
        </row>
        <row r="2899">
          <cell r="B2899" t="str">
            <v>FG07740</v>
          </cell>
          <cell r="C2899" t="str">
            <v>TRACOL 500MG B/30 CES</v>
          </cell>
        </row>
        <row r="2900">
          <cell r="B2900" t="str">
            <v>FG07741</v>
          </cell>
          <cell r="C2900" t="str">
            <v>TRACOL SOLUTION BUV 50ML</v>
          </cell>
        </row>
        <row r="2901">
          <cell r="B2901" t="str">
            <v>FG07742</v>
          </cell>
          <cell r="C2901" t="str">
            <v>TRAMADOL DENK B/5AMP INJ</v>
          </cell>
        </row>
        <row r="2902">
          <cell r="B2902" t="str">
            <v>FG07743</v>
          </cell>
          <cell r="C2902" t="str">
            <v>TRIPLIXAM 10/2.5/10MG B/30CES (FR)</v>
          </cell>
        </row>
        <row r="2903">
          <cell r="B2903" t="str">
            <v>FG07744</v>
          </cell>
          <cell r="C2903" t="str">
            <v>TTP 4.5GM (PIPERACILLIN &amp; TAZOBACTAM) INJ</v>
          </cell>
        </row>
        <row r="2904">
          <cell r="B2904" t="str">
            <v>FG07745</v>
          </cell>
          <cell r="C2904" t="str">
            <v>TWINZOL COLLYRE ( MONODOSE )</v>
          </cell>
        </row>
        <row r="2905">
          <cell r="B2905" t="str">
            <v>FG07746</v>
          </cell>
          <cell r="C2905" t="str">
            <v>UROGRAFINE 1AMP. INJ. 76% 20 ML</v>
          </cell>
        </row>
        <row r="2906">
          <cell r="B2906" t="str">
            <v>FG07747</v>
          </cell>
          <cell r="C2906" t="str">
            <v>VASOCAR -T 4*7 CES</v>
          </cell>
        </row>
        <row r="2907">
          <cell r="B2907" t="str">
            <v>FG07748</v>
          </cell>
          <cell r="C2907" t="str">
            <v>VENTOLINE AER.100UG 200 DOSES (EO)</v>
          </cell>
        </row>
        <row r="2908">
          <cell r="B2908" t="str">
            <v>FG07749</v>
          </cell>
          <cell r="C2908" t="str">
            <v>VILDA DENK 50MG B/28CES</v>
          </cell>
        </row>
        <row r="2909">
          <cell r="B2909" t="str">
            <v>FG07750</v>
          </cell>
          <cell r="C2909" t="str">
            <v>VILDISHAL 50MG B/30 CES</v>
          </cell>
        </row>
        <row r="2910">
          <cell r="B2910" t="str">
            <v>FG07751</v>
          </cell>
          <cell r="C2910" t="str">
            <v>VIT- B DENK B/ 10 X 10 CES (FR)</v>
          </cell>
        </row>
        <row r="2911">
          <cell r="B2911" t="str">
            <v>FG07752</v>
          </cell>
          <cell r="C2911" t="str">
            <v>VITA PLANET 100ML SP 1FL</v>
          </cell>
        </row>
        <row r="2912">
          <cell r="B2912" t="str">
            <v>FG07753</v>
          </cell>
          <cell r="C2912" t="str">
            <v>VITA ZINK SIROP 200ML</v>
          </cell>
        </row>
        <row r="2913">
          <cell r="B2913" t="str">
            <v>FG07754</v>
          </cell>
          <cell r="C2913" t="str">
            <v>VITALO --- ENF --- 15ML GOUTTE 1FL</v>
          </cell>
        </row>
        <row r="2914">
          <cell r="B2914" t="str">
            <v>FG07755</v>
          </cell>
          <cell r="C2914" t="str">
            <v>VITALO B/30 CAP 1BT</v>
          </cell>
        </row>
        <row r="2915">
          <cell r="B2915" t="str">
            <v>FG07756</v>
          </cell>
          <cell r="C2915" t="str">
            <v>VITALO PLUS 200ML SP 1FL</v>
          </cell>
        </row>
        <row r="2916">
          <cell r="B2916" t="str">
            <v>FG07757</v>
          </cell>
          <cell r="C2916" t="str">
            <v>VITAMINE E FORT B/20 GELUIL (FR)</v>
          </cell>
        </row>
        <row r="2917">
          <cell r="B2917" t="str">
            <v>FG07758</v>
          </cell>
          <cell r="C2917" t="str">
            <v>VITASIF 360 B/30 CAP</v>
          </cell>
        </row>
        <row r="2918">
          <cell r="B2918" t="str">
            <v>FG07759</v>
          </cell>
          <cell r="C2918" t="str">
            <v>VITASIF SYRUP 200ML</v>
          </cell>
        </row>
        <row r="2919">
          <cell r="B2919" t="str">
            <v>FG07760</v>
          </cell>
          <cell r="C2919" t="str">
            <v>VOGABOS 0.3MG CES B/30CES</v>
          </cell>
        </row>
        <row r="2920">
          <cell r="B2920" t="str">
            <v>FG07761</v>
          </cell>
          <cell r="C2920" t="str">
            <v>VOGLIMINE B/30CES</v>
          </cell>
        </row>
        <row r="2921">
          <cell r="B2921" t="str">
            <v>FG07762</v>
          </cell>
          <cell r="C2921" t="str">
            <v>ZADITEN 2MG***LP B/30CES (FR)</v>
          </cell>
        </row>
        <row r="2922">
          <cell r="B2922" t="str">
            <v>FG07763</v>
          </cell>
          <cell r="C2922" t="str">
            <v>ZEBU PLUS GEL</v>
          </cell>
        </row>
        <row r="2923">
          <cell r="B2923" t="str">
            <v>FG07764</v>
          </cell>
          <cell r="C2923" t="str">
            <v>ZEBU PLUS SPRAY</v>
          </cell>
        </row>
        <row r="2924">
          <cell r="B2924" t="str">
            <v>FG07765</v>
          </cell>
          <cell r="C2924" t="str">
            <v>ZEMA CREAM</v>
          </cell>
        </row>
        <row r="2925">
          <cell r="B2925" t="str">
            <v>FG07766</v>
          </cell>
          <cell r="C2925" t="str">
            <v>ZENAPETIT B/10 X10 CES (CYPROHEPTADINE)</v>
          </cell>
        </row>
        <row r="2926">
          <cell r="B2926" t="str">
            <v>FG07767</v>
          </cell>
          <cell r="C2926" t="str">
            <v>ZENATIT SUPER CES B/10X10</v>
          </cell>
        </row>
        <row r="2927">
          <cell r="B2927" t="str">
            <v>FG07768</v>
          </cell>
          <cell r="C2927" t="str">
            <v>ZENKOF B/55X2</v>
          </cell>
        </row>
        <row r="2928">
          <cell r="B2928" t="str">
            <v>FG07769</v>
          </cell>
          <cell r="C2928" t="str">
            <v>ZINGINALIS 500MG B/10SUPPO</v>
          </cell>
        </row>
        <row r="2929">
          <cell r="B2929" t="str">
            <v>FG07770</v>
          </cell>
          <cell r="C2929" t="str">
            <v>PHATKIN POMMADE ANTIGALE 35GR</v>
          </cell>
        </row>
        <row r="2930">
          <cell r="B2930" t="str">
            <v>FG07771</v>
          </cell>
          <cell r="C2930" t="str">
            <v>PHATKIN POMMADE AU DITRHANOL 0.15</v>
          </cell>
        </row>
        <row r="2931">
          <cell r="B2931" t="str">
            <v>FG07775</v>
          </cell>
          <cell r="C2931" t="str">
            <v>LOPINAVIR (LPV) + RITONAVIR (R), TABLETS 200+50MG B/90 CES</v>
          </cell>
        </row>
        <row r="2932">
          <cell r="B2932" t="str">
            <v>FG07776</v>
          </cell>
          <cell r="C2932" t="str">
            <v>LOPINAVIR (LPV) + RITONAVIR (R), TABLETS 100+25MG B/60 CES</v>
          </cell>
        </row>
        <row r="2933">
          <cell r="B2933" t="str">
            <v>FG07777</v>
          </cell>
          <cell r="C2933" t="str">
            <v>ATAZANAVIR (ATV) + RITONAVIR (R), TABLETS 300+100MG B/30 CES</v>
          </cell>
        </row>
        <row r="2934">
          <cell r="B2934" t="str">
            <v>FG07779</v>
          </cell>
          <cell r="C2934" t="str">
            <v>XYLOL 1LTR</v>
          </cell>
        </row>
        <row r="2935">
          <cell r="B2935" t="str">
            <v>FG07780</v>
          </cell>
          <cell r="C2935" t="str">
            <v>POUBELLE A PEDALE 18L</v>
          </cell>
        </row>
        <row r="2936">
          <cell r="B2936" t="str">
            <v>FG07781</v>
          </cell>
          <cell r="C2936" t="str">
            <v>PEDAL DUST BIN 5L</v>
          </cell>
        </row>
        <row r="2937">
          <cell r="B2937" t="str">
            <v>FG07784</v>
          </cell>
          <cell r="C2937" t="str">
            <v>BALANCE 300KG</v>
          </cell>
        </row>
        <row r="2938">
          <cell r="B2938" t="str">
            <v>FG07878</v>
          </cell>
          <cell r="C2938" t="str">
            <v>OK LUBRIFIANT (A LA MENTHE) GEL INTIME 100G</v>
          </cell>
        </row>
        <row r="2939">
          <cell r="B2939" t="str">
            <v>FG07879</v>
          </cell>
          <cell r="C2939" t="str">
            <v>OK LUBRIFIANT (A LA FRAISE) GEL INTIME 100G</v>
          </cell>
        </row>
        <row r="2940">
          <cell r="B2940" t="str">
            <v>FG07880</v>
          </cell>
          <cell r="C2940" t="str">
            <v>NAM COL ENF 10 ML GOUTTE NASAL</v>
          </cell>
        </row>
        <row r="2941">
          <cell r="B2941" t="str">
            <v>FG07902</v>
          </cell>
          <cell r="C2941" t="str">
            <v>CARDIURINE B/30CES</v>
          </cell>
        </row>
        <row r="2942">
          <cell r="B2942" t="str">
            <v>FG07903</v>
          </cell>
          <cell r="C2942" t="str">
            <v>CROMSOL COLLYRE 10ML (FR)</v>
          </cell>
        </row>
        <row r="2943">
          <cell r="B2943" t="str">
            <v>FG07904</v>
          </cell>
          <cell r="C2943" t="str">
            <v>FEBRILEX 150ML SUSP</v>
          </cell>
        </row>
        <row r="2944">
          <cell r="B2944" t="str">
            <v>FG07905</v>
          </cell>
          <cell r="C2944" t="str">
            <v>FLUOXINE 500MG B/10CES</v>
          </cell>
        </row>
        <row r="2945">
          <cell r="B2945" t="str">
            <v>FG07906</v>
          </cell>
          <cell r="C2945" t="str">
            <v>PROSTALEN 10MG B/30 CES</v>
          </cell>
        </row>
        <row r="2946">
          <cell r="B2946" t="str">
            <v>FG07908</v>
          </cell>
          <cell r="C2946" t="str">
            <v>ARTEPED ENF DRY SP 60 ML</v>
          </cell>
        </row>
        <row r="2947">
          <cell r="B2947" t="str">
            <v>FG07909</v>
          </cell>
          <cell r="C2947" t="str">
            <v>CEPRA S PLUS 1.5 INJ</v>
          </cell>
        </row>
        <row r="2948">
          <cell r="B2948" t="str">
            <v>FG07910</v>
          </cell>
          <cell r="C2948" t="str">
            <v>CLOMBICAL 7.1% GEL</v>
          </cell>
        </row>
        <row r="2949">
          <cell r="B2949" t="str">
            <v>FG07911</v>
          </cell>
          <cell r="C2949" t="str">
            <v>FIMOZOL SPRAY 10 ML</v>
          </cell>
        </row>
        <row r="2950">
          <cell r="B2950" t="str">
            <v>FG07912</v>
          </cell>
          <cell r="C2950" t="str">
            <v>Z CIN 500 MG 5 CES</v>
          </cell>
        </row>
        <row r="2951">
          <cell r="B2951" t="str">
            <v>FG07913</v>
          </cell>
          <cell r="C2951" t="str">
            <v>HIMALYA LIV 52 100 TAB</v>
          </cell>
        </row>
        <row r="2952">
          <cell r="B2952" t="str">
            <v>FG07914</v>
          </cell>
          <cell r="C2952" t="str">
            <v>HIMALAYA CYSTONE 60 TAB</v>
          </cell>
        </row>
        <row r="2953">
          <cell r="B2953" t="str">
            <v>FG07915</v>
          </cell>
          <cell r="C2953" t="str">
            <v>BARALMEX 10*10 CES</v>
          </cell>
        </row>
        <row r="2954">
          <cell r="B2954" t="str">
            <v>FG07916</v>
          </cell>
          <cell r="C2954" t="str">
            <v>CALVI D 30 CES</v>
          </cell>
        </row>
        <row r="2955">
          <cell r="B2955" t="str">
            <v>FG07917</v>
          </cell>
          <cell r="C2955" t="str">
            <v>CEZINC 50 MG 1X10 TAB</v>
          </cell>
        </row>
        <row r="2956">
          <cell r="B2956" t="str">
            <v>FG07918</v>
          </cell>
          <cell r="C2956" t="str">
            <v>DOMI - ST B/4 CES</v>
          </cell>
        </row>
        <row r="2957">
          <cell r="B2957" t="str">
            <v>FG07919</v>
          </cell>
          <cell r="C2957" t="str">
            <v>PLANTHER DP CES B/6</v>
          </cell>
        </row>
        <row r="2958">
          <cell r="B2958" t="str">
            <v>FG07920</v>
          </cell>
          <cell r="C2958" t="str">
            <v>CAL D EFFERVESCENT TAB 20</v>
          </cell>
        </row>
        <row r="2959">
          <cell r="B2959" t="str">
            <v>FG07921</v>
          </cell>
          <cell r="C2959" t="str">
            <v>SHAL'ARTEM DRY SP 60 ML</v>
          </cell>
        </row>
        <row r="2960">
          <cell r="B2960" t="str">
            <v>FG07922</v>
          </cell>
          <cell r="C2960" t="str">
            <v>CETHER-L ADULT B/6 CES</v>
          </cell>
        </row>
        <row r="2961">
          <cell r="B2961" t="str">
            <v>FG07923</v>
          </cell>
          <cell r="C2961" t="str">
            <v>CANDIYAR CRAME 15 GM</v>
          </cell>
        </row>
        <row r="2962">
          <cell r="B2962" t="str">
            <v>FG07924</v>
          </cell>
          <cell r="C2962" t="str">
            <v>INS - SCALPEL N°3, SOLID, GRADUATED</v>
          </cell>
        </row>
        <row r="2963">
          <cell r="B2963" t="str">
            <v>FG07925</v>
          </cell>
          <cell r="C2963" t="str">
            <v>INS - SCALPEL N°4, SOLID, GRADUATED</v>
          </cell>
        </row>
        <row r="2964">
          <cell r="B2964" t="str">
            <v>FG07926</v>
          </cell>
          <cell r="C2964" t="str">
            <v>INS - SCALPEL N°7, SOLID, 16CM</v>
          </cell>
        </row>
        <row r="2965">
          <cell r="B2965" t="str">
            <v>FG07927</v>
          </cell>
          <cell r="C2965" t="str">
            <v>INS - SCALPEL N°9, SOLID</v>
          </cell>
        </row>
        <row r="2966">
          <cell r="B2966" t="str">
            <v>FG07928</v>
          </cell>
          <cell r="C2966" t="str">
            <v>INS - STETHOSCOPE, FOETAL, PINARD, ALUMINIUM</v>
          </cell>
        </row>
        <row r="2967">
          <cell r="B2967" t="str">
            <v>FG07929</v>
          </cell>
          <cell r="C2967" t="str">
            <v>INS - STANDARD DISSECTING FORCEPS, 14.5CM</v>
          </cell>
        </row>
        <row r="2968">
          <cell r="B2968" t="str">
            <v>FG07930</v>
          </cell>
          <cell r="C2968" t="str">
            <v>INS - STANDARD DISSECTING FORCEPS, 18CM</v>
          </cell>
        </row>
        <row r="2969">
          <cell r="B2969" t="str">
            <v>FG07931</v>
          </cell>
          <cell r="C2969" t="str">
            <v>INS - STANDARD TISSUE FORCEPS, 14.5CM</v>
          </cell>
        </row>
        <row r="2970">
          <cell r="B2970" t="str">
            <v>FG07932</v>
          </cell>
          <cell r="C2970" t="str">
            <v>INS - STANDARD TISSUE FORCEPS, 18CM</v>
          </cell>
        </row>
        <row r="2971">
          <cell r="B2971" t="str">
            <v>FG07933</v>
          </cell>
          <cell r="C2971" t="str">
            <v>INS - PEAN HAEMOSTATIC FORCEPS, ROUND TIP,14CM</v>
          </cell>
        </row>
        <row r="2972">
          <cell r="B2972" t="str">
            <v>FG07934</v>
          </cell>
          <cell r="C2972" t="str">
            <v>INS - SPENCER-WELLS HAEMOSTATIC FORCEPS, STRAIGHT, 14CM</v>
          </cell>
        </row>
        <row r="2973">
          <cell r="B2973" t="str">
            <v>FG07935</v>
          </cell>
          <cell r="C2973" t="str">
            <v>INS - HALSTED-MOSQUITO HAEMOSTATIC FORCEPS, STRAIGHT, 12.5CM</v>
          </cell>
        </row>
        <row r="2974">
          <cell r="B2974" t="str">
            <v>FG07936</v>
          </cell>
          <cell r="C2974" t="str">
            <v>INS - HALSTED-MOSQUITO HAEMOSTATIC FORCEPS, CURVED, 12.5CM</v>
          </cell>
        </row>
        <row r="2975">
          <cell r="B2975" t="str">
            <v>FG07937</v>
          </cell>
          <cell r="C2975" t="str">
            <v>INS - PEAN HAEMOSTATIC FORCEPS, STRAIGHT, 14CM</v>
          </cell>
        </row>
        <row r="2976">
          <cell r="B2976" t="str">
            <v>FG07938</v>
          </cell>
          <cell r="C2976" t="str">
            <v>INS - PEAN HAEMOSTATIC FORCEPS, CURVED, 14CM</v>
          </cell>
        </row>
        <row r="2977">
          <cell r="B2977" t="str">
            <v>FG07939</v>
          </cell>
          <cell r="C2977" t="str">
            <v>INS - PEAN DELICATE HAEMOSTATIC FORCEPS, STRAIGHT, 18CM</v>
          </cell>
        </row>
        <row r="2978">
          <cell r="B2978" t="str">
            <v>FG07940</v>
          </cell>
          <cell r="C2978" t="str">
            <v>INS - KOCHER DELICATE HAEMOSTATIC FORCEPS, STRAIGHT, 18CM</v>
          </cell>
        </row>
        <row r="2979">
          <cell r="B2979" t="str">
            <v>FG07941</v>
          </cell>
          <cell r="C2979" t="str">
            <v>INS - ROCHESTER PEAN HAEMOSTATIC FORCEPS, STRAIGHT, 14CM</v>
          </cell>
        </row>
        <row r="2980">
          <cell r="B2980" t="str">
            <v>FG07942</v>
          </cell>
          <cell r="C2980" t="str">
            <v>INS - ROCHESTER PEAN HAEMOSTATIC FORCEPS, STRAIGHT, 18CM</v>
          </cell>
        </row>
        <row r="2981">
          <cell r="B2981" t="str">
            <v>FG07943</v>
          </cell>
          <cell r="C2981" t="str">
            <v>INS - ROCHESTER PEAN HAEMOSTATIC FORCEPS, CURVED, 16CM</v>
          </cell>
        </row>
        <row r="2982">
          <cell r="B2982" t="str">
            <v>FG07944</v>
          </cell>
          <cell r="C2982" t="str">
            <v>INS - HALSTED-MOSQUITO HAEMOSTATIC FORCEPS, CURVED, 14CM</v>
          </cell>
        </row>
        <row r="2983">
          <cell r="B2983" t="str">
            <v>FG07945</v>
          </cell>
          <cell r="C2983" t="str">
            <v>INS - HALSTED-MOSQUITO HAEMOSTATIC FORCEPS, STRAIGHT, 16 CM</v>
          </cell>
        </row>
        <row r="2984">
          <cell r="B2984" t="str">
            <v>FG07946</v>
          </cell>
          <cell r="C2984" t="str">
            <v>INS - HALSTED-MOSQUITO HAEMOSTATIC FORCEPS, CURVED, 16 CM</v>
          </cell>
        </row>
        <row r="2985">
          <cell r="B2985" t="str">
            <v>FG07947</v>
          </cell>
          <cell r="C2985" t="str">
            <v>INS - HALSTED-MOSQUITO HAEMOSTATIC FORCEPS, STRAIGHT, 14 CM</v>
          </cell>
        </row>
        <row r="2986">
          <cell r="B2986" t="str">
            <v>FG07948</v>
          </cell>
          <cell r="C2986" t="str">
            <v>INS - MURPHY-PEAN FORCEPS, STRAIGHT, 16CM</v>
          </cell>
        </row>
        <row r="2987">
          <cell r="B2987" t="str">
            <v>FG07949</v>
          </cell>
          <cell r="C2987" t="str">
            <v>INS - FOERSTER-BALLENGER SPONGE-DRESSING FORCEPS, SERRATED JAW, STRAIGHT, 25CM</v>
          </cell>
        </row>
        <row r="2988">
          <cell r="B2988" t="str">
            <v>FG07950</v>
          </cell>
          <cell r="C2988" t="str">
            <v>INS - INSTRUMENT TRAY+COVER 350X250X40MM</v>
          </cell>
        </row>
        <row r="2989">
          <cell r="B2989" t="str">
            <v>FG07951</v>
          </cell>
          <cell r="C2989" t="str">
            <v>INS - INSTRUMENT TRAY+COVER 300X200X50MM</v>
          </cell>
        </row>
        <row r="2990">
          <cell r="B2990" t="str">
            <v>FG07952</v>
          </cell>
          <cell r="C2990" t="str">
            <v>INS - KIDNEY TRAY, SS, 160MM</v>
          </cell>
        </row>
        <row r="2991">
          <cell r="B2991" t="str">
            <v>FG07953</v>
          </cell>
          <cell r="C2991" t="str">
            <v>INS - KIDNEY TRAY, SS, 250MM</v>
          </cell>
        </row>
        <row r="2992">
          <cell r="B2992" t="str">
            <v>FG07954</v>
          </cell>
          <cell r="C2992" t="str">
            <v>INS - KIDNEY TRAY, SS, 300MM</v>
          </cell>
        </row>
        <row r="2993">
          <cell r="B2993" t="str">
            <v>FG07955</v>
          </cell>
          <cell r="C2993" t="str">
            <v>INS - BED PAN - SLIPPER TYPE</v>
          </cell>
        </row>
        <row r="2994">
          <cell r="B2994" t="str">
            <v>FG07956</v>
          </cell>
          <cell r="C2994" t="str">
            <v>INS - BED PAN - FRACTURE TYPE</v>
          </cell>
        </row>
        <row r="2995">
          <cell r="B2995" t="str">
            <v>FG07957</v>
          </cell>
          <cell r="C2995" t="str">
            <v>INS - URINALS FEMALE SS</v>
          </cell>
        </row>
        <row r="2996">
          <cell r="B2996" t="str">
            <v>FG07958</v>
          </cell>
          <cell r="C2996" t="str">
            <v>INS - URINALS MALE SS</v>
          </cell>
        </row>
        <row r="2997">
          <cell r="B2997" t="str">
            <v>FG07959</v>
          </cell>
          <cell r="C2997" t="str">
            <v>INS - INSTRUMENT TRAY+COVER 225X125X50MM</v>
          </cell>
        </row>
        <row r="2998">
          <cell r="B2998" t="str">
            <v>FG07960</v>
          </cell>
          <cell r="C2998" t="str">
            <v>INS - INSTRUMENT TRAY+COVER 220X120X40MM</v>
          </cell>
        </row>
        <row r="2999">
          <cell r="B2999" t="str">
            <v>FG07961</v>
          </cell>
          <cell r="C2999" t="str">
            <v>DRESSING DRUM STAINLESS STEEL : DIA 175 X HEIGHT 175MM</v>
          </cell>
        </row>
        <row r="3000">
          <cell r="B3000" t="str">
            <v>FG07962</v>
          </cell>
          <cell r="C3000" t="str">
            <v>DRESSING DRUM STAINLESS STEEL : DIA 200 X HEIGHT 200MM</v>
          </cell>
        </row>
        <row r="3001">
          <cell r="B3001" t="str">
            <v>FG07963</v>
          </cell>
          <cell r="C3001" t="str">
            <v>DRESSING DRUM STAINLESS STEEL : DIA 250 X HEIGHT 200MM</v>
          </cell>
        </row>
        <row r="3002">
          <cell r="B3002" t="str">
            <v>FG07964</v>
          </cell>
          <cell r="C3002" t="str">
            <v>DRESSING DRUM STAINLESS STEEL : DIA 275 X HEIGHT 225 MM (11" X 9")</v>
          </cell>
        </row>
        <row r="3003">
          <cell r="B3003" t="str">
            <v>FG07965</v>
          </cell>
          <cell r="C3003" t="str">
            <v>DRESSING DRUM STAINLESS STEEL : DIA 300 X HEIGHT 150MM</v>
          </cell>
        </row>
        <row r="3004">
          <cell r="B3004" t="str">
            <v>FG07966</v>
          </cell>
          <cell r="C3004" t="str">
            <v>INS - CRILE-WOOD NEEDLE HOLDER, FINE PATTERN, 15CM</v>
          </cell>
        </row>
        <row r="3005">
          <cell r="B3005" t="str">
            <v>FG07967</v>
          </cell>
          <cell r="C3005" t="str">
            <v>INS - MAYO-HEGAR NEEDLE HOLDER, FINE PATTERN, 15CM</v>
          </cell>
        </row>
        <row r="3006">
          <cell r="B3006" t="str">
            <v>FG07968</v>
          </cell>
          <cell r="C3006" t="str">
            <v>INS - MAYO-HEGAR NEEDLE HOLDER, FINE PATTERN, 18CM</v>
          </cell>
        </row>
        <row r="3007">
          <cell r="B3007" t="str">
            <v>FG07969</v>
          </cell>
          <cell r="C3007" t="str">
            <v>BOITE - ACCOUCHEMENT COMPLETE</v>
          </cell>
        </row>
        <row r="3008">
          <cell r="B3008" t="str">
            <v>FG07970</v>
          </cell>
          <cell r="C3008" t="str">
            <v>BOITE - ACCOUCHEMENT-EPISIOTOMIE</v>
          </cell>
        </row>
        <row r="3009">
          <cell r="B3009" t="str">
            <v>FG07971</v>
          </cell>
          <cell r="C3009" t="str">
            <v>BOITE - CHIRURGIE DENTAIRE POUR ADULTE</v>
          </cell>
        </row>
        <row r="3010">
          <cell r="B3010" t="str">
            <v>FG07972</v>
          </cell>
          <cell r="C3010" t="str">
            <v>BOITE - CHIRURGIE DENTAIRE POUR ENFANT</v>
          </cell>
        </row>
        <row r="3011">
          <cell r="B3011" t="str">
            <v>FG07973</v>
          </cell>
          <cell r="C3011" t="str">
            <v>BOITE - CESARIENNE</v>
          </cell>
        </row>
        <row r="3012">
          <cell r="B3012" t="str">
            <v>FG07974</v>
          </cell>
          <cell r="C3012" t="str">
            <v>BOITE - CURETAGE</v>
          </cell>
        </row>
        <row r="3013">
          <cell r="B3013" t="str">
            <v>FG07975</v>
          </cell>
          <cell r="C3013" t="str">
            <v>BOITE - PANSEMENT</v>
          </cell>
        </row>
        <row r="3014">
          <cell r="B3014" t="str">
            <v>FG07976</v>
          </cell>
          <cell r="C3014" t="str">
            <v>BOITE - SUTURE</v>
          </cell>
        </row>
        <row r="3015">
          <cell r="B3015" t="str">
            <v>FG07977</v>
          </cell>
          <cell r="C3015" t="str">
            <v>BOITE - CHIRURGIE DE ENFANT</v>
          </cell>
        </row>
        <row r="3016">
          <cell r="B3016" t="str">
            <v>FG07978</v>
          </cell>
          <cell r="C3016" t="str">
            <v>BOITE - CHIRURGIE ENDOSCOPIQUE DES SINUS DU FESSIER (ORL)</v>
          </cell>
        </row>
        <row r="3017">
          <cell r="B3017" t="str">
            <v>FG07979</v>
          </cell>
          <cell r="C3017" t="str">
            <v>BOITE - GYNECOLOGIQUE</v>
          </cell>
        </row>
        <row r="3018">
          <cell r="B3018" t="str">
            <v>FG07980</v>
          </cell>
          <cell r="C3018" t="str">
            <v>BOITE - HYSTERECTOMIE</v>
          </cell>
        </row>
        <row r="3019">
          <cell r="B3019" t="str">
            <v>FG07981</v>
          </cell>
          <cell r="C3019" t="str">
            <v>BOITE - LAPAROTOMIE (GF)</v>
          </cell>
        </row>
        <row r="3020">
          <cell r="B3020" t="str">
            <v>FG07982</v>
          </cell>
          <cell r="C3020" t="str">
            <v>BOITE - LAPAROTOMIE (PF)</v>
          </cell>
        </row>
        <row r="3021">
          <cell r="B3021" t="str">
            <v>FG07983</v>
          </cell>
          <cell r="C3021" t="str">
            <v>BOITE - PINCES EXTRACTION DENTAIRE</v>
          </cell>
        </row>
        <row r="3022">
          <cell r="B3022" t="str">
            <v>FG07984</v>
          </cell>
          <cell r="C3022" t="str">
            <v>BOITE - PETITE CHIRURGIE</v>
          </cell>
        </row>
        <row r="3023">
          <cell r="B3023" t="str">
            <v>FG07985</v>
          </cell>
          <cell r="C3023" t="str">
            <v>BOITE - CHIRURGIE THORACOTOMIE ENFANT</v>
          </cell>
        </row>
        <row r="3024">
          <cell r="B3024" t="str">
            <v>FG07986</v>
          </cell>
          <cell r="C3024" t="str">
            <v>BOITE - APPENDICITE HERNIE</v>
          </cell>
        </row>
        <row r="3025">
          <cell r="B3025" t="str">
            <v>FG07987</v>
          </cell>
          <cell r="C3025" t="str">
            <v>BOITE - CHIRURGIE GENERALE COMPLETE</v>
          </cell>
        </row>
        <row r="3026">
          <cell r="B3026" t="str">
            <v>FG07988</v>
          </cell>
          <cell r="C3026" t="str">
            <v>BOITE - EXTRACTION DENTAIRE</v>
          </cell>
        </row>
        <row r="3027">
          <cell r="B3027" t="str">
            <v>FG07989</v>
          </cell>
          <cell r="C3027" t="str">
            <v>KIT EXAMEN DENTAIRE</v>
          </cell>
        </row>
        <row r="3028">
          <cell r="B3028" t="str">
            <v>FG07990</v>
          </cell>
          <cell r="C3028" t="str">
            <v>BOITE - ELEVATEUR DENTAIRE</v>
          </cell>
        </row>
        <row r="3029">
          <cell r="B3029" t="str">
            <v>FG07991</v>
          </cell>
          <cell r="C3029" t="str">
            <v>SPECULUM VAGINAL, GRAVES, 95X30MM (S)</v>
          </cell>
        </row>
        <row r="3030">
          <cell r="B3030" t="str">
            <v>FG07992</v>
          </cell>
          <cell r="C3030" t="str">
            <v>SPECULUM VAGINAL, GRAVES, 105X33MM (M)</v>
          </cell>
        </row>
        <row r="3031">
          <cell r="B3031" t="str">
            <v>FG07993</v>
          </cell>
          <cell r="C3031" t="str">
            <v>SPECULUM VAGINAL, GRAVES, 120X25MM (L)</v>
          </cell>
        </row>
        <row r="3032">
          <cell r="B3032" t="str">
            <v>FG07994</v>
          </cell>
          <cell r="C3032" t="str">
            <v>INS - OBSTETRICS‐PLACENTA AND OVUM CRANIOCLAST, BASIOTRIBE FORCEPS</v>
          </cell>
        </row>
        <row r="3033">
          <cell r="B3033" t="str">
            <v>FG07995</v>
          </cell>
          <cell r="C3033" t="str">
            <v>LARYNGOSCOPE À FIBRES OPTIQUES, MCINTOSH, 5 LAMES</v>
          </cell>
        </row>
        <row r="3034">
          <cell r="B3034" t="str">
            <v>FG07996</v>
          </cell>
          <cell r="C3034" t="str">
            <v>INS - INSTRUMENT TRAY 200X150X25MM</v>
          </cell>
        </row>
        <row r="3035">
          <cell r="B3035" t="str">
            <v>FG07997</v>
          </cell>
          <cell r="C3035" t="str">
            <v>INS - INSTRUMENT TRAY 300X200X25MM</v>
          </cell>
        </row>
        <row r="3036">
          <cell r="B3036" t="str">
            <v>FG07998</v>
          </cell>
          <cell r="C3036" t="str">
            <v>INS - INSTRUMENT TRAY 280X180X25MM</v>
          </cell>
        </row>
        <row r="3037">
          <cell r="B3037" t="str">
            <v>FG08001</v>
          </cell>
          <cell r="C3037" t="str">
            <v>BETASTENE 2 MG 20 CES DISP</v>
          </cell>
        </row>
        <row r="3038">
          <cell r="B3038" t="str">
            <v>FG08002</v>
          </cell>
          <cell r="C3038" t="str">
            <v>CETAFLAM 50 MG 20 CES</v>
          </cell>
        </row>
        <row r="3039">
          <cell r="B3039" t="str">
            <v>FG08003</v>
          </cell>
          <cell r="C3039" t="str">
            <v>GATISTAR COLLYER 5 ML</v>
          </cell>
        </row>
        <row r="3040">
          <cell r="B3040" t="str">
            <v>FG08004</v>
          </cell>
          <cell r="C3040" t="str">
            <v>IXINE 200 MG 10 CES</v>
          </cell>
        </row>
        <row r="3041">
          <cell r="B3041" t="str">
            <v>FG08005</v>
          </cell>
          <cell r="C3041" t="str">
            <v>OTRIVIN 0.1% NEBULISEUR 10 ML</v>
          </cell>
        </row>
        <row r="3042">
          <cell r="B3042" t="str">
            <v>FG08006</v>
          </cell>
          <cell r="C3042" t="str">
            <v>SUPRADYNE CITRON 10 CES EFF</v>
          </cell>
        </row>
        <row r="3043">
          <cell r="B3043" t="str">
            <v>FG08007</v>
          </cell>
          <cell r="C3043" t="str">
            <v>NO CHOL ( ASTROVASTATINE) 20 MG 3X10 CES</v>
          </cell>
        </row>
        <row r="3044">
          <cell r="B3044" t="str">
            <v>FG08008</v>
          </cell>
          <cell r="C3044" t="str">
            <v>NO CHOL ( ASTROVASTATINE) 10 MG 3X10 CES</v>
          </cell>
        </row>
        <row r="3045">
          <cell r="B3045" t="str">
            <v>FG08009</v>
          </cell>
          <cell r="C3045" t="str">
            <v>CALBONE ( CALCIUM + VITA D3) 200 ML</v>
          </cell>
        </row>
        <row r="3046">
          <cell r="B3046" t="str">
            <v>FG08010</v>
          </cell>
          <cell r="C3046" t="str">
            <v>DIGEST - ON B/10 SACHET</v>
          </cell>
        </row>
        <row r="3047">
          <cell r="B3047" t="str">
            <v>FG08011</v>
          </cell>
          <cell r="C3047" t="str">
            <v>ARAUCLAV (AMOXI+CLAVULANATE) 562.5MG B/2 X 8 CES</v>
          </cell>
        </row>
        <row r="3048">
          <cell r="B3048" t="str">
            <v>FG08012</v>
          </cell>
          <cell r="C3048" t="str">
            <v>FERROTONE SOFTGEL B/5X10 CAP</v>
          </cell>
        </row>
        <row r="3049">
          <cell r="B3049" t="str">
            <v>FG08013</v>
          </cell>
          <cell r="C3049" t="str">
            <v>GOFEN 400 SOFTGEL B/6X10 CAP</v>
          </cell>
        </row>
        <row r="3050">
          <cell r="B3050" t="str">
            <v>FG08014</v>
          </cell>
          <cell r="C3050" t="str">
            <v>NAT B SOFTGEL B/3X10 CAP</v>
          </cell>
        </row>
        <row r="3051">
          <cell r="B3051" t="str">
            <v>FG08015</v>
          </cell>
          <cell r="C3051" t="str">
            <v>METRONIDAZOLE 250MG B/25X10CES</v>
          </cell>
        </row>
        <row r="3052">
          <cell r="B3052" t="str">
            <v>FG08016</v>
          </cell>
          <cell r="C3052" t="str">
            <v>VI-JOHN 22° (PAPAYA) BEAUTY SOAP</v>
          </cell>
        </row>
        <row r="3053">
          <cell r="B3053" t="str">
            <v>FG08017</v>
          </cell>
          <cell r="C3053" t="str">
            <v>VI-JOHN 22° COOLING TALC</v>
          </cell>
        </row>
        <row r="3054">
          <cell r="B3054" t="str">
            <v>FG08018</v>
          </cell>
          <cell r="C3054" t="str">
            <v>GEL POUR ECHOGRAPHIE 200ML</v>
          </cell>
        </row>
        <row r="3055">
          <cell r="B3055" t="str">
            <v>FG08027</v>
          </cell>
          <cell r="C3055" t="str">
            <v>ARCOXIA 120MG B/7CES</v>
          </cell>
        </row>
        <row r="3056">
          <cell r="B3056" t="str">
            <v>FG08033</v>
          </cell>
          <cell r="C3056" t="str">
            <v>KAMOBAC 125 MG 60 ML SP</v>
          </cell>
        </row>
        <row r="3057">
          <cell r="B3057" t="str">
            <v>FG08034</v>
          </cell>
          <cell r="C3057" t="str">
            <v>OMG - 3 ( FISH LEVER OIL) SOFT GELATING 2X10 CAPS</v>
          </cell>
        </row>
        <row r="3058">
          <cell r="B3058" t="str">
            <v>FG08038</v>
          </cell>
          <cell r="C3058" t="str">
            <v>PLAQUER 2*15 CES</v>
          </cell>
        </row>
        <row r="3059">
          <cell r="B3059" t="str">
            <v>FG08039</v>
          </cell>
          <cell r="C3059" t="str">
            <v>CANDERM DUSTING POWEDER 100 GM</v>
          </cell>
        </row>
        <row r="3060">
          <cell r="B3060" t="str">
            <v>FG08040</v>
          </cell>
          <cell r="C3060" t="str">
            <v>PATOUX HERBAL LOZNGES 3X80X1 PCS</v>
          </cell>
        </row>
        <row r="3061">
          <cell r="B3061" t="str">
            <v>FG08041</v>
          </cell>
          <cell r="C3061" t="str">
            <v>VOTASIF 360 B/30 CAP</v>
          </cell>
        </row>
        <row r="3062">
          <cell r="B3062" t="str">
            <v>FG08042</v>
          </cell>
          <cell r="C3062" t="str">
            <v>LOSSCARD- H B/30 CES</v>
          </cell>
        </row>
        <row r="3063">
          <cell r="B3063" t="str">
            <v>FG08043</v>
          </cell>
          <cell r="C3063" t="str">
            <v>CALBONE B/10*15 CES</v>
          </cell>
        </row>
        <row r="3064">
          <cell r="B3064" t="str">
            <v>FG08044</v>
          </cell>
          <cell r="C3064" t="str">
            <v>BECODERM 50 GM POUDRE LEMON</v>
          </cell>
        </row>
        <row r="3065">
          <cell r="B3065" t="str">
            <v>FG08050</v>
          </cell>
          <cell r="C3065" t="str">
            <v>METRE TYRAN CLAIR 3MTR (3M-T) *1PCS</v>
          </cell>
        </row>
        <row r="3066">
          <cell r="B3066" t="str">
            <v>FG08052</v>
          </cell>
          <cell r="C3066" t="str">
            <v>PANADOL 1 GR 20 CES</v>
          </cell>
        </row>
        <row r="3067">
          <cell r="B3067" t="str">
            <v>FG08073</v>
          </cell>
          <cell r="C3067" t="str">
            <v>GROUPAGE ANTI-AB</v>
          </cell>
        </row>
        <row r="3068">
          <cell r="B3068" t="str">
            <v>FG08089</v>
          </cell>
          <cell r="C3068" t="str">
            <v>GROUPAGE ANTI-B</v>
          </cell>
        </row>
        <row r="3069">
          <cell r="B3069" t="str">
            <v>FG08090</v>
          </cell>
          <cell r="C3069" t="str">
            <v>GROUPAGE ANTI-D</v>
          </cell>
        </row>
        <row r="3070">
          <cell r="B3070" t="str">
            <v>FG08098</v>
          </cell>
          <cell r="C3070" t="str">
            <v>DAWAKOF 100 ML SP 60 ML</v>
          </cell>
        </row>
        <row r="3071">
          <cell r="B3071" t="str">
            <v>FG08099</v>
          </cell>
          <cell r="C3071" t="str">
            <v>PROX LOZENGES ( BOMBON) B/200</v>
          </cell>
        </row>
        <row r="3072">
          <cell r="B3072" t="str">
            <v>FG08100</v>
          </cell>
          <cell r="C3072" t="str">
            <v>EXTRA POWER 10 CES</v>
          </cell>
        </row>
        <row r="3073">
          <cell r="B3073" t="str">
            <v>FG08101</v>
          </cell>
          <cell r="C3073" t="str">
            <v>TADALAFIL BUOGARAN 10 MG 4 CES</v>
          </cell>
        </row>
        <row r="3074">
          <cell r="B3074" t="str">
            <v>FG08124</v>
          </cell>
          <cell r="C3074" t="str">
            <v>DIASTOP FL/60ML (FR)</v>
          </cell>
        </row>
        <row r="3075">
          <cell r="B3075" t="str">
            <v>FG08125</v>
          </cell>
          <cell r="C3075" t="str">
            <v>TRAVONORM PLUS 40MG/5MG COLLYER 5 ML</v>
          </cell>
        </row>
        <row r="3076">
          <cell r="B3076" t="str">
            <v>FG08128</v>
          </cell>
          <cell r="C3076" t="str">
            <v>DICODOL PLUS CES 10*10</v>
          </cell>
        </row>
        <row r="3077">
          <cell r="B3077" t="str">
            <v>FG08129</v>
          </cell>
          <cell r="C3077" t="str">
            <v>D-ZYME SYRUP 200 ML</v>
          </cell>
        </row>
        <row r="3078">
          <cell r="B3078" t="str">
            <v>FG08130</v>
          </cell>
          <cell r="C3078" t="str">
            <v>DUFAGEL B/10 CAP</v>
          </cell>
        </row>
        <row r="3079">
          <cell r="B3079" t="str">
            <v>FG08131</v>
          </cell>
          <cell r="C3079" t="str">
            <v>ELEFER-Z 150 ML SP</v>
          </cell>
        </row>
        <row r="3080">
          <cell r="B3080" t="str">
            <v>FG08132</v>
          </cell>
          <cell r="C3080" t="str">
            <v>FAST QUICK GEL 30 GM</v>
          </cell>
        </row>
        <row r="3081">
          <cell r="B3081" t="str">
            <v>FG08133</v>
          </cell>
          <cell r="C3081" t="str">
            <v>METROX 60 ML SP</v>
          </cell>
        </row>
        <row r="3082">
          <cell r="B3082" t="str">
            <v>FG08134</v>
          </cell>
          <cell r="C3082" t="str">
            <v>MISOPLA PLUS B/4 CES</v>
          </cell>
        </row>
        <row r="3083">
          <cell r="B3083" t="str">
            <v>FG08135</v>
          </cell>
          <cell r="C3083" t="str">
            <v>PLACLAV 1.2 GM INJECTABLE</v>
          </cell>
        </row>
        <row r="3084">
          <cell r="B3084" t="str">
            <v>FG08136</v>
          </cell>
          <cell r="C3084" t="str">
            <v>PLAMEGA 3.6.9 B/30 SOFT GEL</v>
          </cell>
        </row>
        <row r="3085">
          <cell r="B3085" t="str">
            <v>FG08137</v>
          </cell>
          <cell r="C3085" t="str">
            <v>PLANET TOUX 100 ML SP</v>
          </cell>
        </row>
        <row r="3086">
          <cell r="B3086" t="str">
            <v>FG08138</v>
          </cell>
          <cell r="C3086" t="str">
            <v>PLANET COLD 25X4 CES</v>
          </cell>
        </row>
        <row r="3087">
          <cell r="B3087" t="str">
            <v>FG08139</v>
          </cell>
          <cell r="C3087" t="str">
            <v>PLANET COLD 100 ML SP</v>
          </cell>
        </row>
        <row r="3088">
          <cell r="B3088" t="str">
            <v>FG08140</v>
          </cell>
          <cell r="C3088" t="str">
            <v>TOBRAXIN 0.3% 5 ML COLLYER</v>
          </cell>
        </row>
        <row r="3089">
          <cell r="B3089" t="str">
            <v>FG08141</v>
          </cell>
          <cell r="C3089" t="str">
            <v>TOBRAXIN 80 MG/2 ML 1 VIAL</v>
          </cell>
        </row>
        <row r="3090">
          <cell r="B3090" t="str">
            <v>FG08142</v>
          </cell>
          <cell r="C3090" t="str">
            <v>URISTONE B/100 TAB</v>
          </cell>
        </row>
        <row r="3091">
          <cell r="B3091" t="str">
            <v>FG08143</v>
          </cell>
          <cell r="C3091" t="str">
            <v>VITA ACTIVE 100 ML SP</v>
          </cell>
        </row>
        <row r="3092">
          <cell r="B3092" t="str">
            <v>FG08144</v>
          </cell>
          <cell r="C3092" t="str">
            <v>VITA ACTIVE B/30 CAP</v>
          </cell>
        </row>
        <row r="3093">
          <cell r="B3093" t="str">
            <v>FG08145</v>
          </cell>
          <cell r="C3093" t="str">
            <v>SHAL'ARTEM FORTE 1X6 TAB</v>
          </cell>
        </row>
        <row r="3094">
          <cell r="B3094" t="str">
            <v>FG08146</v>
          </cell>
          <cell r="C3094" t="str">
            <v>THYMAIR DENK B/20 CES</v>
          </cell>
        </row>
        <row r="3095">
          <cell r="B3095" t="str">
            <v>FG08147</v>
          </cell>
          <cell r="C3095" t="str">
            <v>DIAZOLEX (ONGUENT POUR APPLICATION CUTANEE) 80G POMMADE</v>
          </cell>
        </row>
        <row r="3096">
          <cell r="B3096" t="str">
            <v>FG08153</v>
          </cell>
          <cell r="C3096" t="str">
            <v>PATOUX HERBAL HONEY LEMON LOZ JAR 100 PCS</v>
          </cell>
        </row>
        <row r="3097">
          <cell r="B3097" t="str">
            <v>FG08154</v>
          </cell>
          <cell r="C3097" t="str">
            <v>AMLOTEN 5 MG ( AMLODIPINE) B/30 CAPS</v>
          </cell>
        </row>
        <row r="3098">
          <cell r="B3098" t="str">
            <v>FG08155</v>
          </cell>
          <cell r="C3098" t="str">
            <v>DIAZEX 10MG 10X10 CES</v>
          </cell>
        </row>
        <row r="3099">
          <cell r="B3099" t="str">
            <v>FG08156</v>
          </cell>
          <cell r="C3099" t="str">
            <v>VILDISHAL-M 50MG/1000 B/30 CES</v>
          </cell>
        </row>
        <row r="3100">
          <cell r="B3100" t="str">
            <v>FG08157</v>
          </cell>
          <cell r="C3100" t="str">
            <v>VILDISHAL-M 50MG/500 B/30 CES</v>
          </cell>
        </row>
        <row r="3101">
          <cell r="B3101" t="str">
            <v>FG08158</v>
          </cell>
          <cell r="C3101" t="str">
            <v>BIEN MANAGER PLUS B/2 X 20 CES</v>
          </cell>
        </row>
        <row r="3102">
          <cell r="B3102" t="str">
            <v>FG08159</v>
          </cell>
          <cell r="C3102" t="str">
            <v>CELEBREX 100 MG CAP B/30</v>
          </cell>
        </row>
        <row r="3103">
          <cell r="B3103" t="str">
            <v>FG08161</v>
          </cell>
          <cell r="C3103" t="str">
            <v>FLAMINGO HINGED KNEE CAP (XXL)</v>
          </cell>
        </row>
        <row r="3104">
          <cell r="B3104" t="str">
            <v>FG08162</v>
          </cell>
          <cell r="C3104" t="str">
            <v>FLAMINGO HINGED KNEE CAP (XXXL)</v>
          </cell>
        </row>
        <row r="3105">
          <cell r="B3105" t="str">
            <v>FG08163</v>
          </cell>
          <cell r="C3105" t="str">
            <v>FLAMINGO RIB BELT (XXL)</v>
          </cell>
        </row>
        <row r="3106">
          <cell r="B3106" t="str">
            <v>FG08164</v>
          </cell>
          <cell r="C3106" t="str">
            <v>FLAMINGO STERNAL SPLINT BELT (XXXL)</v>
          </cell>
        </row>
        <row r="3107">
          <cell r="B3107" t="str">
            <v>FG08165</v>
          </cell>
          <cell r="C3107" t="str">
            <v>FLAMINGO CALF SUPPORT (XXXL)</v>
          </cell>
        </row>
        <row r="3108">
          <cell r="B3108" t="str">
            <v>FG08166</v>
          </cell>
          <cell r="C3108" t="str">
            <v>FLAMINGO THIGH SUPPORT (XXL)</v>
          </cell>
        </row>
        <row r="3109">
          <cell r="B3109" t="str">
            <v>FG08167</v>
          </cell>
          <cell r="C3109" t="str">
            <v>FLAMINGO THIGH SUPPORT (XXXL)</v>
          </cell>
        </row>
        <row r="3110">
          <cell r="B3110" t="str">
            <v>FG08168</v>
          </cell>
          <cell r="C3110" t="str">
            <v>FLAMINGO ARM IMMOBILIZER (XXL)</v>
          </cell>
        </row>
        <row r="3111">
          <cell r="B3111" t="str">
            <v>FG08169</v>
          </cell>
          <cell r="C3111" t="str">
            <v>FLAMINGO WRIST COCK-UP SPLINT (XXL)</v>
          </cell>
        </row>
        <row r="3112">
          <cell r="B3112" t="str">
            <v>FG08170</v>
          </cell>
          <cell r="C3112" t="str">
            <v>FLAMINGO HYPER EXTENSION BRACE LONG</v>
          </cell>
        </row>
        <row r="3113">
          <cell r="B3113" t="str">
            <v>FG08171</v>
          </cell>
          <cell r="C3113" t="str">
            <v>FLAMINGO HYPER EXTENSION BRACE SHORT</v>
          </cell>
        </row>
        <row r="3114">
          <cell r="B3114" t="str">
            <v>FG08172</v>
          </cell>
          <cell r="C3114" t="str">
            <v>FLAMINGO CAST SHOE (XL)</v>
          </cell>
        </row>
        <row r="3115">
          <cell r="B3115" t="str">
            <v>FG08173</v>
          </cell>
          <cell r="C3115" t="str">
            <v>FLAMINGO COCCYX CUSHION HARD</v>
          </cell>
        </row>
        <row r="3116">
          <cell r="B3116" t="str">
            <v>FG08174</v>
          </cell>
          <cell r="C3116" t="str">
            <v>FLAMINGO WEIGHT CUFF 0.5KG</v>
          </cell>
        </row>
        <row r="3117">
          <cell r="B3117" t="str">
            <v>FG08175</v>
          </cell>
          <cell r="C3117" t="str">
            <v>FLAMINGO WEIGHT CUFF 1KG</v>
          </cell>
        </row>
        <row r="3118">
          <cell r="B3118" t="str">
            <v>FG08176</v>
          </cell>
          <cell r="C3118" t="str">
            <v>FLAMINGO WEIGHT CUFF 2KG</v>
          </cell>
        </row>
        <row r="3119">
          <cell r="B3119" t="str">
            <v>FG08177</v>
          </cell>
          <cell r="C3119" t="str">
            <v>FLAMINGO GEL STIRRUP ANKLE BRACE-U</v>
          </cell>
        </row>
        <row r="3120">
          <cell r="B3120" t="str">
            <v>FG08178</v>
          </cell>
          <cell r="C3120" t="str">
            <v>FLAMINGO GEL MEDIAL ARCH SUPPORT (S)</v>
          </cell>
        </row>
        <row r="3121">
          <cell r="B3121" t="str">
            <v>FG08179</v>
          </cell>
          <cell r="C3121" t="str">
            <v>FLAMINGO GEL MEDIAL ARCH SUPPORT (M)</v>
          </cell>
        </row>
        <row r="3122">
          <cell r="B3122" t="str">
            <v>FG08180</v>
          </cell>
          <cell r="C3122" t="str">
            <v>FLAMINGO GEL MEDIAL ARCH SUPPORT (L)</v>
          </cell>
        </row>
        <row r="3123">
          <cell r="B3123" t="str">
            <v>FG08181</v>
          </cell>
          <cell r="C3123" t="str">
            <v>FLAMINGO GEL MEDIAL ARCH SUPPORT (XL)</v>
          </cell>
        </row>
        <row r="3124">
          <cell r="B3124" t="str">
            <v>FG08182</v>
          </cell>
          <cell r="C3124" t="str">
            <v>FLAMINGO PAVLIK HARNESS (S)</v>
          </cell>
        </row>
        <row r="3125">
          <cell r="B3125" t="str">
            <v>FG08183</v>
          </cell>
          <cell r="C3125" t="str">
            <v>FLAMINGO PAVLIK HARNESS (M)</v>
          </cell>
        </row>
        <row r="3126">
          <cell r="B3126" t="str">
            <v>FG08184</v>
          </cell>
          <cell r="C3126" t="str">
            <v>FLAMINGO PAVLIK HARNESS (L)</v>
          </cell>
        </row>
        <row r="3127">
          <cell r="B3127" t="str">
            <v>FG08185</v>
          </cell>
          <cell r="C3127" t="str">
            <v>FLAMINGO PAVLIK HARNESS (XS)</v>
          </cell>
        </row>
        <row r="3128">
          <cell r="B3128" t="str">
            <v>FG08186</v>
          </cell>
          <cell r="C3128" t="str">
            <v>FLAMINGO PAVLIK HARNESS (XXS)</v>
          </cell>
        </row>
        <row r="3129">
          <cell r="B3129" t="str">
            <v>FG08187</v>
          </cell>
          <cell r="C3129" t="str">
            <v>FLAMISTRETCH (LATEX EXERCISE BAND) - LIGHT</v>
          </cell>
        </row>
        <row r="3130">
          <cell r="B3130" t="str">
            <v>FG08188</v>
          </cell>
          <cell r="C3130" t="str">
            <v>FLAMISTRETCH (LATEX EXERCISE BAND) - MEDIUM</v>
          </cell>
        </row>
        <row r="3131">
          <cell r="B3131" t="str">
            <v>FG08189</v>
          </cell>
          <cell r="C3131" t="str">
            <v>FLAMISTRETCH (LATEX EXERCISE BAND) - HEAVY</v>
          </cell>
        </row>
        <row r="3132">
          <cell r="B3132" t="str">
            <v>FG08190</v>
          </cell>
          <cell r="C3132" t="str">
            <v>FLAMINGO ANTI-EMBOLISM BELOW KNEE STOCKINGS (PAIR) (S)</v>
          </cell>
        </row>
        <row r="3133">
          <cell r="B3133" t="str">
            <v>FG08191</v>
          </cell>
          <cell r="C3133" t="str">
            <v>FLAMINGO ANTI-EMBOLISM BELOW KNEE STOCKINGS (PAIR) (M)</v>
          </cell>
        </row>
        <row r="3134">
          <cell r="B3134" t="str">
            <v>FG08192</v>
          </cell>
          <cell r="C3134" t="str">
            <v>FLAMINGO ANTI-EMBOLISM BELOW KNEE STOCKINGS (PAIR) (L)</v>
          </cell>
        </row>
        <row r="3135">
          <cell r="B3135" t="str">
            <v>FG08193</v>
          </cell>
          <cell r="C3135" t="str">
            <v>FLAMINGO ANTI-EMBOLISM BELOW KNEE STOCKINGS (PAIR) (XL)</v>
          </cell>
        </row>
        <row r="3136">
          <cell r="B3136" t="str">
            <v>FG08194</v>
          </cell>
          <cell r="C3136" t="str">
            <v>FLAMINGO ANTI-EMBOLISM BELOW KNEE STOCKINGS (PAIR) (XXL)</v>
          </cell>
        </row>
        <row r="3137">
          <cell r="B3137" t="str">
            <v>FG08195</v>
          </cell>
          <cell r="C3137" t="str">
            <v>FLAMINGO ANTI-EMBOLISM BELOW KNEE STOCKINGS (PAIR) (XXXL)</v>
          </cell>
        </row>
        <row r="3138">
          <cell r="B3138" t="str">
            <v>FG08196</v>
          </cell>
          <cell r="C3138" t="str">
            <v>FLAMINGO ANTI-EMBOLISM ABOVE KNEE STOCKINS (PAIR) S</v>
          </cell>
        </row>
        <row r="3139">
          <cell r="B3139" t="str">
            <v>FG08197</v>
          </cell>
          <cell r="C3139" t="str">
            <v>FLAMINGO ANTI-EMBOLISM ABOVE KNEE STOCKINS (PAIR) M</v>
          </cell>
        </row>
        <row r="3140">
          <cell r="B3140" t="str">
            <v>FG08198</v>
          </cell>
          <cell r="C3140" t="str">
            <v>FLAMINGO ANTI-EMBOLISM ABOVE KNEE STOCKINS (PAIR) L</v>
          </cell>
        </row>
        <row r="3141">
          <cell r="B3141" t="str">
            <v>FG08199</v>
          </cell>
          <cell r="C3141" t="str">
            <v>FLAMINGO ANTI-EMBOLISM ABOVE KNEE STOCKINS (PAIR) XL</v>
          </cell>
        </row>
        <row r="3142">
          <cell r="B3142" t="str">
            <v>FG08200</v>
          </cell>
          <cell r="C3142" t="str">
            <v>FLAMINGO ANTI-EMBOLISM ABOVE KNEE STOCKINS (PAIR) XXL</v>
          </cell>
        </row>
        <row r="3143">
          <cell r="B3143" t="str">
            <v>FG08201</v>
          </cell>
          <cell r="C3143" t="str">
            <v>FLAMINGO ANTI-EMBOLISM ABOVE KNEE STOCKINS (PAIR) XXXL</v>
          </cell>
        </row>
        <row r="3144">
          <cell r="B3144" t="str">
            <v>FG08202</v>
          </cell>
          <cell r="C3144" t="str">
            <v>FLAMINGO MEDICAL COMPRESSION STOCKINGS BELOW KNEE (S)</v>
          </cell>
        </row>
        <row r="3145">
          <cell r="B3145" t="str">
            <v>FG08203</v>
          </cell>
          <cell r="C3145" t="str">
            <v>FLAMINGO MEDICAL COMPRESSION STOCKINGS BELOW KNEE (M)</v>
          </cell>
        </row>
        <row r="3146">
          <cell r="B3146" t="str">
            <v>FG08204</v>
          </cell>
          <cell r="C3146" t="str">
            <v>FLAMINGO MEDICAL COMPRESSION STOCKINGS BELOW KNEE (L)</v>
          </cell>
        </row>
        <row r="3147">
          <cell r="B3147" t="str">
            <v>FG08205</v>
          </cell>
          <cell r="C3147" t="str">
            <v>FLAMINGO MEDICAL COMPRESSION STOCKINGS BELOW KNEE (XL)</v>
          </cell>
        </row>
        <row r="3148">
          <cell r="B3148" t="str">
            <v>FG08206</v>
          </cell>
          <cell r="C3148" t="str">
            <v>FLAMINGO MEDICAL COMPRESSION STOCKINGS BELOW KNEE (XXL)</v>
          </cell>
        </row>
        <row r="3149">
          <cell r="B3149" t="str">
            <v>FG08207</v>
          </cell>
          <cell r="C3149" t="str">
            <v>FLAMINGO MEDICAL COMPRESSION STOCKINGS BELOW KNEE (XXXL)</v>
          </cell>
        </row>
        <row r="3150">
          <cell r="B3150" t="str">
            <v>FG08208</v>
          </cell>
          <cell r="C3150" t="str">
            <v>FLAMINGO MEDICAL COMPRES STOCKINGS ABOVE KNEE (S)</v>
          </cell>
        </row>
        <row r="3151">
          <cell r="B3151" t="str">
            <v>FG08209</v>
          </cell>
          <cell r="C3151" t="str">
            <v>FLAMINGO MEDICAL COMPRES STOCKINGS ABOVE KNEE (XXXL)</v>
          </cell>
        </row>
        <row r="3152">
          <cell r="B3152" t="str">
            <v>FG08210</v>
          </cell>
          <cell r="C3152" t="str">
            <v>FLAMINGO POSTURE BRACE (S)</v>
          </cell>
        </row>
        <row r="3153">
          <cell r="B3153" t="str">
            <v>FG08211</v>
          </cell>
          <cell r="C3153" t="str">
            <v>FLAMINGO POSTURE BRACE (M)</v>
          </cell>
        </row>
        <row r="3154">
          <cell r="B3154" t="str">
            <v>FG08212</v>
          </cell>
          <cell r="C3154" t="str">
            <v>FLAMINGO POSTURE BRACE (L)</v>
          </cell>
        </row>
        <row r="3155">
          <cell r="B3155" t="str">
            <v>FG08213</v>
          </cell>
          <cell r="C3155" t="str">
            <v>FLAMINGO POSTURE BRACE (XL)</v>
          </cell>
        </row>
        <row r="3156">
          <cell r="B3156" t="str">
            <v>FG08214</v>
          </cell>
          <cell r="C3156" t="str">
            <v>FLAMINGO POSTURE BRACE (XXL)</v>
          </cell>
        </row>
        <row r="3157">
          <cell r="B3157" t="str">
            <v>FG08215</v>
          </cell>
          <cell r="C3157" t="str">
            <v>FLAMINGO POSTURE BRACE (XXXL)</v>
          </cell>
        </row>
        <row r="3158">
          <cell r="B3158" t="str">
            <v>FG08216</v>
          </cell>
          <cell r="C3158" t="str">
            <v>FLAMINGO ABS WRAP (NEOPRENE) (S)</v>
          </cell>
        </row>
        <row r="3159">
          <cell r="B3159" t="str">
            <v>FG08217</v>
          </cell>
          <cell r="C3159" t="str">
            <v>FLAMINGO ABS WRAP (NEOPRENE) (M)</v>
          </cell>
        </row>
        <row r="3160">
          <cell r="B3160" t="str">
            <v>FG08218</v>
          </cell>
          <cell r="C3160" t="str">
            <v>FLAMINGO ABS WRAP (NEOPRENE) (L)</v>
          </cell>
        </row>
        <row r="3161">
          <cell r="B3161" t="str">
            <v>FG08219</v>
          </cell>
          <cell r="C3161" t="str">
            <v>FLAMINGO ADJUSTABLE BACK SUPPORT (NEOPRENE) (U)</v>
          </cell>
        </row>
        <row r="3162">
          <cell r="B3162" t="str">
            <v>FG08220</v>
          </cell>
          <cell r="C3162" t="str">
            <v>FLAMINGO WRIST/THUMB ABDUCTION BRACE LEFT (NEOPRENE) (S)</v>
          </cell>
        </row>
        <row r="3163">
          <cell r="B3163" t="str">
            <v>FG08221</v>
          </cell>
          <cell r="C3163" t="str">
            <v>FLAMINGO WRIST/THUMB ABDUCTION BRACE LEFT (NEOPRENE) (M)</v>
          </cell>
        </row>
        <row r="3164">
          <cell r="B3164" t="str">
            <v>FG08222</v>
          </cell>
          <cell r="C3164" t="str">
            <v>FLAMINGO WRIST/THUMB ABDUCTION BRACE LEFT (NEOPRENE) (L)</v>
          </cell>
        </row>
        <row r="3165">
          <cell r="B3165" t="str">
            <v>FG08223</v>
          </cell>
          <cell r="C3165" t="str">
            <v>FLAMINGO WRIST/THUMB ABDUCTION BRACE LEFT (NEOPRENE) (XL)</v>
          </cell>
        </row>
        <row r="3166">
          <cell r="B3166" t="str">
            <v>FG08224</v>
          </cell>
          <cell r="C3166" t="str">
            <v>FLAMINGO WRIST/THUMB ABDUCTION BRACE LEFT (NEOPRENE) (XXL)</v>
          </cell>
        </row>
        <row r="3167">
          <cell r="B3167" t="str">
            <v>FG08225</v>
          </cell>
          <cell r="C3167" t="str">
            <v>FLAMINGO WRIST/THUMB ABDUCTION BRACE RIGHT (NEOPRENE) (S)</v>
          </cell>
        </row>
        <row r="3168">
          <cell r="B3168" t="str">
            <v>FG08226</v>
          </cell>
          <cell r="C3168" t="str">
            <v>FLAMINGO WRIST/THUMB ABDUCTION BRACE RIGHT (NEOPRENE) (M)</v>
          </cell>
        </row>
        <row r="3169">
          <cell r="B3169" t="str">
            <v>FG08227</v>
          </cell>
          <cell r="C3169" t="str">
            <v>FLAMINGO WRIST/THUMB ABDUCTION BRACE RIGHT (NEOPRENE) (L)</v>
          </cell>
        </row>
        <row r="3170">
          <cell r="B3170" t="str">
            <v>FG08228</v>
          </cell>
          <cell r="C3170" t="str">
            <v>FLAMINGO WRIST/THUMB ABDUCTION BRACE RIGHT (NEOPRENE) (XL)</v>
          </cell>
        </row>
        <row r="3171">
          <cell r="B3171" t="str">
            <v>FG08229</v>
          </cell>
          <cell r="C3171" t="str">
            <v>FLAMINGO WRIST/THUMB ABDUCTION BRACE RIGHT (NEOPRENE) (XXL)</v>
          </cell>
        </row>
        <row r="3172">
          <cell r="B3172" t="str">
            <v>FG08230</v>
          </cell>
          <cell r="C3172" t="str">
            <v>FLAMINGO ADJUSTABLE ANKLE SUPPORT - U (NEOPRENE)</v>
          </cell>
        </row>
        <row r="3173">
          <cell r="B3173" t="str">
            <v>FG08231</v>
          </cell>
          <cell r="C3173" t="str">
            <v>FLAMINGO HUMERUS BRACE - U (NEOPRENE)</v>
          </cell>
        </row>
        <row r="3174">
          <cell r="B3174" t="str">
            <v>FG08232</v>
          </cell>
          <cell r="C3174" t="str">
            <v>FLAMINGO LACEPULL BACK BELT BLACK - U</v>
          </cell>
        </row>
        <row r="3175">
          <cell r="B3175" t="str">
            <v>FG08233</v>
          </cell>
          <cell r="C3175" t="str">
            <v>FLAMINGO BACK COMFORT BELT BLACK (S)</v>
          </cell>
        </row>
        <row r="3176">
          <cell r="B3176" t="str">
            <v>FG08234</v>
          </cell>
          <cell r="C3176" t="str">
            <v>FLAMINGO BACK COMFORT BELT BLACK (XXXL)</v>
          </cell>
        </row>
        <row r="3177">
          <cell r="B3177" t="str">
            <v>FG08235</v>
          </cell>
          <cell r="C3177" t="str">
            <v>FLAMINGO L.S BELY COM COM (S)</v>
          </cell>
        </row>
        <row r="3178">
          <cell r="B3178" t="str">
            <v>FG08236</v>
          </cell>
          <cell r="C3178" t="str">
            <v>FLAMINGO L.S BELY COM COM (XXL)</v>
          </cell>
        </row>
        <row r="3179">
          <cell r="B3179" t="str">
            <v>FG08237</v>
          </cell>
          <cell r="C3179" t="str">
            <v>CEFYROCLAV 625 MG B/12 CES</v>
          </cell>
        </row>
        <row r="3180">
          <cell r="B3180" t="str">
            <v>FG08238</v>
          </cell>
          <cell r="C3180" t="str">
            <v>GOOD NIGHT DENK B/60 CAPS</v>
          </cell>
        </row>
        <row r="3181">
          <cell r="B3181" t="str">
            <v>FG08239</v>
          </cell>
          <cell r="C3181" t="str">
            <v>CALCIUM SANDOZ FORTE 20CES EFF (FR)</v>
          </cell>
        </row>
        <row r="3182">
          <cell r="B3182" t="str">
            <v>FG08240</v>
          </cell>
          <cell r="C3182" t="str">
            <v>SYLUMET FORTE B/6</v>
          </cell>
        </row>
        <row r="3183">
          <cell r="B3183" t="str">
            <v>FG08241</v>
          </cell>
          <cell r="C3183" t="str">
            <v>DOMI - ERS 10 CES</v>
          </cell>
        </row>
        <row r="3184">
          <cell r="B3184" t="str">
            <v>FG08242</v>
          </cell>
          <cell r="C3184" t="str">
            <v>LINGE HYGENIC CONFORT EXTRA 1 PQT</v>
          </cell>
        </row>
        <row r="3185">
          <cell r="B3185" t="str">
            <v>FG08243</v>
          </cell>
          <cell r="C3185" t="str">
            <v>LINGE HYGENIC CONFORT NORMAL X 1 PQT</v>
          </cell>
        </row>
        <row r="3186">
          <cell r="B3186" t="str">
            <v>FG08244</v>
          </cell>
          <cell r="C3186" t="str">
            <v>FLAMINGO ELASTIC SHOULDER IMMOBILISER (XXXL)</v>
          </cell>
        </row>
        <row r="3187">
          <cell r="B3187" t="str">
            <v>FG08245</v>
          </cell>
          <cell r="C3187" t="str">
            <v>STRUCTUM 500 MG 60 GELULE</v>
          </cell>
        </row>
        <row r="3188">
          <cell r="B3188" t="str">
            <v>FG08246</v>
          </cell>
          <cell r="C3188" t="str">
            <v>PAMPERS ADULT DIAPER SIZE M 10 PCS</v>
          </cell>
        </row>
        <row r="3189">
          <cell r="B3189" t="str">
            <v>FG08247</v>
          </cell>
          <cell r="C3189" t="str">
            <v>PAMPERS ADULT DIAPER SIZE L 8 PCS</v>
          </cell>
        </row>
        <row r="3190">
          <cell r="B3190" t="str">
            <v>FG08248</v>
          </cell>
          <cell r="C3190" t="str">
            <v>PAMPERS ADULT DIAPER SIZE XL 8 PCS</v>
          </cell>
        </row>
        <row r="3191">
          <cell r="B3191" t="str">
            <v>FG08250</v>
          </cell>
          <cell r="C3191" t="str">
            <v>ALDACTONE 25 MG 50 CES</v>
          </cell>
        </row>
        <row r="3192">
          <cell r="B3192" t="str">
            <v>FG08251</v>
          </cell>
          <cell r="C3192" t="str">
            <v>GYNO - CANESTENE CREME 20 GR</v>
          </cell>
        </row>
        <row r="3193">
          <cell r="B3193" t="str">
            <v>FG08252</v>
          </cell>
          <cell r="C3193" t="str">
            <v>CEFPODOX 100MG (CEFPODOXIME) B/10CES</v>
          </cell>
        </row>
        <row r="3194">
          <cell r="B3194" t="str">
            <v>FG08253</v>
          </cell>
          <cell r="C3194" t="str">
            <v>CLIFA PLUS 15 GM GEL</v>
          </cell>
        </row>
        <row r="3195">
          <cell r="B3195" t="str">
            <v>FG08254</v>
          </cell>
          <cell r="C3195" t="str">
            <v>RANZIN SR 1000 MG B/30 CES</v>
          </cell>
        </row>
        <row r="3196">
          <cell r="B3196" t="str">
            <v>FG08258</v>
          </cell>
          <cell r="C3196" t="str">
            <v>FUMOZOL 15 GM CRAME</v>
          </cell>
        </row>
        <row r="3197">
          <cell r="B3197" t="str">
            <v>FG08259</v>
          </cell>
          <cell r="C3197" t="str">
            <v>PANOTAC 40 MG B/10 CES</v>
          </cell>
        </row>
        <row r="3198">
          <cell r="B3198" t="str">
            <v>FG08260</v>
          </cell>
          <cell r="C3198" t="str">
            <v>THIOCROS B/10 CES</v>
          </cell>
        </row>
        <row r="3199">
          <cell r="B3199" t="str">
            <v>FG08261</v>
          </cell>
          <cell r="C3199" t="str">
            <v>ANTI - ACIDE ( PRINACID)B/10X10 CES</v>
          </cell>
        </row>
        <row r="3200">
          <cell r="B3200" t="str">
            <v>FG08262</v>
          </cell>
          <cell r="C3200" t="str">
            <v>S FORCE GEL 2 SACHET</v>
          </cell>
        </row>
        <row r="3201">
          <cell r="B3201" t="str">
            <v>FG08263</v>
          </cell>
          <cell r="C3201" t="str">
            <v>ORANVIT VIT. C 1GM 10CES EFF</v>
          </cell>
        </row>
        <row r="3202">
          <cell r="B3202" t="str">
            <v>FG08277</v>
          </cell>
          <cell r="C3202" t="str">
            <v>PROBESOL CRAME 30 MG (PROMED)</v>
          </cell>
        </row>
        <row r="3203">
          <cell r="B3203" t="str">
            <v>FG08279</v>
          </cell>
          <cell r="C3203" t="str">
            <v>FORCE (SILDENAFIL) 50 MG 4 CES</v>
          </cell>
        </row>
        <row r="3204">
          <cell r="B3204" t="str">
            <v>FG08280</v>
          </cell>
          <cell r="C3204" t="str">
            <v>FORCE (SILDENAFIL) 100 MG GEL</v>
          </cell>
        </row>
        <row r="3205">
          <cell r="B3205" t="str">
            <v>FG08281</v>
          </cell>
          <cell r="C3205" t="str">
            <v>METROFOMET (ANTI INFECTIEUX) 200 MG CES</v>
          </cell>
        </row>
        <row r="3206">
          <cell r="B3206" t="str">
            <v>FG08282</v>
          </cell>
          <cell r="C3206" t="str">
            <v>A-DEM POUDRE 50MG</v>
          </cell>
        </row>
        <row r="3207">
          <cell r="B3207" t="str">
            <v>FG08283</v>
          </cell>
          <cell r="C3207" t="str">
            <v>VOLPA PLUS(DICLO.+PARA.+CHLORZO.) BT/10X10CES</v>
          </cell>
        </row>
        <row r="3208">
          <cell r="B3208" t="str">
            <v>FG08284</v>
          </cell>
          <cell r="C3208" t="str">
            <v>BRONCHO SP 100 ML</v>
          </cell>
        </row>
        <row r="3209">
          <cell r="B3209" t="str">
            <v>FG08285</v>
          </cell>
          <cell r="C3209" t="str">
            <v>TRAVONORM COLLYER FL/5 ML</v>
          </cell>
        </row>
        <row r="3210">
          <cell r="B3210" t="str">
            <v>FG08286</v>
          </cell>
          <cell r="C3210" t="str">
            <v>FLOXOR IV 100 ML</v>
          </cell>
        </row>
        <row r="3211">
          <cell r="B3211" t="str">
            <v>FG08303</v>
          </cell>
          <cell r="C3211" t="str">
            <v>MICROGYNON FE B/28 CES</v>
          </cell>
        </row>
        <row r="3212">
          <cell r="B3212" t="str">
            <v>FG08304</v>
          </cell>
          <cell r="C3212" t="str">
            <v>BISOPROLOL BIOGARAN 5 MG 90 CES</v>
          </cell>
        </row>
        <row r="3213">
          <cell r="B3213" t="str">
            <v>FG08305</v>
          </cell>
          <cell r="C3213" t="str">
            <v>MIPOTEC PLUS KIT (MIFEPRI+MISOPRO) B/5 CES</v>
          </cell>
        </row>
        <row r="3214">
          <cell r="B3214" t="str">
            <v>FG08306</v>
          </cell>
          <cell r="C3214" t="str">
            <v>CIFIN 100MG SUSP</v>
          </cell>
        </row>
        <row r="3215">
          <cell r="B3215" t="str">
            <v>FG08309</v>
          </cell>
          <cell r="C3215" t="str">
            <v>ARAUZINC+SRO (SAVEUR DORANGE) B/10 CES + 2 SACHETS</v>
          </cell>
        </row>
        <row r="3216">
          <cell r="B3216" t="str">
            <v>FG08310</v>
          </cell>
          <cell r="C3216" t="str">
            <v>CANDISTEN 18 OV KIT</v>
          </cell>
        </row>
        <row r="3217">
          <cell r="B3217" t="str">
            <v>FG08311</v>
          </cell>
          <cell r="C3217" t="str">
            <v>REVITALOSE C 1000MG B/28 AMP BUV</v>
          </cell>
        </row>
        <row r="3218">
          <cell r="B3218" t="str">
            <v>FG08312</v>
          </cell>
          <cell r="C3218" t="str">
            <v>MALASOFT 20/120 SOFT GEL B/6 CES</v>
          </cell>
        </row>
        <row r="3219">
          <cell r="B3219" t="str">
            <v>FG08313</v>
          </cell>
          <cell r="C3219" t="str">
            <v>MALASOFT 40/240 SOFT GEL B/6 CES</v>
          </cell>
        </row>
        <row r="3220">
          <cell r="B3220" t="str">
            <v>FG08314</v>
          </cell>
          <cell r="C3220" t="str">
            <v>MALASOFT 60/360 SOFT GEL B/6 CES</v>
          </cell>
        </row>
        <row r="3221">
          <cell r="B3221" t="str">
            <v>FG08315</v>
          </cell>
          <cell r="C3221" t="str">
            <v>MALASOFT 80/480 SOFT GEL B/6 CES</v>
          </cell>
        </row>
        <row r="3222">
          <cell r="B3222" t="str">
            <v>FG08319</v>
          </cell>
          <cell r="C3222" t="str">
            <v>MASQUE BOUCHE A BOUCHE 1 PC</v>
          </cell>
        </row>
        <row r="3223">
          <cell r="B3223" t="str">
            <v>FG08320</v>
          </cell>
          <cell r="C3223" t="str">
            <v>GONATE 120 MG INJECTION</v>
          </cell>
        </row>
        <row r="3224">
          <cell r="B3224" t="str">
            <v>FG08321</v>
          </cell>
          <cell r="C3224" t="str">
            <v>GONATE 180 MG INJECTION</v>
          </cell>
        </row>
        <row r="3225">
          <cell r="B3225" t="str">
            <v>FG08322</v>
          </cell>
          <cell r="C3225" t="str">
            <v>BENZONEEM 10% GEL</v>
          </cell>
        </row>
        <row r="3226">
          <cell r="B3226" t="str">
            <v>FG08323</v>
          </cell>
          <cell r="C3226" t="str">
            <v>BRONZAC (N-ACETYL CYSTEINE) 600MG B/10 CES</v>
          </cell>
        </row>
        <row r="3227">
          <cell r="B3227" t="str">
            <v>FG08324</v>
          </cell>
          <cell r="C3227" t="str">
            <v>CELAHIST 20MG B/10 CES</v>
          </cell>
        </row>
        <row r="3228">
          <cell r="B3228" t="str">
            <v>FG08325</v>
          </cell>
          <cell r="C3228" t="str">
            <v>CESADOX-CV B/10 CES</v>
          </cell>
        </row>
        <row r="3229">
          <cell r="B3229" t="str">
            <v>FG08326</v>
          </cell>
          <cell r="C3229" t="str">
            <v>CICLOPROX-P 50ML SHAMPOO</v>
          </cell>
        </row>
        <row r="3230">
          <cell r="B3230" t="str">
            <v>FG08327</v>
          </cell>
          <cell r="C3230" t="str">
            <v>DAPANEW 10MG B/30CES</v>
          </cell>
        </row>
        <row r="3231">
          <cell r="B3231" t="str">
            <v>FG08328</v>
          </cell>
          <cell r="C3231" t="str">
            <v>DAPANEW 5MG B/30CES</v>
          </cell>
        </row>
        <row r="3232">
          <cell r="B3232" t="str">
            <v>FG08329</v>
          </cell>
          <cell r="C3232" t="str">
            <v>ESOMEX-L B/10 CAP</v>
          </cell>
        </row>
        <row r="3233">
          <cell r="B3233" t="str">
            <v>FG08330</v>
          </cell>
          <cell r="C3233" t="str">
            <v>MEROMEX (MEROPENEM) 500MG INJ</v>
          </cell>
        </row>
        <row r="3234">
          <cell r="B3234" t="str">
            <v>FG08331</v>
          </cell>
          <cell r="C3234" t="str">
            <v>MEXYLOC 3000U CEIP B/30 CES</v>
          </cell>
        </row>
        <row r="3235">
          <cell r="B3235" t="str">
            <v>FG08332</v>
          </cell>
          <cell r="C3235" t="str">
            <v>RIVALIN 10MG B/28 CES</v>
          </cell>
        </row>
        <row r="3236">
          <cell r="B3236" t="str">
            <v>FG08333</v>
          </cell>
          <cell r="C3236" t="str">
            <v>RIVALIN 15MG B/28 CES</v>
          </cell>
        </row>
        <row r="3237">
          <cell r="B3237" t="str">
            <v>FG08334</v>
          </cell>
          <cell r="C3237" t="str">
            <v>RIVALIN 20MG B/28 CES</v>
          </cell>
        </row>
        <row r="3238">
          <cell r="B3238" t="str">
            <v>FG08335</v>
          </cell>
          <cell r="C3238" t="str">
            <v>ROX-C 750MG INJ</v>
          </cell>
        </row>
        <row r="3239">
          <cell r="B3239" t="str">
            <v>FG08336</v>
          </cell>
          <cell r="C3239" t="str">
            <v>SECTAB 500MG B/14 CES</v>
          </cell>
        </row>
        <row r="3240">
          <cell r="B3240" t="str">
            <v>FG08337</v>
          </cell>
          <cell r="C3240" t="str">
            <v>TELSOTON 40MG B/30 CES</v>
          </cell>
        </row>
        <row r="3241">
          <cell r="B3241" t="str">
            <v>FG08338</v>
          </cell>
          <cell r="C3241" t="str">
            <v>TELSOTON 80MG B/10 CES</v>
          </cell>
        </row>
        <row r="3242">
          <cell r="B3242" t="str">
            <v>FG08339</v>
          </cell>
          <cell r="C3242" t="str">
            <v>TRACOL (CITICOLINE) 1000MG/4MG B/5AMP</v>
          </cell>
        </row>
        <row r="3243">
          <cell r="B3243" t="str">
            <v>FG08340</v>
          </cell>
          <cell r="C3243" t="str">
            <v>UD-MEX 450MG SR B/10 CEES</v>
          </cell>
        </row>
        <row r="3244">
          <cell r="B3244" t="str">
            <v>FG08341</v>
          </cell>
          <cell r="C3244" t="str">
            <v>DITROPAN 5MG B/60CES</v>
          </cell>
        </row>
        <row r="3245">
          <cell r="B3245" t="str">
            <v>FG08342</v>
          </cell>
          <cell r="C3245" t="str">
            <v>FLATORIL B/45 GELS.</v>
          </cell>
        </row>
        <row r="3246">
          <cell r="B3246" t="str">
            <v>FG08343</v>
          </cell>
          <cell r="C3246" t="str">
            <v>META-TC B/20 CES</v>
          </cell>
        </row>
        <row r="3247">
          <cell r="B3247" t="str">
            <v>FG08344</v>
          </cell>
          <cell r="C3247" t="str">
            <v>LANOCARE 30G CREAM</v>
          </cell>
        </row>
        <row r="3248">
          <cell r="B3248" t="str">
            <v>FG08345</v>
          </cell>
          <cell r="C3248" t="str">
            <v>CEFUROCLAV 625MG B/12CES</v>
          </cell>
        </row>
        <row r="3249">
          <cell r="B3249" t="str">
            <v>FG08352</v>
          </cell>
          <cell r="C3249" t="str">
            <v>TANO TH 15 GM CRAME</v>
          </cell>
        </row>
        <row r="3250">
          <cell r="B3250" t="str">
            <v>FG08357</v>
          </cell>
          <cell r="C3250" t="str">
            <v>ADAPTATEURS AIGUILLES, 250 PCS/SAC</v>
          </cell>
        </row>
        <row r="3251">
          <cell r="B3251" t="str">
            <v>FG08358</v>
          </cell>
          <cell r="C3251" t="str">
            <v>CRYOBOXES EN PLASTIC, 81WELLS (9*9), UNITE</v>
          </cell>
        </row>
        <row r="3252">
          <cell r="B3252" t="str">
            <v>FG08359</v>
          </cell>
          <cell r="C3252" t="str">
            <v>AIGUILLES PAPILLON OU AILETTE 22G (NOIR), B/100</v>
          </cell>
        </row>
        <row r="3253">
          <cell r="B3253" t="str">
            <v>FG08360</v>
          </cell>
          <cell r="C3253" t="str">
            <v>AIGUILLES PAPILLON OU AILETTE 23G (BLUE), B/100</v>
          </cell>
        </row>
        <row r="3254">
          <cell r="B3254" t="str">
            <v>FG08361</v>
          </cell>
          <cell r="C3254" t="str">
            <v>EMBOUT BLANC 0,5 - 10 ꙡL,1000PCS/SACHET</v>
          </cell>
        </row>
        <row r="3255">
          <cell r="B3255" t="str">
            <v>FG08362</v>
          </cell>
          <cell r="C3255" t="str">
            <v>EMBOUT BLANC AVEC FILTRE B/96</v>
          </cell>
        </row>
        <row r="3256">
          <cell r="B3256" t="str">
            <v>FG08363</v>
          </cell>
          <cell r="C3256" t="str">
            <v>MILIEU DE TRANSPORT CARY BLAIR (TAMPON EN PLASTIQUE), 100PCS/SACHET</v>
          </cell>
        </row>
        <row r="3257">
          <cell r="B3257" t="str">
            <v>FG08364</v>
          </cell>
          <cell r="C3257" t="str">
            <v>TUBE À CENTRIFUGER 15 ML, FOND CONIQUE, 100PCS/SACHET</v>
          </cell>
        </row>
        <row r="3258">
          <cell r="B3258" t="str">
            <v>FG08365</v>
          </cell>
          <cell r="C3258" t="str">
            <v>BAC DE COLORATION POUR 9 LAMES, VERRE, UNITE</v>
          </cell>
        </row>
        <row r="3259">
          <cell r="B3259" t="str">
            <v>FG08366</v>
          </cell>
          <cell r="C3259" t="str">
            <v>BAC DE COLORATION POUR 10 LAMES, VERRE, UNITE</v>
          </cell>
        </row>
        <row r="3260">
          <cell r="B3260" t="str">
            <v>FG08367</v>
          </cell>
          <cell r="C3260" t="str">
            <v>BAC DE COLORATION POUR 30 LAMES, VERRE, UNITE</v>
          </cell>
        </row>
        <row r="3261">
          <cell r="B3261" t="str">
            <v>FG08368</v>
          </cell>
          <cell r="C3261" t="str">
            <v>BAC DE COLORATION POUR 60 LAMES, VERRE, UNITE</v>
          </cell>
        </row>
        <row r="3262">
          <cell r="B3262" t="str">
            <v>FG08369</v>
          </cell>
          <cell r="C3262" t="str">
            <v>BAC DE COLORATION INOX 30 LAMES, UNITE</v>
          </cell>
        </row>
        <row r="3263">
          <cell r="B3263" t="str">
            <v>FG08370</v>
          </cell>
          <cell r="C3263" t="str">
            <v>VENTILATEUR D’URGENCE ET DE TRANSPORT, MULTIFONCTIONNEL</v>
          </cell>
        </row>
        <row r="3264">
          <cell r="B3264" t="str">
            <v>FG08371</v>
          </cell>
          <cell r="C3264" t="str">
            <v>ECHOGRAPHIE CHARIOT COULEUR CBIT6-4 SONDE</v>
          </cell>
        </row>
        <row r="3265">
          <cell r="B3265" t="str">
            <v>FG08372</v>
          </cell>
          <cell r="C3265" t="str">
            <v>ECHOGRAPHIE PORTABLE - ECO 2 AVEC 2 SONDE, CONVEX &amp; TRANSVAGINAL NOIR ET BLANC</v>
          </cell>
        </row>
        <row r="3266">
          <cell r="B3266" t="str">
            <v>FG08373</v>
          </cell>
          <cell r="C3266" t="str">
            <v>ECHOGRAPHIE PORTABLE - ECO 6 AVEC 2 SONDE, CONVEX &amp; TRANSVAGINAL, COULEUR</v>
          </cell>
        </row>
        <row r="3267">
          <cell r="B3267" t="str">
            <v>FG08374</v>
          </cell>
          <cell r="C3267" t="str">
            <v>ECHOGRAPHIE PORTABLE - SONOAIR30 AVEC 3 SONDE, CONVEX, PHASED ARRAY, LINEAR ET CONNECTEURS DE SONDES, COULEUR</v>
          </cell>
        </row>
        <row r="3268">
          <cell r="B3268" t="str">
            <v>FG08375</v>
          </cell>
          <cell r="C3268" t="str">
            <v>ECHOGRAPHIE DE POCHE SONOEYE P5 AVEC TABLETTE, COULEUR</v>
          </cell>
        </row>
        <row r="3269">
          <cell r="B3269" t="str">
            <v>FG08376</v>
          </cell>
          <cell r="C3269" t="str">
            <v>ECHOGRAPHIE SONDE, PHASE ARRAY ET TRANSVAGINAL, CBIT 4</v>
          </cell>
        </row>
        <row r="3270">
          <cell r="B3270" t="str">
            <v>FG08377</v>
          </cell>
          <cell r="C3270" t="str">
            <v>ECHOGRAPHIE ECRAN CBIT8, UNITE</v>
          </cell>
        </row>
        <row r="3271">
          <cell r="B3271" t="str">
            <v>FG08378</v>
          </cell>
          <cell r="C3271" t="str">
            <v>ECHOGRAPHIE SUPPORT EN FORME C, UNITE</v>
          </cell>
        </row>
        <row r="3272">
          <cell r="B3272" t="str">
            <v>FG08379</v>
          </cell>
          <cell r="C3272" t="str">
            <v>CENTRIFUGEUSE REFRIGEREE SEAUX OVALES 6*1000ML AVEC ROTOR PIVOTANT ET JEU D'ADAPTATEURS POCHES DE SANG</v>
          </cell>
        </row>
        <row r="3273">
          <cell r="B3273" t="str">
            <v>FG08380</v>
          </cell>
          <cell r="C3273" t="str">
            <v>LANCET 28G, 100 LANCETS/BOITE</v>
          </cell>
        </row>
        <row r="3274">
          <cell r="B3274" t="str">
            <v>FG08381</v>
          </cell>
          <cell r="C3274" t="str">
            <v>LANCET 30G, 100 PIECES/BOITE</v>
          </cell>
        </row>
        <row r="3275">
          <cell r="B3275" t="str">
            <v>FG08382</v>
          </cell>
          <cell r="C3275" t="str">
            <v>TDR - COTININE, TEST SALIVAIRE, CASSETTE - 25NG/ML, B/30 TESTS</v>
          </cell>
        </row>
        <row r="3276">
          <cell r="B3276" t="str">
            <v>FG08383</v>
          </cell>
          <cell r="C3276" t="str">
            <v>FIOLE ERLENMEYER, COL ETROIT, 250 ML, PC</v>
          </cell>
        </row>
        <row r="3277">
          <cell r="B3277" t="str">
            <v>FG08384</v>
          </cell>
          <cell r="C3277" t="str">
            <v>COUPE-ONGLES POUR BEBE NOUVEAU-NE, UNITE</v>
          </cell>
        </row>
        <row r="3278">
          <cell r="B3278" t="str">
            <v>FG08385</v>
          </cell>
          <cell r="C3278" t="str">
            <v>HOSPITAL BED HEAD AND LEG SUPPORT, PLASTIC, UNITE</v>
          </cell>
        </row>
        <row r="3279">
          <cell r="B3279" t="str">
            <v>FG08386</v>
          </cell>
          <cell r="C3279" t="str">
            <v>BATTERY OPERATED OSCILLATING SAW COMES WITH 1 MOTOR 5 BLADES</v>
          </cell>
        </row>
        <row r="3280">
          <cell r="B3280" t="str">
            <v>FG08387</v>
          </cell>
          <cell r="C3280" t="str">
            <v>INS - PINCE CALIPER GRAISSE CORPORELLE, UNITE</v>
          </cell>
        </row>
        <row r="3281">
          <cell r="B3281" t="str">
            <v>FG08388</v>
          </cell>
          <cell r="C3281" t="str">
            <v>COUVRE-DOIGTS JETABLE, 1000/SACHET</v>
          </cell>
        </row>
        <row r="3282">
          <cell r="B3282" t="str">
            <v>FG08389</v>
          </cell>
          <cell r="C3282" t="str">
            <v>ASPIRATEUR NASAL, MOUCHE-BEBE, UNITE</v>
          </cell>
        </row>
        <row r="3283">
          <cell r="B3283" t="str">
            <v>FG08390</v>
          </cell>
          <cell r="C3283" t="str">
            <v>TIRE-LAIT MANUEL BIBERON PP, UNITE</v>
          </cell>
        </row>
        <row r="3284">
          <cell r="B3284" t="str">
            <v>FG08391</v>
          </cell>
          <cell r="C3284" t="str">
            <v>TIRE-LAIT ELECTRIQUE DOUBLE</v>
          </cell>
        </row>
        <row r="3285">
          <cell r="B3285" t="str">
            <v>FG08392</v>
          </cell>
          <cell r="C3285" t="str">
            <v>CHAUFFE-BIBERON ET SECHE-BIBERON BEBE, UNITE</v>
          </cell>
        </row>
        <row r="3286">
          <cell r="B3286" t="str">
            <v>FG08393</v>
          </cell>
          <cell r="C3286" t="str">
            <v>CHAUFFE-LAIT POUR BEBE CHAUFFE-BIBERON, UNITE</v>
          </cell>
        </row>
        <row r="3287">
          <cell r="B3287" t="str">
            <v>FG08394</v>
          </cell>
          <cell r="C3287" t="str">
            <v>INSECTICIDE POLYVALENT RAMPANT ET VOLANT 600ML, UNITE</v>
          </cell>
        </row>
        <row r="3288">
          <cell r="B3288" t="str">
            <v>FG08395</v>
          </cell>
          <cell r="C3288" t="str">
            <v>CHAISE BALANCE AVEC BATTERIE RECHARGEABLE, UNITE</v>
          </cell>
        </row>
        <row r="3289">
          <cell r="B3289" t="str">
            <v>FG08396</v>
          </cell>
          <cell r="C3289" t="str">
            <v>GEL DESINFECTANT POUR LES MAINS 75%, 300 ML</v>
          </cell>
        </row>
        <row r="3290">
          <cell r="B3290" t="str">
            <v>FG08397</v>
          </cell>
          <cell r="C3290" t="str">
            <v>ANAFLAM SUSP 100 ML</v>
          </cell>
        </row>
        <row r="3291">
          <cell r="B3291" t="str">
            <v>FG08398</v>
          </cell>
          <cell r="C3291" t="str">
            <v>PATOUX HERBAL COUGH SYRUP 100 ML</v>
          </cell>
        </row>
        <row r="3292">
          <cell r="B3292" t="str">
            <v>FG08399</v>
          </cell>
          <cell r="C3292" t="str">
            <v>TANZOL PLUS SUSP 10 ML</v>
          </cell>
        </row>
        <row r="3293">
          <cell r="B3293" t="str">
            <v>FG08419</v>
          </cell>
          <cell r="C3293" t="str">
            <v>NALIGYL (METRO.200MG+NORFLO.200MG) B/10 CES</v>
          </cell>
        </row>
        <row r="3294">
          <cell r="B3294" t="str">
            <v>FG08420</v>
          </cell>
          <cell r="C3294" t="str">
            <v>NALIGYL-DP (METRO.600MG+NORFLO.400MG) B/10 CES</v>
          </cell>
        </row>
        <row r="3295">
          <cell r="B3295" t="str">
            <v>FG08421</v>
          </cell>
          <cell r="C3295" t="str">
            <v>BONNE NUIT-100 (SILDENAFIL) B/5 A CROQUER CES CHOCOLATE</v>
          </cell>
        </row>
        <row r="3296">
          <cell r="B3296" t="str">
            <v>FG08422</v>
          </cell>
          <cell r="C3296" t="str">
            <v>GLUCOREL100CES NON EFF. (EDULCORANT SANS ASPARTAME)</v>
          </cell>
        </row>
        <row r="3297">
          <cell r="B3297" t="str">
            <v>FG08424</v>
          </cell>
          <cell r="C3297" t="str">
            <v>S- FORCE AMOUNT GEL 2 SACHET</v>
          </cell>
        </row>
        <row r="3298">
          <cell r="B3298" t="str">
            <v>FG08425</v>
          </cell>
          <cell r="C3298" t="str">
            <v>REFRIGERATEUR DE LABORATOIRE 2 à 8 DEGRES - 298L</v>
          </cell>
        </row>
        <row r="3299">
          <cell r="B3299" t="str">
            <v>FG08426</v>
          </cell>
          <cell r="C3299" t="str">
            <v>ACICLOVIR 200MG 10X10 CES (GENERIC)</v>
          </cell>
        </row>
        <row r="3300">
          <cell r="B3300" t="str">
            <v>FG08427</v>
          </cell>
          <cell r="C3300" t="str">
            <v>ACICLOVIR CREAM T/ 7 G (GENERIC)</v>
          </cell>
        </row>
        <row r="3301">
          <cell r="B3301" t="str">
            <v>FG08428</v>
          </cell>
          <cell r="C3301" t="str">
            <v>ARODERME POUDRE CITRON 100GM</v>
          </cell>
        </row>
        <row r="3302">
          <cell r="B3302" t="str">
            <v>FG08429</v>
          </cell>
          <cell r="C3302" t="str">
            <v>FORCE 100MG (SILDENAFIL) 4CES</v>
          </cell>
        </row>
        <row r="3303">
          <cell r="B3303" t="str">
            <v>FG08430</v>
          </cell>
          <cell r="C3303" t="str">
            <v>RHESUSCOPE</v>
          </cell>
        </row>
        <row r="3304">
          <cell r="B3304" t="str">
            <v>FG08431</v>
          </cell>
          <cell r="C3304" t="str">
            <v>ORTHOGLIC B/10 CES</v>
          </cell>
        </row>
        <row r="3305">
          <cell r="B3305" t="str">
            <v>FG08460</v>
          </cell>
          <cell r="C3305" t="str">
            <v>CLEEN PHOSPHO SODA 45ML</v>
          </cell>
        </row>
        <row r="3306">
          <cell r="B3306" t="str">
            <v>FG08467</v>
          </cell>
          <cell r="C3306" t="str">
            <v>AMLOZYNE-NC 10MG 1X30MG TAB</v>
          </cell>
        </row>
        <row r="3307">
          <cell r="B3307" t="str">
            <v>FG08557</v>
          </cell>
          <cell r="C3307" t="str">
            <v>SINUTAB 15ML SPRAY</v>
          </cell>
        </row>
        <row r="3308">
          <cell r="B3308" t="str">
            <v>FG08561</v>
          </cell>
          <cell r="C3308" t="str">
            <v>ANUSOL B/12 SUPPO</v>
          </cell>
        </row>
        <row r="3309">
          <cell r="B3309" t="str">
            <v>FG08562</v>
          </cell>
          <cell r="C3309" t="str">
            <v>ANUSOL 25GR CRÈME</v>
          </cell>
        </row>
        <row r="3310">
          <cell r="B3310" t="str">
            <v>FG08601</v>
          </cell>
          <cell r="C3310" t="str">
            <v>PARACETAMOL B/5 AMP</v>
          </cell>
        </row>
        <row r="3311">
          <cell r="B3311" t="str">
            <v>FG08605</v>
          </cell>
          <cell r="C3311" t="str">
            <v>ALLONG (EXTENSION)</v>
          </cell>
        </row>
        <row r="3312">
          <cell r="B3312" t="str">
            <v>FG08606</v>
          </cell>
          <cell r="C3312" t="str">
            <v>SAC MORTIUAIRE 1 PC</v>
          </cell>
        </row>
        <row r="3313">
          <cell r="B3313" t="str">
            <v>FG08607</v>
          </cell>
          <cell r="C3313" t="str">
            <v>NYLON NO.3/0...PCS/1</v>
          </cell>
        </row>
        <row r="3314">
          <cell r="B3314" t="str">
            <v>FG08608</v>
          </cell>
          <cell r="C3314" t="str">
            <v>TEST RAPIDE HEPATITE C KIT DE 50 TEST</v>
          </cell>
        </row>
        <row r="3315">
          <cell r="B3315" t="str">
            <v>FG08609</v>
          </cell>
          <cell r="C3315" t="str">
            <v>TUBE EPENDOF</v>
          </cell>
        </row>
        <row r="3316">
          <cell r="B3316" t="str">
            <v>FG08610</v>
          </cell>
          <cell r="C3316" t="str">
            <v>BANDELETTES ONE TOUCH SELECT B/50 TEST STRIPS</v>
          </cell>
        </row>
        <row r="3317">
          <cell r="B3317" t="str">
            <v>FG08611</v>
          </cell>
          <cell r="C3317" t="str">
            <v>BANDELLETTE REACTIVE ONE CALL PLUS KIT DE 50 TESTS</v>
          </cell>
        </row>
        <row r="3318">
          <cell r="B3318" t="str">
            <v>FG08612</v>
          </cell>
          <cell r="C3318" t="str">
            <v>GLUCOMETRE ONE TOUCH SELECT PLUS</v>
          </cell>
        </row>
        <row r="3319">
          <cell r="B3319" t="str">
            <v>FG08613</v>
          </cell>
          <cell r="C3319" t="str">
            <v>GLUCOMèTRE ONE CALL PLUS</v>
          </cell>
        </row>
        <row r="3320">
          <cell r="B3320" t="str">
            <v>FG08614</v>
          </cell>
          <cell r="C3320" t="str">
            <v>JERSEY</v>
          </cell>
        </row>
        <row r="3321">
          <cell r="B3321" t="str">
            <v>FG08615</v>
          </cell>
          <cell r="C3321" t="str">
            <v>MICROPIPETTE à DEUX VOIES</v>
          </cell>
        </row>
        <row r="3322">
          <cell r="B3322" t="str">
            <v>FG08616</v>
          </cell>
          <cell r="C3322" t="str">
            <v>MICROPIPETTE à TROIS VOIES</v>
          </cell>
        </row>
        <row r="3323">
          <cell r="B3323" t="str">
            <v>FG08617</v>
          </cell>
          <cell r="C3323" t="str">
            <v>PINCE PORTE AIGUILLE</v>
          </cell>
        </row>
        <row r="3324">
          <cell r="B3324" t="str">
            <v>FG08618</v>
          </cell>
          <cell r="C3324" t="str">
            <v>TEST HIV STARPACK</v>
          </cell>
        </row>
        <row r="3325">
          <cell r="B3325" t="str">
            <v>FG08619</v>
          </cell>
          <cell r="C3325" t="str">
            <v>GLUCOMETRE SINOCARE APPAREIL</v>
          </cell>
        </row>
        <row r="3326">
          <cell r="B3326" t="str">
            <v>FG08620</v>
          </cell>
          <cell r="C3326" t="str">
            <v>BANDELETTE SINOCARE B/50</v>
          </cell>
        </row>
        <row r="3327">
          <cell r="B3327" t="str">
            <v>FG08630</v>
          </cell>
          <cell r="C3327" t="str">
            <v>SPARADRAP (PERFORATED ADHESIVE) 10 CM X 5M</v>
          </cell>
        </row>
        <row r="3328">
          <cell r="B3328" t="str">
            <v>FG08631</v>
          </cell>
          <cell r="C3328" t="str">
            <v>CITRIZINE 10MG DISP. B/10 CES</v>
          </cell>
        </row>
        <row r="3329">
          <cell r="B3329" t="str">
            <v>FG08665</v>
          </cell>
          <cell r="C3329" t="str">
            <v>BANDELETTE D'HEMOGLOBINE HS-101</v>
          </cell>
        </row>
        <row r="3330">
          <cell r="B3330" t="str">
            <v>FG08666</v>
          </cell>
          <cell r="C3330" t="str">
            <v>BANDELETTE REACTIVE ONE TOUCH SELECT PLUS</v>
          </cell>
        </row>
        <row r="3331">
          <cell r="B3331" t="str">
            <v>FG08667</v>
          </cell>
          <cell r="C3331" t="str">
            <v>MICROPIPETTE A UNE VOIE</v>
          </cell>
        </row>
        <row r="3332">
          <cell r="B3332" t="str">
            <v>FG08668</v>
          </cell>
          <cell r="C3332" t="str">
            <v>SOLUTION DE GRAM</v>
          </cell>
        </row>
        <row r="3333">
          <cell r="B3333" t="str">
            <v>FG08669</v>
          </cell>
          <cell r="C3333" t="str">
            <v>TISSU DRIL BLEU</v>
          </cell>
        </row>
        <row r="3334">
          <cell r="B3334" t="str">
            <v>FG08695</v>
          </cell>
          <cell r="C3334" t="str">
            <v>HEMOFORCE PREGA SYRP 200ML</v>
          </cell>
        </row>
        <row r="3335">
          <cell r="B3335" t="str">
            <v>FG08696</v>
          </cell>
          <cell r="C3335" t="str">
            <v>VIT A 2000 UI GEL B/500</v>
          </cell>
        </row>
        <row r="3336">
          <cell r="B3336" t="str">
            <v>FG08710</v>
          </cell>
          <cell r="C3336" t="str">
            <v>SICKEL TEST</v>
          </cell>
        </row>
        <row r="3337">
          <cell r="B3337" t="str">
            <v>FG08711</v>
          </cell>
          <cell r="C3337" t="str">
            <v>BACHE 4X6</v>
          </cell>
        </row>
        <row r="3338">
          <cell r="B3338" t="str">
            <v>FG08712</v>
          </cell>
          <cell r="C3338" t="str">
            <v>BOTTE</v>
          </cell>
        </row>
        <row r="3339">
          <cell r="B3339" t="str">
            <v>FG08713</v>
          </cell>
          <cell r="C3339" t="str">
            <v>CUILLERE</v>
          </cell>
        </row>
        <row r="3340">
          <cell r="B3340" t="str">
            <v>FG08714</v>
          </cell>
          <cell r="C3340" t="str">
            <v>GOBELET D EAU</v>
          </cell>
        </row>
        <row r="3341">
          <cell r="B3341" t="str">
            <v>FG08715</v>
          </cell>
          <cell r="C3341" t="str">
            <v>ACCU CHECK ACTIVE APARE KIT</v>
          </cell>
        </row>
        <row r="3342">
          <cell r="B3342" t="str">
            <v>FG08716</v>
          </cell>
          <cell r="C3342" t="str">
            <v>GLUCOPHAGE 850MG B/60</v>
          </cell>
        </row>
        <row r="3343">
          <cell r="B3343" t="str">
            <v>FG08717</v>
          </cell>
          <cell r="C3343" t="str">
            <v>IMN- MAGLUMI 800 TSH (CLIA),, 50TEST/KIT</v>
          </cell>
        </row>
        <row r="3344">
          <cell r="B3344" t="str">
            <v>FG08728</v>
          </cell>
          <cell r="C3344" t="str">
            <v>MONTELUS (MONTELUKAST &amp; FEXOFENADINE) B/10 CES</v>
          </cell>
        </row>
        <row r="3345">
          <cell r="B3345" t="str">
            <v>FG08729</v>
          </cell>
          <cell r="C3345" t="str">
            <v>EP-ROYAL 3G TUBE</v>
          </cell>
        </row>
        <row r="3346">
          <cell r="B3346" t="str">
            <v>FG08731</v>
          </cell>
          <cell r="C3346" t="str">
            <v>VECURONIUM B/1 AMP</v>
          </cell>
        </row>
        <row r="3347">
          <cell r="B3347" t="str">
            <v>FG08738</v>
          </cell>
          <cell r="C3347" t="str">
            <v>DAVIGRA-T (TADALAFIL 20MG) B/4 CES</v>
          </cell>
        </row>
        <row r="3348">
          <cell r="B3348" t="str">
            <v>FG08744</v>
          </cell>
          <cell r="C3348" t="str">
            <v>CUPULE EN ACIER POUR NACL 200ML</v>
          </cell>
        </row>
        <row r="3349">
          <cell r="B3349" t="str">
            <v>FG08745</v>
          </cell>
          <cell r="C3349" t="str">
            <v>PLASTIC CHAIR</v>
          </cell>
        </row>
        <row r="3350">
          <cell r="B3350" t="str">
            <v>FG08746</v>
          </cell>
          <cell r="C3350" t="str">
            <v>LOMOH 40MG INJ</v>
          </cell>
        </row>
        <row r="3351">
          <cell r="B3351" t="str">
            <v>FG08747</v>
          </cell>
          <cell r="C3351" t="str">
            <v>LOMOH 80MG INJ</v>
          </cell>
        </row>
        <row r="3352">
          <cell r="B3352" t="str">
            <v>FG08748</v>
          </cell>
          <cell r="C3352" t="str">
            <v>MYCOZEMA 75GM SAVON</v>
          </cell>
        </row>
        <row r="3353">
          <cell r="B3353" t="str">
            <v>FG08749</v>
          </cell>
          <cell r="C3353" t="str">
            <v>LOMO 60M</v>
          </cell>
        </row>
        <row r="3354">
          <cell r="B3354" t="str">
            <v>FG08757</v>
          </cell>
          <cell r="C3354" t="str">
            <v>NO CHOL PLUS (ASTROVASTATINE &amp; TELMISARTAN ) 10X10 CES</v>
          </cell>
        </row>
        <row r="3355">
          <cell r="B3355" t="str">
            <v>FG08762</v>
          </cell>
          <cell r="C3355" t="str">
            <v>PARACETAMOL 1G EFF B/20 CES</v>
          </cell>
        </row>
        <row r="3356">
          <cell r="B3356" t="str">
            <v>FG08765</v>
          </cell>
          <cell r="C3356" t="str">
            <v>PIROXICAM 20 MG B/10 CAPSULES</v>
          </cell>
        </row>
        <row r="3357">
          <cell r="B3357" t="str">
            <v>FG08767</v>
          </cell>
          <cell r="C3357" t="str">
            <v>OMEPRAZOLE SODIQUE 40MG INJ B/1 AMP</v>
          </cell>
        </row>
        <row r="3358">
          <cell r="B3358" t="str">
            <v>FG08768</v>
          </cell>
          <cell r="C3358" t="str">
            <v>CISEAUX DROIT, MOUSSE/MOUSSE, 14CM,PIèCE, UNITé</v>
          </cell>
        </row>
        <row r="3359">
          <cell r="B3359" t="str">
            <v>FG08769</v>
          </cell>
          <cell r="C3359" t="str">
            <v>CISEAUX DROIT, POINTE/MOUSSE, 14CM,PIèCE, UNITé</v>
          </cell>
        </row>
        <row r="3360">
          <cell r="B3360" t="str">
            <v>FG08770</v>
          </cell>
          <cell r="C3360" t="str">
            <v>CISEAUX DROIT, POINTU/POINTU, 14CM,PIèCE, UNITé</v>
          </cell>
        </row>
        <row r="3361">
          <cell r="B3361" t="str">
            <v>FG08771</v>
          </cell>
          <cell r="C3361" t="str">
            <v>CISEAUX COURBE, MOUSSE/MOUSSE, 14CM,PIèCE, UNITé</v>
          </cell>
        </row>
        <row r="3362">
          <cell r="B3362" t="str">
            <v>FG08772</v>
          </cell>
          <cell r="C3362" t="str">
            <v>CISEAUX COURBE, POINTE/MOUSSE, 14CM,PIèCE, UNITé</v>
          </cell>
        </row>
        <row r="3363">
          <cell r="B3363" t="str">
            <v>FG08773</v>
          </cell>
          <cell r="C3363" t="str">
            <v>CISEAUX COURBE, POINTU/POINTU, 14CM,PIèCE, UNITé</v>
          </cell>
        </row>
        <row r="3364">
          <cell r="B3364" t="str">
            <v>FG08774</v>
          </cell>
          <cell r="C3364" t="str">
            <v>CISEAUX DROIT, POINTE/MOUSSE, 16CM,PIèCE, UNITé</v>
          </cell>
        </row>
        <row r="3365">
          <cell r="B3365" t="str">
            <v>FG08775</v>
          </cell>
          <cell r="C3365" t="str">
            <v>CISEAUX DROIT, POINTU/POINTU, 16CM,PIèCE, UNITé</v>
          </cell>
        </row>
        <row r="3366">
          <cell r="B3366" t="str">
            <v>FG08776</v>
          </cell>
          <cell r="C3366" t="str">
            <v>CISEAUX COURBE, MOUSSE/MOUSSE, 16CM,PIèCE, UNITé</v>
          </cell>
        </row>
        <row r="3367">
          <cell r="B3367" t="str">
            <v>FG08777</v>
          </cell>
          <cell r="C3367" t="str">
            <v>CISEAUX COURBE, POINTE/MOUSSE, 16CM,PIèCE, UNITé</v>
          </cell>
        </row>
        <row r="3368">
          <cell r="B3368" t="str">
            <v>FG08778</v>
          </cell>
          <cell r="C3368" t="str">
            <v>CISEAUX COURBE, POINTU/POINTU, 16CM,PIèCE, UNITé</v>
          </cell>
        </row>
        <row r="3369">
          <cell r="B3369" t="str">
            <v>FG08779</v>
          </cell>
          <cell r="C3369" t="str">
            <v>CISEAUX DROIT, MOUSSE/MOUSSE, 18CM,PIèCE, UNITé</v>
          </cell>
        </row>
        <row r="3370">
          <cell r="B3370" t="str">
            <v>FG08780</v>
          </cell>
          <cell r="C3370" t="str">
            <v>CISEAUX DROIT, POINTE/MOUSSE, 18CM,PIèCE, UNITé</v>
          </cell>
        </row>
        <row r="3371">
          <cell r="B3371" t="str">
            <v>FG08781</v>
          </cell>
          <cell r="C3371" t="str">
            <v>CISEAUX DROIT, POINTU/POINTU, 18CM,PIèCE, UNITé</v>
          </cell>
        </row>
        <row r="3372">
          <cell r="B3372" t="str">
            <v>FG08782</v>
          </cell>
          <cell r="C3372" t="str">
            <v>CISEAUX COURBE, MOUSSE/MOUSSE, 18CM,PIèCE, UNITé</v>
          </cell>
        </row>
        <row r="3373">
          <cell r="B3373" t="str">
            <v>FG08783</v>
          </cell>
          <cell r="C3373" t="str">
            <v>CISEAUX COURBE, POINTE/MOUSSE, 18CM,PIèCE, UNITé</v>
          </cell>
        </row>
        <row r="3374">
          <cell r="B3374" t="str">
            <v>FG08784</v>
          </cell>
          <cell r="C3374" t="str">
            <v>CISEAUX COURBE, POINTU/POINTU, 18CM,PIèCE, UNITé</v>
          </cell>
        </row>
        <row r="3375">
          <cell r="B3375" t="str">
            <v>FG08785</v>
          </cell>
          <cell r="C3375" t="str">
            <v>CISEAUX DROIT, POINTE/MOUSSE, 20CM,PIèCE, UNITé</v>
          </cell>
        </row>
        <row r="3376">
          <cell r="B3376" t="str">
            <v>FG08786</v>
          </cell>
          <cell r="C3376" t="str">
            <v>CISEAUX DROIT, POINTU/POINTU, 20CM,PIèCE, UNITé</v>
          </cell>
        </row>
        <row r="3377">
          <cell r="B3377" t="str">
            <v>FG08787</v>
          </cell>
          <cell r="C3377" t="str">
            <v>CISEAUX COURBE, MOUSSE/MOUSSE, 20CM,PIèCE, UNITé</v>
          </cell>
        </row>
        <row r="3378">
          <cell r="B3378" t="str">
            <v>FG08788</v>
          </cell>
          <cell r="C3378" t="str">
            <v>CISEAUX COURBE, POINTE/MOUSSE, 20CM,PIèCE, UNITé</v>
          </cell>
        </row>
        <row r="3379">
          <cell r="B3379" t="str">
            <v>FG08789</v>
          </cell>
          <cell r="C3379" t="str">
            <v>CISEAUX COURBE, POINTU/POINTU, 20CM,PIèCE, UNITé</v>
          </cell>
        </row>
        <row r="3380">
          <cell r="B3380" t="str">
            <v>FG08790</v>
          </cell>
          <cell r="C3380" t="str">
            <v>CISEAUX COURBE, MOUSSE/MOUSSE, 23CM,PIèCE, UNITé</v>
          </cell>
        </row>
        <row r="3381">
          <cell r="B3381" t="str">
            <v>FG08791</v>
          </cell>
          <cell r="C3381" t="str">
            <v>CISEAUX COURBE, POINTE/MOUSSE, 23CM,PIèCE, UNITé</v>
          </cell>
        </row>
        <row r="3382">
          <cell r="B3382" t="str">
            <v>FG08792</v>
          </cell>
          <cell r="C3382" t="str">
            <v>PINCE HéMOSTATIQUE DE KOCHER,12.5CM,DROITE, SANS DENT, UNITé</v>
          </cell>
        </row>
        <row r="3383">
          <cell r="B3383" t="str">
            <v>FG08793</v>
          </cell>
          <cell r="C3383" t="str">
            <v>PINCE HéMOSTATIQUE DE KOCHER,14CM,DROITE, SANS DENT, UNITé</v>
          </cell>
        </row>
        <row r="3384">
          <cell r="B3384" t="str">
            <v>FG08794</v>
          </cell>
          <cell r="C3384" t="str">
            <v>PINCE HéMOSTATIQUE DE KOCHER,14CM,COURBE, AVEC DENT, UNITé</v>
          </cell>
        </row>
        <row r="3385">
          <cell r="B3385" t="str">
            <v>FG08795</v>
          </cell>
          <cell r="C3385" t="str">
            <v>PINCE HéMOSTATIQUE DE KOCHER,14CM,COURBE, SANS DENT, UNITé</v>
          </cell>
        </row>
        <row r="3386">
          <cell r="B3386" t="str">
            <v>FG08796</v>
          </cell>
          <cell r="C3386" t="str">
            <v>PINCE HéMOSTATIQUE DE KOCHER,16CM,DROITE, SANS DENT, UNITé</v>
          </cell>
        </row>
        <row r="3387">
          <cell r="B3387" t="str">
            <v>FG08797</v>
          </cell>
          <cell r="C3387" t="str">
            <v>PINCE PORTE AIGUILLE 14CM</v>
          </cell>
        </row>
        <row r="3388">
          <cell r="B3388" t="str">
            <v>FG08798</v>
          </cell>
          <cell r="C3388" t="str">
            <v>PINCE PORTE AIGUILLE 16 CM</v>
          </cell>
        </row>
        <row r="3389">
          <cell r="B3389" t="str">
            <v>FG08803</v>
          </cell>
          <cell r="C3389" t="str">
            <v>THIOCROS (ACECLOFENAC AND TRHIOCOLCHICOSIDE) B/10 CES</v>
          </cell>
        </row>
        <row r="3390">
          <cell r="B3390" t="str">
            <v>FG08806</v>
          </cell>
          <cell r="C3390" t="str">
            <v>PINCE PLACENTAIRE OU DE KELLY</v>
          </cell>
        </row>
        <row r="3391">
          <cell r="B3391" t="str">
            <v>FG08807</v>
          </cell>
          <cell r="C3391" t="str">
            <v>PINCE INTERMEDIARE + GODET</v>
          </cell>
        </row>
        <row r="3392">
          <cell r="B3392" t="str">
            <v>FG08808</v>
          </cell>
          <cell r="C3392" t="str">
            <v>BOITE METALLIQUE A MATERIEL</v>
          </cell>
        </row>
        <row r="3393">
          <cell r="B3393" t="str">
            <v>FG08809</v>
          </cell>
          <cell r="C3393" t="str">
            <v>ENCRE DE CHINE 100ML</v>
          </cell>
        </row>
        <row r="3394">
          <cell r="B3394" t="str">
            <v>FG08810</v>
          </cell>
          <cell r="C3394" t="str">
            <v>TUYAU POUR ASPIRATEUR ELECTRIQUE</v>
          </cell>
        </row>
        <row r="3395">
          <cell r="B3395" t="str">
            <v>FG08811</v>
          </cell>
          <cell r="C3395" t="str">
            <v>BALANCE PESE-PERSONNE SECA</v>
          </cell>
        </row>
        <row r="3396">
          <cell r="B3396" t="str">
            <v>FG08820</v>
          </cell>
          <cell r="C3396" t="str">
            <v>XYLAVI 200ML IV</v>
          </cell>
        </row>
        <row r="3397">
          <cell r="B3397" t="str">
            <v>FG08821</v>
          </cell>
          <cell r="C3397" t="str">
            <v>EXXIB (CELECOXIB) 200MG CES</v>
          </cell>
        </row>
        <row r="3398">
          <cell r="B3398" t="str">
            <v>FG08822</v>
          </cell>
          <cell r="C3398" t="str">
            <v>MICARDIS PLUS 40MG/12.5MG B/30CES (FR)</v>
          </cell>
        </row>
        <row r="3399">
          <cell r="B3399" t="str">
            <v>FG08823</v>
          </cell>
          <cell r="C3399" t="str">
            <v>RAPID FLAM (IBUPROFENE &amp; PARACETAMOL) 50ML SUSPENSION</v>
          </cell>
        </row>
        <row r="3400">
          <cell r="B3400" t="str">
            <v>FG08824</v>
          </cell>
          <cell r="C3400" t="str">
            <v>APROVASAC 150MG/10MG B/28CES (EO)</v>
          </cell>
        </row>
        <row r="3401">
          <cell r="B3401" t="str">
            <v>FG08873</v>
          </cell>
          <cell r="C3401" t="str">
            <v>SONDES DE DENTISTERIE</v>
          </cell>
        </row>
        <row r="3402">
          <cell r="B3402" t="str">
            <v>FG08874</v>
          </cell>
          <cell r="C3402" t="str">
            <v>CO-AVAZIR 0.3%/0.1% PDE OPHT 5G</v>
          </cell>
        </row>
        <row r="3403">
          <cell r="B3403" t="str">
            <v>FG08875</v>
          </cell>
          <cell r="C3403" t="str">
            <v>VIBROCIL SPRAY 15ML</v>
          </cell>
        </row>
        <row r="3404">
          <cell r="B3404" t="str">
            <v>FG08882</v>
          </cell>
          <cell r="C3404" t="str">
            <v>ENOXA 8000UI 2 SERINGUES (FR)</v>
          </cell>
        </row>
        <row r="3405">
          <cell r="B3405" t="str">
            <v>FG08883</v>
          </cell>
          <cell r="C3405" t="str">
            <v>NAUSELIUM 10MG B/20 CES</v>
          </cell>
        </row>
        <row r="3406">
          <cell r="B3406" t="str">
            <v>FG08890</v>
          </cell>
          <cell r="C3406" t="str">
            <v>LEVETIRACETAM (VIATRIS 100MG/ML) 500MG/5MLB/10 AMP</v>
          </cell>
        </row>
        <row r="3407">
          <cell r="B3407" t="str">
            <v>FG08894</v>
          </cell>
          <cell r="C3407" t="str">
            <v>GENCEBOK 10MG/ML PERFUSION 30X1MP 1ML</v>
          </cell>
        </row>
        <row r="3408">
          <cell r="B3408" t="str">
            <v>FG08895</v>
          </cell>
          <cell r="C3408" t="str">
            <v>AMLODIPININE BIOGARAN 5MG B/90 GELS</v>
          </cell>
        </row>
        <row r="3409">
          <cell r="B3409" t="str">
            <v>FG08896</v>
          </cell>
          <cell r="C3409" t="str">
            <v>AMLODIPININE BIOGARAN 10MG B/90 GELS</v>
          </cell>
        </row>
        <row r="3410">
          <cell r="B3410" t="str">
            <v>FG08897</v>
          </cell>
          <cell r="C3410" t="str">
            <v>GLYXIOA 100MG B/30 CES</v>
          </cell>
        </row>
        <row r="3411">
          <cell r="B3411" t="str">
            <v>FG08898</v>
          </cell>
          <cell r="C3411" t="str">
            <v>GLYXIOA 50MG B/30 CES</v>
          </cell>
        </row>
        <row r="3412">
          <cell r="B3412" t="str">
            <v>FG08908</v>
          </cell>
          <cell r="C3412" t="str">
            <v>JANUMET 50/850 MG B/56 CES</v>
          </cell>
        </row>
        <row r="3413">
          <cell r="B3413" t="str">
            <v>FG09185</v>
          </cell>
          <cell r="C3413" t="str">
            <v>EAU DISTILEE BIDON 20LTR</v>
          </cell>
        </row>
        <row r="3414">
          <cell r="B3414" t="str">
            <v>FG09239</v>
          </cell>
          <cell r="C3414" t="str">
            <v>CANDIZOLE (CLOTIMAZOLE DUSTING POWDER) 50G</v>
          </cell>
        </row>
        <row r="3415">
          <cell r="B3415" t="str">
            <v>FG09241</v>
          </cell>
          <cell r="C3415" t="str">
            <v>DORIXINA B1+B6+B12 B/20CES (FR)</v>
          </cell>
        </row>
        <row r="3416">
          <cell r="B3416" t="str">
            <v>FG09242</v>
          </cell>
          <cell r="C3416" t="str">
            <v>ENOXA 6000UI 2 SERINGUES (FR)</v>
          </cell>
        </row>
        <row r="3417">
          <cell r="B3417" t="str">
            <v>FG09243</v>
          </cell>
          <cell r="C3417" t="str">
            <v>EPIRAX (CHLORDIAZEPOXIDE + BROM. CLIDINIUM ) 30 CES (FR)</v>
          </cell>
        </row>
        <row r="3418">
          <cell r="B3418" t="str">
            <v>FG09244</v>
          </cell>
          <cell r="C3418" t="str">
            <v>PANTOCOME D (PANTOPRAZOL + DOMPER.)40/30MG B/10 CAP</v>
          </cell>
        </row>
        <row r="3419">
          <cell r="B3419" t="str">
            <v>FG09247</v>
          </cell>
          <cell r="C3419" t="str">
            <v>BLENDER</v>
          </cell>
        </row>
        <row r="3420">
          <cell r="B3420" t="str">
            <v>FG09251</v>
          </cell>
          <cell r="C3420" t="str">
            <v>BIENEURO (PREGABALIN) 75MG EXTENDED RELEASE</v>
          </cell>
        </row>
        <row r="3421">
          <cell r="B3421" t="str">
            <v>FG09252</v>
          </cell>
          <cell r="C3421" t="str">
            <v>BIENEURO FORTE (PREGABALIN) B/30 CES</v>
          </cell>
        </row>
        <row r="3422">
          <cell r="B3422" t="str">
            <v>FG00002</v>
          </cell>
          <cell r="C3422" t="str">
            <v>3 VOIES ROBINET SANS EXTENSION TUBE3 FAÇON ROBINET</v>
          </cell>
        </row>
        <row r="3423">
          <cell r="B3423" t="str">
            <v>FG00008</v>
          </cell>
          <cell r="C3423" t="str">
            <v>A TO Z (MULTIVITAMIN) SIROP 200ML</v>
          </cell>
        </row>
        <row r="3424">
          <cell r="B3424" t="str">
            <v>FG00014</v>
          </cell>
          <cell r="C3424" t="str">
            <v>AACIFEMINE 30CES 2MG (FR)</v>
          </cell>
        </row>
        <row r="3425">
          <cell r="B3425" t="str">
            <v>FG00023</v>
          </cell>
          <cell r="C3425" t="str">
            <v>AC SPLIT 12000 BTU</v>
          </cell>
        </row>
        <row r="3426">
          <cell r="B3426" t="str">
            <v>FG00024</v>
          </cell>
          <cell r="C3426" t="str">
            <v>AC SPLIT 18000 BTU</v>
          </cell>
        </row>
        <row r="3427">
          <cell r="B3427" t="str">
            <v>FG00025</v>
          </cell>
          <cell r="C3427" t="str">
            <v>AC SPLIT 24000 BTU</v>
          </cell>
        </row>
        <row r="3428">
          <cell r="B3428" t="str">
            <v>FG00026</v>
          </cell>
          <cell r="C3428" t="str">
            <v>AC SPLIT 9000 BTU</v>
          </cell>
        </row>
        <row r="3429">
          <cell r="B3429" t="str">
            <v>FG00027</v>
          </cell>
          <cell r="C3429" t="str">
            <v>AC SPLIT 9000 BTU SAMSUNG</v>
          </cell>
        </row>
        <row r="3430">
          <cell r="B3430" t="str">
            <v>FG00028</v>
          </cell>
          <cell r="C3430" t="str">
            <v>ACECLOMOL (ACECLOFENAC+PARACETAMOL) B/10 CES</v>
          </cell>
        </row>
        <row r="3431">
          <cell r="B3431" t="str">
            <v>FG00030</v>
          </cell>
          <cell r="C3431" t="str">
            <v>ACETONE</v>
          </cell>
        </row>
        <row r="3432">
          <cell r="B3432" t="str">
            <v>FG00031</v>
          </cell>
          <cell r="C3432" t="str">
            <v>ACFOL (ACID FOLLIC) 5MG B/25CES (FR)</v>
          </cell>
        </row>
        <row r="3433">
          <cell r="B3433" t="str">
            <v>FG00033</v>
          </cell>
          <cell r="C3433" t="str">
            <v>ACIDAXIL SUSP BUV FL 200ML B/1</v>
          </cell>
        </row>
        <row r="3434">
          <cell r="B3434" t="str">
            <v>FG00034</v>
          </cell>
          <cell r="C3434" t="str">
            <v>ACIDE ACETIQUE</v>
          </cell>
        </row>
        <row r="3435">
          <cell r="B3435" t="str">
            <v>FG00041</v>
          </cell>
          <cell r="C3435" t="str">
            <v>ACLAV ENF 100/12.5MG SP 60ML (FR(</v>
          </cell>
        </row>
        <row r="3436">
          <cell r="B3436" t="str">
            <v>FG00042</v>
          </cell>
          <cell r="C3436" t="str">
            <v>ACTIMAG SIROP 100ML (E.O.)</v>
          </cell>
        </row>
        <row r="3437">
          <cell r="B3437" t="str">
            <v>FG00044</v>
          </cell>
          <cell r="C3437" t="str">
            <v>ACULAR 0.5% CY 5ML (EO)</v>
          </cell>
        </row>
        <row r="3438">
          <cell r="B3438" t="str">
            <v>FG00045</v>
          </cell>
          <cell r="C3438" t="str">
            <v>ACYCLOVIR DENK 200 5*5CES</v>
          </cell>
        </row>
        <row r="3439">
          <cell r="B3439" t="str">
            <v>FG00048</v>
          </cell>
          <cell r="C3439" t="str">
            <v>ADVIL 400MG 20CES (FR)</v>
          </cell>
        </row>
        <row r="3440">
          <cell r="B3440" t="str">
            <v>FG00049</v>
          </cell>
          <cell r="C3440" t="str">
            <v>ADVIL SUSP. BUV. 200ML (FR)</v>
          </cell>
        </row>
        <row r="3441">
          <cell r="B3441" t="str">
            <v>FG00050</v>
          </cell>
          <cell r="C3441" t="str">
            <v>AERIUS 0.5 MG/ML SOLUTION BUVABLE 150ML (FR)</v>
          </cell>
        </row>
        <row r="3442">
          <cell r="B3442" t="str">
            <v>FG00051</v>
          </cell>
          <cell r="C3442" t="str">
            <v>AERIUS 5MG....... 7CES(FR)</v>
          </cell>
        </row>
        <row r="3443">
          <cell r="B3443" t="str">
            <v>FG00054</v>
          </cell>
          <cell r="C3443" t="str">
            <v>AIGUILLE A PONCTION LOMBAIRE NO-16G 1 PCS</v>
          </cell>
        </row>
        <row r="3444">
          <cell r="B3444" t="str">
            <v>FG00055</v>
          </cell>
          <cell r="C3444" t="str">
            <v>AIGUILLE A PONCTION LOMBAIRE NO-18G 1 PCS</v>
          </cell>
        </row>
        <row r="3445">
          <cell r="B3445" t="str">
            <v>FG00056</v>
          </cell>
          <cell r="C3445" t="str">
            <v>AIGUILLE A PONCTION LOMBAIRE NO-19G 1 PCS</v>
          </cell>
        </row>
        <row r="3446">
          <cell r="B3446" t="str">
            <v>FG00057</v>
          </cell>
          <cell r="C3446" t="str">
            <v>AIGUILLE A PONCTION LOMBAIRE NO-20G 1 PCS</v>
          </cell>
        </row>
        <row r="3447">
          <cell r="B3447" t="str">
            <v>FG00058</v>
          </cell>
          <cell r="C3447" t="str">
            <v>AIGUILLE A PONCTION LOMBAIRE NO-21G 1 PCS</v>
          </cell>
        </row>
        <row r="3448">
          <cell r="B3448" t="str">
            <v>FG00059</v>
          </cell>
          <cell r="C3448" t="str">
            <v>AIGUILLE A PONCTION LOMBAIRE NO-22G 1 PCS</v>
          </cell>
        </row>
        <row r="3449">
          <cell r="B3449" t="str">
            <v>FG00060</v>
          </cell>
          <cell r="C3449" t="str">
            <v>AIGUILLE A PONCTION LOMBAIRE NO-23G 1 PCS</v>
          </cell>
        </row>
        <row r="3450">
          <cell r="B3450" t="str">
            <v>FG00061</v>
          </cell>
          <cell r="C3450" t="str">
            <v>AIGUILLE A PONCTION LOMBAIRE NO-24G 1 PCS</v>
          </cell>
        </row>
        <row r="3451">
          <cell r="B3451" t="str">
            <v>FG00062</v>
          </cell>
          <cell r="C3451" t="str">
            <v>AIGUILLE A PONCTION LOMBAIRE NO-25G 1 PCS</v>
          </cell>
        </row>
        <row r="3452">
          <cell r="B3452" t="str">
            <v>FG00063</v>
          </cell>
          <cell r="C3452" t="str">
            <v>AIGUILLE A PONCTION LOMBAIRE NO-27G 1 PCS</v>
          </cell>
        </row>
        <row r="3453">
          <cell r="B3453" t="str">
            <v>FG00064</v>
          </cell>
          <cell r="C3453" t="str">
            <v>AIGUILLE DENTAINE NO.G27</v>
          </cell>
        </row>
        <row r="3454">
          <cell r="B3454" t="str">
            <v>FG00065</v>
          </cell>
          <cell r="C3454" t="str">
            <v>AIGUILLE DENTAINE NO.G30</v>
          </cell>
        </row>
        <row r="3455">
          <cell r="B3455" t="str">
            <v>FG00067</v>
          </cell>
          <cell r="C3455" t="str">
            <v>AIGUILLE VACUTAINER NO. 21 VERT</v>
          </cell>
        </row>
        <row r="3456">
          <cell r="B3456" t="str">
            <v>FG00068</v>
          </cell>
          <cell r="C3456" t="str">
            <v>AIGUILLE VACUTAINER NO.22 NOIR</v>
          </cell>
        </row>
        <row r="3457">
          <cell r="B3457" t="str">
            <v>FG00069</v>
          </cell>
          <cell r="C3457" t="str">
            <v>AIRTAL 100MG B/10CES (FR)</v>
          </cell>
        </row>
        <row r="3458">
          <cell r="B3458" t="str">
            <v>FG00078</v>
          </cell>
          <cell r="C3458" t="str">
            <v>ALBUMINE 20% (ALBUREL) 20G/100ML IV PERFUSION</v>
          </cell>
        </row>
        <row r="3459">
          <cell r="B3459" t="str">
            <v>FG00081</v>
          </cell>
          <cell r="C3459" t="str">
            <v>ALCOOL ACETONE</v>
          </cell>
        </row>
        <row r="3460">
          <cell r="B3460" t="str">
            <v>FG00082</v>
          </cell>
          <cell r="C3460" t="str">
            <v>ALCOOL ACIDE</v>
          </cell>
        </row>
        <row r="3461">
          <cell r="B3461" t="str">
            <v>FG00096</v>
          </cell>
          <cell r="C3461" t="str">
            <v>ALCOZYNE XP SYRUP 100ML</v>
          </cell>
        </row>
        <row r="3462">
          <cell r="B3462" t="str">
            <v>FG00097</v>
          </cell>
          <cell r="C3462" t="str">
            <v>ALDACTONE 100MG 30CES (FR)</v>
          </cell>
        </row>
        <row r="3463">
          <cell r="B3463" t="str">
            <v>FG00098</v>
          </cell>
          <cell r="C3463" t="str">
            <v>ALDACTONE 50MG 30CES(FR)</v>
          </cell>
        </row>
        <row r="3464">
          <cell r="B3464" t="str">
            <v>FG00099</v>
          </cell>
          <cell r="C3464" t="str">
            <v>ALDOMET **( EUROPE )**250MG 10CES PL (EO)</v>
          </cell>
        </row>
        <row r="3465">
          <cell r="B3465" t="str">
            <v>FG00100</v>
          </cell>
          <cell r="C3465" t="str">
            <v>ALDOMET 500MG 30CES (FR)</v>
          </cell>
        </row>
        <row r="3466">
          <cell r="B3466" t="str">
            <v>FG00101</v>
          </cell>
          <cell r="C3466" t="str">
            <v>ALEZE ( LEVONORGESTREL) 1.5MG B/1CES</v>
          </cell>
        </row>
        <row r="3467">
          <cell r="B3467" t="str">
            <v>FG00102</v>
          </cell>
          <cell r="C3467" t="str">
            <v>ALEZE (CONTRACEPTIF HORMONAL ORAL ) B/28 CES</v>
          </cell>
        </row>
        <row r="3468">
          <cell r="B3468" t="str">
            <v>FG00103</v>
          </cell>
          <cell r="C3468" t="str">
            <v>ALFAMOX 1GR SACH B/14</v>
          </cell>
        </row>
        <row r="3469">
          <cell r="B3469" t="str">
            <v>FG00104</v>
          </cell>
          <cell r="C3469" t="str">
            <v>ALFAMOX 500MG SACH B/14</v>
          </cell>
        </row>
        <row r="3470">
          <cell r="B3470" t="str">
            <v>FG00105</v>
          </cell>
          <cell r="C3470" t="str">
            <v>ALFANTHER 150MG B/3AMP</v>
          </cell>
        </row>
        <row r="3471">
          <cell r="B3471" t="str">
            <v>FG00106</v>
          </cell>
          <cell r="C3471" t="str">
            <v>ALFANTHER 225MG B/3AMP</v>
          </cell>
        </row>
        <row r="3472">
          <cell r="B3472" t="str">
            <v>FG00107</v>
          </cell>
          <cell r="C3472" t="str">
            <v>ALFANTHER 75MG B/3AMP</v>
          </cell>
        </row>
        <row r="3473">
          <cell r="B3473" t="str">
            <v>FG00108</v>
          </cell>
          <cell r="C3473" t="str">
            <v>ALGESAL BAUME 40GR. (FR)</v>
          </cell>
        </row>
        <row r="3474">
          <cell r="B3474" t="str">
            <v>FG00109</v>
          </cell>
          <cell r="C3474" t="str">
            <v>ALGESAL SURECTIVE BAUME 40GR. (FR)</v>
          </cell>
        </row>
        <row r="3475">
          <cell r="B3475" t="str">
            <v>FG00110</v>
          </cell>
          <cell r="C3475" t="str">
            <v>ALGIPAN BAUME 80GR. (FR)</v>
          </cell>
        </row>
        <row r="3476">
          <cell r="B3476" t="str">
            <v>FG00111</v>
          </cell>
          <cell r="C3476" t="str">
            <v>ALHESOL (CHLORHEXIDINE) 100ML</v>
          </cell>
        </row>
        <row r="3477">
          <cell r="B3477" t="str">
            <v>FG00112</v>
          </cell>
          <cell r="C3477" t="str">
            <v>ALICLIN (CLINDAMYCINE)300MG B/1AMP</v>
          </cell>
        </row>
        <row r="3478">
          <cell r="B3478" t="str">
            <v>FG00113</v>
          </cell>
          <cell r="C3478" t="str">
            <v>ALICLIN (CLINDAMYCINE)300MG B/20CAPS</v>
          </cell>
        </row>
        <row r="3479">
          <cell r="B3479" t="str">
            <v>FG00114</v>
          </cell>
          <cell r="C3479" t="str">
            <v>ALKACEL 2MG (MELPHALAN) B/25CES</v>
          </cell>
        </row>
        <row r="3480">
          <cell r="B3480" t="str">
            <v>FG00115</v>
          </cell>
          <cell r="C3480" t="str">
            <v>ALKACEL 50MG (MELPHALAN) INJ B/1 VIAL</v>
          </cell>
        </row>
        <row r="3481">
          <cell r="B3481" t="str">
            <v>FG00116</v>
          </cell>
          <cell r="C3481" t="str">
            <v>ALKACEL 5MG (MELPHALAN) B/25CES</v>
          </cell>
        </row>
        <row r="3482">
          <cell r="B3482" t="str">
            <v>FG00117</v>
          </cell>
          <cell r="C3482" t="str">
            <v>ALLERGEX -VISION (TETRAHYDROZOLINE) CY 15ML</v>
          </cell>
        </row>
        <row r="3483">
          <cell r="B3483" t="str">
            <v>FG00118</v>
          </cell>
          <cell r="C3483" t="str">
            <v>ALLERGINE 2 X 15 CES (CETRIZINE)</v>
          </cell>
        </row>
        <row r="3484">
          <cell r="B3484" t="str">
            <v>FG00119</v>
          </cell>
          <cell r="C3484" t="str">
            <v>ALMAX FORT SUSPENSION 225ML (FR)</v>
          </cell>
        </row>
        <row r="3485">
          <cell r="B3485" t="str">
            <v>FG00120</v>
          </cell>
          <cell r="C3485" t="str">
            <v>ALMAX FORTE SUSP B/30 SACHETS (FR)</v>
          </cell>
        </row>
        <row r="3486">
          <cell r="B3486" t="str">
            <v>FG00121</v>
          </cell>
          <cell r="C3486" t="str">
            <v>ALPHAVIT SIROP 120ML(FR)</v>
          </cell>
        </row>
        <row r="3487">
          <cell r="B3487" t="str">
            <v>FG00122</v>
          </cell>
          <cell r="C3487" t="str">
            <v>ALUDOC 3X8CES</v>
          </cell>
        </row>
        <row r="3488">
          <cell r="B3488" t="str">
            <v>FG00123</v>
          </cell>
          <cell r="C3488" t="str">
            <v>ALUDOC 60ML SIROP</v>
          </cell>
        </row>
        <row r="3489">
          <cell r="B3489" t="str">
            <v>FG00124</v>
          </cell>
          <cell r="C3489" t="str">
            <v>ALUDOC DS 6CES</v>
          </cell>
        </row>
        <row r="3490">
          <cell r="B3490" t="str">
            <v>FG00125</v>
          </cell>
          <cell r="C3490" t="str">
            <v>ALUDOC FORT 12CES</v>
          </cell>
        </row>
        <row r="3491">
          <cell r="B3491" t="str">
            <v>FG00126</v>
          </cell>
          <cell r="C3491" t="str">
            <v>ALVITYL 10CES EFF (FR)</v>
          </cell>
        </row>
        <row r="3492">
          <cell r="B3492" t="str">
            <v>FG00127</v>
          </cell>
          <cell r="C3492" t="str">
            <v>ALVITYL PLUS 40CES (FR)</v>
          </cell>
        </row>
        <row r="3493">
          <cell r="B3493" t="str">
            <v>FG00128</v>
          </cell>
          <cell r="C3493" t="str">
            <v>ALVITYL SP 150ML (FR)</v>
          </cell>
        </row>
        <row r="3494">
          <cell r="B3494" t="str">
            <v>FG00129</v>
          </cell>
          <cell r="C3494" t="str">
            <v>ALVITYL TONUS 20CES EFF (FR)</v>
          </cell>
        </row>
        <row r="3495">
          <cell r="B3495" t="str">
            <v>FG00130</v>
          </cell>
          <cell r="C3495" t="str">
            <v>ALZITH (AZITHROMYCINE) 500MG B/3 CES</v>
          </cell>
        </row>
        <row r="3496">
          <cell r="B3496" t="str">
            <v>FG00131</v>
          </cell>
          <cell r="C3496" t="str">
            <v>ALZITH 200NG 30 ML SP</v>
          </cell>
        </row>
        <row r="3497">
          <cell r="B3497" t="str">
            <v>FG00132</v>
          </cell>
          <cell r="C3497" t="str">
            <v>AMAREL 2MG 30CES (FR)</v>
          </cell>
        </row>
        <row r="3498">
          <cell r="B3498" t="str">
            <v>FG00133</v>
          </cell>
          <cell r="C3498" t="str">
            <v>AMAREL 3MG 30CES (FR)</v>
          </cell>
        </row>
        <row r="3499">
          <cell r="B3499" t="str">
            <v>FG00134</v>
          </cell>
          <cell r="C3499" t="str">
            <v>AMARULA P.M</v>
          </cell>
        </row>
        <row r="3500">
          <cell r="B3500" t="str">
            <v>FG00135</v>
          </cell>
          <cell r="C3500" t="str">
            <v>AMBOUNT BLEU</v>
          </cell>
        </row>
        <row r="3501">
          <cell r="B3501" t="str">
            <v>FG00136</v>
          </cell>
          <cell r="C3501" t="str">
            <v>AMBROLITE-GS SP 100ML</v>
          </cell>
        </row>
        <row r="3502">
          <cell r="B3502" t="str">
            <v>FG00137</v>
          </cell>
          <cell r="C3502" t="str">
            <v>AMBROXE (AMBROXOL) 100ML SIROP</v>
          </cell>
        </row>
        <row r="3503">
          <cell r="B3503" t="str">
            <v>FG00138</v>
          </cell>
          <cell r="C3503" t="str">
            <v>AMBROXE (AMBROXOL) 150ML SIROP</v>
          </cell>
        </row>
        <row r="3504">
          <cell r="B3504" t="str">
            <v>FG00144</v>
          </cell>
          <cell r="C3504" t="str">
            <v>AMIFER ENFANT SIROP 150ML (FR)</v>
          </cell>
        </row>
        <row r="3505">
          <cell r="B3505" t="str">
            <v>FG00145</v>
          </cell>
          <cell r="C3505" t="str">
            <v>AMIFER FORTE 100MG B/30CES</v>
          </cell>
        </row>
        <row r="3506">
          <cell r="B3506" t="str">
            <v>FG00149</v>
          </cell>
          <cell r="C3506" t="str">
            <v>AMIKACIN 500MG INJ B/1AMP (FR)</v>
          </cell>
        </row>
        <row r="3507">
          <cell r="B3507" t="str">
            <v>FG00156</v>
          </cell>
          <cell r="C3507" t="str">
            <v>AMLIBON 5MG 30 CES (FR)</v>
          </cell>
        </row>
        <row r="3508">
          <cell r="B3508" t="str">
            <v>FG00157</v>
          </cell>
          <cell r="C3508" t="str">
            <v>AMLO DENK 10MG PL/[10]CES (EO)</v>
          </cell>
        </row>
        <row r="3509">
          <cell r="B3509" t="str">
            <v>FG00158</v>
          </cell>
          <cell r="C3509" t="str">
            <v>AMLO DENK 5MG PL/10CES</v>
          </cell>
        </row>
        <row r="3510">
          <cell r="B3510" t="str">
            <v>FG00159</v>
          </cell>
          <cell r="C3510" t="str">
            <v>AMLOR 10MG BT/30CAPS (FR)</v>
          </cell>
        </row>
        <row r="3511">
          <cell r="B3511" t="str">
            <v>FG00160</v>
          </cell>
          <cell r="C3511" t="str">
            <v>AMLOR 5MG 28CES(FR)</v>
          </cell>
        </row>
        <row r="3512">
          <cell r="B3512" t="str">
            <v>FG00161</v>
          </cell>
          <cell r="C3512" t="str">
            <v>AMLOR 5MG CES B/30(ORIGNAL)</v>
          </cell>
        </row>
        <row r="3513">
          <cell r="B3513" t="str">
            <v>FG00168</v>
          </cell>
          <cell r="C3513" t="str">
            <v>AMOL G CREME 10GR.</v>
          </cell>
        </row>
        <row r="3514">
          <cell r="B3514" t="str">
            <v>FG00169</v>
          </cell>
          <cell r="C3514" t="str">
            <v>AMOXICLAV DENK 1000/125 12SACHETS</v>
          </cell>
        </row>
        <row r="3515">
          <cell r="B3515" t="str">
            <v>FG00170</v>
          </cell>
          <cell r="C3515" t="str">
            <v>AMOXICLAV DENK 1000/125 B/8SACHETS</v>
          </cell>
        </row>
        <row r="3516">
          <cell r="B3516" t="str">
            <v>FG00171</v>
          </cell>
          <cell r="C3516" t="str">
            <v>AMOXY DENK 10CES+++++++ 1GR</v>
          </cell>
        </row>
        <row r="3517">
          <cell r="B3517" t="str">
            <v>FG00172</v>
          </cell>
          <cell r="C3517" t="str">
            <v>AMOXY DENK 500MG B/20CES (FR) (NEW)</v>
          </cell>
        </row>
        <row r="3518">
          <cell r="B3518" t="str">
            <v>FG00173</v>
          </cell>
          <cell r="C3518" t="str">
            <v>AMOXYCILLINE 125MG SIROP (PHATKIN)</v>
          </cell>
        </row>
        <row r="3519">
          <cell r="B3519" t="str">
            <v>FG00174</v>
          </cell>
          <cell r="C3519" t="str">
            <v>AMOXYCILLINE 125MG SP 60ML</v>
          </cell>
        </row>
        <row r="3520">
          <cell r="B3520" t="str">
            <v>FG00175</v>
          </cell>
          <cell r="C3520" t="str">
            <v>AMOXYCILLINE 250MG B/10 CAPS</v>
          </cell>
        </row>
        <row r="3521">
          <cell r="B3521" t="str">
            <v>FG00176</v>
          </cell>
          <cell r="C3521" t="str">
            <v>AMOXYCILLINE 250MG B/1000CAPS</v>
          </cell>
        </row>
        <row r="3522">
          <cell r="B3522" t="str">
            <v>FG00177</v>
          </cell>
          <cell r="C3522" t="str">
            <v>AMOXYCILLINE 250MG SIROP ([PHATKIN)</v>
          </cell>
        </row>
        <row r="3523">
          <cell r="B3523" t="str">
            <v>FG00178</v>
          </cell>
          <cell r="C3523" t="str">
            <v>AMOXYCILLINE 250MG SP 60ML</v>
          </cell>
        </row>
        <row r="3524">
          <cell r="B3524" t="str">
            <v>FG00179</v>
          </cell>
          <cell r="C3524" t="str">
            <v>AMOXYCILLINE 500MG B/500CAPS</v>
          </cell>
        </row>
        <row r="3525">
          <cell r="B3525" t="str">
            <v>FG00180</v>
          </cell>
          <cell r="C3525" t="str">
            <v>AMPOULES MICROSCOPE 12V</v>
          </cell>
        </row>
        <row r="3526">
          <cell r="B3526" t="str">
            <v>FG00181</v>
          </cell>
          <cell r="C3526" t="str">
            <v>AMTAS 10MG (AMLODIPINE) B/30CES</v>
          </cell>
        </row>
        <row r="3527">
          <cell r="B3527" t="str">
            <v>FG00182</v>
          </cell>
          <cell r="C3527" t="str">
            <v>AMTAS 5MG (AMLODIPINE) B/30CES</v>
          </cell>
        </row>
        <row r="3528">
          <cell r="B3528" t="str">
            <v>FG00183</v>
          </cell>
          <cell r="C3528" t="str">
            <v>AMYCEF (CEFOTAXIME) I V I M 1G B/1AMP</v>
          </cell>
        </row>
        <row r="3529">
          <cell r="B3529" t="str">
            <v>FG00184</v>
          </cell>
          <cell r="C3529" t="str">
            <v>ANAFLAM B/10X10CES</v>
          </cell>
        </row>
        <row r="3530">
          <cell r="B3530" t="str">
            <v>FG00185</v>
          </cell>
          <cell r="C3530" t="str">
            <v>ANAFLAM SP 60ML</v>
          </cell>
        </row>
        <row r="3531">
          <cell r="B3531" t="str">
            <v>FG00186</v>
          </cell>
          <cell r="C3531" t="str">
            <v>ANAFRANIL 10MG PL/10CES(PAK)</v>
          </cell>
        </row>
        <row r="3532">
          <cell r="B3532" t="str">
            <v>FG00187</v>
          </cell>
          <cell r="C3532" t="str">
            <v>ANAFRANIL 25MG 10CES PL (PAK)</v>
          </cell>
        </row>
        <row r="3533">
          <cell r="B3533" t="str">
            <v>FG00188</v>
          </cell>
          <cell r="C3533" t="str">
            <v>ANAFRANIL 25MG 50CES(FR)</v>
          </cell>
        </row>
        <row r="3534">
          <cell r="B3534" t="str">
            <v>FG00189</v>
          </cell>
          <cell r="C3534" t="str">
            <v>ANAFRANIL 25MG PL/10CES(PAK)</v>
          </cell>
        </row>
        <row r="3535">
          <cell r="B3535" t="str">
            <v>FG00190</v>
          </cell>
          <cell r="C3535" t="str">
            <v>ANASINE COLLYRE 0.4% 5ML</v>
          </cell>
        </row>
        <row r="3536">
          <cell r="B3536" t="str">
            <v>FG00191</v>
          </cell>
          <cell r="C3536" t="str">
            <v>ANASTROZOLE DENK (ANASTROCOLE) B/30CES</v>
          </cell>
        </row>
        <row r="3537">
          <cell r="B3537" t="str">
            <v>FG00192</v>
          </cell>
          <cell r="C3537" t="str">
            <v>ANDROCUR 50MG 20CES</v>
          </cell>
        </row>
        <row r="3538">
          <cell r="B3538" t="str">
            <v>FG00193</v>
          </cell>
          <cell r="C3538" t="str">
            <v>ANGINOVAG AER.10ML (FR)</v>
          </cell>
        </row>
        <row r="3539">
          <cell r="B3539" t="str">
            <v>FG00194</v>
          </cell>
          <cell r="C3539" t="str">
            <v>ANGINOVAG SPRAY FL/20ML(EO)</v>
          </cell>
        </row>
        <row r="3540">
          <cell r="B3540" t="str">
            <v>FG00195</v>
          </cell>
          <cell r="C3540" t="str">
            <v>ANOMEX B/5SUPPOS</v>
          </cell>
        </row>
        <row r="3541">
          <cell r="B3541" t="str">
            <v>FG00196</v>
          </cell>
          <cell r="C3541" t="str">
            <v>ANSET B/4CES</v>
          </cell>
        </row>
        <row r="3542">
          <cell r="B3542" t="str">
            <v>FG00197</v>
          </cell>
          <cell r="C3542" t="str">
            <v>ANSET B/5SUPPOS</v>
          </cell>
        </row>
        <row r="3543">
          <cell r="B3543" t="str">
            <v>FG00198</v>
          </cell>
          <cell r="C3543" t="str">
            <v>ANSET INJ B/1AMP</v>
          </cell>
        </row>
        <row r="3544">
          <cell r="B3544" t="str">
            <v>FG00199</v>
          </cell>
          <cell r="C3544" t="str">
            <v>ANSET SUSP 30ML</v>
          </cell>
        </row>
        <row r="3545">
          <cell r="B3545" t="str">
            <v>FG00200</v>
          </cell>
          <cell r="C3545" t="str">
            <v>ANTABON 200ML SP</v>
          </cell>
        </row>
        <row r="3546">
          <cell r="B3546" t="str">
            <v>FG00201</v>
          </cell>
          <cell r="C3546" t="str">
            <v>ANTALGEX 20 GELULES (FR)</v>
          </cell>
        </row>
        <row r="3547">
          <cell r="B3547" t="str">
            <v>FG00202</v>
          </cell>
          <cell r="C3547" t="str">
            <v>ANTI HUMAN GLIOBULIN</v>
          </cell>
        </row>
        <row r="3548">
          <cell r="B3548" t="str">
            <v>FG00203</v>
          </cell>
          <cell r="C3548" t="str">
            <v>ANTIBIOPUR 3% COLLYRE 5ML</v>
          </cell>
        </row>
        <row r="3549">
          <cell r="B3549" t="str">
            <v>FG00204</v>
          </cell>
          <cell r="C3549" t="str">
            <v>ANTIBIOT 0.3% COLLYRE</v>
          </cell>
        </row>
        <row r="3550">
          <cell r="B3550" t="str">
            <v>FG00205</v>
          </cell>
          <cell r="C3550" t="str">
            <v>ANTICEF (CEFOTAXIME) 1GR B/1 AMP</v>
          </cell>
        </row>
        <row r="3551">
          <cell r="B3551" t="str">
            <v>FG00206</v>
          </cell>
          <cell r="C3551" t="str">
            <v>ANTIDOUL B/1CES</v>
          </cell>
        </row>
        <row r="3552">
          <cell r="B3552" t="str">
            <v>FG00207</v>
          </cell>
          <cell r="C3552" t="str">
            <v>ANTIGRIPPINE MIDY + VIT C CPR BT 12 E.0 ****</v>
          </cell>
        </row>
        <row r="3553">
          <cell r="B3553" t="str">
            <v>FG00208</v>
          </cell>
          <cell r="C3553" t="str">
            <v>ANTITOUX (CRISTIE) 100ML SP</v>
          </cell>
        </row>
        <row r="3554">
          <cell r="B3554" t="str">
            <v>FG00209</v>
          </cell>
          <cell r="C3554" t="str">
            <v>ANTITOUX (STOPTOUX) SP 100ML</v>
          </cell>
        </row>
        <row r="3555">
          <cell r="B3555" t="str">
            <v>FG00210</v>
          </cell>
          <cell r="C3555" t="str">
            <v>ANTITUSSIF SP 100ML</v>
          </cell>
        </row>
        <row r="3556">
          <cell r="B3556" t="str">
            <v>FG00211</v>
          </cell>
          <cell r="C3556" t="str">
            <v>ANTOL 125GM SOAP</v>
          </cell>
        </row>
        <row r="3557">
          <cell r="B3557" t="str">
            <v>FG00212</v>
          </cell>
          <cell r="C3557" t="str">
            <v>ANTOL 15GM CREAM</v>
          </cell>
        </row>
        <row r="3558">
          <cell r="B3558" t="str">
            <v>FG00213</v>
          </cell>
          <cell r="C3558" t="str">
            <v>ANTOL 30GM CREAM</v>
          </cell>
        </row>
        <row r="3559">
          <cell r="B3559" t="str">
            <v>FG00214</v>
          </cell>
          <cell r="C3559" t="str">
            <v>ANTOL SHOP 75G</v>
          </cell>
        </row>
        <row r="3560">
          <cell r="B3560" t="str">
            <v>FG00215</v>
          </cell>
          <cell r="C3560" t="str">
            <v>ANTOPRAZ (PANTOPRAZOLE) 40MG IV</v>
          </cell>
        </row>
        <row r="3561">
          <cell r="B3561" t="str">
            <v>FG00216</v>
          </cell>
          <cell r="C3561" t="str">
            <v>ANTOUGINE SP 100ML</v>
          </cell>
        </row>
        <row r="3562">
          <cell r="B3562" t="str">
            <v>FG00217</v>
          </cell>
          <cell r="C3562" t="str">
            <v>APEROP TONIC 14AMP BUV.</v>
          </cell>
        </row>
        <row r="3563">
          <cell r="B3563" t="str">
            <v>FG00218</v>
          </cell>
          <cell r="C3563" t="str">
            <v>APETAMIN (CYPROPEPTADINE) SIROP 200ML</v>
          </cell>
        </row>
        <row r="3564">
          <cell r="B3564" t="str">
            <v>FG00219</v>
          </cell>
          <cell r="C3564" t="str">
            <v>APETI PLUS 10X10CES</v>
          </cell>
        </row>
        <row r="3565">
          <cell r="B3565" t="str">
            <v>FG00220</v>
          </cell>
          <cell r="C3565" t="str">
            <v>APETIT TROP SIROP</v>
          </cell>
        </row>
        <row r="3566">
          <cell r="B3566" t="str">
            <v>FG00221</v>
          </cell>
          <cell r="C3566" t="str">
            <v>APETITO SIROP 100ML (ROUGE)</v>
          </cell>
        </row>
        <row r="3567">
          <cell r="B3567" t="str">
            <v>FG00222</v>
          </cell>
          <cell r="C3567" t="str">
            <v>APHEROL (VITAMINE A/E) B/3 X10 GELULES</v>
          </cell>
        </row>
        <row r="3568">
          <cell r="B3568" t="str">
            <v>FG00223</v>
          </cell>
          <cell r="C3568" t="str">
            <v>APPETIVIT 200ML SP</v>
          </cell>
        </row>
        <row r="3569">
          <cell r="B3569" t="str">
            <v>FG00224</v>
          </cell>
          <cell r="C3569" t="str">
            <v>APRON</v>
          </cell>
        </row>
        <row r="3570">
          <cell r="B3570" t="str">
            <v>FG00225</v>
          </cell>
          <cell r="C3570" t="str">
            <v>AQUATABS 67MG 8CES PL</v>
          </cell>
        </row>
        <row r="3571">
          <cell r="B3571" t="str">
            <v>FG00226</v>
          </cell>
          <cell r="C3571" t="str">
            <v>ARAUBACT (LEVOFLOXACIN) IV 100ML</v>
          </cell>
        </row>
        <row r="3572">
          <cell r="B3572" t="str">
            <v>FG00227</v>
          </cell>
          <cell r="C3572" t="str">
            <v>ARAUBACT TABLET B/10CES</v>
          </cell>
        </row>
        <row r="3573">
          <cell r="B3573" t="str">
            <v>FG00228</v>
          </cell>
          <cell r="C3573" t="str">
            <v>ARAUCLAV (AMOXI+CLAVU) NOURRISSON 60ML</v>
          </cell>
        </row>
        <row r="3574">
          <cell r="B3574" t="str">
            <v>FG00229</v>
          </cell>
          <cell r="C3574" t="str">
            <v>ARAUCLAV (AMOXI+CLAVULANATE) 625MG B/2 X 8 CES</v>
          </cell>
        </row>
        <row r="3575">
          <cell r="B3575" t="str">
            <v>FG00230</v>
          </cell>
          <cell r="C3575" t="str">
            <v>ARAUCLAV -1.2GR (AMOXY+CLAVULANATE) IV B/1 AMP</v>
          </cell>
        </row>
        <row r="3576">
          <cell r="B3576" t="str">
            <v>FG00231</v>
          </cell>
          <cell r="C3576" t="str">
            <v>ARAUCLAV 1125MG CES B/16</v>
          </cell>
        </row>
        <row r="3577">
          <cell r="B3577" t="str">
            <v>FG00232</v>
          </cell>
          <cell r="C3577" t="str">
            <v>ARAUCLAV ENFANT 562.5MG SP</v>
          </cell>
        </row>
        <row r="3578">
          <cell r="B3578" t="str">
            <v>FG00233</v>
          </cell>
          <cell r="C3578" t="str">
            <v>ARAUFIX (CEFIXIME) 200MG B/10CES</v>
          </cell>
        </row>
        <row r="3579">
          <cell r="B3579" t="str">
            <v>FG00234</v>
          </cell>
          <cell r="C3579" t="str">
            <v>ARAUFIX (CEFIXIME) 100MG B/10CES</v>
          </cell>
        </row>
        <row r="3580">
          <cell r="B3580" t="str">
            <v>FG00235</v>
          </cell>
          <cell r="C3580" t="str">
            <v>ARAUFIX (CEFIXIME) 400MG B/10CES</v>
          </cell>
        </row>
        <row r="3581">
          <cell r="B3581" t="str">
            <v>FG00236</v>
          </cell>
          <cell r="C3581" t="str">
            <v>ARAUFIX DRY SYRUP 60ML</v>
          </cell>
        </row>
        <row r="3582">
          <cell r="B3582" t="str">
            <v>FG00237</v>
          </cell>
          <cell r="C3582" t="str">
            <v>ARAUFIX OX 200MG B/10CES</v>
          </cell>
        </row>
        <row r="3583">
          <cell r="B3583" t="str">
            <v>FG00238</v>
          </cell>
          <cell r="C3583" t="str">
            <v>ARAUFLOX IV 100ML</v>
          </cell>
        </row>
        <row r="3584">
          <cell r="B3584" t="str">
            <v>FG00239</v>
          </cell>
          <cell r="C3584" t="str">
            <v>ARAUMOL IV 100ML</v>
          </cell>
        </row>
        <row r="3585">
          <cell r="B3585" t="str">
            <v>FG00240</v>
          </cell>
          <cell r="C3585" t="str">
            <v>ARAUMOX 400MG 250ML INFUSION</v>
          </cell>
        </row>
        <row r="3586">
          <cell r="B3586" t="str">
            <v>FG00241</v>
          </cell>
          <cell r="C3586" t="str">
            <v>ARAUMOX 400MG B\5CES</v>
          </cell>
        </row>
        <row r="3587">
          <cell r="B3587" t="str">
            <v>FG00242</v>
          </cell>
          <cell r="C3587" t="str">
            <v>ARAUTOL (MANNITOL) 100ML INFUSION</v>
          </cell>
        </row>
        <row r="3588">
          <cell r="B3588" t="str">
            <v>FG00243</v>
          </cell>
          <cell r="C3588" t="str">
            <v>ARBICLO 120MG ING</v>
          </cell>
        </row>
        <row r="3589">
          <cell r="B3589" t="str">
            <v>FG00244</v>
          </cell>
          <cell r="C3589" t="str">
            <v>ARBICLO 150MG ING</v>
          </cell>
        </row>
        <row r="3590">
          <cell r="B3590" t="str">
            <v>FG00245</v>
          </cell>
          <cell r="C3590" t="str">
            <v>ARBICLO 180MG ING</v>
          </cell>
        </row>
        <row r="3591">
          <cell r="B3591" t="str">
            <v>FG00246</v>
          </cell>
          <cell r="C3591" t="str">
            <v>ARBICLO 240MG ING</v>
          </cell>
        </row>
        <row r="3592">
          <cell r="B3592" t="str">
            <v>FG00247</v>
          </cell>
          <cell r="C3592" t="str">
            <v>ARBICLO 30MG ING</v>
          </cell>
        </row>
        <row r="3593">
          <cell r="B3593" t="str">
            <v>FG00248</v>
          </cell>
          <cell r="C3593" t="str">
            <v>ARBICLO 60MG ING</v>
          </cell>
        </row>
        <row r="3594">
          <cell r="B3594" t="str">
            <v>FG00249</v>
          </cell>
          <cell r="C3594" t="str">
            <v>ARBICLO 90MG ING</v>
          </cell>
        </row>
        <row r="3595">
          <cell r="B3595" t="str">
            <v>FG00250</v>
          </cell>
          <cell r="C3595" t="str">
            <v>ARBITEL (TELMISARTN) 80MG B/30CES</v>
          </cell>
        </row>
        <row r="3596">
          <cell r="B3596" t="str">
            <v>FG00251</v>
          </cell>
          <cell r="C3596" t="str">
            <v>ARBITEL - H (TELMISARTAN) B/30CES</v>
          </cell>
        </row>
        <row r="3597">
          <cell r="B3597" t="str">
            <v>FG00252</v>
          </cell>
          <cell r="C3597" t="str">
            <v>ARBITEL AM B/30CES 1 PCS</v>
          </cell>
        </row>
        <row r="3598">
          <cell r="B3598" t="str">
            <v>FG00253</v>
          </cell>
          <cell r="C3598" t="str">
            <v>ARCOIXA 120MG B/7CES</v>
          </cell>
        </row>
        <row r="3599">
          <cell r="B3599" t="str">
            <v>FG00254</v>
          </cell>
          <cell r="C3599" t="str">
            <v>ARCOXIA 90MG B/7CES</v>
          </cell>
        </row>
        <row r="3600">
          <cell r="B3600" t="str">
            <v>FG00255</v>
          </cell>
          <cell r="C3600" t="str">
            <v>ARCOXIA @@@ 60MG@@@@ B/7CES</v>
          </cell>
        </row>
        <row r="3601">
          <cell r="B3601" t="str">
            <v>FG00256</v>
          </cell>
          <cell r="C3601" t="str">
            <v>ARETA TOUX SP 100ML</v>
          </cell>
        </row>
        <row r="3602">
          <cell r="B3602" t="str">
            <v>FG00257</v>
          </cell>
          <cell r="C3602" t="str">
            <v>ARGYROL 0.5% FAURE COLLY FL 10ML</v>
          </cell>
        </row>
        <row r="3603">
          <cell r="B3603" t="str">
            <v>FG00258</v>
          </cell>
          <cell r="C3603" t="str">
            <v>ARGYROL 0.5% AVEC AMBALLAGE</v>
          </cell>
        </row>
        <row r="3604">
          <cell r="B3604" t="str">
            <v>FG00259</v>
          </cell>
          <cell r="C3604" t="str">
            <v>ARGYROL 1% AVEC AMBALLAGE</v>
          </cell>
        </row>
        <row r="3605">
          <cell r="B3605" t="str">
            <v>FG00260</v>
          </cell>
          <cell r="C3605" t="str">
            <v>ARGYROL 1% FAURE COLLY FL 10ML</v>
          </cell>
        </row>
        <row r="3606">
          <cell r="B3606" t="str">
            <v>FG00261</v>
          </cell>
          <cell r="C3606" t="str">
            <v>ARGYROL 2% FAURE COLLY FL 10ML</v>
          </cell>
        </row>
        <row r="3607">
          <cell r="B3607" t="str">
            <v>FG00262</v>
          </cell>
          <cell r="C3607" t="str">
            <v>ARLUMETRIN (ARTE+LUME) B/24CES</v>
          </cell>
        </row>
        <row r="3608">
          <cell r="B3608" t="str">
            <v>FG00263</v>
          </cell>
          <cell r="C3608" t="str">
            <v>ARLUMETRIN DP B/6CES</v>
          </cell>
        </row>
        <row r="3609">
          <cell r="B3609" t="str">
            <v>FG00264</v>
          </cell>
          <cell r="C3609" t="str">
            <v>ARLUMETRIN DS SIROP 60ML</v>
          </cell>
        </row>
        <row r="3610">
          <cell r="B3610" t="str">
            <v>FG00265</v>
          </cell>
          <cell r="C3610" t="str">
            <v>ARLUMETRIN FORT B/12CES</v>
          </cell>
        </row>
        <row r="3611">
          <cell r="B3611" t="str">
            <v>FG00266</v>
          </cell>
          <cell r="C3611" t="str">
            <v>ARMADOC 120MG B/1AMP</v>
          </cell>
        </row>
        <row r="3612">
          <cell r="B3612" t="str">
            <v>FG00267</v>
          </cell>
          <cell r="C3612" t="str">
            <v>ARMADOC 180MG B/1AMP</v>
          </cell>
        </row>
        <row r="3613">
          <cell r="B3613" t="str">
            <v>FG00268</v>
          </cell>
          <cell r="C3613" t="str">
            <v>ARMADOC 240MG B/1AMP</v>
          </cell>
        </row>
        <row r="3614">
          <cell r="B3614" t="str">
            <v>FG00269</v>
          </cell>
          <cell r="C3614" t="str">
            <v>ARMADOC 30MG B/1AMP</v>
          </cell>
        </row>
        <row r="3615">
          <cell r="B3615" t="str">
            <v>FG00270</v>
          </cell>
          <cell r="C3615" t="str">
            <v>ARMADOC 60MG B/1AMP</v>
          </cell>
        </row>
        <row r="3616">
          <cell r="B3616" t="str">
            <v>FG00271</v>
          </cell>
          <cell r="C3616" t="str">
            <v>ARMILON 1MG (ANASTROZOLE) PLT/10 CES</v>
          </cell>
        </row>
        <row r="3617">
          <cell r="B3617" t="str">
            <v>FG00272</v>
          </cell>
          <cell r="C3617" t="str">
            <v>ARODERM **50GR** MEDICAL POUDRE PETIT</v>
          </cell>
        </row>
        <row r="3618">
          <cell r="B3618" t="str">
            <v>FG00273</v>
          </cell>
          <cell r="C3618" t="str">
            <v>ARODERM ANTISEPTIQUE SAVON</v>
          </cell>
        </row>
        <row r="3619">
          <cell r="B3619" t="str">
            <v>FG00274</v>
          </cell>
          <cell r="C3619" t="str">
            <v>ARODERM PDRE **BEBE** 100GR 1 FLC</v>
          </cell>
        </row>
        <row r="3620">
          <cell r="B3620" t="str">
            <v>FG00275</v>
          </cell>
          <cell r="C3620" t="str">
            <v>ARODERME POUDRE MEDICAL 100GR</v>
          </cell>
        </row>
        <row r="3621">
          <cell r="B3621" t="str">
            <v>FG00276</v>
          </cell>
          <cell r="C3621" t="str">
            <v>ARODERME CREAME 40GR</v>
          </cell>
        </row>
        <row r="3622">
          <cell r="B3622" t="str">
            <v>FG00277</v>
          </cell>
          <cell r="C3622" t="str">
            <v>ARODERME SAON BEBE $$$$$$$$ 100MG $$$$$$</v>
          </cell>
        </row>
        <row r="3623">
          <cell r="B3623" t="str">
            <v>FG00278</v>
          </cell>
          <cell r="C3623" t="str">
            <v>ARODERME SAVON CITRON 100GR</v>
          </cell>
        </row>
        <row r="3624">
          <cell r="B3624" t="str">
            <v>FG00279</v>
          </cell>
          <cell r="C3624" t="str">
            <v>AROGYL OVULES</v>
          </cell>
        </row>
        <row r="3625">
          <cell r="B3625" t="str">
            <v>FG00280</v>
          </cell>
          <cell r="C3625" t="str">
            <v>AROXYL SIROP 100ML</v>
          </cell>
        </row>
        <row r="3626">
          <cell r="B3626" t="str">
            <v>FG00281</v>
          </cell>
          <cell r="C3626" t="str">
            <v>ARTE PLUS B/6CAPSULES</v>
          </cell>
        </row>
        <row r="3627">
          <cell r="B3627" t="str">
            <v>FG00282</v>
          </cell>
          <cell r="C3627" t="str">
            <v>ARTECOM 8CES (FR)</v>
          </cell>
        </row>
        <row r="3628">
          <cell r="B3628" t="str">
            <v>FG00283</v>
          </cell>
          <cell r="C3628" t="str">
            <v>ARTEFEN SUSPENSION 100ML</v>
          </cell>
        </row>
        <row r="3629">
          <cell r="B3629" t="str">
            <v>FG00284</v>
          </cell>
          <cell r="C3629" t="str">
            <v>ARTEFLOXEM SUSPENSION 60ML</v>
          </cell>
        </row>
        <row r="3630">
          <cell r="B3630" t="str">
            <v>FG00285</v>
          </cell>
          <cell r="C3630" t="str">
            <v>ARTEFORT 120MG INJ</v>
          </cell>
        </row>
        <row r="3631">
          <cell r="B3631" t="str">
            <v>FG00286</v>
          </cell>
          <cell r="C3631" t="str">
            <v>ARTEFORT 150MG INJ</v>
          </cell>
        </row>
        <row r="3632">
          <cell r="B3632" t="str">
            <v>FG00287</v>
          </cell>
          <cell r="C3632" t="str">
            <v>ARTEFORT 180MG INJ</v>
          </cell>
        </row>
        <row r="3633">
          <cell r="B3633" t="str">
            <v>FG00288</v>
          </cell>
          <cell r="C3633" t="str">
            <v>ARTEFORT 240MG INJ</v>
          </cell>
        </row>
        <row r="3634">
          <cell r="B3634" t="str">
            <v>FG00289</v>
          </cell>
          <cell r="C3634" t="str">
            <v>ARTEFORT 30MG INJ</v>
          </cell>
        </row>
        <row r="3635">
          <cell r="B3635" t="str">
            <v>FG00290</v>
          </cell>
          <cell r="C3635" t="str">
            <v>ARTEFORT 60MG INJ</v>
          </cell>
        </row>
        <row r="3636">
          <cell r="B3636" t="str">
            <v>FG00291</v>
          </cell>
          <cell r="C3636" t="str">
            <v>ARTEGEL SUSPENSION 200ML</v>
          </cell>
        </row>
        <row r="3637">
          <cell r="B3637" t="str">
            <v>FG00292</v>
          </cell>
          <cell r="C3637" t="str">
            <v>ARTELOL (DROPS) 5ML</v>
          </cell>
        </row>
        <row r="3638">
          <cell r="B3638" t="str">
            <v>FG00293</v>
          </cell>
          <cell r="C3638" t="str">
            <v>ARTEMED 120MG B/1AMP</v>
          </cell>
        </row>
        <row r="3639">
          <cell r="B3639" t="str">
            <v>FG00294</v>
          </cell>
          <cell r="C3639" t="str">
            <v>ARTEMED 180MG B/1AMP</v>
          </cell>
        </row>
        <row r="3640">
          <cell r="B3640" t="str">
            <v>FG00295</v>
          </cell>
          <cell r="C3640" t="str">
            <v>ARTEMED 240MG B/1AMP</v>
          </cell>
        </row>
        <row r="3641">
          <cell r="B3641" t="str">
            <v>FG00296</v>
          </cell>
          <cell r="C3641" t="str">
            <v>ARTEMED 30MG B/1AMP</v>
          </cell>
        </row>
        <row r="3642">
          <cell r="B3642" t="str">
            <v>FG00297</v>
          </cell>
          <cell r="C3642" t="str">
            <v>ARTEMED 60MG B/1AMP</v>
          </cell>
        </row>
        <row r="3643">
          <cell r="B3643" t="str">
            <v>FG00298</v>
          </cell>
          <cell r="C3643" t="str">
            <v>ARTEPIP AD 12CES</v>
          </cell>
        </row>
        <row r="3644">
          <cell r="B3644" t="str">
            <v>FG00299</v>
          </cell>
          <cell r="C3644" t="str">
            <v>ARTEPIP SIROP 30ML</v>
          </cell>
        </row>
        <row r="3645">
          <cell r="B3645" t="str">
            <v>FG00300</v>
          </cell>
          <cell r="C3645" t="str">
            <v>ARTEQUICK 4CES</v>
          </cell>
        </row>
        <row r="3646">
          <cell r="B3646" t="str">
            <v>FG00301</v>
          </cell>
          <cell r="C3646" t="str">
            <v>ARTES 120MG INJ B/1 AMP</v>
          </cell>
        </row>
        <row r="3647">
          <cell r="B3647" t="str">
            <v>FG00302</v>
          </cell>
          <cell r="C3647" t="str">
            <v>ARTES 150MG INJ B/1 AMP</v>
          </cell>
        </row>
        <row r="3648">
          <cell r="B3648" t="str">
            <v>FG00303</v>
          </cell>
          <cell r="C3648" t="str">
            <v>ARTES 180MG INJ B/1 AMP</v>
          </cell>
        </row>
        <row r="3649">
          <cell r="B3649" t="str">
            <v>FG00304</v>
          </cell>
          <cell r="C3649" t="str">
            <v>ARTES 240MG INJ B/1 AMP</v>
          </cell>
        </row>
        <row r="3650">
          <cell r="B3650" t="str">
            <v>FG00305</v>
          </cell>
          <cell r="C3650" t="str">
            <v>ARTES 30MG INJ B/1 AMP</v>
          </cell>
        </row>
        <row r="3651">
          <cell r="B3651" t="str">
            <v>FG00306</v>
          </cell>
          <cell r="C3651" t="str">
            <v>ARTES 60MG INJ B/1AMP</v>
          </cell>
        </row>
        <row r="3652">
          <cell r="B3652" t="str">
            <v>FG00307</v>
          </cell>
          <cell r="C3652" t="str">
            <v>ARTES SUPPO B/6</v>
          </cell>
        </row>
        <row r="3653">
          <cell r="B3653" t="str">
            <v>FG00308</v>
          </cell>
          <cell r="C3653" t="str">
            <v>ARTESIANE 100MG 10AMP (DAFRA)</v>
          </cell>
        </row>
        <row r="3654">
          <cell r="B3654" t="str">
            <v>FG00309</v>
          </cell>
          <cell r="C3654" t="str">
            <v>ARTESIANE 20MG 10AMP INJ (FR)</v>
          </cell>
        </row>
        <row r="3655">
          <cell r="B3655" t="str">
            <v>FG00310</v>
          </cell>
          <cell r="C3655" t="str">
            <v>ARTESIANE 300MG /3ML ....B\1AMP</v>
          </cell>
        </row>
        <row r="3656">
          <cell r="B3656" t="str">
            <v>FG00311</v>
          </cell>
          <cell r="C3656" t="str">
            <v>ARTESIANE 40MG ENF 6 SUPPOGEL (FR)</v>
          </cell>
        </row>
        <row r="3657">
          <cell r="B3657" t="str">
            <v>FG00312</v>
          </cell>
          <cell r="C3657" t="str">
            <v>ARTESIANE 80MG 5AMP INJ (EO)</v>
          </cell>
        </row>
        <row r="3658">
          <cell r="B3658" t="str">
            <v>FG00313</v>
          </cell>
          <cell r="C3658" t="str">
            <v>ARTESIANE INJ 40MG 10AMP</v>
          </cell>
        </row>
        <row r="3659">
          <cell r="B3659" t="str">
            <v>FG00314</v>
          </cell>
          <cell r="C3659" t="str">
            <v>ARTESUN 120MG SOL.INJ. B/1FLC (ARTESUNATE)</v>
          </cell>
        </row>
        <row r="3660">
          <cell r="B3660" t="str">
            <v>FG00315</v>
          </cell>
          <cell r="C3660" t="str">
            <v>ARTESUN 30MG IV B/1AMP (FR)</v>
          </cell>
        </row>
        <row r="3661">
          <cell r="B3661" t="str">
            <v>FG00316</v>
          </cell>
          <cell r="C3661" t="str">
            <v>ARTESUN 60MG INJ(ARTESUNATE)</v>
          </cell>
        </row>
        <row r="3662">
          <cell r="B3662" t="str">
            <v>FG00317</v>
          </cell>
          <cell r="C3662" t="str">
            <v>ARTESUNATE PLUS 3 CES (FR)</v>
          </cell>
        </row>
        <row r="3663">
          <cell r="B3663" t="str">
            <v>FG00318</v>
          </cell>
          <cell r="C3663" t="str">
            <v>ARTEXID (ARTEDUNATE) 60MG IV/IM INJ B/1AMP</v>
          </cell>
        </row>
        <row r="3664">
          <cell r="B3664" t="str">
            <v>FG00319</v>
          </cell>
          <cell r="C3664" t="str">
            <v>ARTEXID (ARTESUNATE 180MG ) IN/IM B/1AMP</v>
          </cell>
        </row>
        <row r="3665">
          <cell r="B3665" t="str">
            <v>FG00320</v>
          </cell>
          <cell r="C3665" t="str">
            <v>ARTEXID 100MG/270MG (ARTES.+AMOD.) 6 CES</v>
          </cell>
        </row>
        <row r="3666">
          <cell r="B3666" t="str">
            <v>FG00321</v>
          </cell>
          <cell r="C3666" t="str">
            <v>ARTEXID 30MG (ARTESUNATE) IV/ IM B/1AMP</v>
          </cell>
        </row>
        <row r="3667">
          <cell r="B3667" t="str">
            <v>FG00322</v>
          </cell>
          <cell r="C3667" t="str">
            <v>ARTEXID 50MG/135MG (ARTES.+AMOD.) 3 CES</v>
          </cell>
        </row>
        <row r="3668">
          <cell r="B3668" t="str">
            <v>FG00323</v>
          </cell>
          <cell r="C3668" t="str">
            <v>ARTEXID FORTE 120MG INJ B/1 AMP</v>
          </cell>
        </row>
        <row r="3669">
          <cell r="B3669" t="str">
            <v>FG00324</v>
          </cell>
          <cell r="C3669" t="str">
            <v>ARTHEFAN (ARTHEMETER) INJ B/6 AMP</v>
          </cell>
        </row>
        <row r="3670">
          <cell r="B3670" t="str">
            <v>FG00325</v>
          </cell>
          <cell r="C3670" t="str">
            <v>ARTHEFAN 20MG/120MG DISP.B/6 CES</v>
          </cell>
        </row>
        <row r="3671">
          <cell r="B3671" t="str">
            <v>FG00326</v>
          </cell>
          <cell r="C3671" t="str">
            <v>ARTHEFAN 40 (ARTHEMETHER+LUMEFANTRINE) B/2X6CES</v>
          </cell>
        </row>
        <row r="3672">
          <cell r="B3672" t="str">
            <v>FG00327</v>
          </cell>
          <cell r="C3672" t="str">
            <v>ARTHEFAN 80 (ARTHEMETHER+LUMEFANTRINE) B/6CES</v>
          </cell>
        </row>
        <row r="3673">
          <cell r="B3673" t="str">
            <v>FG00328</v>
          </cell>
          <cell r="C3673" t="str">
            <v>ARTHEFAN 80 -DISP (ARTE 80MG &amp; LUME 480MG) B/6CES</v>
          </cell>
        </row>
        <row r="3674">
          <cell r="B3674" t="str">
            <v>FG00329</v>
          </cell>
          <cell r="C3674" t="str">
            <v>ARTHEFAN SUSP 60ML</v>
          </cell>
        </row>
        <row r="3675">
          <cell r="B3675" t="str">
            <v>FG00330</v>
          </cell>
          <cell r="C3675" t="str">
            <v>ARTHRO ACTIVE DENK 500MG B/14 SACHET CES</v>
          </cell>
        </row>
        <row r="3676">
          <cell r="B3676" t="str">
            <v>FG00331</v>
          </cell>
          <cell r="C3676" t="str">
            <v>ASCORVIT (VITAMINE C) SIROP 100ML</v>
          </cell>
        </row>
        <row r="3677">
          <cell r="B3677" t="str">
            <v>FG00332</v>
          </cell>
          <cell r="C3677" t="str">
            <v>ASNORBIN -1000 ( VITAMIN C) EFFERVESCENT B/16CES</v>
          </cell>
        </row>
        <row r="3678">
          <cell r="B3678" t="str">
            <v>FG00333</v>
          </cell>
          <cell r="C3678" t="str">
            <v>ASOMEX 1.25 B/50 CES</v>
          </cell>
        </row>
        <row r="3679">
          <cell r="B3679" t="str">
            <v>FG00334</v>
          </cell>
          <cell r="C3679" t="str">
            <v>ASOMEX 2.5MG 50CES</v>
          </cell>
        </row>
        <row r="3680">
          <cell r="B3680" t="str">
            <v>FG00335</v>
          </cell>
          <cell r="C3680" t="str">
            <v>ASOMEX 5MG B/50CES</v>
          </cell>
        </row>
        <row r="3681">
          <cell r="B3681" t="str">
            <v>FG00336</v>
          </cell>
          <cell r="C3681" t="str">
            <v>ASOMEX AT B/30CES</v>
          </cell>
        </row>
        <row r="3682">
          <cell r="B3682" t="str">
            <v>FG00337</v>
          </cell>
          <cell r="C3682" t="str">
            <v>ASOMEX LT B/10CES</v>
          </cell>
        </row>
        <row r="3683">
          <cell r="B3683" t="str">
            <v>FG00338</v>
          </cell>
          <cell r="C3683" t="str">
            <v>ASP 81 (ASPIRINE) B/30CES</v>
          </cell>
        </row>
        <row r="3684">
          <cell r="B3684" t="str">
            <v>FG00339</v>
          </cell>
          <cell r="C3684" t="str">
            <v>ASPECAF (ASPIRINE+PARA+CAFEIBE) 10 X 10 CES</v>
          </cell>
        </row>
        <row r="3685">
          <cell r="B3685" t="str">
            <v>FG00340</v>
          </cell>
          <cell r="C3685" t="str">
            <v>ASPEGIC 100MG ENF NOURR PDRE B/20SACHET</v>
          </cell>
        </row>
        <row r="3686">
          <cell r="B3686" t="str">
            <v>FG00341</v>
          </cell>
          <cell r="C3686" t="str">
            <v>ASPEGIC 250MG 20 SACHETS (FR)</v>
          </cell>
        </row>
        <row r="3687">
          <cell r="B3687" t="str">
            <v>FG00342</v>
          </cell>
          <cell r="C3687" t="str">
            <v>ASPEGIC 500 B/20SACHET (FR)</v>
          </cell>
        </row>
        <row r="3688">
          <cell r="B3688" t="str">
            <v>FG00343</v>
          </cell>
          <cell r="C3688" t="str">
            <v>ASPIRATEUR MECANIQUE A 2 BOCAUX</v>
          </cell>
        </row>
        <row r="3689">
          <cell r="B3689" t="str">
            <v>FG00344</v>
          </cell>
          <cell r="C3689" t="str">
            <v>ASPIRIN UPSA 1000 MG EFF/20(FR)</v>
          </cell>
        </row>
        <row r="3690">
          <cell r="B3690" t="str">
            <v>FG00345</v>
          </cell>
          <cell r="C3690" t="str">
            <v>ASPIRINE 500MG B/10CES X 25PL (SHALINA)</v>
          </cell>
        </row>
        <row r="3691">
          <cell r="B3691" t="str">
            <v>FG00346</v>
          </cell>
          <cell r="C3691" t="str">
            <v>ASPIRINE JUNIOR 100MG 30CES (EO)</v>
          </cell>
        </row>
        <row r="3692">
          <cell r="B3692" t="str">
            <v>FG00347</v>
          </cell>
          <cell r="C3692" t="str">
            <v>ASTAPH 125 MG SP 60ML (FR)</v>
          </cell>
        </row>
        <row r="3693">
          <cell r="B3693" t="str">
            <v>FG00348</v>
          </cell>
          <cell r="C3693" t="str">
            <v>ASTAPH 250 MG SP 60ML (FR)</v>
          </cell>
        </row>
        <row r="3694">
          <cell r="B3694" t="str">
            <v>FG00349</v>
          </cell>
          <cell r="C3694" t="str">
            <v>ASTYMIN C GOUTTE 15ML</v>
          </cell>
        </row>
        <row r="3695">
          <cell r="B3695" t="str">
            <v>FG00350</v>
          </cell>
          <cell r="C3695" t="str">
            <v>ASTYMIN SIROP 200ML</v>
          </cell>
        </row>
        <row r="3696">
          <cell r="B3696" t="str">
            <v>FG00351</v>
          </cell>
          <cell r="C3696" t="str">
            <v>ASTYMIN-SN INJ FL/1AMP</v>
          </cell>
        </row>
        <row r="3697">
          <cell r="B3697" t="str">
            <v>FG00352</v>
          </cell>
          <cell r="C3697" t="str">
            <v>ASU (ARTESUNATE 120MG) B/1 AMP</v>
          </cell>
        </row>
        <row r="3698">
          <cell r="B3698" t="str">
            <v>FG00353</v>
          </cell>
          <cell r="C3698" t="str">
            <v>ASU (ARTESUNATE 150MG) B/1 AMP</v>
          </cell>
        </row>
        <row r="3699">
          <cell r="B3699" t="str">
            <v>FG00354</v>
          </cell>
          <cell r="C3699" t="str">
            <v>ASU (ARTESUNATE 180MG) B/1 AMP</v>
          </cell>
        </row>
        <row r="3700">
          <cell r="B3700" t="str">
            <v>FG00355</v>
          </cell>
          <cell r="C3700" t="str">
            <v>ASU (ARTESUNATE 210MG) B/1 AMP</v>
          </cell>
        </row>
        <row r="3701">
          <cell r="B3701" t="str">
            <v>FG00356</v>
          </cell>
          <cell r="C3701" t="str">
            <v>ASU (ARTESUNATE 240MG) B/1 AMP</v>
          </cell>
        </row>
        <row r="3702">
          <cell r="B3702" t="str">
            <v>FG00357</v>
          </cell>
          <cell r="C3702" t="str">
            <v>ASU (ARTESUNATE 30MG) B/1 INJ</v>
          </cell>
        </row>
        <row r="3703">
          <cell r="B3703" t="str">
            <v>FG00358</v>
          </cell>
          <cell r="C3703" t="str">
            <v>ASU (ARTESUNATE 60MG) B/1 AMP</v>
          </cell>
        </row>
        <row r="3704">
          <cell r="B3704" t="str">
            <v>FG00359</v>
          </cell>
          <cell r="C3704" t="str">
            <v>AT-120 (ARTESUNATE) 120MG IV IM B/1AMP</v>
          </cell>
        </row>
        <row r="3705">
          <cell r="B3705" t="str">
            <v>FG00360</v>
          </cell>
          <cell r="C3705" t="str">
            <v>AT-150 (ARTESUNATE) 150MG IV IM B/1AMP</v>
          </cell>
        </row>
        <row r="3706">
          <cell r="B3706" t="str">
            <v>FG00361</v>
          </cell>
          <cell r="C3706" t="str">
            <v>AT-180 (ARTESUNATE) 180MG B/1AMP</v>
          </cell>
        </row>
        <row r="3707">
          <cell r="B3707" t="str">
            <v>FG00362</v>
          </cell>
          <cell r="C3707" t="str">
            <v>AT-200 SUPPO</v>
          </cell>
        </row>
        <row r="3708">
          <cell r="B3708" t="str">
            <v>FG00363</v>
          </cell>
          <cell r="C3708" t="str">
            <v>AT-210 (ARTESUNATE) 120MG IV IM B/1AMP</v>
          </cell>
        </row>
        <row r="3709">
          <cell r="B3709" t="str">
            <v>FG00364</v>
          </cell>
          <cell r="C3709" t="str">
            <v>AT-240 (ARTESUNATE) 240 MG B/1AMP</v>
          </cell>
        </row>
        <row r="3710">
          <cell r="B3710" t="str">
            <v>FG00365</v>
          </cell>
          <cell r="C3710" t="str">
            <v>AT-30 (ARTESUNATE) 30MG B/1AMP</v>
          </cell>
        </row>
        <row r="3711">
          <cell r="B3711" t="str">
            <v>FG00366</v>
          </cell>
          <cell r="C3711" t="str">
            <v>AT-50 SUPPO B/6 OVLE</v>
          </cell>
        </row>
        <row r="3712">
          <cell r="B3712" t="str">
            <v>FG00367</v>
          </cell>
          <cell r="C3712" t="str">
            <v>AT-60 (ARTESUNATE) 60MG IV IM B/1AMP</v>
          </cell>
        </row>
        <row r="3713">
          <cell r="B3713" t="str">
            <v>FG00368</v>
          </cell>
          <cell r="C3713" t="str">
            <v>AT-90 (ARTESUNATE) 90MG IV IM B/1AMP</v>
          </cell>
        </row>
        <row r="3714">
          <cell r="B3714" t="str">
            <v>FG00369</v>
          </cell>
          <cell r="C3714" t="str">
            <v>ATARAX 25MG 50CES (2 X 25CES) @FR@</v>
          </cell>
        </row>
        <row r="3715">
          <cell r="B3715" t="str">
            <v>FG00370</v>
          </cell>
          <cell r="C3715" t="str">
            <v>ATARAX 25MG B/30CES E.O.</v>
          </cell>
        </row>
        <row r="3716">
          <cell r="B3716" t="str">
            <v>FG00371</v>
          </cell>
          <cell r="C3716" t="str">
            <v>ATIMOL 0.5% 5ML COLLYRE</v>
          </cell>
        </row>
        <row r="3717">
          <cell r="B3717" t="str">
            <v>FG00372</v>
          </cell>
          <cell r="C3717" t="str">
            <v>ATRO-VISION 0.5% (ATROPINE) COLLYRE 10ML</v>
          </cell>
        </row>
        <row r="3718">
          <cell r="B3718" t="str">
            <v>FG00373</v>
          </cell>
          <cell r="C3718" t="str">
            <v>ATRO-VISION 1% (ATROPINE) COLLYRE 10ML</v>
          </cell>
        </row>
        <row r="3719">
          <cell r="B3719" t="str">
            <v>FG00374</v>
          </cell>
          <cell r="C3719" t="str">
            <v>ATROPINE 0.5% COLLYRE 10ML (FR)</v>
          </cell>
        </row>
        <row r="3720">
          <cell r="B3720" t="str">
            <v>FG00375</v>
          </cell>
          <cell r="C3720" t="str">
            <v>ATROPINE 1% COLLYRE 10ML (FR)</v>
          </cell>
        </row>
        <row r="3721">
          <cell r="B3721" t="str">
            <v>FG00376</v>
          </cell>
          <cell r="C3721" t="str">
            <v>ATROVENT AEROSOL DOSEUR (FR)</v>
          </cell>
        </row>
        <row r="3722">
          <cell r="B3722" t="str">
            <v>FG00377</v>
          </cell>
          <cell r="C3722" t="str">
            <v>ATROVENT SOL 20MONODOSES 0.25MG (FR)</v>
          </cell>
        </row>
        <row r="3723">
          <cell r="B3723" t="str">
            <v>FG00378</v>
          </cell>
          <cell r="C3723" t="str">
            <v>AUGMENTIN 500MG/62.5MG B/16CES (FR)</v>
          </cell>
        </row>
        <row r="3724">
          <cell r="B3724" t="str">
            <v>FG00379</v>
          </cell>
          <cell r="C3724" t="str">
            <v>AUGMENTINE 1GR 12SACHET(FR)</v>
          </cell>
        </row>
        <row r="3725">
          <cell r="B3725" t="str">
            <v>FG00380</v>
          </cell>
          <cell r="C3725" t="str">
            <v>AUTOCLAV 21 LTR</v>
          </cell>
        </row>
        <row r="3726">
          <cell r="B3726" t="str">
            <v>FG00381</v>
          </cell>
          <cell r="C3726" t="str">
            <v>AVAMYS 120DOSES 27.5MCG (EO)</v>
          </cell>
        </row>
        <row r="3727">
          <cell r="B3727" t="str">
            <v>FG00382</v>
          </cell>
          <cell r="C3727" t="str">
            <v>AVEDROX (CEFADROXIL) 100ML SIROP</v>
          </cell>
        </row>
        <row r="3728">
          <cell r="B3728" t="str">
            <v>FG00383</v>
          </cell>
          <cell r="C3728" t="str">
            <v>AVEDROX (CEFADROXIL) 500MG B/12 CAP</v>
          </cell>
        </row>
        <row r="3729">
          <cell r="B3729" t="str">
            <v>FG00384</v>
          </cell>
          <cell r="C3729" t="str">
            <v>AVEFENIC FORTE (MEFENAMIQUE) B/10CES</v>
          </cell>
        </row>
        <row r="3730">
          <cell r="B3730" t="str">
            <v>FG00385</v>
          </cell>
          <cell r="C3730" t="str">
            <v>AVEFENIC SPAS (ACIDE MEFENAMIQUE) B/10CES</v>
          </cell>
        </row>
        <row r="3731">
          <cell r="B3731" t="str">
            <v>FG00386</v>
          </cell>
          <cell r="C3731" t="str">
            <v>AXONE (CEFTRIAXONE) 1GR B/1AMP</v>
          </cell>
        </row>
        <row r="3732">
          <cell r="B3732" t="str">
            <v>FG00387</v>
          </cell>
          <cell r="C3732" t="str">
            <v>AZIDOC (AZITHROMICINE) 500MG B/3CES</v>
          </cell>
        </row>
        <row r="3733">
          <cell r="B3733" t="str">
            <v>FG00388</v>
          </cell>
          <cell r="C3733" t="str">
            <v>AZIDOC (AZITHROMYCINE) 15ML SP</v>
          </cell>
        </row>
        <row r="3734">
          <cell r="B3734" t="str">
            <v>FG00389</v>
          </cell>
          <cell r="C3734" t="str">
            <v>AZIM B/5CES</v>
          </cell>
        </row>
        <row r="3735">
          <cell r="B3735" t="str">
            <v>FG00390</v>
          </cell>
          <cell r="C3735" t="str">
            <v>AZIM SP 30ML</v>
          </cell>
        </row>
        <row r="3736">
          <cell r="B3736" t="str">
            <v>FG00391</v>
          </cell>
          <cell r="C3736" t="str">
            <v>AZIOCIN 500MG CP B/3</v>
          </cell>
        </row>
        <row r="3737">
          <cell r="B3737" t="str">
            <v>FG00392</v>
          </cell>
          <cell r="C3737" t="str">
            <v>AZIPRO 500MG B/3CES</v>
          </cell>
        </row>
        <row r="3738">
          <cell r="B3738" t="str">
            <v>FG00393</v>
          </cell>
          <cell r="C3738" t="str">
            <v>AZIPRO SUSP 30ML</v>
          </cell>
        </row>
        <row r="3739">
          <cell r="B3739" t="str">
            <v>FG00394</v>
          </cell>
          <cell r="C3739" t="str">
            <v>AZITHRO ACTIVE 250 B/6 CES</v>
          </cell>
        </row>
        <row r="3740">
          <cell r="B3740" t="str">
            <v>FG00395</v>
          </cell>
          <cell r="C3740" t="str">
            <v>AZITHRO-DENK 500MG B/3CES</v>
          </cell>
        </row>
        <row r="3741">
          <cell r="B3741" t="str">
            <v>FG00396</v>
          </cell>
          <cell r="C3741" t="str">
            <v>AZITRINE (AZITHROMYCINE 250MG) CES</v>
          </cell>
        </row>
        <row r="3742">
          <cell r="B3742" t="str">
            <v>FG00397</v>
          </cell>
          <cell r="C3742" t="str">
            <v>AZITRINE (AZITHROMYCINE 40MG/ML) 15ML SUSP</v>
          </cell>
        </row>
        <row r="3743">
          <cell r="B3743" t="str">
            <v>FG00398</v>
          </cell>
          <cell r="C3743" t="str">
            <v>AZITRINE (AZITHROMYCINE 500MG) CES</v>
          </cell>
        </row>
        <row r="3744">
          <cell r="B3744" t="str">
            <v>FG00399</v>
          </cell>
          <cell r="C3744" t="str">
            <v>BABYVIT (MULTIVITAMINE) GOUTTE 15ML</v>
          </cell>
        </row>
        <row r="3745">
          <cell r="B3745" t="str">
            <v>FG00400</v>
          </cell>
          <cell r="C3745" t="str">
            <v>BACTERZID (PELLICULES DE LINEZOLIDE) 600MG B\10CES</v>
          </cell>
        </row>
        <row r="3746">
          <cell r="B3746" t="str">
            <v>FG00401</v>
          </cell>
          <cell r="C3746" t="str">
            <v>BACTOCLAV 625MG (AMOX+POTASSIUM) B/20CES</v>
          </cell>
        </row>
        <row r="3747">
          <cell r="B3747" t="str">
            <v>FG00402</v>
          </cell>
          <cell r="C3747" t="str">
            <v>BACTOX 250MG PDRE SIROP 60ML</v>
          </cell>
        </row>
        <row r="3748">
          <cell r="B3748" t="str">
            <v>FG00403</v>
          </cell>
          <cell r="C3748" t="str">
            <v>BACTOX 60ML PDRE 500MG (EO)</v>
          </cell>
        </row>
        <row r="3749">
          <cell r="B3749" t="str">
            <v>FG00404</v>
          </cell>
          <cell r="C3749" t="str">
            <v>BACTRIM 480MG AD B/20CES (FR)</v>
          </cell>
        </row>
        <row r="3750">
          <cell r="B3750" t="str">
            <v>FG00405</v>
          </cell>
          <cell r="C3750" t="str">
            <v>BACTRIM FORTE 960 MG 10 CES (FR)</v>
          </cell>
        </row>
        <row r="3751">
          <cell r="B3751" t="str">
            <v>FG00406</v>
          </cell>
          <cell r="C3751" t="str">
            <v>BACTRIM INJ 5ML IV 1 AMP</v>
          </cell>
        </row>
        <row r="3752">
          <cell r="B3752" t="str">
            <v>FG00407</v>
          </cell>
          <cell r="C3752" t="str">
            <v>BACTRIM ROCHE PED SUSP 100ML (FR)</v>
          </cell>
        </row>
        <row r="3753">
          <cell r="B3753" t="str">
            <v>FG00408</v>
          </cell>
          <cell r="C3753" t="str">
            <v>BALL-MOUSEE</v>
          </cell>
        </row>
        <row r="3754">
          <cell r="B3754" t="str">
            <v>FG00409</v>
          </cell>
          <cell r="C3754" t="str">
            <v>BANAFEN 100MG (IBUPROFEN) SUSPENSION FL/100ML</v>
          </cell>
        </row>
        <row r="3755">
          <cell r="B3755" t="str">
            <v>FG00410</v>
          </cell>
          <cell r="C3755" t="str">
            <v>BAND AID B/100PCS</v>
          </cell>
        </row>
        <row r="3756">
          <cell r="B3756" t="str">
            <v>FG00411</v>
          </cell>
          <cell r="C3756" t="str">
            <v>BANDE CAMBRIC 10CM 10PCS (UNIQUE)</v>
          </cell>
        </row>
        <row r="3757">
          <cell r="B3757" t="str">
            <v>FG00412</v>
          </cell>
          <cell r="C3757" t="str">
            <v>BANDE CAMBRIC 15CM 12PCS (UNIQUE)</v>
          </cell>
        </row>
        <row r="3758">
          <cell r="B3758" t="str">
            <v>FG00413</v>
          </cell>
          <cell r="C3758" t="str">
            <v>BANDE CAMBRIC 5CM 10PCS (UNIQUE)</v>
          </cell>
        </row>
        <row r="3759">
          <cell r="B3759" t="str">
            <v>FG00414</v>
          </cell>
          <cell r="C3759" t="str">
            <v>BANDE CAMBRIC 7CM 10PCS (UNIQUE)</v>
          </cell>
        </row>
        <row r="3760">
          <cell r="B3760" t="str">
            <v>FG00415</v>
          </cell>
          <cell r="C3760" t="str">
            <v>BANDE ELASTIC CREPE 10CM X 4.5M 1 PCS</v>
          </cell>
        </row>
        <row r="3761">
          <cell r="B3761" t="str">
            <v>FG00416</v>
          </cell>
          <cell r="C3761" t="str">
            <v>BANDE ELASTIC CREPE 15CM X 4.5M 1 PCS</v>
          </cell>
        </row>
        <row r="3762">
          <cell r="B3762" t="str">
            <v>FG00417</v>
          </cell>
          <cell r="C3762" t="str">
            <v>BANDE ELASTIC CREPE 5CM X 4.5M 1PCS</v>
          </cell>
        </row>
        <row r="3763">
          <cell r="B3763" t="str">
            <v>FG00418</v>
          </cell>
          <cell r="C3763" t="str">
            <v>BANDE ELASTIC CREPE 7.5CM &amp; 8CM 1 PCS</v>
          </cell>
        </row>
        <row r="3764">
          <cell r="B3764" t="str">
            <v>FG00419</v>
          </cell>
          <cell r="C3764" t="str">
            <v>BANDE ELASTIQUE CREPE 20 CM X 7 MTR 1 PCS</v>
          </cell>
        </row>
        <row r="3765">
          <cell r="B3765" t="str">
            <v>FG00420</v>
          </cell>
          <cell r="C3765" t="str">
            <v>BANDE PLATREE 10CM X 270CM 1 PCS</v>
          </cell>
        </row>
        <row r="3766">
          <cell r="B3766" t="str">
            <v>FG00421</v>
          </cell>
          <cell r="C3766" t="str">
            <v>BANDE PLATREE 15CM X 270CM 1 PCS</v>
          </cell>
        </row>
        <row r="3767">
          <cell r="B3767" t="str">
            <v>FG00422</v>
          </cell>
          <cell r="C3767" t="str">
            <v>BANDE PLATREE 20CM X 270CM 1 PCS</v>
          </cell>
        </row>
        <row r="3768">
          <cell r="B3768" t="str">
            <v>FG00423</v>
          </cell>
          <cell r="C3768" t="str">
            <v>BANDELETTE CONTOUR B/50</v>
          </cell>
        </row>
        <row r="3769">
          <cell r="B3769" t="str">
            <v>FG00424</v>
          </cell>
          <cell r="C3769" t="str">
            <v>BANDELETTES CONTOUR NEXT B/50 PC</v>
          </cell>
        </row>
        <row r="3770">
          <cell r="B3770" t="str">
            <v>FG00425</v>
          </cell>
          <cell r="C3770" t="str">
            <v>BANDELETTES ONE TOUCH SELECT B/25 TEST STRIPS</v>
          </cell>
        </row>
        <row r="3771">
          <cell r="B3771" t="str">
            <v>FG00426</v>
          </cell>
          <cell r="C3771" t="str">
            <v>BANDELETTES ONE TOUCH ULTRA B/25 TEST STRIPS</v>
          </cell>
        </row>
        <row r="3772">
          <cell r="B3772" t="str">
            <v>FG00427</v>
          </cell>
          <cell r="C3772" t="str">
            <v>BANDELETTES VERIO B/50 PCS</v>
          </cell>
        </row>
        <row r="3773">
          <cell r="B3773" t="str">
            <v>FG00428</v>
          </cell>
          <cell r="C3773" t="str">
            <v>BANDELLETE ONE TOUCH ** ULTRA B/50 PCS ***</v>
          </cell>
        </row>
        <row r="3774">
          <cell r="B3774" t="str">
            <v>FG00429</v>
          </cell>
          <cell r="C3774" t="str">
            <v>BANEOCIN PDRE T/10G (FR)</v>
          </cell>
        </row>
        <row r="3775">
          <cell r="B3775" t="str">
            <v>FG00430</v>
          </cell>
          <cell r="C3775" t="str">
            <v>BANEOCIN POMMADE 20GR (FR)</v>
          </cell>
        </row>
        <row r="3776">
          <cell r="B3776" t="str">
            <v>FG00431</v>
          </cell>
          <cell r="C3776" t="str">
            <v>BAR STOOL</v>
          </cell>
        </row>
        <row r="3777">
          <cell r="B3777" t="str">
            <v>FG00432</v>
          </cell>
          <cell r="C3777" t="str">
            <v>BATTERY 20 VT</v>
          </cell>
        </row>
        <row r="3778">
          <cell r="B3778" t="str">
            <v>FG00433</v>
          </cell>
          <cell r="C3778" t="str">
            <v>BAUME DE NERFS 100GR</v>
          </cell>
        </row>
        <row r="3779">
          <cell r="B3779" t="str">
            <v>FG00434</v>
          </cell>
          <cell r="C3779" t="str">
            <v>BAUME DE NERFS***** 80GR *****P.F</v>
          </cell>
        </row>
        <row r="3780">
          <cell r="B3780" t="str">
            <v>FG00435</v>
          </cell>
          <cell r="C3780" t="str">
            <v>BAUME DE RELIEF 100GR</v>
          </cell>
        </row>
        <row r="3781">
          <cell r="B3781" t="str">
            <v>FG00436</v>
          </cell>
          <cell r="C3781" t="str">
            <v>BAUME LEOPARD 25GR.</v>
          </cell>
        </row>
        <row r="3782">
          <cell r="B3782" t="str">
            <v>FG00437</v>
          </cell>
          <cell r="C3782" t="str">
            <v>BAUME SIMBA 25GR.</v>
          </cell>
        </row>
        <row r="3783">
          <cell r="B3783" t="str">
            <v>FG00438</v>
          </cell>
          <cell r="C3783" t="str">
            <v>BCO - Z ( VIT B COM+VIT+C+ZINC ) B/30CES</v>
          </cell>
        </row>
        <row r="3784">
          <cell r="B3784" t="str">
            <v>FG00439</v>
          </cell>
          <cell r="C3784" t="str">
            <v>BEFREE REGULAR</v>
          </cell>
        </row>
        <row r="3785">
          <cell r="B3785" t="str">
            <v>FG00440</v>
          </cell>
          <cell r="C3785" t="str">
            <v>BEKRACINE (CEFIXIME) DIS. 200MG B/10CES</v>
          </cell>
        </row>
        <row r="3786">
          <cell r="B3786" t="str">
            <v>FG00441</v>
          </cell>
          <cell r="C3786" t="str">
            <v>BELU DE METHYLENE (USAGE PHARMACEUTIQUE)</v>
          </cell>
        </row>
        <row r="3787">
          <cell r="B3787" t="str">
            <v>FG00442</v>
          </cell>
          <cell r="C3787" t="str">
            <v>BENEDICTE SOLUTION</v>
          </cell>
        </row>
        <row r="3788">
          <cell r="B3788" t="str">
            <v>FG00443</v>
          </cell>
          <cell r="C3788" t="str">
            <v>BENERVA 300MG B/20CES (FR)</v>
          </cell>
        </row>
        <row r="3789">
          <cell r="B3789" t="str">
            <v>FG00444</v>
          </cell>
          <cell r="C3789" t="str">
            <v>BENZOATE DE BENZYLE 60ML</v>
          </cell>
        </row>
        <row r="3790">
          <cell r="B3790" t="str">
            <v>FG00445</v>
          </cell>
          <cell r="C3790" t="str">
            <v>BEQUILLES GRANDE (LARGE) TAILLE 135-155 CM PAIRE</v>
          </cell>
        </row>
        <row r="3791">
          <cell r="B3791" t="str">
            <v>FG00446</v>
          </cell>
          <cell r="C3791" t="str">
            <v>BEQUILLES MEDIUM TAILLE 115-135 CM PAIRE</v>
          </cell>
        </row>
        <row r="3792">
          <cell r="B3792" t="str">
            <v>FG00447</v>
          </cell>
          <cell r="C3792" t="str">
            <v>BETADINE BAIN DE BOUCHE 125ML</v>
          </cell>
        </row>
        <row r="3793">
          <cell r="B3793" t="str">
            <v>FG00448</v>
          </cell>
          <cell r="C3793" t="str">
            <v>BETADINE GEL DERM 10% 30GR</v>
          </cell>
        </row>
        <row r="3794">
          <cell r="B3794" t="str">
            <v>FG00449</v>
          </cell>
          <cell r="C3794" t="str">
            <v>BETADINE SCRUB SOLUTION 125ML (FR)</v>
          </cell>
        </row>
        <row r="3795">
          <cell r="B3795" t="str">
            <v>FG00450</v>
          </cell>
          <cell r="C3795" t="str">
            <v>BETADINE SOL DERM JAUNE 125ML</v>
          </cell>
        </row>
        <row r="3796">
          <cell r="B3796" t="str">
            <v>FG00451</v>
          </cell>
          <cell r="C3796" t="str">
            <v>BETADINE SOL GYNE BLEU 125ML</v>
          </cell>
        </row>
        <row r="3797">
          <cell r="B3797" t="str">
            <v>FG00452</v>
          </cell>
          <cell r="C3797" t="str">
            <v>BETADINE TULLES 5COMPR.</v>
          </cell>
        </row>
        <row r="3798">
          <cell r="B3798" t="str">
            <v>FG00453</v>
          </cell>
          <cell r="C3798" t="str">
            <v>BETASOL 15GR. CREME (P.F.)</v>
          </cell>
        </row>
        <row r="3799">
          <cell r="B3799" t="str">
            <v>FG00454</v>
          </cell>
          <cell r="C3799" t="str">
            <v>BETASOL CREME 30GR. (G.F.)</v>
          </cell>
        </row>
        <row r="3800">
          <cell r="B3800" t="str">
            <v>FG00455</v>
          </cell>
          <cell r="C3800" t="str">
            <v>BETASOL LOTION 30ML</v>
          </cell>
        </row>
        <row r="3801">
          <cell r="B3801" t="str">
            <v>FG00456</v>
          </cell>
          <cell r="C3801" t="str">
            <v>BETASOL PLUS CREME 15GR</v>
          </cell>
        </row>
        <row r="3802">
          <cell r="B3802" t="str">
            <v>FG00457</v>
          </cell>
          <cell r="C3802" t="str">
            <v>BETASOL PLUS CREME 30GR</v>
          </cell>
        </row>
        <row r="3803">
          <cell r="B3803" t="str">
            <v>FG00458</v>
          </cell>
          <cell r="C3803" t="str">
            <v>BETASTENE 0.005% GOUTTE 30ML (FR)</v>
          </cell>
        </row>
        <row r="3804">
          <cell r="B3804" t="str">
            <v>FG00459</v>
          </cell>
          <cell r="C3804" t="str">
            <v>BETATOUX SP 100ML</v>
          </cell>
        </row>
        <row r="3805">
          <cell r="B3805" t="str">
            <v>FG00460</v>
          </cell>
          <cell r="C3805" t="str">
            <v>BETCLOMED CREM 30GM</v>
          </cell>
        </row>
        <row r="3806">
          <cell r="B3806" t="str">
            <v>FG00461</v>
          </cell>
          <cell r="C3806" t="str">
            <v>BEVAMAB (BEVACIZUMAB) 100 MG/4ML INFUSION</v>
          </cell>
        </row>
        <row r="3807">
          <cell r="B3807" t="str">
            <v>FG00462</v>
          </cell>
          <cell r="C3807" t="str">
            <v>BEVAMAB (BEVACIZUMAB) 400 MG/16ML INFUSION</v>
          </cell>
        </row>
        <row r="3808">
          <cell r="B3808" t="str">
            <v>FG00463</v>
          </cell>
          <cell r="C3808" t="str">
            <v>BIC BALL PEN</v>
          </cell>
        </row>
        <row r="3809">
          <cell r="B3809" t="str">
            <v>FG00464</v>
          </cell>
          <cell r="C3809" t="str">
            <v>BICALUTAMIDE BIOGARAN 50MG B/30 GELS</v>
          </cell>
        </row>
        <row r="3810">
          <cell r="B3810" t="str">
            <v>FG00465</v>
          </cell>
          <cell r="C3810" t="str">
            <v>BICARBONATE 50ML INJ</v>
          </cell>
        </row>
        <row r="3811">
          <cell r="B3811" t="str">
            <v>FG00466</v>
          </cell>
          <cell r="C3811" t="str">
            <v>BICARBONATE B/1AMP (STEROP)</v>
          </cell>
        </row>
        <row r="3812">
          <cell r="B3812" t="str">
            <v>FG00467</v>
          </cell>
          <cell r="C3812" t="str">
            <v>BICARBONATE DE SOUDE 35GR.</v>
          </cell>
        </row>
        <row r="3813">
          <cell r="B3813" t="str">
            <v>FG00468</v>
          </cell>
          <cell r="C3813" t="str">
            <v>BIDONTOGYL (METRONIDAZOLE) B/15CES</v>
          </cell>
        </row>
        <row r="3814">
          <cell r="B3814" t="str">
            <v>FG00469</v>
          </cell>
          <cell r="C3814" t="str">
            <v>BIEN MANGER 4MG B/20CES</v>
          </cell>
        </row>
        <row r="3815">
          <cell r="B3815" t="str">
            <v>FG00470</v>
          </cell>
          <cell r="C3815" t="str">
            <v>BIEN MANGER (CHLOR&amp;CYPRO) 100ML SIROP</v>
          </cell>
        </row>
        <row r="3816">
          <cell r="B3816" t="str">
            <v>FG00471</v>
          </cell>
          <cell r="C3816" t="str">
            <v>BIEN MANGER (CYPRO) 4MG B/10 X 10CES</v>
          </cell>
        </row>
        <row r="3817">
          <cell r="B3817" t="str">
            <v>FG00472</v>
          </cell>
          <cell r="C3817" t="str">
            <v>BIFIDOC-Z B/10 CES</v>
          </cell>
        </row>
        <row r="3818">
          <cell r="B3818" t="str">
            <v>FG00473</v>
          </cell>
          <cell r="C3818" t="str">
            <v>BIKE (MOTO)</v>
          </cell>
        </row>
        <row r="3819">
          <cell r="B3819" t="str">
            <v>FG00474</v>
          </cell>
          <cell r="C3819" t="str">
            <v>BILAXTEN (BILASTINE 20MG) B/10CES</v>
          </cell>
        </row>
        <row r="3820">
          <cell r="B3820" t="str">
            <v>FG00475</v>
          </cell>
          <cell r="C3820" t="str">
            <v>BILAXTEN 20CES (FR)</v>
          </cell>
        </row>
        <row r="3821">
          <cell r="B3821" t="str">
            <v>FG00476</v>
          </cell>
          <cell r="C3821" t="str">
            <v>BILOR 60ML SYRUP</v>
          </cell>
        </row>
        <row r="3822">
          <cell r="B3822" t="str">
            <v>FG00477</v>
          </cell>
          <cell r="C3822" t="str">
            <v>BINOZYT 500MG 3CES (FR)</v>
          </cell>
        </row>
        <row r="3823">
          <cell r="B3823" t="str">
            <v>FG00478</v>
          </cell>
          <cell r="C3823" t="str">
            <v>BINTEGRAL SP 100ML</v>
          </cell>
        </row>
        <row r="3824">
          <cell r="B3824" t="str">
            <v>FG00479</v>
          </cell>
          <cell r="C3824" t="str">
            <v>BIODEX -P 100ML SUSP</v>
          </cell>
        </row>
        <row r="3825">
          <cell r="B3825" t="str">
            <v>FG00480</v>
          </cell>
          <cell r="C3825" t="str">
            <v>BIOFORCE TONIQUE SIROP</v>
          </cell>
        </row>
        <row r="3826">
          <cell r="B3826" t="str">
            <v>FG00481</v>
          </cell>
          <cell r="C3826" t="str">
            <v>BIPRETERAX 10MG/2.5MG B/30 CAP(FR)</v>
          </cell>
        </row>
        <row r="3827">
          <cell r="B3827" t="str">
            <v>FG00482</v>
          </cell>
          <cell r="C3827" t="str">
            <v>BIPRETERAX 30 COMP 5MG (FR) $$</v>
          </cell>
        </row>
        <row r="3828">
          <cell r="B3828" t="str">
            <v>FG00483</v>
          </cell>
          <cell r="C3828" t="str">
            <v>BISATRO 0.1% COLLYRE 5ML</v>
          </cell>
        </row>
        <row r="3829">
          <cell r="B3829" t="str">
            <v>FG00484</v>
          </cell>
          <cell r="C3829" t="str">
            <v>BISATRO 0.5% COLLYRE 5ML</v>
          </cell>
        </row>
        <row r="3830">
          <cell r="B3830" t="str">
            <v>FG00485</v>
          </cell>
          <cell r="C3830" t="str">
            <v>BISDEX COLLYRE 0.1% 5ML</v>
          </cell>
        </row>
        <row r="3831">
          <cell r="B3831" t="str">
            <v>FG00486</v>
          </cell>
          <cell r="C3831" t="str">
            <v>BISOLVON 8MG 30CES (FR)</v>
          </cell>
        </row>
        <row r="3832">
          <cell r="B3832" t="str">
            <v>FG00487</v>
          </cell>
          <cell r="C3832" t="str">
            <v>BISOLVON SOLUT.INHAL.100ML</v>
          </cell>
        </row>
        <row r="3833">
          <cell r="B3833" t="str">
            <v>FG00488</v>
          </cell>
          <cell r="C3833" t="str">
            <v>BISOLVON SOLUT.ORAL.100ML (EO)</v>
          </cell>
        </row>
        <row r="3834">
          <cell r="B3834" t="str">
            <v>FG00489</v>
          </cell>
          <cell r="C3834" t="str">
            <v>BLACK CHAIR</v>
          </cell>
        </row>
        <row r="3835">
          <cell r="B3835" t="str">
            <v>FG00490</v>
          </cell>
          <cell r="C3835" t="str">
            <v>BLENDEUR</v>
          </cell>
        </row>
        <row r="3836">
          <cell r="B3836" t="str">
            <v>FG00491</v>
          </cell>
          <cell r="C3836" t="str">
            <v>BLEOCEL 15 UNITS (BLEOMYCIN) INJ. B/1VIAL</v>
          </cell>
        </row>
        <row r="3837">
          <cell r="B3837" t="str">
            <v>FG00492</v>
          </cell>
          <cell r="C3837" t="str">
            <v>BLEU DE CRESIL BRILLANT 500ML</v>
          </cell>
        </row>
        <row r="3838">
          <cell r="B3838" t="str">
            <v>FG00493</v>
          </cell>
          <cell r="C3838" t="str">
            <v>BLEU DE METHYLENE (POUR LABORATOIRE)</v>
          </cell>
        </row>
        <row r="3839">
          <cell r="B3839" t="str">
            <v>FG00494</v>
          </cell>
          <cell r="C3839" t="str">
            <v>BLOUSON INFIRMIER 1 PICE (ROSE)</v>
          </cell>
        </row>
        <row r="3840">
          <cell r="B3840" t="str">
            <v>FG00495</v>
          </cell>
          <cell r="C3840" t="str">
            <v>BLUE DE METHELENE 1LTR</v>
          </cell>
        </row>
        <row r="3841">
          <cell r="B3841" t="str">
            <v>FG00496</v>
          </cell>
          <cell r="C3841" t="str">
            <v>BLUE DE METHELENE 60ML</v>
          </cell>
        </row>
        <row r="3842">
          <cell r="B3842" t="str">
            <v>FG00497</v>
          </cell>
          <cell r="C3842" t="str">
            <v>BOITE COMPLET CHIRURGIE G F</v>
          </cell>
        </row>
        <row r="3843">
          <cell r="B3843" t="str">
            <v>FG00498</v>
          </cell>
          <cell r="C3843" t="str">
            <v>BOITE DE PETRI</v>
          </cell>
        </row>
        <row r="3844">
          <cell r="B3844" t="str">
            <v>FG00499</v>
          </cell>
          <cell r="C3844" t="str">
            <v>BOITE POUR CHIRGURGIE MINEURE</v>
          </cell>
        </row>
        <row r="3845">
          <cell r="B3845" t="str">
            <v>FG00500</v>
          </cell>
          <cell r="C3845" t="str">
            <v>BOMEC 0.09% 5ML COLLYRE</v>
          </cell>
        </row>
        <row r="3846">
          <cell r="B3846" t="str">
            <v>FG00501</v>
          </cell>
          <cell r="C3846" t="str">
            <v>BON APETI (VITEX) SUSP 200ML</v>
          </cell>
        </row>
        <row r="3847">
          <cell r="B3847" t="str">
            <v>FG00502</v>
          </cell>
          <cell r="C3847" t="str">
            <v>BON APETI SP 100ML</v>
          </cell>
        </row>
        <row r="3848">
          <cell r="B3848" t="str">
            <v>FG00503</v>
          </cell>
          <cell r="C3848" t="str">
            <v>BONAPETI **VITEX** CES B/30 CES</v>
          </cell>
        </row>
        <row r="3849">
          <cell r="B3849" t="str">
            <v>FG00504</v>
          </cell>
          <cell r="C3849" t="str">
            <v>BONAPETI 10X10 CES</v>
          </cell>
        </row>
        <row r="3850">
          <cell r="B3850" t="str">
            <v>FG00505</v>
          </cell>
          <cell r="C3850" t="str">
            <v>BONNET USAGE UNIQUE B/100PCS</v>
          </cell>
        </row>
        <row r="3851">
          <cell r="B3851" t="str">
            <v>FG00506</v>
          </cell>
          <cell r="C3851" t="str">
            <v>BONTRIL SOLUTION 100ML</v>
          </cell>
        </row>
        <row r="3852">
          <cell r="B3852" t="str">
            <v>FG00507</v>
          </cell>
          <cell r="C3852" t="str">
            <v>BOOKS 12 FEUIL</v>
          </cell>
        </row>
        <row r="3853">
          <cell r="B3853" t="str">
            <v>FG00508</v>
          </cell>
          <cell r="C3853" t="str">
            <v>BOX PVC POUR CONTRNIR</v>
          </cell>
        </row>
        <row r="3854">
          <cell r="B3854" t="str">
            <v>FG00509</v>
          </cell>
          <cell r="C3854" t="str">
            <v>BRAIN ACTIVE DENK B/30CES</v>
          </cell>
        </row>
        <row r="3855">
          <cell r="B3855" t="str">
            <v>FG00510</v>
          </cell>
          <cell r="C3855" t="str">
            <v>BRIN-VISION 1% (BRINZOLAMIDE) COLLYRE 5ML</v>
          </cell>
        </row>
        <row r="3856">
          <cell r="B3856" t="str">
            <v>FG00511</v>
          </cell>
          <cell r="C3856" t="str">
            <v>BRONCATHIOL SUSP. ENF. 125ML (FR) $$</v>
          </cell>
        </row>
        <row r="3857">
          <cell r="B3857" t="str">
            <v>FG00512</v>
          </cell>
          <cell r="C3857" t="str">
            <v>BRONCATHIOL SUSP. EXPECT. AD. 150ML $$(F</v>
          </cell>
        </row>
        <row r="3858">
          <cell r="B3858" t="str">
            <v>FG00513</v>
          </cell>
          <cell r="C3858" t="str">
            <v>BRONCHALENE SIROP 150ML AD (FR)</v>
          </cell>
        </row>
        <row r="3859">
          <cell r="B3859" t="str">
            <v>FG00514</v>
          </cell>
          <cell r="C3859" t="str">
            <v>BRONCHALENE SIROP 150ML ENF (FR)</v>
          </cell>
        </row>
        <row r="3860">
          <cell r="B3860" t="str">
            <v>FG00515</v>
          </cell>
          <cell r="C3860" t="str">
            <v>BRUFEN 400MG BT 30 CES (EO)</v>
          </cell>
        </row>
        <row r="3861">
          <cell r="B3861" t="str">
            <v>FG00516</v>
          </cell>
          <cell r="C3861" t="str">
            <v>BRUFENAL (IBUPROFENE) 400MG B/30 CAP</v>
          </cell>
        </row>
        <row r="3862">
          <cell r="B3862" t="str">
            <v>FG00517</v>
          </cell>
          <cell r="C3862" t="str">
            <v>BUCCODENT SOLUTION 100ML</v>
          </cell>
        </row>
        <row r="3863">
          <cell r="B3863" t="str">
            <v>FG00518</v>
          </cell>
          <cell r="C3863" t="str">
            <v>BUCCODRIL (BAIN DE BOUCHE) SOLUTION FL/150ML</v>
          </cell>
        </row>
        <row r="3864">
          <cell r="B3864" t="str">
            <v>FG00519</v>
          </cell>
          <cell r="C3864" t="str">
            <v>BUDOC (IBUPRO.+PARA.) SUSP 60ML</v>
          </cell>
        </row>
        <row r="3865">
          <cell r="B3865" t="str">
            <v>FG00520</v>
          </cell>
          <cell r="C3865" t="str">
            <v>BUSCOPAM 50 DRG (FR)</v>
          </cell>
        </row>
        <row r="3866">
          <cell r="B3866" t="str">
            <v>FG00521</v>
          </cell>
          <cell r="C3866" t="str">
            <v>BUSCOPAN 10 CES (LOCAL)</v>
          </cell>
        </row>
        <row r="3867">
          <cell r="B3867" t="str">
            <v>FG00522</v>
          </cell>
          <cell r="C3867" t="str">
            <v>BUSCOPAN INJ 6AMP (EO)</v>
          </cell>
        </row>
        <row r="3868">
          <cell r="B3868" t="str">
            <v>FG00523</v>
          </cell>
          <cell r="C3868" t="str">
            <v>BUTAZOLDINE 10X10CES</v>
          </cell>
        </row>
        <row r="3869">
          <cell r="B3869" t="str">
            <v>FG00524</v>
          </cell>
          <cell r="C3869" t="str">
            <v>C - TAX T ( CEFIXIME) UPS 200MG B/10CES</v>
          </cell>
        </row>
        <row r="3870">
          <cell r="B3870" t="str">
            <v>FG00525</v>
          </cell>
          <cell r="C3870" t="str">
            <v>C TAX P SUSP</v>
          </cell>
        </row>
        <row r="3871">
          <cell r="B3871" t="str">
            <v>FG00526</v>
          </cell>
          <cell r="C3871" t="str">
            <v>C-4 (CYPROHEPTADIN) 100ML SP</v>
          </cell>
        </row>
        <row r="3872">
          <cell r="B3872" t="str">
            <v>FG00527</v>
          </cell>
          <cell r="C3872" t="str">
            <v>C-4 (CYPROHEPTADINE) B/10X10CES</v>
          </cell>
        </row>
        <row r="3873">
          <cell r="B3873" t="str">
            <v>FG00528</v>
          </cell>
          <cell r="C3873" t="str">
            <v>C-4 (CYPROHEPTADINE) B/20CES</v>
          </cell>
        </row>
        <row r="3874">
          <cell r="B3874" t="str">
            <v>FG00529</v>
          </cell>
          <cell r="C3874" t="str">
            <v>C-4 COOL POUDERE</v>
          </cell>
        </row>
        <row r="3875">
          <cell r="B3875" t="str">
            <v>FG00530</v>
          </cell>
          <cell r="C3875" t="str">
            <v>C-TAX (CEFOTAX 1GR + EAD DISTILL) INJ.</v>
          </cell>
        </row>
        <row r="3876">
          <cell r="B3876" t="str">
            <v>FG00531</v>
          </cell>
          <cell r="C3876" t="str">
            <v>C-TRI 1GR B/1AMP</v>
          </cell>
        </row>
        <row r="3877">
          <cell r="B3877" t="str">
            <v>FG00532</v>
          </cell>
          <cell r="C3877" t="str">
            <v>C-XONE (CEFTRIAXONE + EAU DISTILEE) B/1 AMP</v>
          </cell>
        </row>
        <row r="3878">
          <cell r="B3878" t="str">
            <v>FG00533</v>
          </cell>
          <cell r="C3878" t="str">
            <v>C-XONE-S 1500MG (CEFTRIAXONE+EAU DISTILEE) B/1AMP</v>
          </cell>
        </row>
        <row r="3879">
          <cell r="B3879" t="str">
            <v>FG00534</v>
          </cell>
          <cell r="C3879" t="str">
            <v>C-XONE-S750MG (CEFTRIAXONE+EAU DISTILEE) B/1AMP</v>
          </cell>
        </row>
        <row r="3880">
          <cell r="B3880" t="str">
            <v>FG00535</v>
          </cell>
          <cell r="C3880" t="str">
            <v>CA-C 1000 SANDROZ ORANGE 10 CES EFF.</v>
          </cell>
        </row>
        <row r="3881">
          <cell r="B3881" t="str">
            <v>FG00536</v>
          </cell>
          <cell r="C3881" t="str">
            <v>CADIPHEN (ANTITUSSIF) SP 100ML</v>
          </cell>
        </row>
        <row r="3882">
          <cell r="B3882" t="str">
            <v>FG00537</v>
          </cell>
          <cell r="C3882" t="str">
            <v>CAFEINE B/10AMP</v>
          </cell>
        </row>
        <row r="3883">
          <cell r="B3883" t="str">
            <v>FG00538</v>
          </cell>
          <cell r="C3883" t="str">
            <v>CAISTHER 60ML SP</v>
          </cell>
        </row>
        <row r="3884">
          <cell r="B3884" t="str">
            <v>FG00539</v>
          </cell>
          <cell r="C3884" t="str">
            <v>CAISTHER PLUS DP B/6CES</v>
          </cell>
        </row>
        <row r="3885">
          <cell r="B3885" t="str">
            <v>FG00540</v>
          </cell>
          <cell r="C3885" t="str">
            <v>CAISTHER PLUS FORTE B/12CES</v>
          </cell>
        </row>
        <row r="3886">
          <cell r="B3886" t="str">
            <v>FG00541</v>
          </cell>
          <cell r="C3886" t="str">
            <v>CAL C VITA EFF B/10CES(GR)</v>
          </cell>
        </row>
        <row r="3887">
          <cell r="B3887" t="str">
            <v>FG00542</v>
          </cell>
          <cell r="C3887" t="str">
            <v>CAL-C-VITA 10CES EFF.(FR)</v>
          </cell>
        </row>
        <row r="3888">
          <cell r="B3888" t="str">
            <v>FG00543</v>
          </cell>
          <cell r="C3888" t="str">
            <v>CAL-D 15CES PLS</v>
          </cell>
        </row>
        <row r="3889">
          <cell r="B3889" t="str">
            <v>FG00544</v>
          </cell>
          <cell r="C3889" t="str">
            <v>CAL-D CALCIO + VITAMIN D3 B/10 CES</v>
          </cell>
        </row>
        <row r="3890">
          <cell r="B3890" t="str">
            <v>FG00545</v>
          </cell>
          <cell r="C3890" t="str">
            <v>CALCI-D TABLETS B/15</v>
          </cell>
        </row>
        <row r="3891">
          <cell r="B3891" t="str">
            <v>FG00546</v>
          </cell>
          <cell r="C3891" t="str">
            <v>CALCID-DENK 20CES EFF (FR)</v>
          </cell>
        </row>
        <row r="3892">
          <cell r="B3892" t="str">
            <v>FG00547</v>
          </cell>
          <cell r="C3892" t="str">
            <v>CALCIDOS (CAL. + VIT D3) B/ 3 X10 CES</v>
          </cell>
        </row>
        <row r="3893">
          <cell r="B3893" t="str">
            <v>FG00548</v>
          </cell>
          <cell r="C3893" t="str">
            <v>CALCIDOS (CAL. + VIT. D3) SIRUP 100ML</v>
          </cell>
        </row>
        <row r="3894">
          <cell r="B3894" t="str">
            <v>FG00549</v>
          </cell>
          <cell r="C3894" t="str">
            <v>CALCULSTOP 200ML SIROP</v>
          </cell>
        </row>
        <row r="3895">
          <cell r="B3895" t="str">
            <v>FG00550</v>
          </cell>
          <cell r="C3895" t="str">
            <v>CALME (ALPRAZOLAM) B/3 X10 CES</v>
          </cell>
        </row>
        <row r="3896">
          <cell r="B3896" t="str">
            <v>FG00551</v>
          </cell>
          <cell r="C3896" t="str">
            <v>CALMIN (CALAMINE) LOTION 100ML</v>
          </cell>
        </row>
        <row r="3897">
          <cell r="B3897" t="str">
            <v>FG00552</v>
          </cell>
          <cell r="C3897" t="str">
            <v>CALSEMINE BT/2X15 CES</v>
          </cell>
        </row>
        <row r="3898">
          <cell r="B3898" t="str">
            <v>FG00553</v>
          </cell>
          <cell r="C3898" t="str">
            <v>CALSEMINE SUSP. 200ML</v>
          </cell>
        </row>
        <row r="3899">
          <cell r="B3899" t="str">
            <v>FG00554</v>
          </cell>
          <cell r="C3899" t="str">
            <v>CANDEREL 100CES NON EFF.(FR)</v>
          </cell>
        </row>
        <row r="3900">
          <cell r="B3900" t="str">
            <v>FG00555</v>
          </cell>
          <cell r="C3900" t="str">
            <v>CANDEREL 18 MG 300 CES (FR)</v>
          </cell>
        </row>
        <row r="3901">
          <cell r="B3901" t="str">
            <v>FG00556</v>
          </cell>
          <cell r="C3901" t="str">
            <v>CANDEREL GRANULES 75MG</v>
          </cell>
        </row>
        <row r="3902">
          <cell r="B3902" t="str">
            <v>FG00557</v>
          </cell>
          <cell r="C3902" t="str">
            <v>CANDERM PLUS CREME 30GR.</v>
          </cell>
        </row>
        <row r="3903">
          <cell r="B3903" t="str">
            <v>FG00558</v>
          </cell>
          <cell r="C3903" t="str">
            <v>CANDERM POUDRE 50 GR.</v>
          </cell>
        </row>
        <row r="3904">
          <cell r="B3904" t="str">
            <v>FG00559</v>
          </cell>
          <cell r="C3904" t="str">
            <v>CANDICYL CREME 20GR</v>
          </cell>
        </row>
        <row r="3905">
          <cell r="B3905" t="str">
            <v>FG00560</v>
          </cell>
          <cell r="C3905" t="str">
            <v>CANDICYL POUDRE 50GR</v>
          </cell>
        </row>
        <row r="3906">
          <cell r="B3906" t="str">
            <v>FG00561</v>
          </cell>
          <cell r="C3906" t="str">
            <v>CANDID CREME 20GM (CLOTRIMAZOLE)</v>
          </cell>
        </row>
        <row r="3907">
          <cell r="B3907" t="str">
            <v>FG00562</v>
          </cell>
          <cell r="C3907" t="str">
            <v>CANDID POUDRE 100GR.</v>
          </cell>
        </row>
        <row r="3908">
          <cell r="B3908" t="str">
            <v>FG00563</v>
          </cell>
          <cell r="C3908" t="str">
            <v>CANDID POUDRE 30 GR</v>
          </cell>
        </row>
        <row r="3909">
          <cell r="B3909" t="str">
            <v>FG00564</v>
          </cell>
          <cell r="C3909" t="str">
            <v>CANDID-V6 COMBI (CLOTRIMAZOLE)PMD.+CES</v>
          </cell>
        </row>
        <row r="3910">
          <cell r="B3910" t="str">
            <v>FG00565</v>
          </cell>
          <cell r="C3910" t="str">
            <v>CANDIDERM CREME 15GR. (CLOTRIMAZOLE)</v>
          </cell>
        </row>
        <row r="3911">
          <cell r="B3911" t="str">
            <v>FG00566</v>
          </cell>
          <cell r="C3911" t="str">
            <v>CANDISTENE CREME 30GR.</v>
          </cell>
        </row>
        <row r="3912">
          <cell r="B3912" t="str">
            <v>FG00567</v>
          </cell>
          <cell r="C3912" t="str">
            <v>CANDISTENE POUDRE 50GR.</v>
          </cell>
        </row>
        <row r="3913">
          <cell r="B3913" t="str">
            <v>FG00568</v>
          </cell>
          <cell r="C3913" t="str">
            <v>CANDISTENE V6 B/6 OVULES</v>
          </cell>
        </row>
        <row r="3914">
          <cell r="B3914" t="str">
            <v>FG00569</v>
          </cell>
          <cell r="C3914" t="str">
            <v>CANDIZ B/6OVULE (CLOTRIMOXAZOL)</v>
          </cell>
        </row>
        <row r="3915">
          <cell r="B3915" t="str">
            <v>FG00570</v>
          </cell>
          <cell r="C3915" t="str">
            <v>CANNE AVEUGLE ( BLIND WALKING STICK DE 127 CM)</v>
          </cell>
        </row>
        <row r="3916">
          <cell r="B3916" t="str">
            <v>FG00571</v>
          </cell>
          <cell r="C3916" t="str">
            <v>CANNE CANADIENNE 1 PCS</v>
          </cell>
        </row>
        <row r="3917">
          <cell r="B3917" t="str">
            <v>FG00572</v>
          </cell>
          <cell r="C3917" t="str">
            <v>CANULE DE GUEDEL</v>
          </cell>
        </row>
        <row r="3918">
          <cell r="B3918" t="str">
            <v>FG00573</v>
          </cell>
          <cell r="C3918" t="str">
            <v>CAP NEW</v>
          </cell>
        </row>
        <row r="3919">
          <cell r="B3919" t="str">
            <v>FG00574</v>
          </cell>
          <cell r="C3919" t="str">
            <v>CAPTOPRIL 50MG 10X10CES</v>
          </cell>
        </row>
        <row r="3920">
          <cell r="B3920" t="str">
            <v>FG00575</v>
          </cell>
          <cell r="C3920" t="str">
            <v>CAPTOPRIL DENK 25MG B/(10)CES</v>
          </cell>
        </row>
        <row r="3921">
          <cell r="B3921" t="str">
            <v>FG00576</v>
          </cell>
          <cell r="C3921" t="str">
            <v>CAPTOPRIL HCT DENK DENK 50/25 B/30CES</v>
          </cell>
        </row>
        <row r="3922">
          <cell r="B3922" t="str">
            <v>FG00577</v>
          </cell>
          <cell r="C3922" t="str">
            <v>CAR 2.25G (PIPERA.+TAZOBAC.) INJ.B/1 FLC</v>
          </cell>
        </row>
        <row r="3923">
          <cell r="B3923" t="str">
            <v>FG00578</v>
          </cell>
          <cell r="C3923" t="str">
            <v>CAR 4.5G (PIPERA.+TAZOBAC.) INJ.B/1 FLC</v>
          </cell>
        </row>
        <row r="3924">
          <cell r="B3924" t="str">
            <v>FG00579</v>
          </cell>
          <cell r="C3924" t="str">
            <v>CARBOBEL 30CES (EO)</v>
          </cell>
        </row>
        <row r="3925">
          <cell r="B3925" t="str">
            <v>FG00580</v>
          </cell>
          <cell r="C3925" t="str">
            <v>CARBOKINA (MEDICAL CHARCOAL) B\50CES</v>
          </cell>
        </row>
        <row r="3926">
          <cell r="B3926" t="str">
            <v>FG00581</v>
          </cell>
          <cell r="C3926" t="str">
            <v>CARCA 3.125MG (CARVEDILOL) B/30CES</v>
          </cell>
        </row>
        <row r="3927">
          <cell r="B3927" t="str">
            <v>FG00582</v>
          </cell>
          <cell r="C3927" t="str">
            <v>CARCA 6.25MG (CARVEDILOL) B/30CES</v>
          </cell>
        </row>
        <row r="3928">
          <cell r="B3928" t="str">
            <v>FG00583</v>
          </cell>
          <cell r="C3928" t="str">
            <v>CARDIO ASPIRINE 56CES (FR) $$</v>
          </cell>
        </row>
        <row r="3929">
          <cell r="B3929" t="str">
            <v>FG00584</v>
          </cell>
          <cell r="C3929" t="str">
            <v>CARVEDI-DENK 25 B/30CES(FR)</v>
          </cell>
        </row>
        <row r="3930">
          <cell r="B3930" t="str">
            <v>FG00585</v>
          </cell>
          <cell r="C3930" t="str">
            <v>CARVEDIOL 25MG 56CES</v>
          </cell>
        </row>
        <row r="3931">
          <cell r="B3931" t="str">
            <v>FG00586</v>
          </cell>
          <cell r="C3931" t="str">
            <v>CASODEX 50MG 28CES (FR) $$</v>
          </cell>
        </row>
        <row r="3932">
          <cell r="B3932" t="str">
            <v>FG00587</v>
          </cell>
          <cell r="C3932" t="str">
            <v>CATAFLAM 25MG B/20CES (EO)</v>
          </cell>
        </row>
        <row r="3933">
          <cell r="B3933" t="str">
            <v>FG00588</v>
          </cell>
          <cell r="C3933" t="str">
            <v>CATAFLAM 50 MG BTE DE 30 &amp; 20 DRAG (EO)</v>
          </cell>
        </row>
        <row r="3934">
          <cell r="B3934" t="str">
            <v>FG00589</v>
          </cell>
          <cell r="C3934" t="str">
            <v>CATAFLAM SIROP(FR)</v>
          </cell>
        </row>
        <row r="3935">
          <cell r="B3935" t="str">
            <v>FG00590</v>
          </cell>
          <cell r="C3935" t="str">
            <v>CATAPRESSAN BOITE DE 30CES (FR)</v>
          </cell>
        </row>
        <row r="3936">
          <cell r="B3936" t="str">
            <v>FG00591</v>
          </cell>
          <cell r="C3936" t="str">
            <v>CATAPRESSAN INJ 5AMP (EO)</v>
          </cell>
        </row>
        <row r="3937">
          <cell r="B3937" t="str">
            <v>FG00592</v>
          </cell>
          <cell r="C3937" t="str">
            <v>CATHETER IV 14G PCS/1</v>
          </cell>
        </row>
        <row r="3938">
          <cell r="B3938" t="str">
            <v>FG00593</v>
          </cell>
          <cell r="C3938" t="str">
            <v>CATHETER IV 16G 45MM GRIS/1</v>
          </cell>
        </row>
        <row r="3939">
          <cell r="B3939" t="str">
            <v>FG00594</v>
          </cell>
          <cell r="C3939" t="str">
            <v>CATHETER IV 18G 45MM VERT/1</v>
          </cell>
        </row>
        <row r="3940">
          <cell r="B3940" t="str">
            <v>FG00595</v>
          </cell>
          <cell r="C3940" t="str">
            <v>CATHETER IV 20G 33MM ROSE/1</v>
          </cell>
        </row>
        <row r="3941">
          <cell r="B3941" t="str">
            <v>FG00596</v>
          </cell>
          <cell r="C3941" t="str">
            <v>CATHETER IV 22G 25MM BLUE/1</v>
          </cell>
        </row>
        <row r="3942">
          <cell r="B3942" t="str">
            <v>FG00597</v>
          </cell>
          <cell r="C3942" t="str">
            <v>CATHETER IV 24G 19MM JAUNE/1</v>
          </cell>
        </row>
        <row r="3943">
          <cell r="B3943" t="str">
            <v>FG00598</v>
          </cell>
          <cell r="C3943" t="str">
            <v>CAVERJECT 1AMP 20MCG(FR)</v>
          </cell>
        </row>
        <row r="3944">
          <cell r="B3944" t="str">
            <v>FG00599</v>
          </cell>
          <cell r="C3944" t="str">
            <v>CE - PHAX 1GR</v>
          </cell>
        </row>
        <row r="3945">
          <cell r="B3945" t="str">
            <v>FG00600</v>
          </cell>
          <cell r="C3945" t="str">
            <v>CEBRAN 500 (CIPROFLOX.) B/10CES</v>
          </cell>
        </row>
        <row r="3946">
          <cell r="B3946" t="str">
            <v>FG00601</v>
          </cell>
          <cell r="C3946" t="str">
            <v>CEF-1000 (CEFEPIME) INJECION IM/IV 1000MG B/1AMP</v>
          </cell>
        </row>
        <row r="3947">
          <cell r="B3947" t="str">
            <v>FG00602</v>
          </cell>
          <cell r="C3947" t="str">
            <v>CEFAM 50 GELULES</v>
          </cell>
        </row>
        <row r="3948">
          <cell r="B3948" t="str">
            <v>FG00603</v>
          </cell>
          <cell r="C3948" t="str">
            <v>CEFAM CAPSULES PLS B/2X10 CAP</v>
          </cell>
        </row>
        <row r="3949">
          <cell r="B3949" t="str">
            <v>FG00604</v>
          </cell>
          <cell r="C3949" t="str">
            <v>CEFAMOR 500MG B/20CAP</v>
          </cell>
        </row>
        <row r="3950">
          <cell r="B3950" t="str">
            <v>FG00605</v>
          </cell>
          <cell r="C3950" t="str">
            <v>CEFAMOR DRY SYRUP 100ML</v>
          </cell>
        </row>
        <row r="3951">
          <cell r="B3951" t="str">
            <v>FG00606</v>
          </cell>
          <cell r="C3951" t="str">
            <v>CEFATAX B/1AMP</v>
          </cell>
        </row>
        <row r="3952">
          <cell r="B3952" t="str">
            <v>FG00607</v>
          </cell>
          <cell r="C3952" t="str">
            <v>CEFAZ (CEFOPERAZONE) INJ UPS 1G IM/IV B/1AMP</v>
          </cell>
        </row>
        <row r="3953">
          <cell r="B3953" t="str">
            <v>FG00608</v>
          </cell>
          <cell r="C3953" t="str">
            <v>CEFAZ-S (CEFOPERAZONE+SULBACTAM ) INJ IM/IV B/AMP</v>
          </cell>
        </row>
        <row r="3954">
          <cell r="B3954" t="str">
            <v>FG00609</v>
          </cell>
          <cell r="C3954" t="str">
            <v>CEFBAC (CEFTRIAXONE + SALBACTAM) 1.5MG AMP</v>
          </cell>
        </row>
        <row r="3955">
          <cell r="B3955" t="str">
            <v>FG00610</v>
          </cell>
          <cell r="C3955" t="str">
            <v>CEFBAC (CEFTRIAXONE + SALBACTAM) 750MG AMP</v>
          </cell>
        </row>
        <row r="3956">
          <cell r="B3956" t="str">
            <v>FG00611</v>
          </cell>
          <cell r="C3956" t="str">
            <v>CEFBACTAM 1.5GR B/1AMP</v>
          </cell>
        </row>
        <row r="3957">
          <cell r="B3957" t="str">
            <v>FG00612</v>
          </cell>
          <cell r="C3957" t="str">
            <v>CEFBACTAM 375MG B/1AMP</v>
          </cell>
        </row>
        <row r="3958">
          <cell r="B3958" t="str">
            <v>FG00613</v>
          </cell>
          <cell r="C3958" t="str">
            <v>CEFDROX 250ML/5ML SP</v>
          </cell>
        </row>
        <row r="3959">
          <cell r="B3959" t="str">
            <v>FG00614</v>
          </cell>
          <cell r="C3959" t="str">
            <v>CEFDROX 500MG 12 CAPS</v>
          </cell>
        </row>
        <row r="3960">
          <cell r="B3960" t="str">
            <v>FG00615</v>
          </cell>
          <cell r="C3960" t="str">
            <v>CEFEXIME 100MG B/10CES</v>
          </cell>
        </row>
        <row r="3961">
          <cell r="B3961" t="str">
            <v>FG00616</v>
          </cell>
          <cell r="C3961" t="str">
            <v>CEFEXIME 200MG B/10CES</v>
          </cell>
        </row>
        <row r="3962">
          <cell r="B3962" t="str">
            <v>FG00617</v>
          </cell>
          <cell r="C3962" t="str">
            <v>CEFFIXIME BIOGARAN 200MG B/8 GELS</v>
          </cell>
        </row>
        <row r="3963">
          <cell r="B3963" t="str">
            <v>FG00618</v>
          </cell>
          <cell r="C3963" t="str">
            <v>CEFINIQUE 100MG (CEFIXIME) DISP. B/ 10 CES</v>
          </cell>
        </row>
        <row r="3964">
          <cell r="B3964" t="str">
            <v>FG00619</v>
          </cell>
          <cell r="C3964" t="str">
            <v>CEFINIQUE 200MG (CEFIXIME) DISP. B/ 10 CES</v>
          </cell>
        </row>
        <row r="3965">
          <cell r="B3965" t="str">
            <v>FG00620</v>
          </cell>
          <cell r="C3965" t="str">
            <v>CEFINIQUE 400MG (CEFIXIME) DISP. B/10 CES</v>
          </cell>
        </row>
        <row r="3966">
          <cell r="B3966" t="str">
            <v>FG00621</v>
          </cell>
          <cell r="C3966" t="str">
            <v>CEFINIQUE 40MG/5ML (CEFIXIME) SUSP. ORALE 60ML</v>
          </cell>
        </row>
        <row r="3967">
          <cell r="B3967" t="str">
            <v>FG00622</v>
          </cell>
          <cell r="C3967" t="str">
            <v>CEFINIQUE 50MG/5ML (CEFIXIME) SUSP. ORALE 100ML</v>
          </cell>
        </row>
        <row r="3968">
          <cell r="B3968" t="str">
            <v>FG00623</v>
          </cell>
          <cell r="C3968" t="str">
            <v>CEFINIR 60ML 125MG SUSPENSION</v>
          </cell>
        </row>
        <row r="3969">
          <cell r="B3969" t="str">
            <v>FG00624</v>
          </cell>
          <cell r="C3969" t="str">
            <v>CEFIXIME 400MG DISPERSIBLE B/10CES (UNIQUE)</v>
          </cell>
        </row>
        <row r="3970">
          <cell r="B3970" t="str">
            <v>FG00625</v>
          </cell>
          <cell r="C3970" t="str">
            <v>CEFODOM (CEFOPERAZONE AND TAZO) 1.125MG B/1AMP</v>
          </cell>
        </row>
        <row r="3971">
          <cell r="B3971" t="str">
            <v>FG00626</v>
          </cell>
          <cell r="C3971" t="str">
            <v>CEFODOM (CEFPODOXIME) B/1AMP</v>
          </cell>
        </row>
        <row r="3972">
          <cell r="B3972" t="str">
            <v>FG00627</v>
          </cell>
          <cell r="C3972" t="str">
            <v>CEFPODOX (CEFPODOXIME) ORAL SUSP 100ML</v>
          </cell>
        </row>
        <row r="3973">
          <cell r="B3973" t="str">
            <v>FG00628</v>
          </cell>
          <cell r="C3973" t="str">
            <v>CEFPODOX ********B/10 SACHET</v>
          </cell>
        </row>
        <row r="3974">
          <cell r="B3974" t="str">
            <v>FG00629</v>
          </cell>
          <cell r="C3974" t="str">
            <v>CEFPODOX 200MG (CEFPODOXIME) B/10CES</v>
          </cell>
        </row>
        <row r="3975">
          <cell r="B3975" t="str">
            <v>FG00630</v>
          </cell>
          <cell r="C3975" t="str">
            <v>CEFPODOXIME 100ML (GENERIQUE)</v>
          </cell>
        </row>
        <row r="3976">
          <cell r="B3976" t="str">
            <v>FG00631</v>
          </cell>
          <cell r="C3976" t="str">
            <v>CEFPODOXIME 200MG B/10CES(GENERIQUE)</v>
          </cell>
        </row>
        <row r="3977">
          <cell r="B3977" t="str">
            <v>FG00632</v>
          </cell>
          <cell r="C3977" t="str">
            <v>CEFPOQUE 100MG (CEFPODOXIME) DISP. B/10 CES</v>
          </cell>
        </row>
        <row r="3978">
          <cell r="B3978" t="str">
            <v>FG00633</v>
          </cell>
          <cell r="C3978" t="str">
            <v>CEFPOQUE 100MG/5ML (CEFPODOXIME) SUSP. ORALE 100ML</v>
          </cell>
        </row>
        <row r="3979">
          <cell r="B3979" t="str">
            <v>FG00634</v>
          </cell>
          <cell r="C3979" t="str">
            <v>CEFPOQUE 200MG (CEFPODOXIME) DISP. B/10 CES</v>
          </cell>
        </row>
        <row r="3980">
          <cell r="B3980" t="str">
            <v>FG00635</v>
          </cell>
          <cell r="C3980" t="str">
            <v>CEFPOQUE 50MG/5ML (CEFPODOXIME) SUSP. ORALE 100ML</v>
          </cell>
        </row>
        <row r="3981">
          <cell r="B3981" t="str">
            <v>FG00636</v>
          </cell>
          <cell r="C3981" t="str">
            <v>CEFTAZ (CEFTAZIDIME) IV/IM UPS 1G B/1 AMP</v>
          </cell>
        </row>
        <row r="3982">
          <cell r="B3982" t="str">
            <v>FG00637</v>
          </cell>
          <cell r="C3982" t="str">
            <v>CEFTRIN (CEFRTIAXONE) INJ. 1GR.</v>
          </cell>
        </row>
        <row r="3983">
          <cell r="B3983" t="str">
            <v>FG00638</v>
          </cell>
          <cell r="C3983" t="str">
            <v>CEFTRIN PLUS 1.5G INJ B/1AMP</v>
          </cell>
        </row>
        <row r="3984">
          <cell r="B3984" t="str">
            <v>FG00639</v>
          </cell>
          <cell r="C3984" t="str">
            <v>CEFUDOC 500MG 10CES</v>
          </cell>
        </row>
        <row r="3985">
          <cell r="B3985" t="str">
            <v>FG00640</v>
          </cell>
          <cell r="C3985" t="str">
            <v>CEFUROCLAV 30ML SIROP</v>
          </cell>
        </row>
        <row r="3986">
          <cell r="B3986" t="str">
            <v>FG00641</v>
          </cell>
          <cell r="C3986" t="str">
            <v>CEFUROCLAV 312.5MG B/10CES</v>
          </cell>
        </row>
        <row r="3987">
          <cell r="B3987" t="str">
            <v>FG00642</v>
          </cell>
          <cell r="C3987" t="str">
            <v>CEFUROCLAV 625MG B/6CES</v>
          </cell>
        </row>
        <row r="3988">
          <cell r="B3988" t="str">
            <v>FG00643</v>
          </cell>
          <cell r="C3988" t="str">
            <v>CEFXON (CEFTRIAXONE) 1 GR INJ</v>
          </cell>
        </row>
        <row r="3989">
          <cell r="B3989" t="str">
            <v>FG00644</v>
          </cell>
          <cell r="C3989" t="str">
            <v>CEFXON -S-1500 (CEFTRI.+SULBAC.) INJ</v>
          </cell>
        </row>
        <row r="3990">
          <cell r="B3990" t="str">
            <v>FG00645</v>
          </cell>
          <cell r="C3990" t="str">
            <v>CEFXON -S-750 (CEFTRI.+SULBAC.)</v>
          </cell>
        </row>
        <row r="3991">
          <cell r="B3991" t="str">
            <v>FG00646</v>
          </cell>
          <cell r="C3991" t="str">
            <v>CELCAR 450MG (CARBOPLATIN) INJ B/1 VIAL</v>
          </cell>
        </row>
        <row r="3992">
          <cell r="B3992" t="str">
            <v>FG00647</v>
          </cell>
          <cell r="C3992" t="str">
            <v>CELCARB 150MG (CARBOPLATIN) INJ. B/1 VIAL</v>
          </cell>
        </row>
        <row r="3993">
          <cell r="B3993" t="str">
            <v>FG00648</v>
          </cell>
          <cell r="C3993" t="str">
            <v>CELCARD 50MG (CARBOPLATIN) INJ. B/1 VIAL</v>
          </cell>
        </row>
        <row r="3994">
          <cell r="B3994" t="str">
            <v>FG00649</v>
          </cell>
          <cell r="C3994" t="str">
            <v>CELDACH 100MG (OXALIPLATIN) INJ. B/1 VIAL</v>
          </cell>
        </row>
        <row r="3995">
          <cell r="B3995" t="str">
            <v>FG00650</v>
          </cell>
          <cell r="C3995" t="str">
            <v>CELDACH 50MG (OXALIPLATIN) INJ B/1 VIAL</v>
          </cell>
        </row>
        <row r="3996">
          <cell r="B3996" t="str">
            <v>FG00651</v>
          </cell>
          <cell r="C3996" t="str">
            <v>CELEBREX 100MG @@@ 20 GELULES@@@@ (FR)</v>
          </cell>
        </row>
        <row r="3997">
          <cell r="B3997" t="str">
            <v>FG00652</v>
          </cell>
          <cell r="C3997" t="str">
            <v>CELEBREX 200MG 30 CAPS (FR)</v>
          </cell>
        </row>
        <row r="3998">
          <cell r="B3998" t="str">
            <v>FG00653</v>
          </cell>
          <cell r="C3998" t="str">
            <v>CELESTENE 0.5MG/ML GOUTTE FL 30ML (FR)</v>
          </cell>
        </row>
        <row r="3999">
          <cell r="B3999" t="str">
            <v>FG00654</v>
          </cell>
          <cell r="C3999" t="str">
            <v>CELESTENE 2MG 20CES (FR)</v>
          </cell>
        </row>
        <row r="4000">
          <cell r="B4000" t="str">
            <v>FG00655</v>
          </cell>
          <cell r="C4000" t="str">
            <v>CELESTENE 4MG INJ B/3AMP (FR)</v>
          </cell>
        </row>
        <row r="4001">
          <cell r="B4001" t="str">
            <v>FG00656</v>
          </cell>
          <cell r="C4001" t="str">
            <v>CELESTENE GOUTTE 30ML</v>
          </cell>
        </row>
        <row r="4002">
          <cell r="B4002" t="str">
            <v>FG00657</v>
          </cell>
          <cell r="C4002" t="str">
            <v>CELKERAN 2MG (CHLORAMBUCIL) B/30CES</v>
          </cell>
        </row>
        <row r="4003">
          <cell r="B4003" t="str">
            <v>FG00658</v>
          </cell>
          <cell r="C4003" t="str">
            <v>CELKERAN 5MG (CHLORAMBUCIL) B/30CES</v>
          </cell>
        </row>
        <row r="4004">
          <cell r="B4004" t="str">
            <v>FG00659</v>
          </cell>
          <cell r="C4004" t="str">
            <v>CELL-VISION 0.3% (HYPROMELLOSE) COLLYRE 10ML</v>
          </cell>
        </row>
        <row r="4005">
          <cell r="B4005" t="str">
            <v>FG00660</v>
          </cell>
          <cell r="C4005" t="str">
            <v>CELOFEM 2.5MG (LETROZOL) PLT/10CES</v>
          </cell>
        </row>
        <row r="4006">
          <cell r="B4006" t="str">
            <v>FG00661</v>
          </cell>
          <cell r="C4006" t="str">
            <v>CELPLAT 10MG (CISPLATIN) INJ B/1 VIAL</v>
          </cell>
        </row>
        <row r="4007">
          <cell r="B4007" t="str">
            <v>FG00662</v>
          </cell>
          <cell r="C4007" t="str">
            <v>CELPLAT 50MG (CISPLATIN) INJ.B/1 VIAL</v>
          </cell>
        </row>
        <row r="4008">
          <cell r="B4008" t="str">
            <v>FG00663</v>
          </cell>
          <cell r="C4008" t="str">
            <v>CELTAX 10MG (PACLITAXEL) INJ B/1 VIAL</v>
          </cell>
        </row>
        <row r="4009">
          <cell r="B4009" t="str">
            <v>FG00664</v>
          </cell>
          <cell r="C4009" t="str">
            <v>CEMYCINE (AZITHROMYCINE) 250MG B/10CES</v>
          </cell>
        </row>
        <row r="4010">
          <cell r="B4010" t="str">
            <v>FG00665</v>
          </cell>
          <cell r="C4010" t="str">
            <v>CEMYCINE (AZITHROMYCINE) B/5 CES</v>
          </cell>
        </row>
        <row r="4011">
          <cell r="B4011" t="str">
            <v>FG00666</v>
          </cell>
          <cell r="C4011" t="str">
            <v>CEMYCINE (AZITHROMYCINE) SUSP. 30ML</v>
          </cell>
        </row>
        <row r="4012">
          <cell r="B4012" t="str">
            <v>FG00667</v>
          </cell>
          <cell r="C4012" t="str">
            <v>CENTRIFUGEUSE A URINE</v>
          </cell>
        </row>
        <row r="4013">
          <cell r="B4013" t="str">
            <v>FG00668</v>
          </cell>
          <cell r="C4013" t="str">
            <v>CENTRUM B/20CES</v>
          </cell>
        </row>
        <row r="4014">
          <cell r="B4014" t="str">
            <v>FG00669</v>
          </cell>
          <cell r="C4014" t="str">
            <v>CENTRUM BUV. BT/10AMP</v>
          </cell>
        </row>
        <row r="4015">
          <cell r="B4015" t="str">
            <v>FG00670</v>
          </cell>
          <cell r="C4015" t="str">
            <v>CENTRUM INJ. 5 + 5 AMP.</v>
          </cell>
        </row>
        <row r="4016">
          <cell r="B4016" t="str">
            <v>FG00671</v>
          </cell>
          <cell r="C4016" t="str">
            <v>CEPIME (CEFEPIME) 1000MG IV&amp;IM B/1 INJ</v>
          </cell>
        </row>
        <row r="4017">
          <cell r="B4017" t="str">
            <v>FG00672</v>
          </cell>
          <cell r="C4017" t="str">
            <v>CEPIME (CEFEPIME) 250MG IV&amp;IM B/1 INJ</v>
          </cell>
        </row>
        <row r="4018">
          <cell r="B4018" t="str">
            <v>FG00673</v>
          </cell>
          <cell r="C4018" t="str">
            <v>CEPRA S INJ</v>
          </cell>
        </row>
        <row r="4019">
          <cell r="B4019" t="str">
            <v>FG00674</v>
          </cell>
          <cell r="C4019" t="str">
            <v>CERULYSE GOUTTES OTOL 10ML (EO)</v>
          </cell>
        </row>
        <row r="4020">
          <cell r="B4020" t="str">
            <v>FG00675</v>
          </cell>
          <cell r="C4020" t="str">
            <v>CERVOLINE 1000MG/4ML (CITICOLINE) INJ. B/5AMP</v>
          </cell>
        </row>
        <row r="4021">
          <cell r="B4021" t="str">
            <v>FG00676</v>
          </cell>
          <cell r="C4021" t="str">
            <v>CERVOLINE 500MG/4ML (CITICOLINE) INJ. B/5AMP</v>
          </cell>
        </row>
        <row r="4022">
          <cell r="B4022" t="str">
            <v>FG00677</v>
          </cell>
          <cell r="C4022" t="str">
            <v>CESADOX 50MG/5ML SP 100ML</v>
          </cell>
        </row>
        <row r="4023">
          <cell r="B4023" t="str">
            <v>FG00678</v>
          </cell>
          <cell r="C4023" t="str">
            <v>CESADOX DT 200MG B/10 CES</v>
          </cell>
        </row>
        <row r="4024">
          <cell r="B4024" t="str">
            <v>FG00679</v>
          </cell>
          <cell r="C4024" t="str">
            <v>CESAKROL ADULT 300MG 5ML 100 SP</v>
          </cell>
        </row>
        <row r="4025">
          <cell r="B4025" t="str">
            <v>FG00680</v>
          </cell>
          <cell r="C4025" t="str">
            <v>CESAKROL PEDIATRIC 15MG /ML 100 SP</v>
          </cell>
        </row>
        <row r="4026">
          <cell r="B4026" t="str">
            <v>FG00681</v>
          </cell>
          <cell r="C4026" t="str">
            <v>CESAMOL (PARA &amp;DICLO&amp;CAFEINE) PL/10CES</v>
          </cell>
        </row>
        <row r="4027">
          <cell r="B4027" t="str">
            <v>FG00682</v>
          </cell>
          <cell r="C4027" t="str">
            <v>CESATOUX SP 100ML</v>
          </cell>
        </row>
        <row r="4028">
          <cell r="B4028" t="str">
            <v>FG00683</v>
          </cell>
          <cell r="C4028" t="str">
            <v>CETAFOR 1G I.V. B/1AMP (E.O.)</v>
          </cell>
        </row>
        <row r="4029">
          <cell r="B4029" t="str">
            <v>FG00684</v>
          </cell>
          <cell r="C4029" t="str">
            <v>CETAFOR 500MG I.V. B/1AMP (E.O.)</v>
          </cell>
        </row>
        <row r="4030">
          <cell r="B4030" t="str">
            <v>FG00685</v>
          </cell>
          <cell r="C4030" t="str">
            <v>CETAVLON CREME 80GM (GF)</v>
          </cell>
        </row>
        <row r="4031">
          <cell r="B4031" t="str">
            <v>FG00686</v>
          </cell>
          <cell r="C4031" t="str">
            <v>CETAZID-1G (CEFTAZIDIME) B/1 VIAL</v>
          </cell>
        </row>
        <row r="4032">
          <cell r="B4032" t="str">
            <v>FG00687</v>
          </cell>
          <cell r="C4032" t="str">
            <v>CETHER-L (ARTEM.+LUME.) ORALE SUSP 100ML</v>
          </cell>
        </row>
        <row r="4033">
          <cell r="B4033" t="str">
            <v>FG00688</v>
          </cell>
          <cell r="C4033" t="str">
            <v>CETHER-L 150MG B/6CES</v>
          </cell>
        </row>
        <row r="4034">
          <cell r="B4034" t="str">
            <v>FG00689</v>
          </cell>
          <cell r="C4034" t="str">
            <v>CETHER-L ADULTE DT B/6 CES</v>
          </cell>
        </row>
        <row r="4035">
          <cell r="B4035" t="str">
            <v>FG00690</v>
          </cell>
          <cell r="C4035" t="str">
            <v>CETHER-L DT B/12 CES</v>
          </cell>
        </row>
        <row r="4036">
          <cell r="B4036" t="str">
            <v>FG00691</v>
          </cell>
          <cell r="C4036" t="str">
            <v>CETHER-L DT B/6 CES</v>
          </cell>
        </row>
        <row r="4037">
          <cell r="B4037" t="str">
            <v>FG00692</v>
          </cell>
          <cell r="C4037" t="str">
            <v>CETHER-L FORTE DT B/6 CES</v>
          </cell>
        </row>
        <row r="4038">
          <cell r="B4038" t="str">
            <v>FG00693</v>
          </cell>
          <cell r="C4038" t="str">
            <v>CEVITE (VITAMINE C) SIROP 100ML</v>
          </cell>
        </row>
        <row r="4039">
          <cell r="B4039" t="str">
            <v>FG00694</v>
          </cell>
          <cell r="C4039" t="str">
            <v>CEVITE 1000 (VITAMINE C ) EFF.B/10 CES</v>
          </cell>
        </row>
        <row r="4040">
          <cell r="B4040" t="str">
            <v>FG00695</v>
          </cell>
          <cell r="C4040" t="str">
            <v>CEVITE 500MG 10 X 10 CES (ORANGE)</v>
          </cell>
        </row>
        <row r="4041">
          <cell r="B4041" t="str">
            <v>FG00696</v>
          </cell>
          <cell r="C4041" t="str">
            <v>CEZINC 20MG B/10CES</v>
          </cell>
        </row>
        <row r="4042">
          <cell r="B4042" t="str">
            <v>FG00697</v>
          </cell>
          <cell r="C4042" t="str">
            <v>CEZINC 20MG/5ML SP 60ML</v>
          </cell>
        </row>
        <row r="4043">
          <cell r="B4043" t="str">
            <v>FG00698</v>
          </cell>
          <cell r="C4043" t="str">
            <v>CHAISE ROULANT (VÉLO)</v>
          </cell>
        </row>
        <row r="4044">
          <cell r="B4044" t="str">
            <v>FG00699</v>
          </cell>
          <cell r="C4044" t="str">
            <v>CHAISE ROULANT (VÉLO) CHILD (BABE)</v>
          </cell>
        </row>
        <row r="4045">
          <cell r="B4045" t="str">
            <v>FG00700</v>
          </cell>
          <cell r="C4045" t="str">
            <v>CHATEAU ROUGE LAIT ULTRA HYDRA 500ML</v>
          </cell>
        </row>
        <row r="4046">
          <cell r="B4046" t="str">
            <v>FG00701</v>
          </cell>
          <cell r="C4046" t="str">
            <v>CHATEAU ROUGE LOTION 200ML</v>
          </cell>
        </row>
        <row r="4047">
          <cell r="B4047" t="str">
            <v>FG00702</v>
          </cell>
          <cell r="C4047" t="str">
            <v>CHATEAU ROUGE SAVON DERMATOLOGIQUE 200G</v>
          </cell>
        </row>
        <row r="4048">
          <cell r="B4048" t="str">
            <v>FG00703</v>
          </cell>
          <cell r="C4048" t="str">
            <v>CHEFTAZ 1000/125 MG ING</v>
          </cell>
        </row>
        <row r="4049">
          <cell r="B4049" t="str">
            <v>FG00704</v>
          </cell>
          <cell r="C4049" t="str">
            <v>CHIBRON CADRON COLLYRE 5ML (FR)</v>
          </cell>
        </row>
        <row r="4050">
          <cell r="B4050" t="str">
            <v>FG00705</v>
          </cell>
          <cell r="C4050" t="str">
            <v>CHIBROXINE COLLYRE FL/ 5ML (FR) &amp;&amp;&amp;</v>
          </cell>
        </row>
        <row r="4051">
          <cell r="B4051" t="str">
            <v>FG00706</v>
          </cell>
          <cell r="C4051" t="str">
            <v>CHLORAMINE T BT/100CES</v>
          </cell>
        </row>
        <row r="4052">
          <cell r="B4052" t="str">
            <v>FG00707</v>
          </cell>
          <cell r="C4052" t="str">
            <v>CHLORAMPHENICOL (PHATKIN) SP 100ML</v>
          </cell>
        </row>
        <row r="4053">
          <cell r="B4053" t="str">
            <v>FG00708</v>
          </cell>
          <cell r="C4053" t="str">
            <v>CHLORAPHENICOL (CHLORATOUX) SP 100ML</v>
          </cell>
        </row>
        <row r="4054">
          <cell r="B4054" t="str">
            <v>FG00709</v>
          </cell>
          <cell r="C4054" t="str">
            <v>CHLOROQUIN PHOSPHATE 250MG B/1000TAB</v>
          </cell>
        </row>
        <row r="4055">
          <cell r="B4055" t="str">
            <v>FG00710</v>
          </cell>
          <cell r="C4055" t="str">
            <v>CHLOROQUINE 250MG B/10CES</v>
          </cell>
        </row>
        <row r="4056">
          <cell r="B4056" t="str">
            <v>FG00711</v>
          </cell>
          <cell r="C4056" t="str">
            <v>CHLOROQUINE PHOSPHATE 250MG 1X30 CES</v>
          </cell>
        </row>
        <row r="4057">
          <cell r="B4057" t="str">
            <v>FG00712</v>
          </cell>
          <cell r="C4057" t="str">
            <v>CHOLESTROM 20MG B/30CES</v>
          </cell>
        </row>
        <row r="4058">
          <cell r="B4058" t="str">
            <v>FG00713</v>
          </cell>
          <cell r="C4058" t="str">
            <v>CHROMIC CATGUT NO.0 PCS/1 (UNIQUE)</v>
          </cell>
        </row>
        <row r="4059">
          <cell r="B4059" t="str">
            <v>FG00714</v>
          </cell>
          <cell r="C4059" t="str">
            <v>CHROMIC CATGUT NO.1...PCS/1 (UNIQUE)</v>
          </cell>
        </row>
        <row r="4060">
          <cell r="B4060" t="str">
            <v>FG00715</v>
          </cell>
          <cell r="C4060" t="str">
            <v>CHROMIC CATGUT NO.2...PCS/1 (UNIQUE)</v>
          </cell>
        </row>
        <row r="4061">
          <cell r="B4061" t="str">
            <v>FG00716</v>
          </cell>
          <cell r="C4061" t="str">
            <v>CHROMIC CATGUT NO.2/0...PCS/1 (UNIQUE)</v>
          </cell>
        </row>
        <row r="4062">
          <cell r="B4062" t="str">
            <v>FG00717</v>
          </cell>
          <cell r="C4062" t="str">
            <v>CHROMIC CATGUT NO.3...PCS/1</v>
          </cell>
        </row>
        <row r="4063">
          <cell r="B4063" t="str">
            <v>FG00718</v>
          </cell>
          <cell r="C4063" t="str">
            <v>CHROMIC CATGUT NO.3/0...PCS/1</v>
          </cell>
        </row>
        <row r="4064">
          <cell r="B4064" t="str">
            <v>FG00719</v>
          </cell>
          <cell r="C4064" t="str">
            <v>CHUI CREAM 10GR</v>
          </cell>
        </row>
        <row r="4065">
          <cell r="B4065" t="str">
            <v>FG00720</v>
          </cell>
          <cell r="C4065" t="str">
            <v>CHUI CREAM 30GR</v>
          </cell>
        </row>
        <row r="4066">
          <cell r="B4066" t="str">
            <v>FG00721</v>
          </cell>
          <cell r="C4066" t="str">
            <v>CHYNOTRYPSINE 30CES</v>
          </cell>
        </row>
        <row r="4067">
          <cell r="B4067" t="str">
            <v>FG00722</v>
          </cell>
          <cell r="C4067" t="str">
            <v>CIALIS 20MG B/4CES (FR)</v>
          </cell>
        </row>
        <row r="4068">
          <cell r="B4068" t="str">
            <v>FG00723</v>
          </cell>
          <cell r="C4068" t="str">
            <v>CICLODERM 15G CREAM</v>
          </cell>
        </row>
        <row r="4069">
          <cell r="B4069" t="str">
            <v>FG00724</v>
          </cell>
          <cell r="C4069" t="str">
            <v>CIFIN (CIPROFLOXACIN) 500MG 10CES</v>
          </cell>
        </row>
        <row r="4070">
          <cell r="B4070" t="str">
            <v>FG00725</v>
          </cell>
          <cell r="C4070" t="str">
            <v>CIFIN COLLYRE 10ML</v>
          </cell>
        </row>
        <row r="4071">
          <cell r="B4071" t="str">
            <v>FG00726</v>
          </cell>
          <cell r="C4071" t="str">
            <v>CIFIN DRY SUSP 250MG/5ML</v>
          </cell>
        </row>
        <row r="4072">
          <cell r="B4072" t="str">
            <v>FG00727</v>
          </cell>
          <cell r="C4072" t="str">
            <v>CIFIN TZ (CIPRO+TINIDAZOLE) 10 CES</v>
          </cell>
        </row>
        <row r="4073">
          <cell r="B4073" t="str">
            <v>FG00728</v>
          </cell>
          <cell r="C4073" t="str">
            <v>CIFIN-200 IV (SANS TROUSSE) 100ML</v>
          </cell>
        </row>
        <row r="4074">
          <cell r="B4074" t="str">
            <v>FG00729</v>
          </cell>
          <cell r="C4074" t="str">
            <v>CIFIN-DX COLLYRE/OTTIQUE 10ML</v>
          </cell>
        </row>
        <row r="4075">
          <cell r="B4075" t="str">
            <v>FG00730</v>
          </cell>
          <cell r="C4075" t="str">
            <v>CILOXAN 3 % CY 5ML (FR)</v>
          </cell>
        </row>
        <row r="4076">
          <cell r="B4076" t="str">
            <v>FG00731</v>
          </cell>
          <cell r="C4076" t="str">
            <v>CINABAC (CIPROFLOXACINE) 500MG 10CAPS. GENPHARMA</v>
          </cell>
        </row>
        <row r="4077">
          <cell r="B4077" t="str">
            <v>FG00732</v>
          </cell>
          <cell r="C4077" t="str">
            <v>CIPRO DENK 750MG B/10CES (EO)</v>
          </cell>
        </row>
        <row r="4078">
          <cell r="B4078" t="str">
            <v>FG00733</v>
          </cell>
          <cell r="C4078" t="str">
            <v>CIPROBIOTIC-FORTE 500MG B/10CES</v>
          </cell>
        </row>
        <row r="4079">
          <cell r="B4079" t="str">
            <v>FG00734</v>
          </cell>
          <cell r="C4079" t="str">
            <v>CIPROBIOTIC-TN 500MG B/10CES</v>
          </cell>
        </row>
        <row r="4080">
          <cell r="B4080" t="str">
            <v>FG00735</v>
          </cell>
          <cell r="C4080" t="str">
            <v>CIPRODAC 500MG B/10CES</v>
          </cell>
        </row>
        <row r="4081">
          <cell r="B4081" t="str">
            <v>FG00736</v>
          </cell>
          <cell r="C4081" t="str">
            <v>CIPROFLOXACIN INJ 100ML (LOCAL)</v>
          </cell>
        </row>
        <row r="4082">
          <cell r="B4082" t="str">
            <v>FG00737</v>
          </cell>
          <cell r="C4082" t="str">
            <v>CIPRONAT 250MG 14CES (EO)</v>
          </cell>
        </row>
        <row r="4083">
          <cell r="B4083" t="str">
            <v>FG00738</v>
          </cell>
          <cell r="C4083" t="str">
            <v>CIPRONAT 500MG 14CES (EO)</v>
          </cell>
        </row>
        <row r="4084">
          <cell r="B4084" t="str">
            <v>FG00739</v>
          </cell>
          <cell r="C4084" t="str">
            <v>CIPRONAT 750MG 14CES ( FR )</v>
          </cell>
        </row>
        <row r="4085">
          <cell r="B4085" t="str">
            <v>FG00740</v>
          </cell>
          <cell r="C4085" t="str">
            <v>CIPROQUE (CIPROFLOXIN) COLLYRE 10ML</v>
          </cell>
        </row>
        <row r="4086">
          <cell r="B4086" t="str">
            <v>FG00741</v>
          </cell>
          <cell r="C4086" t="str">
            <v>CIPROS PLUS (CIPRO+DEXA) COLLYRE 5ML</v>
          </cell>
        </row>
        <row r="4087">
          <cell r="B4087" t="str">
            <v>FG00742</v>
          </cell>
          <cell r="C4087" t="str">
            <v>CISEAU PETTI 100PC</v>
          </cell>
        </row>
        <row r="4088">
          <cell r="B4088" t="str">
            <v>FG00743</v>
          </cell>
          <cell r="C4088" t="str">
            <v>CITRATE DE SOUDE 3.8% 1LTR</v>
          </cell>
        </row>
        <row r="4089">
          <cell r="B4089" t="str">
            <v>FG00744</v>
          </cell>
          <cell r="C4089" t="str">
            <v>CITRIMEX SIROP 100ML</v>
          </cell>
        </row>
        <row r="4090">
          <cell r="B4090" t="str">
            <v>FG00745</v>
          </cell>
          <cell r="C4090" t="str">
            <v>CITRIMEX-DT 10MG B/10CES</v>
          </cell>
        </row>
        <row r="4091">
          <cell r="B4091" t="str">
            <v>FG00746</v>
          </cell>
          <cell r="C4091" t="str">
            <v>CLAMOXYL 500MG 12 GELULES</v>
          </cell>
        </row>
        <row r="4092">
          <cell r="B4092" t="str">
            <v>FG00747</v>
          </cell>
          <cell r="C4092" t="str">
            <v>CLARA 50GR POUDRE PRICKLY</v>
          </cell>
        </row>
        <row r="4093">
          <cell r="B4093" t="str">
            <v>FG00748</v>
          </cell>
          <cell r="C4093" t="str">
            <v>CLARA TALC &amp;&amp; 25 GR &amp;&amp;</v>
          </cell>
        </row>
        <row r="4094">
          <cell r="B4094" t="str">
            <v>FG00749</v>
          </cell>
          <cell r="C4094" t="str">
            <v>CLARA TALC 50 GR</v>
          </cell>
        </row>
        <row r="4095">
          <cell r="B4095" t="str">
            <v>FG00750</v>
          </cell>
          <cell r="C4095" t="str">
            <v>CLARA TALC PRICKLY HEAT 150G</v>
          </cell>
        </row>
        <row r="4096">
          <cell r="B4096" t="str">
            <v>FG00751</v>
          </cell>
          <cell r="C4096" t="str">
            <v>CLARINAZ 0.5 ENF GOUTTE 10ML</v>
          </cell>
        </row>
        <row r="4097">
          <cell r="B4097" t="str">
            <v>FG00752</v>
          </cell>
          <cell r="C4097" t="str">
            <v>CLARINAZ 1.0 AD GOUTTE 10ML</v>
          </cell>
        </row>
        <row r="4098">
          <cell r="B4098" t="str">
            <v>FG00753</v>
          </cell>
          <cell r="C4098" t="str">
            <v>CLARITYNE 10MG CES B/10 (FR)?</v>
          </cell>
        </row>
        <row r="4099">
          <cell r="B4099" t="str">
            <v>FG00754</v>
          </cell>
          <cell r="C4099" t="str">
            <v>CLAVAMOX 1.2G INJ B/1AMP</v>
          </cell>
        </row>
        <row r="4100">
          <cell r="B4100" t="str">
            <v>FG00755</v>
          </cell>
          <cell r="C4100" t="str">
            <v>CLAVICIN 457 MG SUSP</v>
          </cell>
        </row>
        <row r="4101">
          <cell r="B4101" t="str">
            <v>FG00756</v>
          </cell>
          <cell r="C4101" t="str">
            <v>CLAVIR (ACICLOVIR ) CREAM T/ 10 G</v>
          </cell>
        </row>
        <row r="4102">
          <cell r="B4102" t="str">
            <v>FG00757</v>
          </cell>
          <cell r="C4102" t="str">
            <v>CLAVIR-200 (ACYCLOVIR) B/10CES</v>
          </cell>
        </row>
        <row r="4103">
          <cell r="B4103" t="str">
            <v>FG00758</v>
          </cell>
          <cell r="C4103" t="str">
            <v>CLAVIR-400 (ACYCLOVIR) B/10CES</v>
          </cell>
        </row>
        <row r="4104">
          <cell r="B4104" t="str">
            <v>FG00759</v>
          </cell>
          <cell r="C4104" t="str">
            <v>CLAVIX-75 (CLOPIDOGREL) B/30CES</v>
          </cell>
        </row>
        <row r="4105">
          <cell r="B4105" t="str">
            <v>FG00760</v>
          </cell>
          <cell r="C4105" t="str">
            <v>CLAVIX-AS (CLOPIDOGREL75MG+ASPIRIN75MG) B/30CES</v>
          </cell>
        </row>
        <row r="4106">
          <cell r="B4106" t="str">
            <v>FG00761</v>
          </cell>
          <cell r="C4106" t="str">
            <v>CLAVUJECT 1.2G INJ.B/1</v>
          </cell>
        </row>
        <row r="4107">
          <cell r="B4107" t="str">
            <v>FG00762</v>
          </cell>
          <cell r="C4107" t="str">
            <v>CLAVUMOCCID 1G B/10 CES</v>
          </cell>
        </row>
        <row r="4108">
          <cell r="B4108" t="str">
            <v>FG00763</v>
          </cell>
          <cell r="C4108" t="str">
            <v>CLAVUZAM 1GM B/16CES</v>
          </cell>
        </row>
        <row r="4109">
          <cell r="B4109" t="str">
            <v>FG00764</v>
          </cell>
          <cell r="C4109" t="str">
            <v>CLAVUZAM SP 457GM 70ML</v>
          </cell>
        </row>
        <row r="4110">
          <cell r="B4110" t="str">
            <v>FG00765</v>
          </cell>
          <cell r="C4110" t="str">
            <v>CLER-VISION (NAP.+ZINC.+CPM+MC.) COLLYRE 10ML</v>
          </cell>
        </row>
        <row r="4111">
          <cell r="B4111" t="str">
            <v>FG00766</v>
          </cell>
          <cell r="C4111" t="str">
            <v>CLIFA-150 (CLINDAMYCINE) IV&amp;IM B/1 INJ</v>
          </cell>
        </row>
        <row r="4112">
          <cell r="B4112" t="str">
            <v>FG00767</v>
          </cell>
          <cell r="C4112" t="str">
            <v>CLIFA-150MG (CLINDAMYCINE) B/30CAP</v>
          </cell>
        </row>
        <row r="4113">
          <cell r="B4113" t="str">
            <v>FG00768</v>
          </cell>
          <cell r="C4113" t="str">
            <v>CLIFA-300 (CLINDAMYCINE) IV&amp;IM B/1 INJ</v>
          </cell>
        </row>
        <row r="4114">
          <cell r="B4114" t="str">
            <v>FG00769</v>
          </cell>
          <cell r="C4114" t="str">
            <v>CLIFA-300MG B/30 CAP****</v>
          </cell>
        </row>
        <row r="4115">
          <cell r="B4115" t="str">
            <v>FG00770</v>
          </cell>
          <cell r="C4115" t="str">
            <v>CLIFA-300MG (CLINDAMYCINE) B/1X10 CAP</v>
          </cell>
        </row>
        <row r="4116">
          <cell r="B4116" t="str">
            <v>FG00771</v>
          </cell>
          <cell r="C4116" t="str">
            <v>CLIFA-600 INJ B/1AMP</v>
          </cell>
        </row>
        <row r="4117">
          <cell r="B4117" t="str">
            <v>FG00772</v>
          </cell>
          <cell r="C4117" t="str">
            <v>CLIFA-600MG*** UPS B/10 CES</v>
          </cell>
        </row>
        <row r="4118">
          <cell r="B4118" t="str">
            <v>FG00773</v>
          </cell>
          <cell r="C4118" t="str">
            <v>CLIMED - 150 (CLINDAMYCINE) B/2 X10 CES</v>
          </cell>
        </row>
        <row r="4119">
          <cell r="B4119" t="str">
            <v>FG00774</v>
          </cell>
          <cell r="C4119" t="str">
            <v>CLIMED - 300 (CLINDAMYCINE) B/2 X10 CES</v>
          </cell>
        </row>
        <row r="4120">
          <cell r="B4120" t="str">
            <v>FG00775</v>
          </cell>
          <cell r="C4120" t="str">
            <v>CLIMED-150 (CLINDAMYCIN) B/1AMP</v>
          </cell>
        </row>
        <row r="4121">
          <cell r="B4121" t="str">
            <v>FG00776</v>
          </cell>
          <cell r="C4121" t="str">
            <v>CLIMED-150MG B/1VIAL</v>
          </cell>
        </row>
        <row r="4122">
          <cell r="B4122" t="str">
            <v>FG00777</v>
          </cell>
          <cell r="C4122" t="str">
            <v>CLIMED-300MG INJ /1VIAL</v>
          </cell>
        </row>
        <row r="4123">
          <cell r="B4123" t="str">
            <v>FG00778</v>
          </cell>
          <cell r="C4123" t="str">
            <v>CLINDACIN &amp;&amp;150&amp;&amp; (CLINDA USP) IV/IM B/1AMP</v>
          </cell>
        </row>
        <row r="4124">
          <cell r="B4124" t="str">
            <v>FG00779</v>
          </cell>
          <cell r="C4124" t="str">
            <v>CLINDACIN 300 (CLINDA USP) IV/IM B/1AMP</v>
          </cell>
        </row>
        <row r="4125">
          <cell r="B4125" t="str">
            <v>FG00780</v>
          </cell>
          <cell r="C4125" t="str">
            <v>CLINDACIN-150MG B/20CAPS</v>
          </cell>
        </row>
        <row r="4126">
          <cell r="B4126" t="str">
            <v>FG00781</v>
          </cell>
          <cell r="C4126" t="str">
            <v>CLINDACIN-300MG B/20CAPS</v>
          </cell>
        </row>
        <row r="4127">
          <cell r="B4127" t="str">
            <v>FG00782</v>
          </cell>
          <cell r="C4127" t="str">
            <v>CLODEX COLLYRE 5ML</v>
          </cell>
        </row>
        <row r="4128">
          <cell r="B4128" t="str">
            <v>FG00783</v>
          </cell>
          <cell r="C4128" t="str">
            <v>CLOMA (CLOTRIMAZOLE 100MG) B\6CES</v>
          </cell>
        </row>
        <row r="4129">
          <cell r="B4129" t="str">
            <v>FG00784</v>
          </cell>
          <cell r="C4129" t="str">
            <v>CLOMID 50MG CES B/10(VERT)***</v>
          </cell>
        </row>
        <row r="4130">
          <cell r="B4130" t="str">
            <v>FG00785</v>
          </cell>
          <cell r="C4130" t="str">
            <v>CLOPI DENK 75 MG B/30 CES (FR)</v>
          </cell>
        </row>
        <row r="4131">
          <cell r="B4131" t="str">
            <v>FG00786</v>
          </cell>
          <cell r="C4131" t="str">
            <v>CLOTEK CREME 15GR.</v>
          </cell>
        </row>
        <row r="4132">
          <cell r="B4132" t="str">
            <v>FG00787</v>
          </cell>
          <cell r="C4132" t="str">
            <v>CLOTEK CREME 30GR.</v>
          </cell>
        </row>
        <row r="4133">
          <cell r="B4133" t="str">
            <v>FG00788</v>
          </cell>
          <cell r="C4133" t="str">
            <v>CLOTRI-DENK 100 VAGINAL B/6</v>
          </cell>
        </row>
        <row r="4134">
          <cell r="B4134" t="str">
            <v>FG00789</v>
          </cell>
          <cell r="C4134" t="str">
            <v>CLOTRIL B.G. CREME 30GR</v>
          </cell>
        </row>
        <row r="4135">
          <cell r="B4135" t="str">
            <v>FG00790</v>
          </cell>
          <cell r="C4135" t="str">
            <v>CLOTRIZOL GOUTTE 15ML</v>
          </cell>
        </row>
        <row r="4136">
          <cell r="B4136" t="str">
            <v>FG00791</v>
          </cell>
          <cell r="C4136" t="str">
            <v>CLOXACILLINE 250MG 10CAPS PL</v>
          </cell>
        </row>
        <row r="4137">
          <cell r="B4137" t="str">
            <v>FG00793</v>
          </cell>
          <cell r="C4137" t="str">
            <v>CLOZIDERM CREAM 15GM</v>
          </cell>
        </row>
        <row r="4138">
          <cell r="B4138" t="str">
            <v>FG00794</v>
          </cell>
          <cell r="C4138" t="str">
            <v>CLOZIDERM CREAM 30GM</v>
          </cell>
        </row>
        <row r="4139">
          <cell r="B4139" t="str">
            <v>FG00795</v>
          </cell>
          <cell r="C4139" t="str">
            <v>CLOZIDERM SAVON ANTIBACTERIEN 100MG</v>
          </cell>
        </row>
        <row r="4140">
          <cell r="B4140" t="str">
            <v>FG00796</v>
          </cell>
          <cell r="C4140" t="str">
            <v>CO ARTHER FORT TABLET 2 X 6</v>
          </cell>
        </row>
        <row r="4141">
          <cell r="B4141" t="str">
            <v>FG00797</v>
          </cell>
          <cell r="C4141" t="str">
            <v>CO-AGGUPLAX (CLOPIDOGREL) 75MG B/30CES</v>
          </cell>
        </row>
        <row r="4142">
          <cell r="B4142" t="str">
            <v>FG00798</v>
          </cell>
          <cell r="C4142" t="str">
            <v>CO-APROVEL 150/12.5 MG 28CES(FR)</v>
          </cell>
        </row>
        <row r="4143">
          <cell r="B4143" t="str">
            <v>FG00799</v>
          </cell>
          <cell r="C4143" t="str">
            <v>CO-APROVEL 300MG 30CES(FR)</v>
          </cell>
        </row>
        <row r="4144">
          <cell r="B4144" t="str">
            <v>FG00800</v>
          </cell>
          <cell r="C4144" t="str">
            <v>CO-ARINATE AD FDC 500MG/25MG 3CES</v>
          </cell>
        </row>
        <row r="4145">
          <cell r="B4145" t="str">
            <v>FG00801</v>
          </cell>
          <cell r="C4145" t="str">
            <v>CO-ARINATE ENF FDC 250MG/12.5MG 3CES</v>
          </cell>
        </row>
        <row r="4146">
          <cell r="B4146" t="str">
            <v>FG00802</v>
          </cell>
          <cell r="C4146" t="str">
            <v>CO-ARTESIAN 180MG/60ML SUSP (FR)</v>
          </cell>
        </row>
        <row r="4147">
          <cell r="B4147" t="str">
            <v>FG00803</v>
          </cell>
          <cell r="C4147" t="str">
            <v>CO-ARTESINE SIROP***120ML***(FR)</v>
          </cell>
        </row>
        <row r="4148">
          <cell r="B4148" t="str">
            <v>FG00804</v>
          </cell>
          <cell r="C4148" t="str">
            <v>CO-ARTHER (ARTEM + LUMEFA) SUSP. 60 ML</v>
          </cell>
        </row>
        <row r="4149">
          <cell r="B4149" t="str">
            <v>FG00805</v>
          </cell>
          <cell r="C4149" t="str">
            <v>CO-ARTHER DS B/6 CES</v>
          </cell>
        </row>
        <row r="4150">
          <cell r="B4150" t="str">
            <v>FG00806</v>
          </cell>
          <cell r="C4150" t="str">
            <v>CO-ARTHER DS DISPERSIBLE B/6 CES</v>
          </cell>
        </row>
        <row r="4151">
          <cell r="B4151" t="str">
            <v>FG00807</v>
          </cell>
          <cell r="C4151" t="str">
            <v>CO-ARTHER FORTE DISPERSIBLE B/12 CES</v>
          </cell>
        </row>
        <row r="4152">
          <cell r="B4152" t="str">
            <v>FG00808</v>
          </cell>
          <cell r="C4152" t="str">
            <v>CO-ARTLUF 24CES</v>
          </cell>
        </row>
        <row r="4153">
          <cell r="B4153" t="str">
            <v>FG00809</v>
          </cell>
          <cell r="C4153" t="str">
            <v>CO-ARTLUF 9*1.5G SACHET B/9 SACHET</v>
          </cell>
        </row>
        <row r="4154">
          <cell r="B4154" t="str">
            <v>FG00810</v>
          </cell>
          <cell r="C4154" t="str">
            <v>CO-ARTLUF FORT B/6CES</v>
          </cell>
        </row>
        <row r="4155">
          <cell r="B4155" t="str">
            <v>FG00811</v>
          </cell>
          <cell r="C4155" t="str">
            <v>CO-AVAZIR COLLYRE 10ML (FR)</v>
          </cell>
        </row>
        <row r="4156">
          <cell r="B4156" t="str">
            <v>FG00812</v>
          </cell>
          <cell r="C4156" t="str">
            <v>CO-RIMETAR 20/120 DISPERSIBLE B/6CES</v>
          </cell>
        </row>
        <row r="4157">
          <cell r="B4157" t="str">
            <v>FG00813</v>
          </cell>
          <cell r="C4157" t="str">
            <v>CO-RIMETAR (ARTE.+LUMEFA.) SP 60ML</v>
          </cell>
        </row>
        <row r="4158">
          <cell r="B4158" t="str">
            <v>FG00814</v>
          </cell>
          <cell r="C4158" t="str">
            <v>CO-RIMETAR 80MG/480MG (LEME.+ART.) B/6CAPS</v>
          </cell>
        </row>
        <row r="4159">
          <cell r="B4159" t="str">
            <v>FG00815</v>
          </cell>
          <cell r="C4159" t="str">
            <v>COAGGUPLAX (CLOPIDOGREL &amp; ACERYL) 150MG B/30CAP</v>
          </cell>
        </row>
        <row r="4160">
          <cell r="B4160" t="str">
            <v>FG00816</v>
          </cell>
          <cell r="C4160" t="str">
            <v>COARTEM (ARTE + LUME) 80/480MG B/6CES (FR)</v>
          </cell>
        </row>
        <row r="4161">
          <cell r="B4161" t="str">
            <v>FG00817</v>
          </cell>
          <cell r="C4161" t="str">
            <v>COARTEM 20/120 MG 6 CES DISPERSIBLE</v>
          </cell>
        </row>
        <row r="4162">
          <cell r="B4162" t="str">
            <v>FG00818</v>
          </cell>
          <cell r="C4162" t="str">
            <v>COARTEM 20/120MG ***12***CES DISPERSIBLE</v>
          </cell>
        </row>
        <row r="4163">
          <cell r="B4163" t="str">
            <v>FG00819</v>
          </cell>
          <cell r="C4163" t="str">
            <v>COBOT</v>
          </cell>
        </row>
        <row r="4164">
          <cell r="B4164" t="str">
            <v>FG00820</v>
          </cell>
          <cell r="C4164" t="str">
            <v>COCA COLA TIN 1PC</v>
          </cell>
        </row>
        <row r="4165">
          <cell r="B4165" t="str">
            <v>FG00821</v>
          </cell>
          <cell r="C4165" t="str">
            <v>COFANTRINE SUSP 60ML</v>
          </cell>
        </row>
        <row r="4166">
          <cell r="B4166" t="str">
            <v>FG00822</v>
          </cell>
          <cell r="C4166" t="str">
            <v>COFEX (ANTI-TOUX) SP 100ML</v>
          </cell>
        </row>
        <row r="4167">
          <cell r="B4167" t="str">
            <v>FG00823</v>
          </cell>
          <cell r="C4167" t="str">
            <v>COFFEE MAKER</v>
          </cell>
        </row>
        <row r="4168">
          <cell r="B4168" t="str">
            <v>FG00824</v>
          </cell>
          <cell r="C4168" t="str">
            <v>COFLULIB 120 DOSE INHALATION</v>
          </cell>
        </row>
        <row r="4169">
          <cell r="B4169" t="str">
            <v>FG00825</v>
          </cell>
          <cell r="C4169" t="str">
            <v>COFLULIB 25/125 120 DOSE INHALATION</v>
          </cell>
        </row>
        <row r="4170">
          <cell r="B4170" t="str">
            <v>FG00826</v>
          </cell>
          <cell r="C4170" t="str">
            <v>COLCHICINE HOUDE 20CES (FR)</v>
          </cell>
        </row>
        <row r="4171">
          <cell r="B4171" t="str">
            <v>FG00827</v>
          </cell>
          <cell r="C4171" t="str">
            <v>COLCHIMAX CES B/20 (FR)</v>
          </cell>
        </row>
        <row r="4172">
          <cell r="B4172" t="str">
            <v>FG00828</v>
          </cell>
          <cell r="C4172" t="str">
            <v>COLD GRIP INJ B/5AMP</v>
          </cell>
        </row>
        <row r="4173">
          <cell r="B4173" t="str">
            <v>FG00829</v>
          </cell>
          <cell r="C4173" t="str">
            <v>COLD GRIP INHALER</v>
          </cell>
        </row>
        <row r="4174">
          <cell r="B4174" t="str">
            <v>FG00830</v>
          </cell>
          <cell r="C4174" t="str">
            <v>COLD GRIP POCH/4CES</v>
          </cell>
        </row>
        <row r="4175">
          <cell r="B4175" t="str">
            <v>FG00831</v>
          </cell>
          <cell r="C4175" t="str">
            <v>COLD GRIP-C SIROP 100ML</v>
          </cell>
        </row>
        <row r="4176">
          <cell r="B4176" t="str">
            <v>FG00832</v>
          </cell>
          <cell r="C4176" t="str">
            <v>COLDTEC 100ML SP</v>
          </cell>
        </row>
        <row r="4177">
          <cell r="B4177" t="str">
            <v>FG00833</v>
          </cell>
          <cell r="C4177" t="str">
            <v>COLISEPT 0.025% COLLYRE</v>
          </cell>
        </row>
        <row r="4178">
          <cell r="B4178" t="str">
            <v>FG00834</v>
          </cell>
          <cell r="C4178" t="str">
            <v>COLLUDOL AEROSOL(FR)</v>
          </cell>
        </row>
        <row r="4179">
          <cell r="B4179" t="str">
            <v>FG00835</v>
          </cell>
          <cell r="C4179" t="str">
            <v>COLLYRE BLEU FL/10ML (FR)</v>
          </cell>
        </row>
        <row r="4180">
          <cell r="B4180" t="str">
            <v>FG00836</v>
          </cell>
          <cell r="C4180" t="str">
            <v>COLOSTOMIE SAC DIAMETRE DU TROU 30MM 1PCS</v>
          </cell>
        </row>
        <row r="4181">
          <cell r="B4181" t="str">
            <v>FG00837</v>
          </cell>
          <cell r="C4181" t="str">
            <v>COMBAMTRINE POCH/6CES...(CESA)</v>
          </cell>
        </row>
        <row r="4182">
          <cell r="B4182" t="str">
            <v>FG00838</v>
          </cell>
          <cell r="C4182" t="str">
            <v>COMBATRIN 125MG 6CES (E.O.)</v>
          </cell>
        </row>
        <row r="4183">
          <cell r="B4183" t="str">
            <v>FG00839</v>
          </cell>
          <cell r="C4183" t="str">
            <v>COMBATRINE 125MG/2.5ML SUSP 15ML (FR)</v>
          </cell>
        </row>
        <row r="4184">
          <cell r="B4184" t="str">
            <v>FG00840</v>
          </cell>
          <cell r="C4184" t="str">
            <v>COMBAVERS 125MG 6CES</v>
          </cell>
        </row>
        <row r="4185">
          <cell r="B4185" t="str">
            <v>FG00841</v>
          </cell>
          <cell r="C4185" t="str">
            <v>COMBAVERS SUSP 15ML</v>
          </cell>
        </row>
        <row r="4186">
          <cell r="B4186" t="str">
            <v>FG00842</v>
          </cell>
          <cell r="C4186" t="str">
            <v>COMBAVETREN 125MG POCH/6CES (PALOMA)</v>
          </cell>
        </row>
        <row r="4187">
          <cell r="B4187" t="str">
            <v>FG00843</v>
          </cell>
          <cell r="C4187" t="str">
            <v>COMBIQUIN 60 ML SP</v>
          </cell>
        </row>
        <row r="4188">
          <cell r="B4188" t="str">
            <v>FG00844</v>
          </cell>
          <cell r="C4188" t="str">
            <v>COMBIQUIN B/6CES</v>
          </cell>
        </row>
        <row r="4189">
          <cell r="B4189" t="str">
            <v>FG00845</v>
          </cell>
          <cell r="C4189" t="str">
            <v>COMBUR 9 TESTE KIT</v>
          </cell>
        </row>
        <row r="4190">
          <cell r="B4190" t="str">
            <v>FG00846</v>
          </cell>
          <cell r="C4190" t="str">
            <v>COMFORT EXTRA (SERVITTES HYGINIQUES) 1PS</v>
          </cell>
        </row>
        <row r="4191">
          <cell r="B4191" t="str">
            <v>FG00847</v>
          </cell>
          <cell r="C4191" t="str">
            <v>COMFORT NORMAL (SERVIETTES HYGINIQUES)1P</v>
          </cell>
        </row>
        <row r="4192">
          <cell r="B4192" t="str">
            <v>FG00848</v>
          </cell>
          <cell r="C4192" t="str">
            <v>COMFORT REGULAR 10 SERVIETTES</v>
          </cell>
        </row>
        <row r="4193">
          <cell r="B4193" t="str">
            <v>FG00849</v>
          </cell>
          <cell r="C4193" t="str">
            <v>COMFORT ULTRA THIN 10 SERVIETTES</v>
          </cell>
        </row>
        <row r="4194">
          <cell r="B4194" t="str">
            <v>FG00850</v>
          </cell>
          <cell r="C4194" t="str">
            <v>COMFREY ADULLT DIAPERS XL 10PC</v>
          </cell>
        </row>
        <row r="4195">
          <cell r="B4195" t="str">
            <v>FG00851</v>
          </cell>
          <cell r="C4195" t="str">
            <v>COMMODE CHAISE DE TOILETE ROBE FIXE 1 PCS (FS893)</v>
          </cell>
        </row>
        <row r="4196">
          <cell r="B4196" t="str">
            <v>FG00852</v>
          </cell>
          <cell r="C4196" t="str">
            <v>COMMODE CHAISE DE TOILETTE 1 PCS (FS8941)</v>
          </cell>
        </row>
        <row r="4197">
          <cell r="B4197" t="str">
            <v>FG00853</v>
          </cell>
          <cell r="C4197" t="str">
            <v>COMPLE VAREZ</v>
          </cell>
        </row>
        <row r="4198">
          <cell r="B4198" t="str">
            <v>FG00854</v>
          </cell>
          <cell r="C4198" t="str">
            <v>COMPRESSES STERILS 20X20CM B/10PCES (UNIQUE)</v>
          </cell>
        </row>
        <row r="4199">
          <cell r="B4199" t="str">
            <v>FG00855</v>
          </cell>
          <cell r="C4199" t="str">
            <v>COMPRESSES STERILS 30X30CM B/10PCS (UNIQUE)</v>
          </cell>
        </row>
        <row r="4200">
          <cell r="B4200" t="str">
            <v>FG00856</v>
          </cell>
          <cell r="C4200" t="str">
            <v>COMPRESSES STERILS 40X40CM B/10PCS (UNIQUE)</v>
          </cell>
        </row>
        <row r="4201">
          <cell r="B4201" t="str">
            <v>FG00857</v>
          </cell>
          <cell r="C4201" t="str">
            <v>CONFIANCE INJECTION</v>
          </cell>
        </row>
        <row r="4202">
          <cell r="B4202" t="str">
            <v>FG00858</v>
          </cell>
          <cell r="C4202" t="str">
            <v>CONFIANCE ORAL CES PL</v>
          </cell>
        </row>
        <row r="4203">
          <cell r="B4203" t="str">
            <v>FG00859</v>
          </cell>
          <cell r="C4203" t="str">
            <v>CONFO ANTI MOSQUITO LIQUED 3.5ML</v>
          </cell>
        </row>
        <row r="4204">
          <cell r="B4204" t="str">
            <v>FG00860</v>
          </cell>
          <cell r="C4204" t="str">
            <v>CONFO 10GR POMMADE</v>
          </cell>
        </row>
        <row r="4205">
          <cell r="B4205" t="str">
            <v>FG00861</v>
          </cell>
          <cell r="C4205" t="str">
            <v>CONGILATEUR</v>
          </cell>
        </row>
        <row r="4206">
          <cell r="B4206" t="str">
            <v>FG00862</v>
          </cell>
          <cell r="C4206" t="str">
            <v>CONITCH 1% 15GM CREME</v>
          </cell>
        </row>
        <row r="4207">
          <cell r="B4207" t="str">
            <v>FG00863</v>
          </cell>
          <cell r="C4207" t="str">
            <v>CONTACID (ANTIACID) 100 ML SP</v>
          </cell>
        </row>
        <row r="4208">
          <cell r="B4208" t="str">
            <v>FG00864</v>
          </cell>
          <cell r="C4208" t="str">
            <v>CONV 1000W</v>
          </cell>
        </row>
        <row r="4209">
          <cell r="B4209" t="str">
            <v>FG00865</v>
          </cell>
          <cell r="C4209" t="str">
            <v>CONVEX PRESERVATIF LISSE B/3PCS</v>
          </cell>
        </row>
        <row r="4210">
          <cell r="B4210" t="str">
            <v>FG00866</v>
          </cell>
          <cell r="C4210" t="str">
            <v>CONVEX PRESERVATIF LISSE AVEC AROMATISEES B/3PCS</v>
          </cell>
        </row>
        <row r="4211">
          <cell r="B4211" t="str">
            <v>FG00867</v>
          </cell>
          <cell r="C4211" t="str">
            <v>CONVEX PRESERVATIF POINTILLEES ET AROMATISES 3 PCS</v>
          </cell>
        </row>
        <row r="4212">
          <cell r="B4212" t="str">
            <v>FG00868</v>
          </cell>
          <cell r="C4212" t="str">
            <v>CONVEX PRESERVATIF POUR PROLONGER LE PLAISIR 3PCS</v>
          </cell>
        </row>
        <row r="4213">
          <cell r="B4213" t="str">
            <v>FG00869</v>
          </cell>
          <cell r="C4213" t="str">
            <v>CONVEX PRESERVATIF ULTRA MINE B/3PCS</v>
          </cell>
        </row>
        <row r="4214">
          <cell r="B4214" t="str">
            <v>FG00870</v>
          </cell>
          <cell r="C4214" t="str">
            <v>COOLZ (ANTI-ACID) SUSP 200ML</v>
          </cell>
        </row>
        <row r="4215">
          <cell r="B4215" t="str">
            <v>FG00871</v>
          </cell>
          <cell r="C4215" t="str">
            <v>CORDARONE 200MG 30CES (FR)</v>
          </cell>
        </row>
        <row r="4216">
          <cell r="B4216" t="str">
            <v>FG00872</v>
          </cell>
          <cell r="C4216" t="str">
            <v>CORDARONE 20CES 200MG............</v>
          </cell>
        </row>
        <row r="4217">
          <cell r="B4217" t="str">
            <v>FG00873</v>
          </cell>
          <cell r="C4217" t="str">
            <v>COREFLAM 60ML SP</v>
          </cell>
        </row>
        <row r="4218">
          <cell r="B4218" t="str">
            <v>FG00874</v>
          </cell>
          <cell r="C4218" t="str">
            <v>CORIGNITAS 5000IU B/1AMP</v>
          </cell>
        </row>
        <row r="4219">
          <cell r="B4219" t="str">
            <v>FG00875</v>
          </cell>
          <cell r="C4219" t="str">
            <v>CORRECTOL COLLYRE 0.1% 10ML (FR)</v>
          </cell>
        </row>
        <row r="4220">
          <cell r="B4220" t="str">
            <v>FG00876</v>
          </cell>
          <cell r="C4220" t="str">
            <v>CORTANCYL 5MG 30CES (FR)</v>
          </cell>
        </row>
        <row r="4221">
          <cell r="B4221" t="str">
            <v>FG00877</v>
          </cell>
          <cell r="C4221" t="str">
            <v>CORTISONE (HYDROCORTISONE ) CREAM T/ 15G</v>
          </cell>
        </row>
        <row r="4222">
          <cell r="B4222" t="str">
            <v>FG00878</v>
          </cell>
          <cell r="C4222" t="str">
            <v>CORTISPRAY 50MG/DOSE (FLUTICASONE)</v>
          </cell>
        </row>
        <row r="4223">
          <cell r="B4223" t="str">
            <v>FG00879</v>
          </cell>
          <cell r="C4223" t="str">
            <v>CORTISTAR (HARMORRHODAL) B/10 SUPPO.</v>
          </cell>
        </row>
        <row r="4224">
          <cell r="B4224" t="str">
            <v>FG00880</v>
          </cell>
          <cell r="C4224" t="str">
            <v>COSODRYL SIROP 100ML</v>
          </cell>
        </row>
        <row r="4225">
          <cell r="B4225" t="str">
            <v>FG00881</v>
          </cell>
          <cell r="C4225" t="str">
            <v>COTRIM FORT 960MG 10CES</v>
          </cell>
        </row>
        <row r="4226">
          <cell r="B4226" t="str">
            <v>FG00882</v>
          </cell>
          <cell r="C4226" t="str">
            <v>COTRIMOXAZOLE 480MG B/1000CES</v>
          </cell>
        </row>
        <row r="4227">
          <cell r="B4227" t="str">
            <v>FG00883</v>
          </cell>
          <cell r="C4227" t="str">
            <v>COTRIMOXAZOLE 480MG BT/10X10CES</v>
          </cell>
        </row>
        <row r="4228">
          <cell r="B4228" t="str">
            <v>FG00884</v>
          </cell>
          <cell r="C4228" t="str">
            <v>COTRIMOXAZOLE SIROP 100ML(PHATKIN)</v>
          </cell>
        </row>
        <row r="4229">
          <cell r="B4229" t="str">
            <v>FG00885</v>
          </cell>
          <cell r="C4229" t="str">
            <v>COTRIMOXAZOLE SP 100ML</v>
          </cell>
        </row>
        <row r="4230">
          <cell r="B4230" t="str">
            <v>FG00886</v>
          </cell>
          <cell r="C4230" t="str">
            <v>COUVERATURE DE SURVIE</v>
          </cell>
        </row>
        <row r="4231">
          <cell r="B4231" t="str">
            <v>FG00887</v>
          </cell>
          <cell r="C4231" t="str">
            <v>COVERAM 5/5MG @@@@@ 30 GELULES(FR) @@@@</v>
          </cell>
        </row>
        <row r="4232">
          <cell r="B4232" t="str">
            <v>FG00888</v>
          </cell>
          <cell r="C4232" t="str">
            <v>COVERSYL 10MG 30CES(FR)</v>
          </cell>
        </row>
        <row r="4233">
          <cell r="B4233" t="str">
            <v>FG00889</v>
          </cell>
          <cell r="C4233" t="str">
            <v>COVERSYL PLUS 5MG 30CES (EO)</v>
          </cell>
        </row>
        <row r="4234">
          <cell r="B4234" t="str">
            <v>FG00890</v>
          </cell>
          <cell r="C4234" t="str">
            <v>COVID-19 ANTIGEN TEST KIT B/25</v>
          </cell>
        </row>
        <row r="4235">
          <cell r="B4235" t="str">
            <v>FG00891</v>
          </cell>
          <cell r="C4235" t="str">
            <v>COXIPAIN - 30MG (1X10 CES)</v>
          </cell>
        </row>
        <row r="4236">
          <cell r="B4236" t="str">
            <v>FG00892</v>
          </cell>
          <cell r="C4236" t="str">
            <v>COXIPAIN - 60MG (1X10 CES)</v>
          </cell>
        </row>
        <row r="4237">
          <cell r="B4237" t="str">
            <v>FG00893</v>
          </cell>
          <cell r="C4237" t="str">
            <v>CRESTOR 10MG 28 CES (FR)</v>
          </cell>
        </row>
        <row r="4238">
          <cell r="B4238" t="str">
            <v>FG00894</v>
          </cell>
          <cell r="C4238" t="str">
            <v>CRESTOR 20MG 30CES(FR)</v>
          </cell>
        </row>
        <row r="4239">
          <cell r="B4239" t="str">
            <v>FG00895</v>
          </cell>
          <cell r="C4239" t="str">
            <v>CRESTOR 5MG B/28 CES</v>
          </cell>
        </row>
        <row r="4240">
          <cell r="B4240" t="str">
            <v>FG00896</v>
          </cell>
          <cell r="C4240" t="str">
            <v>CRISTAL 10 SUPPOS ENFT (FR)</v>
          </cell>
        </row>
        <row r="4241">
          <cell r="B4241" t="str">
            <v>FG00897</v>
          </cell>
          <cell r="C4241" t="str">
            <v>CROISCARD 250/125UI NSUSP BUV FL 150ML</v>
          </cell>
        </row>
        <row r="4242">
          <cell r="B4242" t="str">
            <v>FG00898</v>
          </cell>
          <cell r="C4242" t="str">
            <v>CROISCARD 500MG/250UI CP B/15</v>
          </cell>
        </row>
        <row r="4243">
          <cell r="B4243" t="str">
            <v>FG00899</v>
          </cell>
          <cell r="C4243" t="str">
            <v>CROMOSOL COLLYRE 2% 5ML (FR)</v>
          </cell>
        </row>
        <row r="4244">
          <cell r="B4244" t="str">
            <v>FG00900</v>
          </cell>
          <cell r="C4244" t="str">
            <v>CU-PL( LEVONORGESTREL) B/1CES</v>
          </cell>
        </row>
        <row r="4245">
          <cell r="B4245" t="str">
            <v>FG00901</v>
          </cell>
          <cell r="C4245" t="str">
            <v>CUPBOARD</v>
          </cell>
        </row>
        <row r="4246">
          <cell r="B4246" t="str">
            <v>FG00902</v>
          </cell>
          <cell r="C4246" t="str">
            <v>CUPID 50MG B/1CES</v>
          </cell>
        </row>
        <row r="4247">
          <cell r="B4247" t="str">
            <v>FG00903</v>
          </cell>
          <cell r="C4247" t="str">
            <v>CURAFLOX 200MG BT/10 CES</v>
          </cell>
        </row>
        <row r="4248">
          <cell r="B4248" t="str">
            <v>FG00904</v>
          </cell>
          <cell r="C4248" t="str">
            <v>CURAFLOX 60ML SUSP.</v>
          </cell>
        </row>
        <row r="4249">
          <cell r="B4249" t="str">
            <v>FG00905</v>
          </cell>
          <cell r="C4249" t="str">
            <v>CURAM 1000MG /125MG SACHETS B/12</v>
          </cell>
        </row>
        <row r="4250">
          <cell r="B4250" t="str">
            <v>FG00906</v>
          </cell>
          <cell r="C4250" t="str">
            <v>CURAM 1000MG 10CES (EO)</v>
          </cell>
        </row>
        <row r="4251">
          <cell r="B4251" t="str">
            <v>FG00907</v>
          </cell>
          <cell r="C4251" t="str">
            <v>CUTACNYL 5 GEL DERM 40GR(FR)</v>
          </cell>
        </row>
        <row r="4252">
          <cell r="B4252" t="str">
            <v>FG00908</v>
          </cell>
          <cell r="C4252" t="str">
            <v>CUTISAN POUDRE 80GR. (EO)</v>
          </cell>
        </row>
        <row r="4253">
          <cell r="B4253" t="str">
            <v>FG00909</v>
          </cell>
          <cell r="C4253" t="str">
            <v>CYCLO-VISION (CYCLOPENTOLATE) COLLYRE 5ML</v>
          </cell>
        </row>
        <row r="4254">
          <cell r="B4254" t="str">
            <v>FG00910</v>
          </cell>
          <cell r="C4254" t="str">
            <v>CYCLOCEL 1000MG (CYCLOPHOSPHAMIDE) INJ B/1 VIAL</v>
          </cell>
        </row>
        <row r="4255">
          <cell r="B4255" t="str">
            <v>FG00911</v>
          </cell>
          <cell r="C4255" t="str">
            <v>CYCLOCEL 200MG (CYCLOPHOSPHAMIDE) INJ B/1 VIAL</v>
          </cell>
        </row>
        <row r="4256">
          <cell r="B4256" t="str">
            <v>FG00912</v>
          </cell>
          <cell r="C4256" t="str">
            <v>CYCLOCEL 500MG (CYCLOPHOSPHAMIDE) INJ B/1 VIAL</v>
          </cell>
        </row>
        <row r="4257">
          <cell r="B4257" t="str">
            <v>FG00913</v>
          </cell>
          <cell r="C4257" t="str">
            <v>CYCLOMAX 6OVULES</v>
          </cell>
        </row>
        <row r="4258">
          <cell r="B4258" t="str">
            <v>FG00914</v>
          </cell>
          <cell r="C4258" t="str">
            <v>CYPOMEX B/10X10CES</v>
          </cell>
        </row>
        <row r="4259">
          <cell r="B4259" t="str">
            <v>FG00915</v>
          </cell>
          <cell r="C4259" t="str">
            <v>CYPOMEX 4MG 20CES</v>
          </cell>
        </row>
        <row r="4260">
          <cell r="B4260" t="str">
            <v>FG00916</v>
          </cell>
          <cell r="C4260" t="str">
            <v>CYPOMEX SP 100ML</v>
          </cell>
        </row>
        <row r="4261">
          <cell r="B4261" t="str">
            <v>FG00917</v>
          </cell>
          <cell r="C4261" t="str">
            <v>CYPRO COLLYRE 3ML (LOCAL)</v>
          </cell>
        </row>
        <row r="4262">
          <cell r="B4262" t="str">
            <v>FG00918</v>
          </cell>
          <cell r="C4262" t="str">
            <v>CYPROVITAL (CYPROHEPTADINE+VITAMINES) SIROP 100ML</v>
          </cell>
        </row>
        <row r="4263">
          <cell r="B4263" t="str">
            <v>FG00919</v>
          </cell>
          <cell r="C4263" t="str">
            <v>CYTEAL SOL EXT. 250ML (FR)</v>
          </cell>
        </row>
        <row r="4264">
          <cell r="B4264" t="str">
            <v>FG00920</v>
          </cell>
          <cell r="C4264" t="str">
            <v>CYTOTEC (MISOPROSTOL 200MG) B/28CES -GENERIQUE-</v>
          </cell>
        </row>
        <row r="4265">
          <cell r="B4265" t="str">
            <v>FG00921</v>
          </cell>
          <cell r="C4265" t="str">
            <v>CYTOTEC 200MG @@ PL/14CES (FR)</v>
          </cell>
        </row>
        <row r="4266">
          <cell r="B4266" t="str">
            <v>FG00922</v>
          </cell>
          <cell r="C4266" t="str">
            <v>D - NAC L.P B/10 CAP</v>
          </cell>
        </row>
        <row r="4267">
          <cell r="B4267" t="str">
            <v>FG00923</v>
          </cell>
          <cell r="C4267" t="str">
            <v>D V D PLAYER</v>
          </cell>
        </row>
        <row r="4268">
          <cell r="B4268" t="str">
            <v>FG00924</v>
          </cell>
          <cell r="C4268" t="str">
            <v>D3 JUNIOR DENK CES (FR)</v>
          </cell>
        </row>
        <row r="4269">
          <cell r="B4269" t="str">
            <v>FG00925</v>
          </cell>
          <cell r="C4269" t="str">
            <v>DACRYOSERUM SOL OCUL UNIDOS B/20 (FR)</v>
          </cell>
        </row>
        <row r="4270">
          <cell r="B4270" t="str">
            <v>FG00926</v>
          </cell>
          <cell r="C4270" t="str">
            <v>DAFALGAN 1G 8 CES EFF</v>
          </cell>
        </row>
        <row r="4271">
          <cell r="B4271" t="str">
            <v>FG00927</v>
          </cell>
          <cell r="C4271" t="str">
            <v>DAFALGAN 1GR 8GELULES(FR)</v>
          </cell>
        </row>
        <row r="4272">
          <cell r="B4272" t="str">
            <v>FG00928</v>
          </cell>
          <cell r="C4272" t="str">
            <v>DAFALGAN 500MG 16 CES EFF. (FR)</v>
          </cell>
        </row>
        <row r="4273">
          <cell r="B4273" t="str">
            <v>FG00929</v>
          </cell>
          <cell r="C4273" t="str">
            <v>DAFALGAN 500MG 16GELULES SEC. (FR)</v>
          </cell>
        </row>
        <row r="4274">
          <cell r="B4274" t="str">
            <v>FG00930</v>
          </cell>
          <cell r="C4274" t="str">
            <v>DAFALGAN FORT 1GR B/20CES EFF.(FR)</v>
          </cell>
        </row>
        <row r="4275">
          <cell r="B4275" t="str">
            <v>FG00931</v>
          </cell>
          <cell r="C4275" t="str">
            <v>DAFLON 1000MG 30CES (FR)</v>
          </cell>
        </row>
        <row r="4276">
          <cell r="B4276" t="str">
            <v>FG00932</v>
          </cell>
          <cell r="C4276" t="str">
            <v>DAFLON 500MG 30CES (FR)</v>
          </cell>
        </row>
        <row r="4277">
          <cell r="B4277" t="str">
            <v>FG00933</v>
          </cell>
          <cell r="C4277" t="str">
            <v>DAFRACLAV 228MG PDRE SUSP BUV (FR)</v>
          </cell>
        </row>
        <row r="4278">
          <cell r="B4278" t="str">
            <v>FG00934</v>
          </cell>
          <cell r="C4278" t="str">
            <v>DAFRACLAV 625MG B/15CES (FR)</v>
          </cell>
        </row>
        <row r="4279">
          <cell r="B4279" t="str">
            <v>FG00935</v>
          </cell>
          <cell r="C4279" t="str">
            <v>DAFRACLAV 875/125 MG B/10CES (EO)</v>
          </cell>
        </row>
        <row r="4280">
          <cell r="B4280" t="str">
            <v>FG00936</v>
          </cell>
          <cell r="C4280" t="str">
            <v>DAFRAZOL (OMEPRAZOLE) 40MG IV B/1AMP</v>
          </cell>
        </row>
        <row r="4281">
          <cell r="B4281" t="str">
            <v>FG00937</v>
          </cell>
          <cell r="C4281" t="str">
            <v>DAFRAZOL 20MG *** 28CES***** (FR)</v>
          </cell>
        </row>
        <row r="4282">
          <cell r="B4282" t="str">
            <v>FG00938</v>
          </cell>
          <cell r="C4282" t="str">
            <v>DAFRAZOL 20MG 14CAPS (FR)</v>
          </cell>
        </row>
        <row r="4283">
          <cell r="B4283" t="str">
            <v>FG00939</v>
          </cell>
          <cell r="C4283" t="str">
            <v>DAKIN COOPER STABILISE 250ML (FR)</v>
          </cell>
        </row>
        <row r="4284">
          <cell r="B4284" t="str">
            <v>FG00940</v>
          </cell>
          <cell r="C4284" t="str">
            <v>DAKTARIN CREME 30 GR (FR)</v>
          </cell>
        </row>
        <row r="4285">
          <cell r="B4285" t="str">
            <v>FG00941</v>
          </cell>
          <cell r="C4285" t="str">
            <v>DAKTARIN POUDRE 20GR 2% (FR)</v>
          </cell>
        </row>
        <row r="4286">
          <cell r="B4286" t="str">
            <v>FG00942</v>
          </cell>
          <cell r="C4286" t="str">
            <v>DALACINE C 300MG B/16CAP (FR)</v>
          </cell>
        </row>
        <row r="4287">
          <cell r="B4287" t="str">
            <v>FG00943</v>
          </cell>
          <cell r="C4287" t="str">
            <v>DALACINE 150MG CAPS B/12 (FR)</v>
          </cell>
        </row>
        <row r="4288">
          <cell r="B4288" t="str">
            <v>FG00944</v>
          </cell>
          <cell r="C4288" t="str">
            <v>DALACLIF 150MG INJECTION</v>
          </cell>
        </row>
        <row r="4289">
          <cell r="B4289" t="str">
            <v>FG00945</v>
          </cell>
          <cell r="C4289" t="str">
            <v>DALACLIF 150MG \B20CES</v>
          </cell>
        </row>
        <row r="4290">
          <cell r="B4290" t="str">
            <v>FG00946</v>
          </cell>
          <cell r="C4290" t="str">
            <v>DALACLIF 300MG B\20 CES</v>
          </cell>
        </row>
        <row r="4291">
          <cell r="B4291" t="str">
            <v>FG00947</v>
          </cell>
          <cell r="C4291" t="str">
            <v>DALACLIF 300MG INJECTION</v>
          </cell>
        </row>
        <row r="4292">
          <cell r="B4292" t="str">
            <v>FG00948</v>
          </cell>
          <cell r="C4292" t="str">
            <v>DALACLIF 600MG B\20CES</v>
          </cell>
        </row>
        <row r="4293">
          <cell r="B4293" t="str">
            <v>FG00949</v>
          </cell>
          <cell r="C4293" t="str">
            <v>DAVICLAV (AMOXY-CLAVU) 1.2MG B/1AMP</v>
          </cell>
        </row>
        <row r="4294">
          <cell r="B4294" t="str">
            <v>FG00950</v>
          </cell>
          <cell r="C4294" t="str">
            <v>DAVICLAV DUO 1000MG 2X5 CES</v>
          </cell>
        </row>
        <row r="4295">
          <cell r="B4295" t="str">
            <v>FG00951</v>
          </cell>
          <cell r="C4295" t="str">
            <v>DAVICLAV DUO 562.5MG 4X4 CES</v>
          </cell>
        </row>
        <row r="4296">
          <cell r="B4296" t="str">
            <v>FG00952</v>
          </cell>
          <cell r="C4296" t="str">
            <v>DAVICLAVV DUO 457 SUSPENSION 70ML</v>
          </cell>
        </row>
        <row r="4297">
          <cell r="B4297" t="str">
            <v>FG00953</v>
          </cell>
          <cell r="C4297" t="str">
            <v>DAVIFLAM SIROP</v>
          </cell>
        </row>
        <row r="4298">
          <cell r="B4298" t="str">
            <v>FG00954</v>
          </cell>
          <cell r="C4298" t="str">
            <v>DAVIGRA 50 MG 2CES</v>
          </cell>
        </row>
        <row r="4299">
          <cell r="B4299" t="str">
            <v>FG00955</v>
          </cell>
          <cell r="C4299" t="str">
            <v>DAVIGRA @@ 100MG @@ B/2CES</v>
          </cell>
        </row>
        <row r="4300">
          <cell r="B4300" t="str">
            <v>FG00956</v>
          </cell>
          <cell r="C4300" t="str">
            <v>DAVIGRA SPRAY B/1 PCS</v>
          </cell>
        </row>
        <row r="4301">
          <cell r="B4301" t="str">
            <v>FG00957</v>
          </cell>
          <cell r="C4301" t="str">
            <v>DAVIMOOV RELIEF SPRAY 100ML1</v>
          </cell>
        </row>
        <row r="4302">
          <cell r="B4302" t="str">
            <v>FG00958</v>
          </cell>
          <cell r="C4302" t="str">
            <v>DAVIMOOV SAMPLE CREME 25GR</v>
          </cell>
        </row>
        <row r="4303">
          <cell r="B4303" t="str">
            <v>FG00959</v>
          </cell>
          <cell r="C4303" t="str">
            <v>DAXOL POLYVITAMINE GTTE SOL BUV FL 20ML B/1</v>
          </cell>
        </row>
        <row r="4304">
          <cell r="B4304" t="str">
            <v>FG00960</v>
          </cell>
          <cell r="C4304" t="str">
            <v>DAYCOLD B/ 2 X 12 CAPSULE</v>
          </cell>
        </row>
        <row r="4305">
          <cell r="B4305" t="str">
            <v>FG00961</v>
          </cell>
          <cell r="C4305" t="str">
            <v>DAYCOLD SP 200ML</v>
          </cell>
        </row>
        <row r="4306">
          <cell r="B4306" t="str">
            <v>FG00962</v>
          </cell>
          <cell r="C4306" t="str">
            <v>DEBRIDAT 24MG/5ML SUSP 250ML ADULTE</v>
          </cell>
        </row>
        <row r="4307">
          <cell r="B4307" t="str">
            <v>FG00963</v>
          </cell>
          <cell r="C4307" t="str">
            <v>DEBRIDATE 100MG B/30 CES</v>
          </cell>
        </row>
        <row r="4308">
          <cell r="B4308" t="str">
            <v>FG00964</v>
          </cell>
          <cell r="C4308" t="str">
            <v>DECA DURABOLIN 25MG 1AMP(FR)</v>
          </cell>
        </row>
        <row r="4309">
          <cell r="B4309" t="str">
            <v>FG00965</v>
          </cell>
          <cell r="C4309" t="str">
            <v>DECAVITYL (MULTIVITAMINE) SP 100ML</v>
          </cell>
        </row>
        <row r="4310">
          <cell r="B4310" t="str">
            <v>FG00966</v>
          </cell>
          <cell r="C4310" t="str">
            <v>DECAVITYL+M (MULTI.+FER+MINE.) B/30CAP</v>
          </cell>
        </row>
        <row r="4311">
          <cell r="B4311" t="str">
            <v>FG00967</v>
          </cell>
          <cell r="C4311" t="str">
            <v>DECODER (SET-TOP BOX)</v>
          </cell>
        </row>
        <row r="4312">
          <cell r="B4312" t="str">
            <v>FG00968</v>
          </cell>
          <cell r="C4312" t="str">
            <v>DECONTRACTYL 250CES 50DRAG (FR)</v>
          </cell>
        </row>
        <row r="4313">
          <cell r="B4313" t="str">
            <v>FG00969</v>
          </cell>
          <cell r="C4313" t="str">
            <v>DECONTRACTYL BAUME 80GR. (FR)</v>
          </cell>
        </row>
        <row r="4314">
          <cell r="B4314" t="str">
            <v>FG00970</v>
          </cell>
          <cell r="C4314" t="str">
            <v>DEFAL 30MG B/10CES (FR)</v>
          </cell>
        </row>
        <row r="4315">
          <cell r="B4315" t="str">
            <v>FG00971</v>
          </cell>
          <cell r="C4315" t="str">
            <v>DEFAL 6MG B/20CES (FR)</v>
          </cell>
        </row>
        <row r="4316">
          <cell r="B4316" t="str">
            <v>FG00972</v>
          </cell>
          <cell r="C4316" t="str">
            <v>DEICOL COLLYRE 5ML (FR)</v>
          </cell>
        </row>
        <row r="4317">
          <cell r="B4317" t="str">
            <v>FG00973</v>
          </cell>
          <cell r="C4317" t="str">
            <v>DELABACT SAVON 75GM</v>
          </cell>
        </row>
        <row r="4318">
          <cell r="B4318" t="str">
            <v>FG00974</v>
          </cell>
          <cell r="C4318" t="str">
            <v>DELABACTAM 1.5 MG INJ B/1AMP</v>
          </cell>
        </row>
        <row r="4319">
          <cell r="B4319" t="str">
            <v>FG00975</v>
          </cell>
          <cell r="C4319" t="str">
            <v>DELACEF 100MG B\10 CES</v>
          </cell>
        </row>
        <row r="4320">
          <cell r="B4320" t="str">
            <v>FG00976</v>
          </cell>
          <cell r="C4320" t="str">
            <v>DELACLIN 300 MG</v>
          </cell>
        </row>
        <row r="4321">
          <cell r="B4321" t="str">
            <v>FG00977</v>
          </cell>
          <cell r="C4321" t="str">
            <v>DELADROX 500MG B/10CAPS</v>
          </cell>
        </row>
        <row r="4322">
          <cell r="B4322" t="str">
            <v>FG00978</v>
          </cell>
          <cell r="C4322" t="str">
            <v>DELAFLOX &amp; ORD 60ML</v>
          </cell>
        </row>
        <row r="4323">
          <cell r="B4323" t="str">
            <v>FG00979</v>
          </cell>
          <cell r="C4323" t="str">
            <v>DELAFLOX - ORD 200 + 500 MG MG B/10 COMP</v>
          </cell>
        </row>
        <row r="4324">
          <cell r="B4324" t="str">
            <v>FG00980</v>
          </cell>
          <cell r="C4324" t="str">
            <v>DELAFLOX -200MG B/10 COMP</v>
          </cell>
        </row>
        <row r="4325">
          <cell r="B4325" t="str">
            <v>FG00981</v>
          </cell>
          <cell r="C4325" t="str">
            <v>DELARTE 80 +480 MG B\6 CES</v>
          </cell>
        </row>
        <row r="4326">
          <cell r="B4326" t="str">
            <v>FG00982</v>
          </cell>
          <cell r="C4326" t="str">
            <v>DELASUNATE IN 60MG B/AMP</v>
          </cell>
        </row>
        <row r="4327">
          <cell r="B4327" t="str">
            <v>FG00983</v>
          </cell>
          <cell r="C4327" t="str">
            <v>DELATAXIME 1GM B/1 AMP</v>
          </cell>
        </row>
        <row r="4328">
          <cell r="B4328" t="str">
            <v>FG00984</v>
          </cell>
          <cell r="C4328" t="str">
            <v>DELATZ 1125 INJ B/1AMP</v>
          </cell>
        </row>
        <row r="4329">
          <cell r="B4329" t="str">
            <v>FG00985</v>
          </cell>
          <cell r="C4329" t="str">
            <v>DELAZONE 1GM B/1AMP</v>
          </cell>
        </row>
        <row r="4330">
          <cell r="B4330" t="str">
            <v>FG00986</v>
          </cell>
          <cell r="C4330" t="str">
            <v>DELTABACT SOAP 75GM</v>
          </cell>
        </row>
        <row r="4331">
          <cell r="B4331" t="str">
            <v>FG00987</v>
          </cell>
          <cell r="C4331" t="str">
            <v>DELTAVAGIN B/5OVULES</v>
          </cell>
        </row>
        <row r="4332">
          <cell r="B4332" t="str">
            <v>FG00988</v>
          </cell>
          <cell r="C4332" t="str">
            <v>DENK AIR JUNIOR 4MG B/28CES (FR)</v>
          </cell>
        </row>
        <row r="4333">
          <cell r="B4333" t="str">
            <v>FG00989</v>
          </cell>
          <cell r="C4333" t="str">
            <v>DENK AIR JUNIOR 5MG B/28 CES (FR)</v>
          </cell>
        </row>
        <row r="4334">
          <cell r="B4334" t="str">
            <v>FG00990</v>
          </cell>
          <cell r="C4334" t="str">
            <v>DENK-AIR JUNIOR @@ 4MG@@ B/28 CES (FR)</v>
          </cell>
        </row>
        <row r="4335">
          <cell r="B4335" t="str">
            <v>FG00991</v>
          </cell>
          <cell r="C4335" t="str">
            <v>DEPAKINE 200MG 40CAPS(FR)</v>
          </cell>
        </row>
        <row r="4336">
          <cell r="B4336" t="str">
            <v>FG00992</v>
          </cell>
          <cell r="C4336" t="str">
            <v>DEPAKINE 500MG 40CES (FR)</v>
          </cell>
        </row>
        <row r="4337">
          <cell r="B4337" t="str">
            <v>FG00993</v>
          </cell>
          <cell r="C4337" t="str">
            <v>DEPAKINE CHRONO 500MG 30CES (FR)</v>
          </cell>
        </row>
        <row r="4338">
          <cell r="B4338" t="str">
            <v>FG00994</v>
          </cell>
          <cell r="C4338" t="str">
            <v>DEPAKINE GOUTTE 40ML (FR)</v>
          </cell>
        </row>
        <row r="4339">
          <cell r="B4339" t="str">
            <v>FG00995</v>
          </cell>
          <cell r="C4339" t="str">
            <v>DEPAKINE SIROP 150ML (FR)</v>
          </cell>
        </row>
        <row r="4340">
          <cell r="B4340" t="str">
            <v>FG00996</v>
          </cell>
          <cell r="C4340" t="str">
            <v>DEPAMAG (VALPROATE DE SODIUM BP ) SIROP 150 ML</v>
          </cell>
        </row>
        <row r="4341">
          <cell r="B4341" t="str">
            <v>FG00997</v>
          </cell>
          <cell r="C4341" t="str">
            <v>DEPAMAG SR ( DEPAKINE ) 500 10 X 10 CES</v>
          </cell>
        </row>
        <row r="4342">
          <cell r="B4342" t="str">
            <v>FG00998</v>
          </cell>
          <cell r="C4342" t="str">
            <v>DEPO MEDROL 80MG/2ML INJ B/1AMP (EO)</v>
          </cell>
        </row>
        <row r="4343">
          <cell r="B4343" t="str">
            <v>FG00999</v>
          </cell>
          <cell r="C4343" t="str">
            <v>DERLLETRE A BILLE 15ML</v>
          </cell>
        </row>
        <row r="4344">
          <cell r="B4344" t="str">
            <v>FG01000</v>
          </cell>
          <cell r="C4344" t="str">
            <v>DERMACIDAL (ANTISEPSIE) SOLUTION 125ML</v>
          </cell>
        </row>
        <row r="4345">
          <cell r="B4345" t="str">
            <v>FG01001</v>
          </cell>
          <cell r="C4345" t="str">
            <v>DERMATOL POUDRE 50G</v>
          </cell>
        </row>
        <row r="4346">
          <cell r="B4346" t="str">
            <v>FG01002</v>
          </cell>
          <cell r="C4346" t="str">
            <v>DERMERY SOLUTION 2% 30ML</v>
          </cell>
        </row>
        <row r="4347">
          <cell r="B4347" t="str">
            <v>FG01003</v>
          </cell>
          <cell r="C4347" t="str">
            <v>DERMERY SOLUTION 4% 30ML</v>
          </cell>
        </row>
        <row r="4348">
          <cell r="B4348" t="str">
            <v>FG01004</v>
          </cell>
          <cell r="C4348" t="str">
            <v>DERMOBACTER SOL. GF. 300ML</v>
          </cell>
        </row>
        <row r="4349">
          <cell r="B4349" t="str">
            <v>FG01005</v>
          </cell>
          <cell r="C4349" t="str">
            <v>DERMOBIS LOTION 0.1% 30ML</v>
          </cell>
        </row>
        <row r="4350">
          <cell r="B4350" t="str">
            <v>FG01006</v>
          </cell>
          <cell r="C4350" t="str">
            <v>DERMOBIS LOTION 0.025% 30ML</v>
          </cell>
        </row>
        <row r="4351">
          <cell r="B4351" t="str">
            <v>FG01007</v>
          </cell>
          <cell r="C4351" t="str">
            <v>DERMOBIS LOTION 0.05% 30ML</v>
          </cell>
        </row>
        <row r="4352">
          <cell r="B4352" t="str">
            <v>FG01008</v>
          </cell>
          <cell r="C4352" t="str">
            <v>DERMOGERME SOLUTION</v>
          </cell>
        </row>
        <row r="4353">
          <cell r="B4353" t="str">
            <v>FG01009</v>
          </cell>
          <cell r="C4353" t="str">
            <v>DERMOTYL LOTION 15ML</v>
          </cell>
        </row>
        <row r="4354">
          <cell r="B4354" t="str">
            <v>FG01010</v>
          </cell>
          <cell r="C4354" t="str">
            <v>DERMOTYL LOTION 30ML</v>
          </cell>
        </row>
        <row r="4355">
          <cell r="B4355" t="str">
            <v>FG01011</v>
          </cell>
          <cell r="C4355" t="str">
            <v>DERMOTYLE CREAM 10GR</v>
          </cell>
        </row>
        <row r="4356">
          <cell r="B4356" t="str">
            <v>FG01012</v>
          </cell>
          <cell r="C4356" t="str">
            <v>DERMOTYLE CREAM 15GR</v>
          </cell>
        </row>
        <row r="4357">
          <cell r="B4357" t="str">
            <v>FG01013</v>
          </cell>
          <cell r="C4357" t="str">
            <v>DERMOTYLE CREAM 30GR</v>
          </cell>
        </row>
        <row r="4358">
          <cell r="B4358" t="str">
            <v>FG01014</v>
          </cell>
          <cell r="C4358" t="str">
            <v>DESARROL SIROP 200ML</v>
          </cell>
        </row>
        <row r="4359">
          <cell r="B4359" t="str">
            <v>FG01015</v>
          </cell>
          <cell r="C4359" t="str">
            <v>DESKTOP HP COMPUTER</v>
          </cell>
        </row>
        <row r="4360">
          <cell r="B4360" t="str">
            <v>FG01016</v>
          </cell>
          <cell r="C4360" t="str">
            <v>DESLORA 2.5MG/5ML (DESLORATADINE) SIROP 60ML</v>
          </cell>
        </row>
        <row r="4361">
          <cell r="B4361" t="str">
            <v>FG01017</v>
          </cell>
          <cell r="C4361" t="str">
            <v>DESLORA-5MG (DESLORATADINE) B/10CES</v>
          </cell>
        </row>
        <row r="4362">
          <cell r="B4362" t="str">
            <v>FG01018</v>
          </cell>
          <cell r="C4362" t="str">
            <v>DESLORATADINE BIOGARAN 5MG B/30 GELS</v>
          </cell>
        </row>
        <row r="4363">
          <cell r="B4363" t="str">
            <v>FG01019</v>
          </cell>
          <cell r="C4363" t="str">
            <v>DETOL LIQUID 1000ML</v>
          </cell>
        </row>
        <row r="4364">
          <cell r="B4364" t="str">
            <v>FG01020</v>
          </cell>
          <cell r="C4364" t="str">
            <v>DETOL LIQUID 500ML</v>
          </cell>
        </row>
        <row r="4365">
          <cell r="B4365" t="str">
            <v>FG01021</v>
          </cell>
          <cell r="C4365" t="str">
            <v>DETTOL 125ML LIQUID</v>
          </cell>
        </row>
        <row r="4366">
          <cell r="B4366" t="str">
            <v>FG01022</v>
          </cell>
          <cell r="C4366" t="str">
            <v>DETTOL LIQUID 50ML</v>
          </cell>
        </row>
        <row r="4367">
          <cell r="B4367" t="str">
            <v>FG01023</v>
          </cell>
          <cell r="C4367" t="str">
            <v>DETTOL SAVON 60G HARBAL</v>
          </cell>
        </row>
        <row r="4368">
          <cell r="B4368" t="str">
            <v>FG01024</v>
          </cell>
          <cell r="C4368" t="str">
            <v>DETTOL SAVON ORIGINAL &amp;&amp;&amp; 90GR &amp;&amp;&amp;</v>
          </cell>
        </row>
        <row r="4369">
          <cell r="B4369" t="str">
            <v>FG01025</v>
          </cell>
          <cell r="C4369" t="str">
            <v>DETTOL SAVON ORIGINAL **** 175GR*****</v>
          </cell>
        </row>
        <row r="4370">
          <cell r="B4370" t="str">
            <v>FG01026</v>
          </cell>
          <cell r="C4370" t="str">
            <v>DETTOL SAVON ORIGINAL @@ 60GM @@</v>
          </cell>
        </row>
        <row r="4371">
          <cell r="B4371" t="str">
            <v>FG01027</v>
          </cell>
          <cell r="C4371" t="str">
            <v>DEXA-RHINOSPRAY DOSEUR FL/10ML (FR)</v>
          </cell>
        </row>
        <row r="4372">
          <cell r="B4372" t="str">
            <v>FG01028</v>
          </cell>
          <cell r="C4372" t="str">
            <v>DEXACORT B/10X10CES</v>
          </cell>
        </row>
        <row r="4373">
          <cell r="B4373" t="str">
            <v>FG01029</v>
          </cell>
          <cell r="C4373" t="str">
            <v>DEXAGOL 10 X 10 CES</v>
          </cell>
        </row>
        <row r="4374">
          <cell r="B4374" t="str">
            <v>FG01030</v>
          </cell>
          <cell r="C4374" t="str">
            <v>DEXAKORT (DEXAMETHSONE) BLUE AMBALA. B/10X10CES</v>
          </cell>
        </row>
        <row r="4375">
          <cell r="B4375" t="str">
            <v>FG01031</v>
          </cell>
          <cell r="C4375" t="str">
            <v>DEXAMETHAZONE 10X10CES(LOCAL)</v>
          </cell>
        </row>
        <row r="4376">
          <cell r="B4376" t="str">
            <v>FG01032</v>
          </cell>
          <cell r="C4376" t="str">
            <v>DEXAMETHZONE COLLYRE (GENERIQUE)</v>
          </cell>
        </row>
        <row r="4377">
          <cell r="B4377" t="str">
            <v>FG01033</v>
          </cell>
          <cell r="C4377" t="str">
            <v>DEXAMEX (DEXAMETHSONE) B/10X10CES</v>
          </cell>
        </row>
        <row r="4378">
          <cell r="B4378" t="str">
            <v>FG01034</v>
          </cell>
          <cell r="C4378" t="str">
            <v>DEXAN COLLYRE</v>
          </cell>
        </row>
        <row r="4379">
          <cell r="B4379" t="str">
            <v>FG01035</v>
          </cell>
          <cell r="C4379" t="str">
            <v>DEXAQUINE POMMADE</v>
          </cell>
        </row>
        <row r="4380">
          <cell r="B4380" t="str">
            <v>FG01036</v>
          </cell>
          <cell r="C4380" t="str">
            <v>DEXAROSE B/10 X 10 CES</v>
          </cell>
        </row>
        <row r="4381">
          <cell r="B4381" t="str">
            <v>FG01037</v>
          </cell>
          <cell r="C4381" t="str">
            <v>DEXASONE COLLYRE (CADILA)</v>
          </cell>
        </row>
        <row r="4382">
          <cell r="B4382" t="str">
            <v>FG01038</v>
          </cell>
          <cell r="C4382" t="str">
            <v>DEXERY CREME 250GR-(FR)</v>
          </cell>
        </row>
        <row r="4383">
          <cell r="B4383" t="str">
            <v>FG01039</v>
          </cell>
          <cell r="C4383" t="str">
            <v>DEXIBU (DEXIBUPROFEN ) SUSPENSION 60ML</v>
          </cell>
        </row>
        <row r="4384">
          <cell r="B4384" t="str">
            <v>FG01040</v>
          </cell>
          <cell r="C4384" t="str">
            <v>DEXOL (ANTIGRIPPALES) B/10 CAPSULES</v>
          </cell>
        </row>
        <row r="4385">
          <cell r="B4385" t="str">
            <v>FG01041</v>
          </cell>
          <cell r="C4385" t="str">
            <v>DEXOL (CONTRE LA GRIPPE) SUSP.FL/ 100ML</v>
          </cell>
        </row>
        <row r="4386">
          <cell r="B4386" t="str">
            <v>FG01042</v>
          </cell>
          <cell r="C4386" t="str">
            <v>DEXORANGE SUSP 200ML</v>
          </cell>
        </row>
        <row r="4387">
          <cell r="B4387" t="str">
            <v>FG01043</v>
          </cell>
          <cell r="C4387" t="str">
            <v>DIAFORMINE 1000MG B/30 CES</v>
          </cell>
        </row>
        <row r="4388">
          <cell r="B4388" t="str">
            <v>FG01045</v>
          </cell>
          <cell r="C4388" t="str">
            <v>DIAMICRON 60MG B/30 CES (FR)</v>
          </cell>
        </row>
        <row r="4389">
          <cell r="B4389" t="str">
            <v>FG01046</v>
          </cell>
          <cell r="C4389" t="str">
            <v>DIAMOX 250MG B/25 &amp; 24 CES (FR)</v>
          </cell>
        </row>
        <row r="4390">
          <cell r="B4390" t="str">
            <v>FG01047</v>
          </cell>
          <cell r="C4390" t="str">
            <v>DIARTEM IG 120MG/960MG B/3 CES</v>
          </cell>
        </row>
        <row r="4391">
          <cell r="B4391" t="str">
            <v>FG01048</v>
          </cell>
          <cell r="C4391" t="str">
            <v>DIARTEM IG 40MG/320MG B/12 CES</v>
          </cell>
        </row>
        <row r="4392">
          <cell r="B4392" t="str">
            <v>FG01049</v>
          </cell>
          <cell r="C4392" t="str">
            <v>DIARYL 200MG SUSP 60ML</v>
          </cell>
        </row>
        <row r="4393">
          <cell r="B4393" t="str">
            <v>FG01050</v>
          </cell>
          <cell r="C4393" t="str">
            <v>DIAZAPAM 10 MG 25X10 CES</v>
          </cell>
        </row>
        <row r="4394">
          <cell r="B4394" t="str">
            <v>FG01051</v>
          </cell>
          <cell r="C4394" t="str">
            <v>DIAZEPAM 10MG 10X10CES</v>
          </cell>
        </row>
        <row r="4395">
          <cell r="B4395" t="str">
            <v>FG01052</v>
          </cell>
          <cell r="C4395" t="str">
            <v>DIAZOSTIMUL B/30CES****</v>
          </cell>
        </row>
        <row r="4396">
          <cell r="B4396" t="str">
            <v>FG01053</v>
          </cell>
          <cell r="C4396" t="str">
            <v>DICLO DENK 100MG B/10SUPPOS (EO)</v>
          </cell>
        </row>
        <row r="4397">
          <cell r="B4397" t="str">
            <v>FG01054</v>
          </cell>
          <cell r="C4397" t="str">
            <v>DICLO DENK 100MG RETARD B/(10)CES</v>
          </cell>
        </row>
        <row r="4398">
          <cell r="B4398" t="str">
            <v>FG01055</v>
          </cell>
          <cell r="C4398" t="str">
            <v>DICLO DENK 50MG 20CES</v>
          </cell>
        </row>
        <row r="4399">
          <cell r="B4399" t="str">
            <v>FG01056</v>
          </cell>
          <cell r="C4399" t="str">
            <v>DICLO DENK 75MG B/10AMP</v>
          </cell>
        </row>
        <row r="4400">
          <cell r="B4400" t="str">
            <v>FG01057</v>
          </cell>
          <cell r="C4400" t="str">
            <v>DICLOFEN FORT 20CES</v>
          </cell>
        </row>
        <row r="4401">
          <cell r="B4401" t="str">
            <v>FG01058</v>
          </cell>
          <cell r="C4401" t="str">
            <v>DICLOFENAC (MODIC) 50MG B/ 10 X 10 CES</v>
          </cell>
        </row>
        <row r="4402">
          <cell r="B4402" t="str">
            <v>FG01059</v>
          </cell>
          <cell r="C4402" t="str">
            <v>DICLOFENAC COLLYRE 10ML (GENERIC)</v>
          </cell>
        </row>
        <row r="4403">
          <cell r="B4403" t="str">
            <v>FG01060</v>
          </cell>
          <cell r="C4403" t="str">
            <v>DICLOGENTA COLLYRE(MAGEN PLUS)</v>
          </cell>
        </row>
        <row r="4404">
          <cell r="B4404" t="str">
            <v>FG01061</v>
          </cell>
          <cell r="C4404" t="str">
            <v>DICLOMAX (DICLOFENAC)75MG NO 20CES</v>
          </cell>
        </row>
        <row r="4405">
          <cell r="B4405" t="str">
            <v>FG01062</v>
          </cell>
          <cell r="C4405" t="str">
            <v>DICLON (DICLOFENAC 50MG) 10X10 CES</v>
          </cell>
        </row>
        <row r="4406">
          <cell r="B4406" t="str">
            <v>FG01063</v>
          </cell>
          <cell r="C4406" t="str">
            <v>DICLON 100MG B/10</v>
          </cell>
        </row>
        <row r="4407">
          <cell r="B4407" t="str">
            <v>FG01064</v>
          </cell>
          <cell r="C4407" t="str">
            <v>DICLOWAL 100MG 10SUPPO (FR)</v>
          </cell>
        </row>
        <row r="4408">
          <cell r="B4408" t="str">
            <v>FG01065</v>
          </cell>
          <cell r="C4408" t="str">
            <v>DICMOL FORTE (PARA &amp; DICLO) 400MG B/20 CES</v>
          </cell>
        </row>
        <row r="4409">
          <cell r="B4409" t="str">
            <v>FG01066</v>
          </cell>
          <cell r="C4409" t="str">
            <v>DICQUE (DICLOFENAC ) COLLYRE 10ML</v>
          </cell>
        </row>
        <row r="4410">
          <cell r="B4410" t="str">
            <v>FG01067</v>
          </cell>
          <cell r="C4410" t="str">
            <v>DICYNON 500MG 20CES.(FR)</v>
          </cell>
        </row>
        <row r="4411">
          <cell r="B4411" t="str">
            <v>FG01068</v>
          </cell>
          <cell r="C4411" t="str">
            <v>DICYNONE 250MG B/4AMP (F.R.)</v>
          </cell>
        </row>
        <row r="4412">
          <cell r="B4412" t="str">
            <v>FG01069</v>
          </cell>
          <cell r="C4412" t="str">
            <v>DIFEN FORTE B/20CES</v>
          </cell>
        </row>
        <row r="4413">
          <cell r="B4413" t="str">
            <v>FG01070</v>
          </cell>
          <cell r="C4413" t="str">
            <v>DIFFU-K B/40CES (EO)</v>
          </cell>
        </row>
        <row r="4414">
          <cell r="B4414" t="str">
            <v>FG01071</v>
          </cell>
          <cell r="C4414" t="str">
            <v>DIFLOMIDE (INDAPAMIDE) 1.5MG LP B/30CES</v>
          </cell>
        </row>
        <row r="4415">
          <cell r="B4415" t="str">
            <v>FG01072</v>
          </cell>
          <cell r="C4415" t="str">
            <v>DIGEST BT/15SACHET DE 15ML</v>
          </cell>
        </row>
        <row r="4416">
          <cell r="B4416" t="str">
            <v>FG01073</v>
          </cell>
          <cell r="C4416" t="str">
            <v>DIGEST SUSPENSION 200ML</v>
          </cell>
        </row>
        <row r="4417">
          <cell r="B4417" t="str">
            <v>FG01074</v>
          </cell>
          <cell r="C4417" t="str">
            <v>DIGESTINE PLS DE 10CES</v>
          </cell>
        </row>
        <row r="4418">
          <cell r="B4418" t="str">
            <v>FG01075</v>
          </cell>
          <cell r="C4418" t="str">
            <v>DIGOXINE 0.5MG B/10AMP</v>
          </cell>
        </row>
        <row r="4419">
          <cell r="B4419" t="str">
            <v>FG01076</v>
          </cell>
          <cell r="C4419" t="str">
            <v>DIGOXINE NATIVELLE CES B/30 (FR)</v>
          </cell>
        </row>
        <row r="4420">
          <cell r="B4420" t="str">
            <v>FG01077</v>
          </cell>
          <cell r="C4420" t="str">
            <v>DIMAGEL SIROP 200ML</v>
          </cell>
        </row>
        <row r="4421">
          <cell r="B4421" t="str">
            <v>FG01078</v>
          </cell>
          <cell r="C4421" t="str">
            <v>DINING TABLE</v>
          </cell>
        </row>
        <row r="4422">
          <cell r="B4422" t="str">
            <v>FG01079</v>
          </cell>
          <cell r="C4422" t="str">
            <v>DIORAL (S.R.O.) 22.5GR B/10SACHETS</v>
          </cell>
        </row>
        <row r="4423">
          <cell r="B4423" t="str">
            <v>FG01080</v>
          </cell>
          <cell r="C4423" t="str">
            <v>DIPERAKINE BOITE DE 8CES</v>
          </cell>
        </row>
        <row r="4424">
          <cell r="B4424" t="str">
            <v>FG01081</v>
          </cell>
          <cell r="C4424" t="str">
            <v>DIPERAKINE SUSPEN 60ML</v>
          </cell>
        </row>
        <row r="4425">
          <cell r="B4425" t="str">
            <v>FG01082</v>
          </cell>
          <cell r="C4425" t="str">
            <v>DIPHENAC FORTE B/20CES</v>
          </cell>
        </row>
        <row r="4426">
          <cell r="B4426" t="str">
            <v>FG01083</v>
          </cell>
          <cell r="C4426" t="str">
            <v>DIPHENAC GEL</v>
          </cell>
        </row>
        <row r="4427">
          <cell r="B4427" t="str">
            <v>FG01084</v>
          </cell>
          <cell r="C4427" t="str">
            <v>DIPIFER (HAEMATINIC) 1 X 5 ML B/1 AMP</v>
          </cell>
        </row>
        <row r="4428">
          <cell r="B4428" t="str">
            <v>FG01085</v>
          </cell>
          <cell r="C4428" t="str">
            <v>DIPIFER (HAEMATINIC) 200 ML SP</v>
          </cell>
        </row>
        <row r="4429">
          <cell r="B4429" t="str">
            <v>FG01086</v>
          </cell>
          <cell r="C4429" t="str">
            <v>DIPIFER (HAEMATINIC) B/3 X 10 CES</v>
          </cell>
        </row>
        <row r="4430">
          <cell r="B4430" t="str">
            <v>FG01087</v>
          </cell>
          <cell r="C4430" t="str">
            <v>DIPROSALIC PDE 30GR (FR)</v>
          </cell>
        </row>
        <row r="4431">
          <cell r="B4431" t="str">
            <v>FG01088</v>
          </cell>
          <cell r="C4431" t="str">
            <v>DIPROSONE CREME GM 30GR</v>
          </cell>
        </row>
        <row r="4432">
          <cell r="B4432" t="str">
            <v>FG01089</v>
          </cell>
          <cell r="C4432" t="str">
            <v>DIPROSONE CREME PM 15GR</v>
          </cell>
        </row>
        <row r="4433">
          <cell r="B4433" t="str">
            <v>FG01090</v>
          </cell>
          <cell r="C4433" t="str">
            <v>DIPROSONE LOTION 30ML</v>
          </cell>
        </row>
        <row r="4434">
          <cell r="B4434" t="str">
            <v>FG01091</v>
          </cell>
          <cell r="C4434" t="str">
            <v>DIPYRONE GOUTTE 15ML</v>
          </cell>
        </row>
        <row r="4435">
          <cell r="B4435" t="str">
            <v>FG01092</v>
          </cell>
          <cell r="C4435" t="str">
            <v>DIRECT LDL-CHOLESTEROL 80 ML</v>
          </cell>
        </row>
        <row r="4436">
          <cell r="B4436" t="str">
            <v>FG01093</v>
          </cell>
          <cell r="C4436" t="str">
            <v>DISLEP 25MG 6AMP INJ</v>
          </cell>
        </row>
        <row r="4437">
          <cell r="B4437" t="str">
            <v>FG01094</v>
          </cell>
          <cell r="C4437" t="str">
            <v>DISPAIN - P (1X10 CES)</v>
          </cell>
        </row>
        <row r="4438">
          <cell r="B4438" t="str">
            <v>FG01095</v>
          </cell>
          <cell r="C4438" t="str">
            <v>DISPAIN 25MG (1X10 CES)</v>
          </cell>
        </row>
        <row r="4439">
          <cell r="B4439" t="str">
            <v>FG01096</v>
          </cell>
          <cell r="C4439" t="str">
            <v>DISTEM B/50CES (FR)</v>
          </cell>
        </row>
        <row r="4440">
          <cell r="B4440" t="str">
            <v>FG01097</v>
          </cell>
          <cell r="C4440" t="str">
            <v>DITROPAN 5MG B/30CES</v>
          </cell>
        </row>
        <row r="4441">
          <cell r="B4441" t="str">
            <v>FG01098</v>
          </cell>
          <cell r="C4441" t="str">
            <v>DOBUCURE 50MG/5ML (DOBUTAMINE) INJ. 1 AMP</v>
          </cell>
        </row>
        <row r="4442">
          <cell r="B4442" t="str">
            <v>FG01099</v>
          </cell>
          <cell r="C4442" t="str">
            <v>DOCID (ANTI-ACIDE) SIROP 120ML</v>
          </cell>
        </row>
        <row r="4443">
          <cell r="B4443" t="str">
            <v>FG01100</v>
          </cell>
          <cell r="C4443" t="str">
            <v>DOCID SACHET 15ML</v>
          </cell>
        </row>
        <row r="4444">
          <cell r="B4444" t="str">
            <v>FG01101</v>
          </cell>
          <cell r="C4444" t="str">
            <v>DOGMATIL 50MG 30 GELULES (FR)</v>
          </cell>
        </row>
        <row r="4445">
          <cell r="B4445" t="str">
            <v>FG01102</v>
          </cell>
          <cell r="C4445" t="str">
            <v>DOGMATIL FORT 200MG B/12CES (GR)</v>
          </cell>
        </row>
        <row r="4446">
          <cell r="B4446" t="str">
            <v>FG01103</v>
          </cell>
          <cell r="C4446" t="str">
            <v>DOLA AQUA (DICLOFENAC 75MG) B/5 AMP</v>
          </cell>
        </row>
        <row r="4447">
          <cell r="B4447" t="str">
            <v>FG01104</v>
          </cell>
          <cell r="C4447" t="str">
            <v>DOLA CR 10CAPS</v>
          </cell>
        </row>
        <row r="4448">
          <cell r="B4448" t="str">
            <v>FG01105</v>
          </cell>
          <cell r="C4448" t="str">
            <v>DOLA GEL PLUS 30GM</v>
          </cell>
        </row>
        <row r="4449">
          <cell r="B4449" t="str">
            <v>FG01106</v>
          </cell>
          <cell r="C4449" t="str">
            <v>DOLAC 30 (KETOROLAC THOMETHAMINE) B/10AMP</v>
          </cell>
        </row>
        <row r="4450">
          <cell r="B4450" t="str">
            <v>FG01107</v>
          </cell>
          <cell r="C4450" t="str">
            <v>DOLADOL FORTE B/20 CES</v>
          </cell>
        </row>
        <row r="4451">
          <cell r="B4451" t="str">
            <v>FG01108</v>
          </cell>
          <cell r="C4451" t="str">
            <v>DOLADOL (DIC.+PARA.) B/10X10CES</v>
          </cell>
        </row>
        <row r="4452">
          <cell r="B4452" t="str">
            <v>FG01109</v>
          </cell>
          <cell r="C4452" t="str">
            <v>DOLADOL GEL CREME 30GR</v>
          </cell>
        </row>
        <row r="4453">
          <cell r="B4453" t="str">
            <v>FG01110</v>
          </cell>
          <cell r="C4453" t="str">
            <v>DOLADOL PLUS B/10X10CES</v>
          </cell>
        </row>
        <row r="4454">
          <cell r="B4454" t="str">
            <v>FG01111</v>
          </cell>
          <cell r="C4454" t="str">
            <v>DOLADOL SPRAY</v>
          </cell>
        </row>
        <row r="4455">
          <cell r="B4455" t="str">
            <v>FG01112</v>
          </cell>
          <cell r="C4455" t="str">
            <v>DOLAMOL FORTE 2X10CES</v>
          </cell>
        </row>
        <row r="4456">
          <cell r="B4456" t="str">
            <v>FG01113</v>
          </cell>
          <cell r="C4456" t="str">
            <v>DOLAREN (DICLO.+PARA.) B/10X10CES</v>
          </cell>
        </row>
        <row r="4457">
          <cell r="B4457" t="str">
            <v>FG01114</v>
          </cell>
          <cell r="C4457" t="str">
            <v>DOLAREN GEL 30GR CREME</v>
          </cell>
        </row>
        <row r="4458">
          <cell r="B4458" t="str">
            <v>FG01115</v>
          </cell>
          <cell r="C4458" t="str">
            <v>DOLAREN GEL PLUS CREME 30GR</v>
          </cell>
        </row>
        <row r="4459">
          <cell r="B4459" t="str">
            <v>FG01116</v>
          </cell>
          <cell r="C4459" t="str">
            <v>DOLAREN PLUS B/10 CES</v>
          </cell>
        </row>
        <row r="4460">
          <cell r="B4460" t="str">
            <v>FG01117</v>
          </cell>
          <cell r="C4460" t="str">
            <v>DOLAREN PLUS SPRAY</v>
          </cell>
        </row>
        <row r="4461">
          <cell r="B4461" t="str">
            <v>FG01118</v>
          </cell>
          <cell r="C4461" t="str">
            <v>DOLEX (DICLO+PARA) B/10CES</v>
          </cell>
        </row>
        <row r="4462">
          <cell r="B4462" t="str">
            <v>FG01119</v>
          </cell>
          <cell r="C4462" t="str">
            <v>DOLEX PLUS (DICLO+PARA+CHLORZOXAZONE) B/10CES</v>
          </cell>
        </row>
        <row r="4463">
          <cell r="B4463" t="str">
            <v>FG01120</v>
          </cell>
          <cell r="C4463" t="str">
            <v>DOLEX PLUS SPRAY 70ML</v>
          </cell>
        </row>
        <row r="4464">
          <cell r="B4464" t="str">
            <v>FG01121</v>
          </cell>
          <cell r="C4464" t="str">
            <v>DOLIMEX (PARACETAMOL) EFF 500MG CES</v>
          </cell>
        </row>
        <row r="4465">
          <cell r="B4465" t="str">
            <v>FG01122</v>
          </cell>
          <cell r="C4465" t="str">
            <v>DOLIMEX (PARACETAMOL) IV 100ML</v>
          </cell>
        </row>
        <row r="4466">
          <cell r="B4466" t="str">
            <v>FG01123</v>
          </cell>
          <cell r="C4466" t="str">
            <v>DOLIMEX 1G EFF CES</v>
          </cell>
        </row>
        <row r="4467">
          <cell r="B4467" t="str">
            <v>FG01124</v>
          </cell>
          <cell r="C4467" t="str">
            <v>DOLIPRANE *****VIT C 16CES****** EFF (FR)</v>
          </cell>
        </row>
        <row r="4468">
          <cell r="B4468" t="str">
            <v>FG01125</v>
          </cell>
          <cell r="C4468" t="str">
            <v>DOLIPRANE 100MG B/10SUPP0 BB/NORR. (FR)</v>
          </cell>
        </row>
        <row r="4469">
          <cell r="B4469" t="str">
            <v>FG01126</v>
          </cell>
          <cell r="C4469" t="str">
            <v>DOLIPRANE 1GR 8CES SEC.(EO)</v>
          </cell>
        </row>
        <row r="4470">
          <cell r="B4470" t="str">
            <v>FG01127</v>
          </cell>
          <cell r="C4470" t="str">
            <v>DOLIPRANE 1GR 8CES EFF (FR)</v>
          </cell>
        </row>
        <row r="4471">
          <cell r="B4471" t="str">
            <v>FG01128</v>
          </cell>
          <cell r="C4471" t="str">
            <v>DOLIPRANE 300MG 12SUPPOS (FR)</v>
          </cell>
        </row>
        <row r="4472">
          <cell r="B4472" t="str">
            <v>FG01129</v>
          </cell>
          <cell r="C4472" t="str">
            <v>DOLIPRANE 500MG 16CES EFF (FR)</v>
          </cell>
        </row>
        <row r="4473">
          <cell r="B4473" t="str">
            <v>FG01130</v>
          </cell>
          <cell r="C4473" t="str">
            <v>DOLIPRANE SUSP. 100ML 2.4%</v>
          </cell>
        </row>
        <row r="4474">
          <cell r="B4474" t="str">
            <v>FG01131</v>
          </cell>
          <cell r="C4474" t="str">
            <v>DOLIPREX 500MG 8 SACHET (FR)</v>
          </cell>
        </row>
        <row r="4475">
          <cell r="B4475" t="str">
            <v>FG01132</v>
          </cell>
          <cell r="C4475" t="str">
            <v>DOLOCALM TUBE 30GR.</v>
          </cell>
        </row>
        <row r="4476">
          <cell r="B4476" t="str">
            <v>FG01133</v>
          </cell>
          <cell r="C4476" t="str">
            <v>DOLOCID 10 SUPPOS 100MG</v>
          </cell>
        </row>
        <row r="4477">
          <cell r="B4477" t="str">
            <v>FG01134</v>
          </cell>
          <cell r="C4477" t="str">
            <v>DOLOFENID SUPPO B/12</v>
          </cell>
        </row>
        <row r="4478">
          <cell r="B4478" t="str">
            <v>FG01135</v>
          </cell>
          <cell r="C4478" t="str">
            <v>DOLOFORTE DENK (TRAMA+PARA) B/20CES (FR)</v>
          </cell>
        </row>
        <row r="4479">
          <cell r="B4479" t="str">
            <v>FG01136</v>
          </cell>
          <cell r="C4479" t="str">
            <v>DOLOMED 35GR POT</v>
          </cell>
        </row>
        <row r="4480">
          <cell r="B4480" t="str">
            <v>FG01137</v>
          </cell>
          <cell r="C4480" t="str">
            <v>DOLOMED CREME 40GR</v>
          </cell>
        </row>
        <row r="4481">
          <cell r="B4481" t="str">
            <v>FG01138</v>
          </cell>
          <cell r="C4481" t="str">
            <v>DOLOWIN-SR(ACECLOFENAC) 200MG B/30CES</v>
          </cell>
        </row>
        <row r="4482">
          <cell r="B4482" t="str">
            <v>FG01139</v>
          </cell>
          <cell r="C4482" t="str">
            <v>DORZOLA PLUS-VISION (DORZOLA.+TIMOLOL) CY 5ML</v>
          </cell>
        </row>
        <row r="4483">
          <cell r="B4483" t="str">
            <v>FG01140</v>
          </cell>
          <cell r="C4483" t="str">
            <v>DORZOLA-VISION (DORZOLAMIDE) COLLYRE 5ML</v>
          </cell>
        </row>
        <row r="4484">
          <cell r="B4484" t="str">
            <v>FG01141</v>
          </cell>
          <cell r="C4484" t="str">
            <v>DOULBOM CREME 30GR</v>
          </cell>
        </row>
        <row r="4485">
          <cell r="B4485" t="str">
            <v>FG01142</v>
          </cell>
          <cell r="C4485" t="str">
            <v>DOULER CR CAPSULES B/10 CES</v>
          </cell>
        </row>
        <row r="4486">
          <cell r="B4486" t="str">
            <v>FG01143</v>
          </cell>
          <cell r="C4486" t="str">
            <v>DOULFIN B/20CES</v>
          </cell>
        </row>
        <row r="4487">
          <cell r="B4487" t="str">
            <v>FG01144</v>
          </cell>
          <cell r="C4487" t="str">
            <v>DOULFIN B/5AMPS</v>
          </cell>
        </row>
        <row r="4488">
          <cell r="B4488" t="str">
            <v>FG01145</v>
          </cell>
          <cell r="C4488" t="str">
            <v>DOVERIN - 40MG (1X10 CES)</v>
          </cell>
        </row>
        <row r="4489">
          <cell r="B4489" t="str">
            <v>FG01146</v>
          </cell>
          <cell r="C4489" t="str">
            <v>DOVERIN - M (1X10 CES)</v>
          </cell>
        </row>
        <row r="4490">
          <cell r="B4490" t="str">
            <v>FG01147</v>
          </cell>
          <cell r="C4490" t="str">
            <v>DOXAZOSIN 4MG TAB B/28 CES</v>
          </cell>
        </row>
        <row r="4491">
          <cell r="B4491" t="str">
            <v>FG01148</v>
          </cell>
          <cell r="C4491" t="str">
            <v>DOXY DENK 100MG 20CES</v>
          </cell>
        </row>
        <row r="4492">
          <cell r="B4492" t="str">
            <v>FG01149</v>
          </cell>
          <cell r="C4492" t="str">
            <v>DOZAR 4.5MG</v>
          </cell>
        </row>
        <row r="4493">
          <cell r="B4493" t="str">
            <v>FG01150</v>
          </cell>
          <cell r="C4493" t="str">
            <v>DOZAR2.25MG ((PIPERA.+TAZOBAC) 10ML B/1 AMP</v>
          </cell>
        </row>
        <row r="4494">
          <cell r="B4494" t="str">
            <v>FG01151</v>
          </cell>
          <cell r="C4494" t="str">
            <v>DPTR-10 (ATORVASTAINE) 10 MG B/30CES</v>
          </cell>
        </row>
        <row r="4495">
          <cell r="B4495" t="str">
            <v>FG01152</v>
          </cell>
          <cell r="C4495" t="str">
            <v>DPTR-20 (ATORVASTAINE) 20 MG B/30CES</v>
          </cell>
        </row>
        <row r="4496">
          <cell r="B4496" t="str">
            <v>FG01153</v>
          </cell>
          <cell r="C4496" t="str">
            <v>DR COLD INHALER 1PCS</v>
          </cell>
        </row>
        <row r="4497">
          <cell r="B4497" t="str">
            <v>FG01154</v>
          </cell>
          <cell r="C4497" t="str">
            <v>DR TOUX ANTITUSSIVE 100ML</v>
          </cell>
        </row>
        <row r="4498">
          <cell r="B4498" t="str">
            <v>FG01155</v>
          </cell>
          <cell r="C4498" t="str">
            <v>DR. MAISON B/10CES</v>
          </cell>
        </row>
        <row r="4499">
          <cell r="B4499" t="str">
            <v>FG01156</v>
          </cell>
          <cell r="C4499" t="str">
            <v>DR.COLD POCH/4CES</v>
          </cell>
        </row>
        <row r="4500">
          <cell r="B4500" t="str">
            <v>FG01157</v>
          </cell>
          <cell r="C4500" t="str">
            <v>DR.COLD SIROP 100ML</v>
          </cell>
        </row>
        <row r="4501">
          <cell r="B4501" t="str">
            <v>FG01158</v>
          </cell>
          <cell r="C4501" t="str">
            <v>DR.COLD(PARA 750MG ) IM/IV B/5AMP</v>
          </cell>
        </row>
        <row r="4502">
          <cell r="B4502" t="str">
            <v>FG01159</v>
          </cell>
          <cell r="C4502" t="str">
            <v>DRENOXOL 30 MG 200MG SIROP</v>
          </cell>
        </row>
        <row r="4503">
          <cell r="B4503" t="str">
            <v>FG01160</v>
          </cell>
          <cell r="C4503" t="str">
            <v>DREZ 30G POMMADE</v>
          </cell>
        </row>
        <row r="4504">
          <cell r="B4504" t="str">
            <v>FG01161</v>
          </cell>
          <cell r="C4504" t="str">
            <v>DREZ 30G POUDRE</v>
          </cell>
        </row>
        <row r="4505">
          <cell r="B4505" t="str">
            <v>FG01162</v>
          </cell>
          <cell r="C4505" t="str">
            <v>DREZ-V 30G GEL</v>
          </cell>
        </row>
        <row r="4506">
          <cell r="B4506" t="str">
            <v>FG01163</v>
          </cell>
          <cell r="C4506" t="str">
            <v>DROCEF (CEFADROXIL) 500MG 12GELULES</v>
          </cell>
        </row>
        <row r="4507">
          <cell r="B4507" t="str">
            <v>FG01164</v>
          </cell>
          <cell r="C4507" t="str">
            <v>DROCEF 250MG(CEFADROXIL) 100ML SP</v>
          </cell>
        </row>
        <row r="4508">
          <cell r="B4508" t="str">
            <v>FG01165</v>
          </cell>
          <cell r="C4508" t="str">
            <v>DROXIL (CEFADROXIL) 100ML SIROP</v>
          </cell>
        </row>
        <row r="4509">
          <cell r="B4509" t="str">
            <v>FG01166</v>
          </cell>
          <cell r="C4509" t="str">
            <v>DROXIL -500 (CEFADROXIL) 500MG B/12CES</v>
          </cell>
        </row>
        <row r="4510">
          <cell r="B4510" t="str">
            <v>FG01167</v>
          </cell>
          <cell r="C4510" t="str">
            <v>DUFAGEL 100ML SP</v>
          </cell>
        </row>
        <row r="4511">
          <cell r="B4511" t="str">
            <v>FG01168</v>
          </cell>
          <cell r="C4511" t="str">
            <v>DUFAGEL 200ML SP</v>
          </cell>
        </row>
        <row r="4512">
          <cell r="B4512" t="str">
            <v>FG01169</v>
          </cell>
          <cell r="C4512" t="str">
            <v>DULCOLAX 40DRG (2 X 20 DRG) (FR)</v>
          </cell>
        </row>
        <row r="4513">
          <cell r="B4513" t="str">
            <v>FG01170</v>
          </cell>
          <cell r="C4513" t="str">
            <v>DULCOLAX BT/10 SUPPOS (FR)</v>
          </cell>
        </row>
        <row r="4514">
          <cell r="B4514" t="str">
            <v>FG01171</v>
          </cell>
          <cell r="C4514" t="str">
            <v>DUOSKIN CREM 15GR (EO)</v>
          </cell>
        </row>
        <row r="4515">
          <cell r="B4515" t="str">
            <v>FG01172</v>
          </cell>
          <cell r="C4515" t="str">
            <v>DUOVENT 0.5MG/1-25MG (SOL. POUR INHA.) B/20 AMP</v>
          </cell>
        </row>
        <row r="4516">
          <cell r="B4516" t="str">
            <v>FG01173</v>
          </cell>
          <cell r="C4516" t="str">
            <v>DUOVENT AEROSOL 10ML 200DOSES (FR)</v>
          </cell>
        </row>
        <row r="4517">
          <cell r="B4517" t="str">
            <v>FG01174</v>
          </cell>
          <cell r="C4517" t="str">
            <v>DUPHALAC B/20SACHET (FR)</v>
          </cell>
        </row>
        <row r="4518">
          <cell r="B4518" t="str">
            <v>FG01175</v>
          </cell>
          <cell r="C4518" t="str">
            <v>DUPHALAC SOL BUV 200ML (FR)</v>
          </cell>
        </row>
        <row r="4519">
          <cell r="B4519" t="str">
            <v>FG01176</v>
          </cell>
          <cell r="C4519" t="str">
            <v>DUPHASTON 10MG 10CES (FR)</v>
          </cell>
        </row>
        <row r="4520">
          <cell r="B4520" t="str">
            <v>FG01177</v>
          </cell>
          <cell r="C4520" t="str">
            <v>DUSPHATALIN 30 CES 200 MG (FR)</v>
          </cell>
        </row>
        <row r="4521">
          <cell r="B4521" t="str">
            <v>FG01178</v>
          </cell>
          <cell r="C4521" t="str">
            <v>DYNAMOGENE B/20AMP BUV.(FR)</v>
          </cell>
        </row>
        <row r="4522">
          <cell r="B4522" t="str">
            <v>FG01179</v>
          </cell>
          <cell r="C4522" t="str">
            <v>DYNAVIT-AM 200ML</v>
          </cell>
        </row>
        <row r="4523">
          <cell r="B4523" t="str">
            <v>FG01180</v>
          </cell>
          <cell r="C4523" t="str">
            <v>EAU DE JAVEL 5 LTR</v>
          </cell>
        </row>
        <row r="4524">
          <cell r="B4524" t="str">
            <v>FG01181</v>
          </cell>
          <cell r="C4524" t="str">
            <v>EAU DIGESTIVE 100ML SP (PHATKIN)</v>
          </cell>
        </row>
        <row r="4525">
          <cell r="B4525" t="str">
            <v>FG01182</v>
          </cell>
          <cell r="C4525" t="str">
            <v>EAU DIGESTIVE SIROP LOCAL</v>
          </cell>
        </row>
        <row r="4526">
          <cell r="B4526" t="str">
            <v>FG01183</v>
          </cell>
          <cell r="C4526" t="str">
            <v>EAU DISTILEE 10ML B/100PCS</v>
          </cell>
        </row>
        <row r="4527">
          <cell r="B4527" t="str">
            <v>FG01184</v>
          </cell>
          <cell r="C4527" t="str">
            <v>EAU DISTILLEE 1LTR</v>
          </cell>
        </row>
        <row r="4528">
          <cell r="B4528" t="str">
            <v>FG01185</v>
          </cell>
          <cell r="C4528" t="str">
            <v>EAU OXYGENE 10VOL 100ML LOCAL</v>
          </cell>
        </row>
        <row r="4529">
          <cell r="B4529" t="str">
            <v>FG01186</v>
          </cell>
          <cell r="C4529" t="str">
            <v>EAU OXYGENE 20 VL 6% (ARAUPHAR)</v>
          </cell>
        </row>
        <row r="4530">
          <cell r="B4530" t="str">
            <v>FG01187</v>
          </cell>
          <cell r="C4530" t="str">
            <v>EAU OXYGENEE 10V GILB 120ML (EO)</v>
          </cell>
        </row>
        <row r="4531">
          <cell r="B4531" t="str">
            <v>FG01188</v>
          </cell>
          <cell r="C4531" t="str">
            <v>EAU OXYGENEE 20 VOL 125ML (EO)</v>
          </cell>
        </row>
        <row r="4532">
          <cell r="B4532" t="str">
            <v>FG01189</v>
          </cell>
          <cell r="C4532" t="str">
            <v>EAU OXYGENEE 30 VL 9% (ARAUPHAR)</v>
          </cell>
        </row>
        <row r="4533">
          <cell r="B4533" t="str">
            <v>FG01190</v>
          </cell>
          <cell r="C4533" t="str">
            <v>EAU OXYGENEE 30VOL 125ML SOL.</v>
          </cell>
        </row>
        <row r="4534">
          <cell r="B4534" t="str">
            <v>FG01191</v>
          </cell>
          <cell r="C4534" t="str">
            <v>EAU OXYGENEE A 10%</v>
          </cell>
        </row>
        <row r="4535">
          <cell r="B4535" t="str">
            <v>FG01192</v>
          </cell>
          <cell r="C4535" t="str">
            <v>EAU OXYGENNE 10 VL 3%(ARAUPHAR)</v>
          </cell>
        </row>
        <row r="4536">
          <cell r="B4536" t="str">
            <v>FG01193</v>
          </cell>
          <cell r="C4536" t="str">
            <v>EAU PHYSIOLOGIQUE 10 ML</v>
          </cell>
        </row>
        <row r="4537">
          <cell r="B4537" t="str">
            <v>FG01194</v>
          </cell>
          <cell r="C4537" t="str">
            <v>EAU PHYSIOLOGIQUE 1LTR</v>
          </cell>
        </row>
        <row r="4538">
          <cell r="B4538" t="str">
            <v>FG01195</v>
          </cell>
          <cell r="C4538" t="str">
            <v>EAU TAMPONEE 1LTR</v>
          </cell>
        </row>
        <row r="4539">
          <cell r="B4539" t="str">
            <v>FG01196</v>
          </cell>
          <cell r="C4539" t="str">
            <v>ECLAMPINE (NICARDIPINE) 5*10ML</v>
          </cell>
        </row>
        <row r="4540">
          <cell r="B4540" t="str">
            <v>FG01197</v>
          </cell>
          <cell r="C4540" t="str">
            <v>ECLAT ANTIBACTERIEN 325ML</v>
          </cell>
        </row>
        <row r="4541">
          <cell r="B4541" t="str">
            <v>FG01198</v>
          </cell>
          <cell r="C4541" t="str">
            <v>ECOUVILLON STERILE</v>
          </cell>
        </row>
        <row r="4542">
          <cell r="B4542" t="str">
            <v>FG01199</v>
          </cell>
          <cell r="C4542" t="str">
            <v>ECRAN FACIAL DE SECURITE - VISIERE DE PROTECTION</v>
          </cell>
        </row>
        <row r="4543">
          <cell r="B4543" t="str">
            <v>FG01200</v>
          </cell>
          <cell r="C4543" t="str">
            <v>ECYL (ACID TRANXEMIUE) 500MG ING</v>
          </cell>
        </row>
        <row r="4544">
          <cell r="B4544" t="str">
            <v>FG01201</v>
          </cell>
          <cell r="C4544" t="str">
            <v>EDTA SOLUTION</v>
          </cell>
        </row>
        <row r="4545">
          <cell r="B4545" t="str">
            <v>FG01202</v>
          </cell>
          <cell r="C4545" t="str">
            <v>EFFERALGAN 16CES SEC. 500MG (FR)</v>
          </cell>
        </row>
        <row r="4546">
          <cell r="B4546" t="str">
            <v>FG01203</v>
          </cell>
          <cell r="C4546" t="str">
            <v>EFFERALGAN 500MG EFF B/16CES (FR)</v>
          </cell>
        </row>
        <row r="4547">
          <cell r="B4547" t="str">
            <v>FG01204</v>
          </cell>
          <cell r="C4547" t="str">
            <v>EFFERALGAN CODEINE EFF. B/16 (FR))</v>
          </cell>
        </row>
        <row r="4548">
          <cell r="B4548" t="str">
            <v>FG01205</v>
          </cell>
          <cell r="C4548" t="str">
            <v>EFFERALGAN P SOL BUV FL/90ML (FR)</v>
          </cell>
        </row>
        <row r="4549">
          <cell r="B4549" t="str">
            <v>FG01206</v>
          </cell>
          <cell r="C4549" t="str">
            <v>EFFERALGAN VIT C 500MG EFF. B/20CES (FR)</v>
          </cell>
        </row>
        <row r="4550">
          <cell r="B4550" t="str">
            <v>FG01207</v>
          </cell>
          <cell r="C4550" t="str">
            <v>EFFERALGANT 1GR 8CES EFF. (FR)</v>
          </cell>
        </row>
        <row r="4551">
          <cell r="B4551" t="str">
            <v>FG01208</v>
          </cell>
          <cell r="C4551" t="str">
            <v>EFFORTIL GTTES 50ML(FR)</v>
          </cell>
        </row>
        <row r="4552">
          <cell r="B4552" t="str">
            <v>FG01209</v>
          </cell>
          <cell r="C4552" t="str">
            <v>EFICEF (CEFIXIME) DISPERSIBLE 200MG B/10CES</v>
          </cell>
        </row>
        <row r="4553">
          <cell r="B4553" t="str">
            <v>FG01210</v>
          </cell>
          <cell r="C4553" t="str">
            <v>EFICEF 400MG B/10CES</v>
          </cell>
        </row>
        <row r="4554">
          <cell r="B4554" t="str">
            <v>FG01211</v>
          </cell>
          <cell r="C4554" t="str">
            <v>EFISHAL 200MG B/30CAPS</v>
          </cell>
        </row>
        <row r="4555">
          <cell r="B4555" t="str">
            <v>FG01212</v>
          </cell>
          <cell r="C4555" t="str">
            <v>EJUTARD (DAPOXETINE 30GM ) B/2CES</v>
          </cell>
        </row>
        <row r="4556">
          <cell r="B4556" t="str">
            <v>FG01213</v>
          </cell>
          <cell r="C4556" t="str">
            <v>EKON DT B/2X10CES</v>
          </cell>
        </row>
        <row r="4557">
          <cell r="B4557" t="str">
            <v>FG01214</v>
          </cell>
          <cell r="C4557" t="str">
            <v>ELLYA INTIME LIQUIDE</v>
          </cell>
        </row>
        <row r="4558">
          <cell r="B4558" t="str">
            <v>FG01215</v>
          </cell>
          <cell r="C4558" t="str">
            <v>ELUDRIL PRO BAIN DE BOUCHE 200ML(FR)</v>
          </cell>
        </row>
        <row r="4559">
          <cell r="B4559" t="str">
            <v>FG01216</v>
          </cell>
          <cell r="C4559" t="str">
            <v>EMBOU BLEU B/250</v>
          </cell>
        </row>
        <row r="4560">
          <cell r="B4560" t="str">
            <v>FG01217</v>
          </cell>
          <cell r="C4560" t="str">
            <v>EMCID SUSP 200ML</v>
          </cell>
        </row>
        <row r="4561">
          <cell r="B4561" t="str">
            <v>FG01218</v>
          </cell>
          <cell r="C4561" t="str">
            <v>ENA + HCT-DENK 20/12.5 B/30CES</v>
          </cell>
        </row>
        <row r="4562">
          <cell r="B4562" t="str">
            <v>FG01219</v>
          </cell>
          <cell r="C4562" t="str">
            <v>ENA DENK 10MG B/30CES</v>
          </cell>
        </row>
        <row r="4563">
          <cell r="B4563" t="str">
            <v>FG01220</v>
          </cell>
          <cell r="C4563" t="str">
            <v>ENA DENK 20MG B/30CES</v>
          </cell>
        </row>
        <row r="4564">
          <cell r="B4564" t="str">
            <v>FG01221</v>
          </cell>
          <cell r="C4564" t="str">
            <v>ENACURE (ENALAPRIL) 10MG 30CES</v>
          </cell>
        </row>
        <row r="4565">
          <cell r="B4565" t="str">
            <v>FG01222</v>
          </cell>
          <cell r="C4565" t="str">
            <v>ENACURE (ENALAPRIL) 5MG 30CES</v>
          </cell>
        </row>
        <row r="4566">
          <cell r="B4566" t="str">
            <v>FG01223</v>
          </cell>
          <cell r="C4566" t="str">
            <v>ENAPRIL 10MG (ENALAPRIL) B/30CES</v>
          </cell>
        </row>
        <row r="4567">
          <cell r="B4567" t="str">
            <v>FG01224</v>
          </cell>
          <cell r="C4567" t="str">
            <v>ENAPRIL 5MG (ENALAPRIL) B/30CES</v>
          </cell>
        </row>
        <row r="4568">
          <cell r="B4568" t="str">
            <v>FG01225</v>
          </cell>
          <cell r="C4568" t="str">
            <v>ENAPRIL-HT (ENAPRIL+HCL) 10MG/25MG B/30CES</v>
          </cell>
        </row>
        <row r="4569">
          <cell r="B4569" t="str">
            <v>FG01226</v>
          </cell>
          <cell r="C4569" t="str">
            <v>ENCEPHABOL (PYRITINOL) LIQUID 120ML</v>
          </cell>
        </row>
        <row r="4570">
          <cell r="B4570" t="str">
            <v>FG01227</v>
          </cell>
          <cell r="C4570" t="str">
            <v>ENDOXAN 1GR 1AMP (FR)</v>
          </cell>
        </row>
        <row r="4571">
          <cell r="B4571" t="str">
            <v>FG01228</v>
          </cell>
          <cell r="C4571" t="str">
            <v>ENDOXAN 500MG 1VIAL INJ (FR)</v>
          </cell>
        </row>
        <row r="4572">
          <cell r="B4572" t="str">
            <v>FG01229</v>
          </cell>
          <cell r="C4572" t="str">
            <v>ENO B/12SACHET</v>
          </cell>
        </row>
        <row r="4573">
          <cell r="B4573" t="str">
            <v>FG01230</v>
          </cell>
          <cell r="C4573" t="str">
            <v>ENOQ 40MG (ENOXAPARINE) INJ. B/ 1 SER.PREREMPLIE</v>
          </cell>
        </row>
        <row r="4574">
          <cell r="B4574" t="str">
            <v>FG01231</v>
          </cell>
          <cell r="C4574" t="str">
            <v>ENOQ 60MG (ENOXAPARINE) INJ. B/ 1 SER.PREREMPLIE</v>
          </cell>
        </row>
        <row r="4575">
          <cell r="B4575" t="str">
            <v>FG01232</v>
          </cell>
          <cell r="C4575" t="str">
            <v>ENOQ 80MG (ENOXAPARINE) INJ. B/ 1 SER.PREREMPLIE</v>
          </cell>
        </row>
        <row r="4576">
          <cell r="B4576" t="str">
            <v>FG01233</v>
          </cell>
          <cell r="C4576" t="str">
            <v>ENTAMIZOL SUSP. BUV. 100ML</v>
          </cell>
        </row>
        <row r="4577">
          <cell r="B4577" t="str">
            <v>FG01234</v>
          </cell>
          <cell r="C4577" t="str">
            <v>ENTAMIZOLE DS 15CES</v>
          </cell>
        </row>
        <row r="4578">
          <cell r="B4578" t="str">
            <v>FG01235</v>
          </cell>
          <cell r="C4578" t="str">
            <v>ENTIZOL SP 100ML</v>
          </cell>
        </row>
        <row r="4579">
          <cell r="B4579" t="str">
            <v>FG01236</v>
          </cell>
          <cell r="C4579" t="str">
            <v>ENTOBIX SUSP 60ML (NORFLO.+METRO.)</v>
          </cell>
        </row>
        <row r="4580">
          <cell r="B4580" t="str">
            <v>FG01237</v>
          </cell>
          <cell r="C4580" t="str">
            <v>ENVAS 10MG B/30CES</v>
          </cell>
        </row>
        <row r="4581">
          <cell r="B4581" t="str">
            <v>FG01238</v>
          </cell>
          <cell r="C4581" t="str">
            <v>ENVAS 5MG B/30CES</v>
          </cell>
        </row>
        <row r="4582">
          <cell r="B4582" t="str">
            <v>FG01239</v>
          </cell>
          <cell r="C4582" t="str">
            <v>EOSINE ACQUEUSE 60ML 2%</v>
          </cell>
        </row>
        <row r="4583">
          <cell r="B4583" t="str">
            <v>FG01240</v>
          </cell>
          <cell r="C4583" t="str">
            <v>EOSINE ALCOOLIQUE FL DE 60ML ((GENERIQUE))</v>
          </cell>
        </row>
        <row r="4584">
          <cell r="B4584" t="str">
            <v>FG01241</v>
          </cell>
          <cell r="C4584" t="str">
            <v>EOSINE AQUESINE 60ML (GENERIQUE)</v>
          </cell>
        </row>
        <row r="4585">
          <cell r="B4585" t="str">
            <v>FG01242</v>
          </cell>
          <cell r="C4585" t="str">
            <v>EPHEDRINE 50MG/1ML B/10 AMP( SAMPLE)</v>
          </cell>
        </row>
        <row r="4586">
          <cell r="B4586" t="str">
            <v>FG01243</v>
          </cell>
          <cell r="C4586" t="str">
            <v>EPHEDRINE 50MG/1ML B/10AMP (STEROP)</v>
          </cell>
        </row>
        <row r="4587">
          <cell r="B4587" t="str">
            <v>FG01244</v>
          </cell>
          <cell r="C4587" t="str">
            <v>EPICRANIAN 21G VERT B/10PCS</v>
          </cell>
        </row>
        <row r="4588">
          <cell r="B4588" t="str">
            <v>FG01245</v>
          </cell>
          <cell r="C4588" t="str">
            <v>EPICRANIAN 23G BLUE PCS/10 PCS</v>
          </cell>
        </row>
        <row r="4589">
          <cell r="B4589" t="str">
            <v>FG01246</v>
          </cell>
          <cell r="C4589" t="str">
            <v>EPIDERM 15GR. CREME</v>
          </cell>
        </row>
        <row r="4590">
          <cell r="B4590" t="str">
            <v>FG01247</v>
          </cell>
          <cell r="C4590" t="str">
            <v>EPIDERM CREME 30GR.</v>
          </cell>
        </row>
        <row r="4591">
          <cell r="B4591" t="str">
            <v>FG01248</v>
          </cell>
          <cell r="C4591" t="str">
            <v>EPIDERM LIGHT CREAM 120ML</v>
          </cell>
        </row>
        <row r="4592">
          <cell r="B4592" t="str">
            <v>FG01249</v>
          </cell>
          <cell r="C4592" t="str">
            <v>EPIDERM LIGHT LOTION 120ML</v>
          </cell>
        </row>
        <row r="4593">
          <cell r="B4593" t="str">
            <v>FG01250</v>
          </cell>
          <cell r="C4593" t="str">
            <v>EPIDERM LIGHT LOTION 300ML</v>
          </cell>
        </row>
        <row r="4594">
          <cell r="B4594" t="str">
            <v>FG01251</v>
          </cell>
          <cell r="C4594" t="str">
            <v>EPIDERM LOTION 30ML</v>
          </cell>
        </row>
        <row r="4595">
          <cell r="B4595" t="str">
            <v>FG01252</v>
          </cell>
          <cell r="C4595" t="str">
            <v>EPITOPIC CREME 15GM</v>
          </cell>
        </row>
        <row r="4596">
          <cell r="B4596" t="str">
            <v>FG01253</v>
          </cell>
          <cell r="C4596" t="str">
            <v>EPOFIT 4000IU (ERYTHROPOIETINE) B/1 SER.PREREMPLIE</v>
          </cell>
        </row>
        <row r="4597">
          <cell r="B4597" t="str">
            <v>FG01254</v>
          </cell>
          <cell r="C4597" t="str">
            <v>EPONGE G F</v>
          </cell>
        </row>
        <row r="4598">
          <cell r="B4598" t="str">
            <v>FG01255</v>
          </cell>
          <cell r="C4598" t="str">
            <v>EPSON PRINTER</v>
          </cell>
        </row>
        <row r="4599">
          <cell r="B4599" t="str">
            <v>FG01256</v>
          </cell>
          <cell r="C4599" t="str">
            <v>EPSON PROJECTOR</v>
          </cell>
        </row>
        <row r="4600">
          <cell r="B4600" t="str">
            <v>FG01257</v>
          </cell>
          <cell r="C4600" t="str">
            <v>EPSON RIBBON 350</v>
          </cell>
        </row>
        <row r="4601">
          <cell r="B4601" t="str">
            <v>FG01258</v>
          </cell>
          <cell r="C4601" t="str">
            <v>EREGRA (SILDENAFIL) 50MG B/4 CES</v>
          </cell>
        </row>
        <row r="4602">
          <cell r="B4602" t="str">
            <v>FG01259</v>
          </cell>
          <cell r="C4602" t="str">
            <v>EREGRA 100MG 4CES</v>
          </cell>
        </row>
        <row r="4603">
          <cell r="B4603" t="str">
            <v>FG01260</v>
          </cell>
          <cell r="C4603" t="str">
            <v>ERGOGINE 1MG/ML GOUTTE 50ML</v>
          </cell>
        </row>
        <row r="4604">
          <cell r="B4604" t="str">
            <v>FG01261</v>
          </cell>
          <cell r="C4604" t="str">
            <v>ERGOMETRINE B/10AMP</v>
          </cell>
        </row>
        <row r="4605">
          <cell r="B4605" t="str">
            <v>FG01262</v>
          </cell>
          <cell r="C4605" t="str">
            <v>ERNS N.10 (AMAIGRIS) FILTRETTE 24PCS</v>
          </cell>
        </row>
        <row r="4606">
          <cell r="B4606" t="str">
            <v>FG01263</v>
          </cell>
          <cell r="C4606" t="str">
            <v>EROSTIN 10MG (EBASTING) 10CES</v>
          </cell>
        </row>
        <row r="4607">
          <cell r="B4607" t="str">
            <v>FG01264</v>
          </cell>
          <cell r="C4607" t="str">
            <v>ERY 125MG B/24 SACHET (FR)</v>
          </cell>
        </row>
        <row r="4608">
          <cell r="B4608" t="str">
            <v>FG01265</v>
          </cell>
          <cell r="C4608" t="str">
            <v>ERY 250MG GLE SACHET BT 24(FR)</v>
          </cell>
        </row>
        <row r="4609">
          <cell r="B4609" t="str">
            <v>FG01266</v>
          </cell>
          <cell r="C4609" t="str">
            <v>ERY 500MG 20CES (EO)</v>
          </cell>
        </row>
        <row r="4610">
          <cell r="B4610" t="str">
            <v>FG01267</v>
          </cell>
          <cell r="C4610" t="str">
            <v>ERYFLUID LOTION (ERYTHROMYCINE BASE ) 30ML (FR)</v>
          </cell>
        </row>
        <row r="4611">
          <cell r="B4611" t="str">
            <v>FG01268</v>
          </cell>
          <cell r="C4611" t="str">
            <v>ERYTHRO 250ML SUSP (EO)</v>
          </cell>
        </row>
        <row r="4612">
          <cell r="B4612" t="str">
            <v>FG01269</v>
          </cell>
          <cell r="C4612" t="str">
            <v>ERYTHROMYCINE 500MG B/1000 CES</v>
          </cell>
        </row>
        <row r="4613">
          <cell r="B4613" t="str">
            <v>FG01270</v>
          </cell>
          <cell r="C4613" t="str">
            <v>ERYTHROPOIETIN INJ 4000IU B/1</v>
          </cell>
        </row>
        <row r="4614">
          <cell r="B4614" t="str">
            <v>FG01271</v>
          </cell>
          <cell r="C4614" t="str">
            <v>ERYTROMYCINE 125MG SP 60ML</v>
          </cell>
        </row>
        <row r="4615">
          <cell r="B4615" t="str">
            <v>FG01272</v>
          </cell>
          <cell r="C4615" t="str">
            <v>ERYTROMYCINE 250MG SP 60ML</v>
          </cell>
        </row>
        <row r="4616">
          <cell r="B4616" t="str">
            <v>FG01273</v>
          </cell>
          <cell r="C4616" t="str">
            <v>ESIDREX 25MG B/20CES (FR)</v>
          </cell>
        </row>
        <row r="4617">
          <cell r="B4617" t="str">
            <v>FG01274</v>
          </cell>
          <cell r="C4617" t="str">
            <v>ESMODOM 1 X 10 CAPSULES</v>
          </cell>
        </row>
        <row r="4618">
          <cell r="B4618" t="str">
            <v>FG01275</v>
          </cell>
          <cell r="C4618" t="str">
            <v>ESOFAG 20MG (ESOMEPRAZOLE) B/30 CES</v>
          </cell>
        </row>
        <row r="4619">
          <cell r="B4619" t="str">
            <v>FG01276</v>
          </cell>
          <cell r="C4619" t="str">
            <v>ESOFAG 40MG (ESOMEPRAZOLE) B/30 CES</v>
          </cell>
        </row>
        <row r="4620">
          <cell r="B4620" t="str">
            <v>FG01277</v>
          </cell>
          <cell r="C4620" t="str">
            <v>ESOFAG D 40MG (ESOMEPRAZOLE) B/30 CES</v>
          </cell>
        </row>
        <row r="4621">
          <cell r="B4621" t="str">
            <v>FG01278</v>
          </cell>
          <cell r="C4621" t="str">
            <v>ESOFAG KIT 1PCS</v>
          </cell>
        </row>
        <row r="4622">
          <cell r="B4622" t="str">
            <v>FG01279</v>
          </cell>
          <cell r="C4622" t="str">
            <v>ESOMEX 40 (ESOMEPRAZOLE40MG) B/10CAP</v>
          </cell>
        </row>
        <row r="4623">
          <cell r="B4623" t="str">
            <v>FG01280</v>
          </cell>
          <cell r="C4623" t="str">
            <v>ESOMEX 40 (ESOMEPRAZOLE40MG) IV B/1AMP</v>
          </cell>
        </row>
        <row r="4624">
          <cell r="B4624" t="str">
            <v>FG01281</v>
          </cell>
          <cell r="C4624" t="str">
            <v>ESOQUE 20MG (ESOMEPRAZOLE) INJ. B/1 VIAL+NACL</v>
          </cell>
        </row>
        <row r="4625">
          <cell r="B4625" t="str">
            <v>FG01282</v>
          </cell>
          <cell r="C4625" t="str">
            <v>ESOQUE 40MG (ESOMEPRAZOLE) B/10 CES</v>
          </cell>
        </row>
        <row r="4626">
          <cell r="B4626" t="str">
            <v>FG01283</v>
          </cell>
          <cell r="C4626" t="str">
            <v>ESOQUE 40MG (ESOMEPRAZOLE) INJ. B/1 VIAL+NACL</v>
          </cell>
        </row>
        <row r="4627">
          <cell r="B4627" t="str">
            <v>FG01284</v>
          </cell>
          <cell r="C4627" t="str">
            <v>ESTERCAINE 0.5% COLLYE 5ML</v>
          </cell>
        </row>
        <row r="4628">
          <cell r="B4628" t="str">
            <v>FG01285</v>
          </cell>
          <cell r="C4628" t="str">
            <v>ESTERCAINE 1% COLLYRE 5ML</v>
          </cell>
        </row>
        <row r="4629">
          <cell r="B4629" t="str">
            <v>FG01286</v>
          </cell>
          <cell r="C4629" t="str">
            <v>ESTIWANG 0.1% COLLYRE 5ML</v>
          </cell>
        </row>
        <row r="4630">
          <cell r="B4630" t="str">
            <v>FG01287</v>
          </cell>
          <cell r="C4630" t="str">
            <v>ESTOWASH 100ML SOLUTION</v>
          </cell>
        </row>
        <row r="4631">
          <cell r="B4631" t="str">
            <v>FG01288</v>
          </cell>
          <cell r="C4631" t="str">
            <v>ETHANOL A 95%</v>
          </cell>
        </row>
        <row r="4632">
          <cell r="B4632" t="str">
            <v>FG01289</v>
          </cell>
          <cell r="C4632" t="str">
            <v>ETOPOSIDE 200MG/10ML B/1 AMP</v>
          </cell>
        </row>
        <row r="4633">
          <cell r="B4633" t="str">
            <v>FG01290</v>
          </cell>
          <cell r="C4633" t="str">
            <v>EUCALYPTOL SP 100ML (PHATKIN)</v>
          </cell>
        </row>
        <row r="4634">
          <cell r="B4634" t="str">
            <v>FG01291</v>
          </cell>
          <cell r="C4634" t="str">
            <v>EURAX CREME 40MG (BE)</v>
          </cell>
        </row>
        <row r="4635">
          <cell r="B4635" t="str">
            <v>FG01292</v>
          </cell>
          <cell r="C4635" t="str">
            <v>EVAGON (VITAMINE A+E) B/2X12 CAPSULES MOLLES</v>
          </cell>
        </row>
        <row r="4636">
          <cell r="B4636" t="str">
            <v>FG01293</v>
          </cell>
          <cell r="C4636" t="str">
            <v>EVAPREST (PROGESTERON) 100MG 2 X 15GEL</v>
          </cell>
        </row>
        <row r="4637">
          <cell r="B4637" t="str">
            <v>FG01294</v>
          </cell>
          <cell r="C4637" t="str">
            <v>EVAPREST (PROGESTERON) 100MG B/30 GE</v>
          </cell>
        </row>
        <row r="4638">
          <cell r="B4638" t="str">
            <v>FG01295</v>
          </cell>
          <cell r="C4638" t="str">
            <v>EVITAL PLUS (VITAMINE A + E ) B/30 GELUES</v>
          </cell>
        </row>
        <row r="4639">
          <cell r="B4639" t="str">
            <v>FG01297</v>
          </cell>
          <cell r="C4639" t="str">
            <v>EVONY ADULT DIAPER (LARGE) 30 X 4</v>
          </cell>
        </row>
        <row r="4640">
          <cell r="B4640" t="str">
            <v>FG01298</v>
          </cell>
          <cell r="C4640" t="str">
            <v>EVONY ADULT DIAPER (MEDIUM) 10 X 6</v>
          </cell>
        </row>
        <row r="4641">
          <cell r="B4641" t="str">
            <v>FG01299</v>
          </cell>
          <cell r="C4641" t="str">
            <v>EVONY ADULT DIAPER (MEDIUM) 30 X 4</v>
          </cell>
        </row>
        <row r="4642">
          <cell r="B4642" t="str">
            <v>FG01300</v>
          </cell>
          <cell r="C4642" t="str">
            <v>EVONY ADULT DIAPER (X LARGE) 30 X 4</v>
          </cell>
        </row>
        <row r="4643">
          <cell r="B4643" t="str">
            <v>FG01301</v>
          </cell>
          <cell r="C4643" t="str">
            <v>EVONY ADULT DIAPER (X LARGE) 8 X 6</v>
          </cell>
        </row>
        <row r="4644">
          <cell r="B4644" t="str">
            <v>FG01302</v>
          </cell>
          <cell r="C4644" t="str">
            <v>EXACYL 500MG 20CES (FR)</v>
          </cell>
        </row>
        <row r="4645">
          <cell r="B4645" t="str">
            <v>FG01303</v>
          </cell>
          <cell r="C4645" t="str">
            <v>EXACYL 500MG IV INJ 5AMP (FR)</v>
          </cell>
        </row>
        <row r="4646">
          <cell r="B4646" t="str">
            <v>FG01304</v>
          </cell>
          <cell r="C4646" t="str">
            <v>EXASEAL 500MG/5ML (ACIDE TRANXAMIQUE) INJ. B/5AMP</v>
          </cell>
        </row>
        <row r="4647">
          <cell r="B4647" t="str">
            <v>FG01305</v>
          </cell>
          <cell r="C4647" t="str">
            <v>EXODRIL CREAM TB 15G (FR)</v>
          </cell>
        </row>
        <row r="4648">
          <cell r="B4648" t="str">
            <v>FG01306</v>
          </cell>
          <cell r="C4648" t="str">
            <v>EXOFEN POUDRE SILICONEE T/160GR</v>
          </cell>
        </row>
        <row r="4649">
          <cell r="B4649" t="str">
            <v>FG01307</v>
          </cell>
          <cell r="C4649" t="str">
            <v>EXOMUC 200MG GRAN SS SACH BT30(FR)</v>
          </cell>
        </row>
        <row r="4650">
          <cell r="B4650" t="str">
            <v>FG01308</v>
          </cell>
          <cell r="C4650" t="str">
            <v>EXTERFON PENTRA 20GM GEL</v>
          </cell>
        </row>
        <row r="4651">
          <cell r="B4651" t="str">
            <v>FG01309</v>
          </cell>
          <cell r="C4651" t="str">
            <v>FALCIDOX (SULFA/PYRAME) POCH/3CES</v>
          </cell>
        </row>
        <row r="4652">
          <cell r="B4652" t="str">
            <v>FG01310</v>
          </cell>
          <cell r="C4652" t="str">
            <v>FALOR 100ML - VAGINAL WASH</v>
          </cell>
        </row>
        <row r="4653">
          <cell r="B4653" t="str">
            <v>FG01311</v>
          </cell>
          <cell r="C4653" t="str">
            <v>FALOR 200ML - VAGINAL WASH</v>
          </cell>
        </row>
        <row r="4654">
          <cell r="B4654" t="str">
            <v>FG01312</v>
          </cell>
          <cell r="C4654" t="str">
            <v>FAN</v>
          </cell>
        </row>
        <row r="4655">
          <cell r="B4655" t="str">
            <v>FG01313</v>
          </cell>
          <cell r="C4655" t="str">
            <v>FANSIDAR 10CES PL (ROCHE)</v>
          </cell>
        </row>
        <row r="4656">
          <cell r="B4656" t="str">
            <v>FG01314</v>
          </cell>
          <cell r="C4656" t="str">
            <v>FANSIDAR 500/25MG B/3CES (FR)</v>
          </cell>
        </row>
        <row r="4657">
          <cell r="B4657" t="str">
            <v>FG01315</v>
          </cell>
          <cell r="C4657" t="str">
            <v>FANSIDAR INJ B/2AMP (FR)</v>
          </cell>
        </row>
        <row r="4658">
          <cell r="B4658" t="str">
            <v>FG01316</v>
          </cell>
          <cell r="C4658" t="str">
            <v>FASIGYN 500MG 4CES (FR)</v>
          </cell>
        </row>
        <row r="4659">
          <cell r="B4659" t="str">
            <v>FG01317</v>
          </cell>
          <cell r="C4659" t="str">
            <v>FELDENE 20MG 15 GLULES (FR)</v>
          </cell>
        </row>
        <row r="4660">
          <cell r="B4660" t="str">
            <v>FG01318</v>
          </cell>
          <cell r="C4660" t="str">
            <v>FELDENE 20MG B/12 &amp; 15 SUPPOS (FR)</v>
          </cell>
        </row>
        <row r="4661">
          <cell r="B4661" t="str">
            <v>FG01319</v>
          </cell>
          <cell r="C4661" t="str">
            <v>FELOXAM 20MG (PIROXICAM) B/10 CAPSULES</v>
          </cell>
        </row>
        <row r="4662">
          <cell r="B4662" t="str">
            <v>FG01320</v>
          </cell>
          <cell r="C4662" t="str">
            <v>FELOXAM 20MG (PIROXICAM) B/3X5 SUPPO.</v>
          </cell>
        </row>
        <row r="4663">
          <cell r="B4663" t="str">
            <v>FG01321</v>
          </cell>
          <cell r="C4663" t="str">
            <v>FEMACLIN (CLINDA+CLOTRI) 3 OVULES</v>
          </cell>
        </row>
        <row r="4664">
          <cell r="B4664" t="str">
            <v>FG01322</v>
          </cell>
          <cell r="C4664" t="str">
            <v>FEMME WASH 100ML</v>
          </cell>
        </row>
        <row r="4665">
          <cell r="B4665" t="str">
            <v>FG01323</v>
          </cell>
          <cell r="C4665" t="str">
            <v>FEMMEX 3X10 CAPS (HARBAL)</v>
          </cell>
        </row>
        <row r="4666">
          <cell r="B4666" t="str">
            <v>FG01324</v>
          </cell>
          <cell r="C4666" t="str">
            <v>FENAMEX SPAS 250MG B/10CES</v>
          </cell>
        </row>
        <row r="4667">
          <cell r="B4667" t="str">
            <v>FG01325</v>
          </cell>
          <cell r="C4667" t="str">
            <v>FENISTIL GOUTTE 20ML (FR)</v>
          </cell>
        </row>
        <row r="4668">
          <cell r="B4668" t="str">
            <v>FG01326</v>
          </cell>
          <cell r="C4668" t="str">
            <v>FENTANYL CITRATE 50MG B/10AMP</v>
          </cell>
        </row>
        <row r="4669">
          <cell r="B4669" t="str">
            <v>FG01327</v>
          </cell>
          <cell r="C4669" t="str">
            <v>FENTONE 50MG/ML (PHENYTOINE) 5ML INJ.B/1AMP</v>
          </cell>
        </row>
        <row r="4670">
          <cell r="B4670" t="str">
            <v>FG01328</v>
          </cell>
          <cell r="C4670" t="str">
            <v>FENYL (FENTANYL) 50MCG/ML 2ML B/ 1 AMPS</v>
          </cell>
        </row>
        <row r="4671">
          <cell r="B4671" t="str">
            <v>FG01329</v>
          </cell>
          <cell r="C4671" t="str">
            <v>FENZAR 18 (DEFLAZACORT 18 MG) B\10CES</v>
          </cell>
        </row>
        <row r="4672">
          <cell r="B4672" t="str">
            <v>FG01330</v>
          </cell>
          <cell r="C4672" t="str">
            <v>FENZAR 30 (DEFLAZACORT 30 MG) B\10CES</v>
          </cell>
        </row>
        <row r="4673">
          <cell r="B4673" t="str">
            <v>FG01331</v>
          </cell>
          <cell r="C4673" t="str">
            <v>FENZAR 6 (DEFLAZACORT 6MG) B\10CES</v>
          </cell>
        </row>
        <row r="4674">
          <cell r="B4674" t="str">
            <v>FG01332</v>
          </cell>
          <cell r="C4674" t="str">
            <v>FERDROP AF A LA VITAMINE C SUSP 100ML</v>
          </cell>
        </row>
        <row r="4675">
          <cell r="B4675" t="str">
            <v>FG01333</v>
          </cell>
          <cell r="C4675" t="str">
            <v>FERDROP PLUS A LA VIT. C 3OML</v>
          </cell>
        </row>
        <row r="4676">
          <cell r="B4676" t="str">
            <v>FG01334</v>
          </cell>
          <cell r="C4676" t="str">
            <v>FERIUM B/30CES</v>
          </cell>
        </row>
        <row r="4677">
          <cell r="B4677" t="str">
            <v>FG01335</v>
          </cell>
          <cell r="C4677" t="str">
            <v>FERIUM SIROP 120ML</v>
          </cell>
        </row>
        <row r="4678">
          <cell r="B4678" t="str">
            <v>FG01336</v>
          </cell>
          <cell r="C4678" t="str">
            <v>FERIX FOLIQUE SIROP 100ML</v>
          </cell>
        </row>
        <row r="4679">
          <cell r="B4679" t="str">
            <v>FG01337</v>
          </cell>
          <cell r="C4679" t="str">
            <v>FEROVIT SP 100ML</v>
          </cell>
        </row>
        <row r="4680">
          <cell r="B4680" t="str">
            <v>FG01338</v>
          </cell>
          <cell r="C4680" t="str">
            <v>FEROX PLUS TONIC 200ML</v>
          </cell>
        </row>
        <row r="4681">
          <cell r="B4681" t="str">
            <v>FG01339</v>
          </cell>
          <cell r="C4681" t="str">
            <v>FERRAVIT (ANTIANEMIQUE) 200ML</v>
          </cell>
        </row>
        <row r="4682">
          <cell r="B4682" t="str">
            <v>FG01340</v>
          </cell>
          <cell r="C4682" t="str">
            <v>FERRAVIT 200ML FL</v>
          </cell>
        </row>
        <row r="4683">
          <cell r="B4683" t="str">
            <v>FG01341</v>
          </cell>
          <cell r="C4683" t="str">
            <v>FERRO VITAL DENK B/30CES (FR)</v>
          </cell>
        </row>
        <row r="4684">
          <cell r="B4684" t="str">
            <v>FG01342</v>
          </cell>
          <cell r="C4684" t="str">
            <v>FERROSTRANE 0.68% 125ML</v>
          </cell>
        </row>
        <row r="4685">
          <cell r="B4685" t="str">
            <v>FG01343</v>
          </cell>
          <cell r="C4685" t="str">
            <v>FERSANG (SUCROSE) 5ML INJ B/1AMP</v>
          </cell>
        </row>
        <row r="4686">
          <cell r="B4686" t="str">
            <v>FG01344</v>
          </cell>
          <cell r="C4686" t="str">
            <v>FERVEX ADULTES 8 SACHETS (FR)</v>
          </cell>
        </row>
        <row r="4687">
          <cell r="B4687" t="str">
            <v>FG01345</v>
          </cell>
          <cell r="C4687" t="str">
            <v>FEVASTIN .ET 1000MG B/8 CES</v>
          </cell>
        </row>
        <row r="4688">
          <cell r="B4688" t="str">
            <v>FG01346</v>
          </cell>
          <cell r="C4688" t="str">
            <v>FEVASTIN .ET 500MG B/16 CES</v>
          </cell>
        </row>
        <row r="4689">
          <cell r="B4689" t="str">
            <v>FG01347</v>
          </cell>
          <cell r="C4689" t="str">
            <v>FEVASTIN 100ML IV 1 PCS</v>
          </cell>
        </row>
        <row r="4690">
          <cell r="B4690" t="str">
            <v>FG01348</v>
          </cell>
          <cell r="C4690" t="str">
            <v>FILM 18X24 B/100PCS</v>
          </cell>
        </row>
        <row r="4691">
          <cell r="B4691" t="str">
            <v>FG01349</v>
          </cell>
          <cell r="C4691" t="str">
            <v>FILM 30X40 B/100PCS</v>
          </cell>
        </row>
        <row r="4692">
          <cell r="B4692" t="str">
            <v>FG01350</v>
          </cell>
          <cell r="C4692" t="str">
            <v>FINATUX 5 % (CARBICISTEINE) 50MG SIROP (FR)</v>
          </cell>
        </row>
        <row r="4693">
          <cell r="B4693" t="str">
            <v>FG01351</v>
          </cell>
          <cell r="C4693" t="str">
            <v>FIRST AID BOX</v>
          </cell>
        </row>
        <row r="4694">
          <cell r="B4694" t="str">
            <v>FG01352</v>
          </cell>
          <cell r="C4694" t="str">
            <v>FIRST AID KIT</v>
          </cell>
        </row>
        <row r="4695">
          <cell r="B4695" t="str">
            <v>FG01353</v>
          </cell>
          <cell r="C4695" t="str">
            <v>FIRST AID KIT 1 X GT58-302 BIG</v>
          </cell>
        </row>
        <row r="4696">
          <cell r="B4696" t="str">
            <v>FG01354</v>
          </cell>
          <cell r="C4696" t="str">
            <v>FIRST AID KIT 1 X GT58-304 SMALL</v>
          </cell>
        </row>
        <row r="4697">
          <cell r="B4697" t="str">
            <v>FG01355</v>
          </cell>
          <cell r="C4697" t="str">
            <v>FIXALEM (CEFIXIME) 60ML SUSP</v>
          </cell>
        </row>
        <row r="4698">
          <cell r="B4698" t="str">
            <v>FG01356</v>
          </cell>
          <cell r="C4698" t="str">
            <v>FIXALEM-200 (CEFIXIME) 200MG 10 CES</v>
          </cell>
        </row>
        <row r="4699">
          <cell r="B4699" t="str">
            <v>FG01357</v>
          </cell>
          <cell r="C4699" t="str">
            <v>FIXALEM-400 (CEFIXIME) 400MG 10 CES</v>
          </cell>
        </row>
        <row r="4700">
          <cell r="B4700" t="str">
            <v>FG01358</v>
          </cell>
          <cell r="C4700" t="str">
            <v>FIXATEUR PODRE (22.5)</v>
          </cell>
        </row>
        <row r="4701">
          <cell r="B4701" t="str">
            <v>FG01359</v>
          </cell>
          <cell r="C4701" t="str">
            <v>FIXIM 100MG SIROP</v>
          </cell>
        </row>
        <row r="4702">
          <cell r="B4702" t="str">
            <v>FG01360</v>
          </cell>
          <cell r="C4702" t="str">
            <v>FIXIM 40MG 60ML SIROP</v>
          </cell>
        </row>
        <row r="4703">
          <cell r="B4703" t="str">
            <v>FG01361</v>
          </cell>
          <cell r="C4703" t="str">
            <v>FLAGYL 10 OVULES 500MG (FR)</v>
          </cell>
        </row>
        <row r="4704">
          <cell r="B4704" t="str">
            <v>FG01362</v>
          </cell>
          <cell r="C4704" t="str">
            <v>FLAMMAZINE 1% CREME TB 50GR (FR)</v>
          </cell>
        </row>
        <row r="4705">
          <cell r="B4705" t="str">
            <v>FG01363</v>
          </cell>
          <cell r="C4705" t="str">
            <v>FLAMO B/10CES</v>
          </cell>
        </row>
        <row r="4706">
          <cell r="B4706" t="str">
            <v>FG01364</v>
          </cell>
          <cell r="C4706" t="str">
            <v>FLASH 16GB</v>
          </cell>
        </row>
        <row r="4707">
          <cell r="B4707" t="str">
            <v>FG01365</v>
          </cell>
          <cell r="C4707" t="str">
            <v>FLASH USB 16GB</v>
          </cell>
        </row>
        <row r="4708">
          <cell r="B4708" t="str">
            <v>FG01366</v>
          </cell>
          <cell r="C4708" t="str">
            <v>FLATORIL B/40 CASULES (FR)</v>
          </cell>
        </row>
        <row r="4709">
          <cell r="B4709" t="str">
            <v>FG01367</v>
          </cell>
          <cell r="C4709" t="str">
            <v>FLAZINE CREME 50GR</v>
          </cell>
        </row>
        <row r="4710">
          <cell r="B4710" t="str">
            <v>FG01368</v>
          </cell>
          <cell r="C4710" t="str">
            <v>FLEMING 1125MG B/16CES(FR)</v>
          </cell>
        </row>
        <row r="4711">
          <cell r="B4711" t="str">
            <v>FG01369</v>
          </cell>
          <cell r="C4711" t="str">
            <v>FLEMING @@ SUSPENSION 60ML@@500/62.5MG (FR)</v>
          </cell>
        </row>
        <row r="4712">
          <cell r="B4712" t="str">
            <v>FG01370</v>
          </cell>
          <cell r="C4712" t="str">
            <v>FLEMING @@@ 562.5 MG @@@16CAPS(FR)</v>
          </cell>
        </row>
        <row r="4713">
          <cell r="B4713" t="str">
            <v>FG01371</v>
          </cell>
          <cell r="C4713" t="str">
            <v>FLEMING SUSP 250/31.25MG (FR)</v>
          </cell>
        </row>
        <row r="4714">
          <cell r="B4714" t="str">
            <v>FG01372</v>
          </cell>
          <cell r="C4714" t="str">
            <v>FLIXONASE SPRAY NAZAL 120 DOSES (FR)</v>
          </cell>
        </row>
        <row r="4715">
          <cell r="B4715" t="str">
            <v>FG01373</v>
          </cell>
          <cell r="C4715" t="str">
            <v>FLIXOTIDE 50MG SUSP 120DOSES (FR)</v>
          </cell>
        </row>
        <row r="4716">
          <cell r="B4716" t="str">
            <v>FG01374</v>
          </cell>
          <cell r="C4716" t="str">
            <v>FLODENT PATE DENTIFRICE 100GR</v>
          </cell>
        </row>
        <row r="4717">
          <cell r="B4717" t="str">
            <v>FG01375</v>
          </cell>
          <cell r="C4717" t="str">
            <v>FLODENT PATE DENTIFRICE 50GR</v>
          </cell>
        </row>
        <row r="4718">
          <cell r="B4718" t="str">
            <v>FG01376</v>
          </cell>
          <cell r="C4718" t="str">
            <v>FLORANORM B/10SACHETS</v>
          </cell>
        </row>
        <row r="4719">
          <cell r="B4719" t="str">
            <v>FG01377</v>
          </cell>
          <cell r="C4719" t="str">
            <v>FLOTAC 75MG 20CES(FR)</v>
          </cell>
        </row>
        <row r="4720">
          <cell r="B4720" t="str">
            <v>FG01378</v>
          </cell>
          <cell r="C4720" t="str">
            <v>FLOWERS PORT</v>
          </cell>
        </row>
        <row r="4721">
          <cell r="B4721" t="str">
            <v>FG01379</v>
          </cell>
          <cell r="C4721" t="str">
            <v>FLOXAPEN 500MG 20 GELULES (FR)</v>
          </cell>
        </row>
        <row r="4722">
          <cell r="B4722" t="str">
            <v>FG01380</v>
          </cell>
          <cell r="C4722" t="str">
            <v>FLOXOR (OFLOXACINE+ORNIDAZOLE) 60ML SP</v>
          </cell>
        </row>
        <row r="4723">
          <cell r="B4723" t="str">
            <v>FG01381</v>
          </cell>
          <cell r="C4723" t="str">
            <v>FLOXOR (OFLOXACINE+ORNIDAZOLE) B/10 CES</v>
          </cell>
        </row>
        <row r="4724">
          <cell r="B4724" t="str">
            <v>FG01382</v>
          </cell>
          <cell r="C4724" t="str">
            <v>FLUCEL 250MG (FLUOROURACIL) INJ B/1AMP</v>
          </cell>
        </row>
        <row r="4725">
          <cell r="B4725" t="str">
            <v>FG01383</v>
          </cell>
          <cell r="C4725" t="str">
            <v>FLUCEL 500MG (FLUOROURACIL) INJ B/1AMP</v>
          </cell>
        </row>
        <row r="4726">
          <cell r="B4726" t="str">
            <v>FG01384</v>
          </cell>
          <cell r="C4726" t="str">
            <v>FLUCON COLLYRE (FR)</v>
          </cell>
        </row>
        <row r="4727">
          <cell r="B4727" t="str">
            <v>FG01385</v>
          </cell>
          <cell r="C4727" t="str">
            <v>FLUCONAZOLE (MEGADON) 150MG B/1CES</v>
          </cell>
        </row>
        <row r="4728">
          <cell r="B4728" t="str">
            <v>FG01386</v>
          </cell>
          <cell r="C4728" t="str">
            <v>FLUDEX 2.5MG 20CES (FR)</v>
          </cell>
        </row>
        <row r="4729">
          <cell r="B4729" t="str">
            <v>FG01387</v>
          </cell>
          <cell r="C4729" t="str">
            <v>FLUDEX LP 1.5MG 30CES (FR)</v>
          </cell>
        </row>
        <row r="4730">
          <cell r="B4730" t="str">
            <v>FG01388</v>
          </cell>
          <cell r="C4730" t="str">
            <v>FLUDIMOL ADULTES SIROP 100ML</v>
          </cell>
        </row>
        <row r="4731">
          <cell r="B4731" t="str">
            <v>FG01389</v>
          </cell>
          <cell r="C4731" t="str">
            <v>FLUDIMOL ENF.&amp; NOR. SIROP 100ML</v>
          </cell>
        </row>
        <row r="4732">
          <cell r="B4732" t="str">
            <v>FG01390</v>
          </cell>
          <cell r="C4732" t="str">
            <v>FLUDITEC ADULTES SP 5%</v>
          </cell>
        </row>
        <row r="4733">
          <cell r="B4733" t="str">
            <v>FG01391</v>
          </cell>
          <cell r="C4733" t="str">
            <v>FLUDITEC STICK 75MG/10ML 15STICKS SANS SUCRE (FR)</v>
          </cell>
        </row>
        <row r="4734">
          <cell r="B4734" t="str">
            <v>FG01392</v>
          </cell>
          <cell r="C4734" t="str">
            <v>FLUGRIPE B/10 CES</v>
          </cell>
        </row>
        <row r="4735">
          <cell r="B4735" t="str">
            <v>FG01393</v>
          </cell>
          <cell r="C4735" t="str">
            <v>FLUGRIPE SUSP. 60ML</v>
          </cell>
        </row>
        <row r="4736">
          <cell r="B4736" t="str">
            <v>FG01394</v>
          </cell>
          <cell r="C4736" t="str">
            <v>FLUPHENAZINE DECANOATE 25MG 1AMP(STEROP)</v>
          </cell>
        </row>
        <row r="4737">
          <cell r="B4737" t="str">
            <v>FG01395</v>
          </cell>
          <cell r="C4737" t="str">
            <v>FLUQUE 200MG (FLUCONAZOLE) B/4CAPSULES</v>
          </cell>
        </row>
        <row r="4738">
          <cell r="B4738" t="str">
            <v>FG01396</v>
          </cell>
          <cell r="C4738" t="str">
            <v>FLUX 125MG (FLUCLOXACILLINE) SUSP.ORALE 100ML</v>
          </cell>
        </row>
        <row r="4739">
          <cell r="B4739" t="str">
            <v>FG01397</v>
          </cell>
          <cell r="C4739" t="str">
            <v>FLUX 250MG (FLUCLOXACILLINE) SUSP. ORALE 100ML</v>
          </cell>
        </row>
        <row r="4740">
          <cell r="B4740" t="str">
            <v>FG01398</v>
          </cell>
          <cell r="C4740" t="str">
            <v>FLUX 500MG (FLUCLOXACILLINE) B/10 GELULES</v>
          </cell>
        </row>
        <row r="4741">
          <cell r="B4741" t="str">
            <v>FG01399</v>
          </cell>
          <cell r="C4741" t="str">
            <v>FLUZON 150MG B/2CAP</v>
          </cell>
        </row>
        <row r="4742">
          <cell r="B4742" t="str">
            <v>FG01400</v>
          </cell>
          <cell r="C4742" t="str">
            <v>FORCAPETI 10*10 CES</v>
          </cell>
        </row>
        <row r="4743">
          <cell r="B4743" t="str">
            <v>FG01401</v>
          </cell>
          <cell r="C4743" t="str">
            <v>FORCAPETI (CYPROHEPTADINE) SIROP 100ML</v>
          </cell>
        </row>
        <row r="4744">
          <cell r="B4744" t="str">
            <v>FG01402</v>
          </cell>
          <cell r="C4744" t="str">
            <v>FORCAPETI B/20CES</v>
          </cell>
        </row>
        <row r="4745">
          <cell r="B4745" t="str">
            <v>FG01403</v>
          </cell>
          <cell r="C4745" t="str">
            <v>FOREDERM ( BETAMETHASONE DIPROPIONATE) CREME 15G</v>
          </cell>
        </row>
        <row r="4746">
          <cell r="B4746" t="str">
            <v>FG01404</v>
          </cell>
          <cell r="C4746" t="str">
            <v>FOREDERM ( BETAMETHASONE DIPROPIONATE) CREME 30G</v>
          </cell>
        </row>
        <row r="4747">
          <cell r="B4747" t="str">
            <v>FG01405</v>
          </cell>
          <cell r="C4747" t="str">
            <v>FORLAX BT DE 20SACH 10MG (FR)</v>
          </cell>
        </row>
        <row r="4748">
          <cell r="B4748" t="str">
            <v>FG01406</v>
          </cell>
          <cell r="C4748" t="str">
            <v>FORLAX SACHT/10 (FR)</v>
          </cell>
        </row>
        <row r="4749">
          <cell r="B4749" t="str">
            <v>FG01407</v>
          </cell>
          <cell r="C4749" t="str">
            <v>FORMETIN 500MG (METFORMINE) B/30CES</v>
          </cell>
        </row>
        <row r="4750">
          <cell r="B4750" t="str">
            <v>FG01408</v>
          </cell>
          <cell r="C4750" t="str">
            <v>FORMETIN 850MG (METFORMINE) B/30CES</v>
          </cell>
        </row>
        <row r="4751">
          <cell r="B4751" t="str">
            <v>FG01409</v>
          </cell>
          <cell r="C4751" t="str">
            <v>FORMETIN SR 1000MG ( METFORMIN LP) B/10 CES</v>
          </cell>
        </row>
        <row r="4752">
          <cell r="B4752" t="str">
            <v>FG01410</v>
          </cell>
          <cell r="C4752" t="str">
            <v>FORMOL 10%</v>
          </cell>
        </row>
        <row r="4753">
          <cell r="B4753" t="str">
            <v>FG01411</v>
          </cell>
          <cell r="C4753" t="str">
            <v>FORMOL 20%</v>
          </cell>
        </row>
        <row r="4754">
          <cell r="B4754" t="str">
            <v>FG01412</v>
          </cell>
          <cell r="C4754" t="str">
            <v>FORTALINE OMEGA3 20CAPS (FR)</v>
          </cell>
        </row>
        <row r="4755">
          <cell r="B4755" t="str">
            <v>FG01413</v>
          </cell>
          <cell r="C4755" t="str">
            <v>FORTICINE 0.3% (GENTAMYCINE) COLLYRE</v>
          </cell>
        </row>
        <row r="4756">
          <cell r="B4756" t="str">
            <v>FG01414</v>
          </cell>
          <cell r="C4756" t="str">
            <v>FORTIDEX COLLYRE</v>
          </cell>
        </row>
        <row r="4757">
          <cell r="B4757" t="str">
            <v>FG01415</v>
          </cell>
          <cell r="C4757" t="str">
            <v>FORTOMEGA PLUS (OMEGA-3 + VIT-E) B/2X10 CAPSULES</v>
          </cell>
        </row>
        <row r="4758">
          <cell r="B4758" t="str">
            <v>FG01416</v>
          </cell>
          <cell r="C4758" t="str">
            <v>FORTRA INHALER 200MG + 6GM FL</v>
          </cell>
        </row>
        <row r="4759">
          <cell r="B4759" t="str">
            <v>FG01417</v>
          </cell>
          <cell r="C4759" t="str">
            <v>FOUANTAIN EUROMAX</v>
          </cell>
        </row>
        <row r="4760">
          <cell r="B4760" t="str">
            <v>FG01418</v>
          </cell>
          <cell r="C4760" t="str">
            <v>FRICKS COUGHT SYRUP ADULSA 100ML</v>
          </cell>
        </row>
        <row r="4761">
          <cell r="B4761" t="str">
            <v>FG01419</v>
          </cell>
          <cell r="C4761" t="str">
            <v>FRICKS GINGER B/24CES</v>
          </cell>
        </row>
        <row r="4762">
          <cell r="B4762" t="str">
            <v>FG01420</v>
          </cell>
          <cell r="C4762" t="str">
            <v>FRICKS LEMON B/24CES</v>
          </cell>
        </row>
        <row r="4763">
          <cell r="B4763" t="str">
            <v>FG01421</v>
          </cell>
          <cell r="C4763" t="str">
            <v>FRICKS MENTHOL B/24CES</v>
          </cell>
        </row>
        <row r="4764">
          <cell r="B4764" t="str">
            <v>FG01422</v>
          </cell>
          <cell r="C4764" t="str">
            <v>FRICKS ORANGE B/24CES</v>
          </cell>
        </row>
        <row r="4765">
          <cell r="B4765" t="str">
            <v>FG01423</v>
          </cell>
          <cell r="C4765" t="str">
            <v>FRIGO</v>
          </cell>
        </row>
        <row r="4766">
          <cell r="B4766" t="str">
            <v>FG01424</v>
          </cell>
          <cell r="C4766" t="str">
            <v>FRITES</v>
          </cell>
        </row>
        <row r="4767">
          <cell r="B4767" t="str">
            <v>FG01425</v>
          </cell>
          <cell r="C4767" t="str">
            <v>FUCHSINE BASIQUE</v>
          </cell>
        </row>
        <row r="4768">
          <cell r="B4768" t="str">
            <v>FG01426</v>
          </cell>
          <cell r="C4768" t="str">
            <v>FUCHSINE PHENIQUE</v>
          </cell>
        </row>
        <row r="4769">
          <cell r="B4769" t="str">
            <v>FG01427</v>
          </cell>
          <cell r="C4769" t="str">
            <v>FUCITHALMIC GEL OPHT.3GR 1% (FR)</v>
          </cell>
        </row>
        <row r="4770">
          <cell r="B4770" t="str">
            <v>FG01428</v>
          </cell>
          <cell r="C4770" t="str">
            <v>FUCLO 250 SP</v>
          </cell>
        </row>
        <row r="4771">
          <cell r="B4771" t="str">
            <v>FG01429</v>
          </cell>
          <cell r="C4771" t="str">
            <v>FUCLO 500MG ING B/1 VIAL</v>
          </cell>
        </row>
        <row r="4772">
          <cell r="B4772" t="str">
            <v>FG01430</v>
          </cell>
          <cell r="C4772" t="str">
            <v>FUNBACT -A CREME TUB/@@ 15GR @@</v>
          </cell>
        </row>
        <row r="4773">
          <cell r="B4773" t="str">
            <v>FG01431</v>
          </cell>
          <cell r="C4773" t="str">
            <v>FUNBACT BEBE SAVO 75GM</v>
          </cell>
        </row>
        <row r="4774">
          <cell r="B4774" t="str">
            <v>FG01432</v>
          </cell>
          <cell r="C4774" t="str">
            <v>FUNBACT POUDRE 50MG</v>
          </cell>
        </row>
        <row r="4775">
          <cell r="B4775" t="str">
            <v>FG01433</v>
          </cell>
          <cell r="C4775" t="str">
            <v>FUNBACT SAVO 125GM</v>
          </cell>
        </row>
        <row r="4776">
          <cell r="B4776" t="str">
            <v>FG01434</v>
          </cell>
          <cell r="C4776" t="str">
            <v>FUNBACT SAVO 75GM</v>
          </cell>
        </row>
        <row r="4777">
          <cell r="B4777" t="str">
            <v>FG01435</v>
          </cell>
          <cell r="C4777" t="str">
            <v>FUNBACT TG LOTION 30ML</v>
          </cell>
        </row>
        <row r="4778">
          <cell r="B4778" t="str">
            <v>FG01436</v>
          </cell>
          <cell r="C4778" t="str">
            <v>FUNBACT-A CREME 30GR</v>
          </cell>
        </row>
        <row r="4779">
          <cell r="B4779" t="str">
            <v>FG01437</v>
          </cell>
          <cell r="C4779" t="str">
            <v>FURADANTINE 50MG B/50 CAPS **** (FR)</v>
          </cell>
        </row>
        <row r="4780">
          <cell r="B4780" t="str">
            <v>FG01438</v>
          </cell>
          <cell r="C4780" t="str">
            <v>FURANTINE 100MG B/10X10CES</v>
          </cell>
        </row>
        <row r="4781">
          <cell r="B4781" t="str">
            <v>FG01439</v>
          </cell>
          <cell r="C4781" t="str">
            <v>FUSIDIQ (ACIDE FUSIDIQUE) CREME T/15G</v>
          </cell>
        </row>
        <row r="4782">
          <cell r="B4782" t="str">
            <v>FG01440</v>
          </cell>
          <cell r="C4782" t="str">
            <v>FYTOBACT (SULBACTAM &amp; CEFO) 1G B1/AMP</v>
          </cell>
        </row>
        <row r="4783">
          <cell r="B4783" t="str">
            <v>FG01441</v>
          </cell>
          <cell r="C4783" t="str">
            <v>FYTOBACT 1 PCS</v>
          </cell>
        </row>
        <row r="4784">
          <cell r="B4784" t="str">
            <v>FG01442</v>
          </cell>
          <cell r="C4784" t="str">
            <v>G-CEFTRIA 1G IM / IV</v>
          </cell>
        </row>
        <row r="4785">
          <cell r="B4785" t="str">
            <v>FG01443</v>
          </cell>
          <cell r="C4785" t="str">
            <v>G-NANCY 1CES</v>
          </cell>
        </row>
        <row r="4786">
          <cell r="B4786" t="str">
            <v>FG01444</v>
          </cell>
          <cell r="C4786" t="str">
            <v>GABIX 100MG B/10 CAP</v>
          </cell>
        </row>
        <row r="4787">
          <cell r="B4787" t="str">
            <v>FG01445</v>
          </cell>
          <cell r="C4787" t="str">
            <v>GABIX 300MG B/10 CAP</v>
          </cell>
        </row>
        <row r="4788">
          <cell r="B4788" t="str">
            <v>FG01446</v>
          </cell>
          <cell r="C4788" t="str">
            <v>GACET-500 (PARA 500MG) EFERVESNT B/16CES</v>
          </cell>
        </row>
        <row r="4789">
          <cell r="B4789" t="str">
            <v>FG01447</v>
          </cell>
          <cell r="C4789" t="str">
            <v>GAMALATE B6 20CES (FR)</v>
          </cell>
        </row>
        <row r="4790">
          <cell r="B4790" t="str">
            <v>FG01448</v>
          </cell>
          <cell r="C4790" t="str">
            <v>GANTCHIRURGICAX NO 7.5 PAIRE/1</v>
          </cell>
        </row>
        <row r="4791">
          <cell r="B4791" t="str">
            <v>FG01449</v>
          </cell>
          <cell r="C4791" t="str">
            <v>GANTCHIRURGICAX NO.8*** PAIRE/1</v>
          </cell>
        </row>
        <row r="4792">
          <cell r="B4792" t="str">
            <v>FG01450</v>
          </cell>
          <cell r="C4792" t="str">
            <v>GARDENAL 100MG 20CES (FR)</v>
          </cell>
        </row>
        <row r="4793">
          <cell r="B4793" t="str">
            <v>FG01451</v>
          </cell>
          <cell r="C4793" t="str">
            <v>GARDENAL 50MG CES B/30 (FR)</v>
          </cell>
        </row>
        <row r="4794">
          <cell r="B4794" t="str">
            <v>FG01452</v>
          </cell>
          <cell r="C4794" t="str">
            <v>GARROTS</v>
          </cell>
        </row>
        <row r="4795">
          <cell r="B4795" t="str">
            <v>FG01453</v>
          </cell>
          <cell r="C4795" t="str">
            <v>GASOGEL 200ML SP</v>
          </cell>
        </row>
        <row r="4796">
          <cell r="B4796" t="str">
            <v>FG01454</v>
          </cell>
          <cell r="C4796" t="str">
            <v>GASTRALGINE SUSP 200ML</v>
          </cell>
        </row>
        <row r="4797">
          <cell r="B4797" t="str">
            <v>FG01455</v>
          </cell>
          <cell r="C4797" t="str">
            <v>GASTROCID SP 100ML</v>
          </cell>
        </row>
        <row r="4798">
          <cell r="B4798" t="str">
            <v>FG01456</v>
          </cell>
          <cell r="C4798" t="str">
            <v>GASTROCOOL (ANTIACIDE) 100ML SP</v>
          </cell>
        </row>
        <row r="4799">
          <cell r="B4799" t="str">
            <v>FG01457</v>
          </cell>
          <cell r="C4799" t="str">
            <v>GASTROMEX 200ML SIROP</v>
          </cell>
        </row>
        <row r="4800">
          <cell r="B4800" t="str">
            <v>FG01458</v>
          </cell>
          <cell r="C4800" t="str">
            <v>GASTROMEX SP 100ML</v>
          </cell>
        </row>
        <row r="4801">
          <cell r="B4801" t="str">
            <v>FG01459</v>
          </cell>
          <cell r="C4801" t="str">
            <v>GASTROSUN SUSP 100ML</v>
          </cell>
        </row>
        <row r="4802">
          <cell r="B4802" t="str">
            <v>FG01460</v>
          </cell>
          <cell r="C4802" t="str">
            <v>GAVISCON SUSP.24 SACHET (EO)</v>
          </cell>
        </row>
        <row r="4803">
          <cell r="B4803" t="str">
            <v>FG01461</v>
          </cell>
          <cell r="C4803" t="str">
            <v>GAVISCON SUSPENSION ORALE 250ML(EO)</v>
          </cell>
        </row>
        <row r="4804">
          <cell r="B4804" t="str">
            <v>FG01462</v>
          </cell>
          <cell r="C4804" t="str">
            <v>GAZ HYDROPHYLLE G.F. PCS/1 (AFRICANO)</v>
          </cell>
        </row>
        <row r="4805">
          <cell r="B4805" t="str">
            <v>FG01463</v>
          </cell>
          <cell r="C4805" t="str">
            <v>GAZ HYDROPHYLLE ROULEAU 100MTS 1 PCS</v>
          </cell>
        </row>
        <row r="4806">
          <cell r="B4806" t="str">
            <v>FG01464</v>
          </cell>
          <cell r="C4806" t="str">
            <v>GAZE HYDROPHILE ( 1 X 1 MTR) GF (UNIQUE)</v>
          </cell>
        </row>
        <row r="4807">
          <cell r="B4807" t="str">
            <v>FG01465</v>
          </cell>
          <cell r="C4807" t="str">
            <v>GAZE HYDROPHILE (0.5 X 1 MTR) PF (UNIQUE)</v>
          </cell>
        </row>
        <row r="4808">
          <cell r="B4808" t="str">
            <v>FG01466</v>
          </cell>
          <cell r="C4808" t="str">
            <v>GEL HYDRO ALCOOLIQUE FL/500ML</v>
          </cell>
        </row>
        <row r="4809">
          <cell r="B4809" t="str">
            <v>FG01467</v>
          </cell>
          <cell r="C4809" t="str">
            <v>GEL HYDRO-ALCOOLIQUE 60ML</v>
          </cell>
        </row>
        <row r="4810">
          <cell r="B4810" t="str">
            <v>FG01468</v>
          </cell>
          <cell r="C4810" t="str">
            <v>GEL POUR ECHOGRAPHIE FL 5L</v>
          </cell>
        </row>
        <row r="4811">
          <cell r="B4811" t="str">
            <v>FG01469</v>
          </cell>
          <cell r="C4811" t="str">
            <v>GENTADEXA COLLYRE 10ML ***** ( LOCAL) *********</v>
          </cell>
        </row>
        <row r="4812">
          <cell r="B4812" t="str">
            <v>FG01470</v>
          </cell>
          <cell r="C4812" t="str">
            <v>GERMOL 100ML LIQUID</v>
          </cell>
        </row>
        <row r="4813">
          <cell r="B4813" t="str">
            <v>FG01471</v>
          </cell>
          <cell r="C4813" t="str">
            <v>GERMOL 50ML LIQUID</v>
          </cell>
        </row>
        <row r="4814">
          <cell r="B4814" t="str">
            <v>FG01472</v>
          </cell>
          <cell r="C4814" t="str">
            <v>GERMOL LIQUID 1000ML</v>
          </cell>
        </row>
        <row r="4815">
          <cell r="B4815" t="str">
            <v>FG01473</v>
          </cell>
          <cell r="C4815" t="str">
            <v>GERMOL SAVON 125GR (GF)</v>
          </cell>
        </row>
        <row r="4816">
          <cell r="B4816" t="str">
            <v>FG01474</v>
          </cell>
          <cell r="C4816" t="str">
            <v>GERMOL SAVON 75GR.</v>
          </cell>
        </row>
        <row r="4817">
          <cell r="B4817" t="str">
            <v>FG01475</v>
          </cell>
          <cell r="C4817" t="str">
            <v>GETRYL 1 MG B/2*10 CES</v>
          </cell>
        </row>
        <row r="4818">
          <cell r="B4818" t="str">
            <v>FG01476</v>
          </cell>
          <cell r="C4818" t="str">
            <v>GETRYL 2 MG B/2*10 CES</v>
          </cell>
        </row>
        <row r="4819">
          <cell r="B4819" t="str">
            <v>FG01477</v>
          </cell>
          <cell r="C4819" t="str">
            <v>GETRYL 3 MG B/2*10 CES</v>
          </cell>
        </row>
        <row r="4820">
          <cell r="B4820" t="str">
            <v>FG01478</v>
          </cell>
          <cell r="C4820" t="str">
            <v>GETRYL 4MG B/2X10 CES</v>
          </cell>
        </row>
        <row r="4821">
          <cell r="B4821" t="str">
            <v>FG01479</v>
          </cell>
          <cell r="C4821" t="str">
            <v>GIEMSA SOLUTION MERE 1LTR</v>
          </cell>
        </row>
        <row r="4822">
          <cell r="B4822" t="str">
            <v>FG01480</v>
          </cell>
          <cell r="C4822" t="str">
            <v>GIFT SET</v>
          </cell>
        </row>
        <row r="4823">
          <cell r="B4823" t="str">
            <v>FG01481</v>
          </cell>
          <cell r="C4823" t="str">
            <v>GLIBEMET B/30 TABLET</v>
          </cell>
        </row>
        <row r="4824">
          <cell r="B4824" t="str">
            <v>FG01482</v>
          </cell>
          <cell r="C4824" t="str">
            <v>GLIBEN 30CES PL</v>
          </cell>
        </row>
        <row r="4825">
          <cell r="B4825" t="str">
            <v>FG01483</v>
          </cell>
          <cell r="C4825" t="str">
            <v>GLIBEN M B/30CES</v>
          </cell>
        </row>
        <row r="4826">
          <cell r="B4826" t="str">
            <v>FG01484</v>
          </cell>
          <cell r="C4826" t="str">
            <v>GLIMEPIRIDE DENK 3 B/30CES</v>
          </cell>
        </row>
        <row r="4827">
          <cell r="B4827" t="str">
            <v>FG01485</v>
          </cell>
          <cell r="C4827" t="str">
            <v>GLIMEPIRIDE DENK 2 B/30CES</v>
          </cell>
        </row>
        <row r="4828">
          <cell r="B4828" t="str">
            <v>FG01486</v>
          </cell>
          <cell r="C4828" t="str">
            <v>GLUCOMET FORTE B/30 CMPRIMES</v>
          </cell>
        </row>
        <row r="4829">
          <cell r="B4829" t="str">
            <v>FG01487</v>
          </cell>
          <cell r="C4829" t="str">
            <v>GLUCOMETRE CONTOUR</v>
          </cell>
        </row>
        <row r="4830">
          <cell r="B4830" t="str">
            <v>FG01488</v>
          </cell>
          <cell r="C4830" t="str">
            <v>GLUCOPHAGE 1GR 30CES (EO)</v>
          </cell>
        </row>
        <row r="4831">
          <cell r="B4831" t="str">
            <v>FG01489</v>
          </cell>
          <cell r="C4831" t="str">
            <v>GLUCOPHAGE 500MG 30CES (EO)</v>
          </cell>
        </row>
        <row r="4832">
          <cell r="B4832" t="str">
            <v>FG01490</v>
          </cell>
          <cell r="C4832" t="str">
            <v>GLUCOPHAGE 500MG 60CES (FR)</v>
          </cell>
        </row>
        <row r="4833">
          <cell r="B4833" t="str">
            <v>FG01491</v>
          </cell>
          <cell r="C4833" t="str">
            <v>GLUCOPHAGE RETARD 850MG 30CES (FR)</v>
          </cell>
        </row>
        <row r="4834">
          <cell r="B4834" t="str">
            <v>FG01492</v>
          </cell>
          <cell r="C4834" t="str">
            <v>GLUCOPHAGE RETARD PLS 25CES 850MG</v>
          </cell>
        </row>
        <row r="4835">
          <cell r="B4835" t="str">
            <v>FG01493</v>
          </cell>
          <cell r="C4835" t="str">
            <v>GLUCOSE HYPERTONIQUE 50ML</v>
          </cell>
        </row>
        <row r="4836">
          <cell r="B4836" t="str">
            <v>FG01494</v>
          </cell>
          <cell r="C4836" t="str">
            <v>GLUCOVANCE 500MG/2.5MG B/30 (FR)</v>
          </cell>
        </row>
        <row r="4837">
          <cell r="B4837" t="str">
            <v>FG01495</v>
          </cell>
          <cell r="C4837" t="str">
            <v>GLYCERINE 10SUPP BEBE</v>
          </cell>
        </row>
        <row r="4838">
          <cell r="B4838" t="str">
            <v>FG01496</v>
          </cell>
          <cell r="C4838" t="str">
            <v>GLYMAT (GLICLAZIDE 80MG+ METFORMIN 500MG) B/30CES</v>
          </cell>
        </row>
        <row r="4839">
          <cell r="B4839" t="str">
            <v>FG01497</v>
          </cell>
          <cell r="C4839" t="str">
            <v>GLYMAX LP 500MG/2MG CP B/30</v>
          </cell>
        </row>
        <row r="4840">
          <cell r="B4840" t="str">
            <v>FG01498</v>
          </cell>
          <cell r="C4840" t="str">
            <v>GODECINE POMMADE 30GR</v>
          </cell>
        </row>
        <row r="4841">
          <cell r="B4841" t="str">
            <v>FG01499</v>
          </cell>
          <cell r="C4841" t="str">
            <v>GODISA POMMADE 50GR</v>
          </cell>
        </row>
        <row r="4842">
          <cell r="B4842" t="str">
            <v>FG01500</v>
          </cell>
          <cell r="C4842" t="str">
            <v>GOGYNAX B/6OVULE</v>
          </cell>
        </row>
        <row r="4843">
          <cell r="B4843" t="str">
            <v>FG01501</v>
          </cell>
          <cell r="C4843" t="str">
            <v>GOGYNAX CREME 30GR.</v>
          </cell>
        </row>
        <row r="4844">
          <cell r="B4844" t="str">
            <v>FG01502</v>
          </cell>
          <cell r="C4844" t="str">
            <v>GOGYNAX I-WASH 100ML LIQUIDE</v>
          </cell>
        </row>
        <row r="4845">
          <cell r="B4845" t="str">
            <v>FG01503</v>
          </cell>
          <cell r="C4845" t="str">
            <v>GOT KIT</v>
          </cell>
        </row>
        <row r="4846">
          <cell r="B4846" t="str">
            <v>FG01504</v>
          </cell>
          <cell r="C4846" t="str">
            <v>GOUTTE BLUE 15ML</v>
          </cell>
        </row>
        <row r="4847">
          <cell r="B4847" t="str">
            <v>FG01505</v>
          </cell>
          <cell r="C4847" t="str">
            <v>GPT KIT</v>
          </cell>
        </row>
        <row r="4848">
          <cell r="B4848" t="str">
            <v>FG01506</v>
          </cell>
          <cell r="C4848" t="str">
            <v>GRAMOCEF O (CEFIXIME) 200MG B10CES</v>
          </cell>
        </row>
        <row r="4849">
          <cell r="B4849" t="str">
            <v>FG01507</v>
          </cell>
          <cell r="C4849" t="str">
            <v>GRAMOCEF O (CEFIXIME) 400MG B10CES</v>
          </cell>
        </row>
        <row r="4850">
          <cell r="B4850" t="str">
            <v>FG01508</v>
          </cell>
          <cell r="C4850" t="str">
            <v>GRAMOCEF-0-50MG (CEFIXIME) 100ML SP</v>
          </cell>
        </row>
        <row r="4851">
          <cell r="B4851" t="str">
            <v>FG01509</v>
          </cell>
          <cell r="C4851" t="str">
            <v>GRAMOCEFF O 200 (CEFIXIM 200MG) B/10CAP</v>
          </cell>
        </row>
        <row r="4852">
          <cell r="B4852" t="str">
            <v>FG01510</v>
          </cell>
          <cell r="C4852" t="str">
            <v>GRANCEF (CEFTRIAXONE) 1GR INJ</v>
          </cell>
        </row>
        <row r="4853">
          <cell r="B4853" t="str">
            <v>FG01511</v>
          </cell>
          <cell r="C4853" t="str">
            <v>GRANI DENK 1MG/1ML B/5 AMP</v>
          </cell>
        </row>
        <row r="4854">
          <cell r="B4854" t="str">
            <v>FG01512</v>
          </cell>
          <cell r="C4854" t="str">
            <v>GRANTAX (CEFOTAXIM) 1GR INJ</v>
          </cell>
        </row>
        <row r="4855">
          <cell r="B4855" t="str">
            <v>FG01513</v>
          </cell>
          <cell r="C4855" t="str">
            <v>GRIMOL SUSP 50ML</v>
          </cell>
        </row>
        <row r="4856">
          <cell r="B4856" t="str">
            <v>FG01514</v>
          </cell>
          <cell r="C4856" t="str">
            <v>GRIPAL B/20CAPS</v>
          </cell>
        </row>
        <row r="4857">
          <cell r="B4857" t="str">
            <v>FG01515</v>
          </cell>
          <cell r="C4857" t="str">
            <v>GRIPAL NOURRISSON 100ML</v>
          </cell>
        </row>
        <row r="4858">
          <cell r="B4858" t="str">
            <v>FG01516</v>
          </cell>
          <cell r="C4858" t="str">
            <v>GRIPAL SP ADULT 100ML</v>
          </cell>
        </row>
        <row r="4859">
          <cell r="B4859" t="str">
            <v>FG01517</v>
          </cell>
          <cell r="C4859" t="str">
            <v>GRIPAL SP ENFANT 100ML</v>
          </cell>
        </row>
        <row r="4860">
          <cell r="B4860" t="str">
            <v>FG01518</v>
          </cell>
          <cell r="C4860" t="str">
            <v>GRIPPEX ADULTE 100ML SP</v>
          </cell>
        </row>
        <row r="4861">
          <cell r="B4861" t="str">
            <v>FG01519</v>
          </cell>
          <cell r="C4861" t="str">
            <v>GRIPPEX ENFANT 100ML SP</v>
          </cell>
        </row>
        <row r="4862">
          <cell r="B4862" t="str">
            <v>FG01520</v>
          </cell>
          <cell r="C4862" t="str">
            <v>GRISEFULINE 250MG 30CES (EO)</v>
          </cell>
        </row>
        <row r="4863">
          <cell r="B4863" t="str">
            <v>FG01521</v>
          </cell>
          <cell r="C4863" t="str">
            <v>GRISEFULINE 500MG 20CES (EO)</v>
          </cell>
        </row>
        <row r="4864">
          <cell r="B4864" t="str">
            <v>FG01522</v>
          </cell>
          <cell r="C4864" t="str">
            <v>GRISEOFULVINE POMMDE 5% 15GR (UNIQUE)</v>
          </cell>
        </row>
        <row r="4865">
          <cell r="B4865" t="str">
            <v>FG01523</v>
          </cell>
          <cell r="C4865" t="str">
            <v>GROUP 1.9 KV</v>
          </cell>
        </row>
        <row r="4866">
          <cell r="B4866" t="str">
            <v>FG01524</v>
          </cell>
          <cell r="C4866" t="str">
            <v>GROUP 2.5 KVA</v>
          </cell>
        </row>
        <row r="4867">
          <cell r="B4867" t="str">
            <v>FG01525</v>
          </cell>
          <cell r="C4867" t="str">
            <v>GROUP 5KV</v>
          </cell>
        </row>
        <row r="4868">
          <cell r="B4868" t="str">
            <v>FG01526</v>
          </cell>
          <cell r="C4868" t="str">
            <v>GROUPE 1900</v>
          </cell>
        </row>
        <row r="4869">
          <cell r="B4869" t="str">
            <v>FG01527</v>
          </cell>
          <cell r="C4869" t="str">
            <v>GROUPE 2900/3700</v>
          </cell>
        </row>
        <row r="4870">
          <cell r="B4870" t="str">
            <v>FG01528</v>
          </cell>
          <cell r="C4870" t="str">
            <v>GSUNATE (ARTE 120 MG ) IV/IM B/1AMP</v>
          </cell>
        </row>
        <row r="4871">
          <cell r="B4871" t="str">
            <v>FG01529</v>
          </cell>
          <cell r="C4871" t="str">
            <v>GSUNATE (ARTESUNATE 60MG ) IV/IM B/1AMP</v>
          </cell>
        </row>
        <row r="4872">
          <cell r="B4872" t="str">
            <v>FG01530</v>
          </cell>
          <cell r="C4872" t="str">
            <v>GSUNATE-30 (ARTESUNATE 30 MG) IV/IM B/1AMP</v>
          </cell>
        </row>
        <row r="4873">
          <cell r="B4873" t="str">
            <v>FG01531</v>
          </cell>
          <cell r="C4873" t="str">
            <v>GYFLORINE B/6 OVULES</v>
          </cell>
        </row>
        <row r="4874">
          <cell r="B4874" t="str">
            <v>FG01532</v>
          </cell>
          <cell r="C4874" t="str">
            <v>GYNO FAST OVULES</v>
          </cell>
        </row>
        <row r="4875">
          <cell r="B4875" t="str">
            <v>FG01533</v>
          </cell>
          <cell r="C4875" t="str">
            <v>GYNOBACT (ACIDE LACTIQUE) LIQUIDE DE LAVAGE 100ML</v>
          </cell>
        </row>
        <row r="4876">
          <cell r="B4876" t="str">
            <v>FG01534</v>
          </cell>
          <cell r="C4876" t="str">
            <v>GYNOBACT B/7 OVULE</v>
          </cell>
        </row>
        <row r="4877">
          <cell r="B4877" t="str">
            <v>FG01535</v>
          </cell>
          <cell r="C4877" t="str">
            <v>GYNOFER B12 200ML SYRUP</v>
          </cell>
        </row>
        <row r="4878">
          <cell r="B4878" t="str">
            <v>FG01536</v>
          </cell>
          <cell r="C4878" t="str">
            <v>GYNOKLEEN (ACIDE LACTIQUE) 100ML</v>
          </cell>
        </row>
        <row r="4879">
          <cell r="B4879" t="str">
            <v>FG01537</v>
          </cell>
          <cell r="C4879" t="str">
            <v>GYNOKLEEN VB (ACID LACTIC) B/7 OV</v>
          </cell>
        </row>
        <row r="4880">
          <cell r="B4880" t="str">
            <v>FG01538</v>
          </cell>
          <cell r="C4880" t="str">
            <v>GYNOMAX B/6OVULES</v>
          </cell>
        </row>
        <row r="4881">
          <cell r="B4881" t="str">
            <v>FG01539</v>
          </cell>
          <cell r="C4881" t="str">
            <v>GYNOSPAN B/30CES</v>
          </cell>
        </row>
        <row r="4882">
          <cell r="B4882" t="str">
            <v>FG01540</v>
          </cell>
          <cell r="C4882" t="str">
            <v>GYNOSPAN B/6 AMP</v>
          </cell>
        </row>
        <row r="4883">
          <cell r="B4883" t="str">
            <v>FG01541</v>
          </cell>
          <cell r="C4883" t="str">
            <v>H-KENDE 30GM</v>
          </cell>
        </row>
        <row r="4884">
          <cell r="B4884" t="str">
            <v>FG01542</v>
          </cell>
          <cell r="C4884" t="str">
            <v>HACTOSEC SIROP 150ML</v>
          </cell>
        </row>
        <row r="4885">
          <cell r="B4885" t="str">
            <v>FG01543</v>
          </cell>
          <cell r="C4885" t="str">
            <v>HAEM PLUS SIROP</v>
          </cell>
        </row>
        <row r="4886">
          <cell r="B4886" t="str">
            <v>FG01544</v>
          </cell>
          <cell r="C4886" t="str">
            <v>HAEM UP B/30CAPS</v>
          </cell>
        </row>
        <row r="4887">
          <cell r="B4887" t="str">
            <v>FG01545</v>
          </cell>
          <cell r="C4887" t="str">
            <v>HAEM UP SP 200ML</v>
          </cell>
        </row>
        <row r="4888">
          <cell r="B4888" t="str">
            <v>FG01546</v>
          </cell>
          <cell r="C4888" t="str">
            <v>HAEMATONE 100ML SIROP</v>
          </cell>
        </row>
        <row r="4889">
          <cell r="B4889" t="str">
            <v>FG01547</v>
          </cell>
          <cell r="C4889" t="str">
            <v>HAEMERON HAEMATINIC TONIC 200ML SIROP</v>
          </cell>
        </row>
        <row r="4890">
          <cell r="B4890" t="str">
            <v>FG01548</v>
          </cell>
          <cell r="C4890" t="str">
            <v>HAEMERON Z SYRUP</v>
          </cell>
        </row>
        <row r="4891">
          <cell r="B4891" t="str">
            <v>FG01549</v>
          </cell>
          <cell r="C4891" t="str">
            <v>HALDOL 5MG 30CES (FR)</v>
          </cell>
        </row>
        <row r="4892">
          <cell r="B4892" t="str">
            <v>FG01550</v>
          </cell>
          <cell r="C4892" t="str">
            <v>HALDOL DECANOAS -100MG- 1AMP 1ML (FR)</v>
          </cell>
        </row>
        <row r="4893">
          <cell r="B4893" t="str">
            <v>FG01551</v>
          </cell>
          <cell r="C4893" t="str">
            <v>HALDOL DECONAOS -50MG- B/5AMP (FR)</v>
          </cell>
        </row>
        <row r="4894">
          <cell r="B4894" t="str">
            <v>FG01552</v>
          </cell>
          <cell r="C4894" t="str">
            <v>HALDOL GOUTTES 15ML (FR)</v>
          </cell>
        </row>
        <row r="4895">
          <cell r="B4895" t="str">
            <v>FG01553</v>
          </cell>
          <cell r="C4895" t="str">
            <v>HALOTHANE (FLUOTHANE) ANESTHESIQUE A INHALER 250ML</v>
          </cell>
        </row>
        <row r="4896">
          <cell r="B4896" t="str">
            <v>FG01554</v>
          </cell>
          <cell r="C4896" t="str">
            <v>HAND FAN</v>
          </cell>
        </row>
        <row r="4897">
          <cell r="B4897" t="str">
            <v>FG01555</v>
          </cell>
          <cell r="C4897" t="str">
            <v>HAND SANITIZER</v>
          </cell>
        </row>
        <row r="4898">
          <cell r="B4898" t="str">
            <v>FG01556</v>
          </cell>
          <cell r="C4898" t="str">
            <v>HAND WATCH</v>
          </cell>
        </row>
        <row r="4899">
          <cell r="B4899" t="str">
            <v>FG01557</v>
          </cell>
          <cell r="C4899" t="str">
            <v>HDD 1TB</v>
          </cell>
        </row>
        <row r="4900">
          <cell r="B4900" t="str">
            <v>FG01558</v>
          </cell>
          <cell r="C4900" t="str">
            <v>HDD 2TB</v>
          </cell>
        </row>
        <row r="4901">
          <cell r="B4901" t="str">
            <v>FG01559</v>
          </cell>
          <cell r="C4901" t="str">
            <v>HELICOCIN 42CES (FR)</v>
          </cell>
        </row>
        <row r="4902">
          <cell r="B4902" t="str">
            <v>FG01560</v>
          </cell>
          <cell r="C4902" t="str">
            <v>HELMINTOX 125 MG 6CES (FR)</v>
          </cell>
        </row>
        <row r="4903">
          <cell r="B4903" t="str">
            <v>FG01561</v>
          </cell>
          <cell r="C4903" t="str">
            <v>HELMINTOX 250MG 3CES (FR)</v>
          </cell>
        </row>
        <row r="4904">
          <cell r="B4904" t="str">
            <v>FG01562</v>
          </cell>
          <cell r="C4904" t="str">
            <v>HELMINTOX SUSP.AD.1 SACHET 15ML</v>
          </cell>
        </row>
        <row r="4905">
          <cell r="B4905" t="str">
            <v>FG01563</v>
          </cell>
          <cell r="C4905" t="str">
            <v>HEMAMEX SUSP. 100ML</v>
          </cell>
        </row>
        <row r="4906">
          <cell r="B4906" t="str">
            <v>FG01564</v>
          </cell>
          <cell r="C4906" t="str">
            <v>HEMAMEX SUSP. 200ML</v>
          </cell>
        </row>
        <row r="4907">
          <cell r="B4907" t="str">
            <v>FG01565</v>
          </cell>
          <cell r="C4907" t="str">
            <v>HEMODIALYSIS CONC POWDER ( PART A) DRYCONS 35 X</v>
          </cell>
        </row>
        <row r="4908">
          <cell r="B4908" t="str">
            <v>FG01566</v>
          </cell>
          <cell r="C4908" t="str">
            <v>HEMOFORCE PLUS** ZINC** SYR200ML</v>
          </cell>
        </row>
        <row r="4909">
          <cell r="B4909" t="str">
            <v>FG01567</v>
          </cell>
          <cell r="C4909" t="str">
            <v>HEMOFORCE SIROP 200ML</v>
          </cell>
        </row>
        <row r="4910">
          <cell r="B4910" t="str">
            <v>FG01568</v>
          </cell>
          <cell r="C4910" t="str">
            <v>HEMOGLOBINE B12 SP 100ML (PHATKIN)</v>
          </cell>
        </row>
        <row r="4911">
          <cell r="B4911" t="str">
            <v>FG01569</v>
          </cell>
          <cell r="C4911" t="str">
            <v>HEMOGLOBINOMETRE</v>
          </cell>
        </row>
        <row r="4912">
          <cell r="B4912" t="str">
            <v>FG01570</v>
          </cell>
          <cell r="C4912" t="str">
            <v>HEMOPRIN 100ML SIROP</v>
          </cell>
        </row>
        <row r="4913">
          <cell r="B4913" t="str">
            <v>FG01571</v>
          </cell>
          <cell r="C4913" t="str">
            <v>HEMORECTAL B/6SUPPOS (POLY)</v>
          </cell>
        </row>
        <row r="4914">
          <cell r="B4914" t="str">
            <v>FG01572</v>
          </cell>
          <cell r="C4914" t="str">
            <v>HEMOREX CAPSULES PLS 2X10 CAP</v>
          </cell>
        </row>
        <row r="4915">
          <cell r="B4915" t="str">
            <v>FG01573</v>
          </cell>
          <cell r="C4915" t="str">
            <v>HEMORROIDAL HC 10 SUPPOS</v>
          </cell>
        </row>
        <row r="4916">
          <cell r="B4916" t="str">
            <v>FG01574</v>
          </cell>
          <cell r="C4916" t="str">
            <v>HEMORROIDAL SUPPOS B/10 (LOCAL)</v>
          </cell>
        </row>
        <row r="4917">
          <cell r="B4917" t="str">
            <v>FG01575</v>
          </cell>
          <cell r="C4917" t="str">
            <v>HEMOVIT SIROP 200ML (SUN GOLD)***</v>
          </cell>
        </row>
        <row r="4918">
          <cell r="B4918" t="str">
            <v>FG01576</v>
          </cell>
          <cell r="C4918" t="str">
            <v>HEPAQUE (HEPARIN) 5000UI/5ML INJ.B/5AMP</v>
          </cell>
        </row>
        <row r="4919">
          <cell r="B4919" t="str">
            <v>FG01577</v>
          </cell>
          <cell r="C4919" t="str">
            <v>HEPARIN 5000UI/5ML INJ.B/5AMP</v>
          </cell>
        </row>
        <row r="4920">
          <cell r="B4920" t="str">
            <v>FG01578</v>
          </cell>
          <cell r="C4920" t="str">
            <v>HEPTIN (CYPROHEPTADINE) B/20CES</v>
          </cell>
        </row>
        <row r="4921">
          <cell r="B4921" t="str">
            <v>FG01579</v>
          </cell>
          <cell r="C4921" t="str">
            <v>HEPTIN (CYPROHEPTADINE) SP</v>
          </cell>
        </row>
        <row r="4922">
          <cell r="B4922" t="str">
            <v>FG01580</v>
          </cell>
          <cell r="C4922" t="str">
            <v>HEPTIN B/10 X 10 CES</v>
          </cell>
        </row>
        <row r="4923">
          <cell r="B4923" t="str">
            <v>FG01581</v>
          </cell>
          <cell r="C4923" t="str">
            <v>HEPTIN PLUS B/40 CES</v>
          </cell>
        </row>
        <row r="4924">
          <cell r="B4924" t="str">
            <v>FG01582</v>
          </cell>
          <cell r="C4924" t="str">
            <v>HEPTIN PLUS SIROP 200ML</v>
          </cell>
        </row>
        <row r="4925">
          <cell r="B4925" t="str">
            <v>FG01583</v>
          </cell>
          <cell r="C4925" t="str">
            <v>HERCULES B/30 CAP</v>
          </cell>
        </row>
        <row r="4926">
          <cell r="B4926" t="str">
            <v>FG01584</v>
          </cell>
          <cell r="C4926" t="str">
            <v>HERVIZI 5GM CREME</v>
          </cell>
        </row>
        <row r="4927">
          <cell r="B4927" t="str">
            <v>FG01585</v>
          </cell>
          <cell r="C4927" t="str">
            <v>HEXA SPRAY COLLU FL/30G</v>
          </cell>
        </row>
        <row r="4928">
          <cell r="B4928" t="str">
            <v>FG01586</v>
          </cell>
          <cell r="C4928" t="str">
            <v>HEXTRIL SOLUTION 200ML</v>
          </cell>
        </row>
        <row r="4929">
          <cell r="B4929" t="str">
            <v>FG01587</v>
          </cell>
          <cell r="C4929" t="str">
            <v>HIFER (FER+ACIDE FOLIC) B/ 3X10 CES</v>
          </cell>
        </row>
        <row r="4930">
          <cell r="B4930" t="str">
            <v>FG01588</v>
          </cell>
          <cell r="C4930" t="str">
            <v>HIFER (FER+ACIDE FOLIQUE) SIRUP FL/150ML</v>
          </cell>
        </row>
        <row r="4931">
          <cell r="B4931" t="str">
            <v>FG01589</v>
          </cell>
          <cell r="C4931" t="str">
            <v>HIFER 20MG/ML (SACCHAROSE FER) INJ. 5ML B/1 AMP</v>
          </cell>
        </row>
        <row r="4932">
          <cell r="B4932" t="str">
            <v>FG01590</v>
          </cell>
          <cell r="C4932" t="str">
            <v>HIFER-Z (ANTI-ANEMIC) SIROP 200ML</v>
          </cell>
        </row>
        <row r="4933">
          <cell r="B4933" t="str">
            <v>FG01591</v>
          </cell>
          <cell r="C4933" t="str">
            <v>HISTAMINIC EXP. SIROP 100ML</v>
          </cell>
        </row>
        <row r="4934">
          <cell r="B4934" t="str">
            <v>FG01592</v>
          </cell>
          <cell r="C4934" t="str">
            <v>HOMMEX 3X10 CAPS (HARBAL)</v>
          </cell>
        </row>
        <row r="4935">
          <cell r="B4935" t="str">
            <v>FG01593</v>
          </cell>
          <cell r="C4935" t="str">
            <v>HP LAPTOP</v>
          </cell>
        </row>
        <row r="4936">
          <cell r="B4936" t="str">
            <v>FG01594</v>
          </cell>
          <cell r="C4936" t="str">
            <v>HP PRINTER</v>
          </cell>
        </row>
        <row r="4937">
          <cell r="B4937" t="str">
            <v>FG01595</v>
          </cell>
          <cell r="C4937" t="str">
            <v>HP-3 KIT PL/1</v>
          </cell>
        </row>
        <row r="4938">
          <cell r="B4938" t="str">
            <v>FG01596</v>
          </cell>
          <cell r="C4938" t="str">
            <v>HUILE 1 LTS</v>
          </cell>
        </row>
        <row r="4939">
          <cell r="B4939" t="str">
            <v>FG01597</v>
          </cell>
          <cell r="C4939" t="str">
            <v>HUILE A IMMERSION 1LTR</v>
          </cell>
        </row>
        <row r="4940">
          <cell r="B4940" t="str">
            <v>FG01598</v>
          </cell>
          <cell r="C4940" t="str">
            <v>HUILE DE PARAFINE 60 ML</v>
          </cell>
        </row>
        <row r="4941">
          <cell r="B4941" t="str">
            <v>FG01599</v>
          </cell>
          <cell r="C4941" t="str">
            <v>HUILE DE RICIN 60ML</v>
          </cell>
        </row>
        <row r="4942">
          <cell r="B4942" t="str">
            <v>FG01600</v>
          </cell>
          <cell r="C4942" t="str">
            <v>HUILE GOMENOLEE 1%</v>
          </cell>
        </row>
        <row r="4943">
          <cell r="B4943" t="str">
            <v>FG01601</v>
          </cell>
          <cell r="C4943" t="str">
            <v>HUILE GOMNOLEE 2%</v>
          </cell>
        </row>
        <row r="4944">
          <cell r="B4944" t="str">
            <v>FG01602</v>
          </cell>
          <cell r="C4944" t="str">
            <v>HUMEX SIROP ADULTE</v>
          </cell>
        </row>
        <row r="4945">
          <cell r="B4945" t="str">
            <v>FG01603</v>
          </cell>
          <cell r="C4945" t="str">
            <v>HYDREA 500MG 100 CAPSULES (FR)</v>
          </cell>
        </row>
        <row r="4946">
          <cell r="B4946" t="str">
            <v>FG01604</v>
          </cell>
          <cell r="C4946" t="str">
            <v>HYDROSOL POLYVITAMINE SOL.BUV. 30ML (FR)</v>
          </cell>
        </row>
        <row r="4947">
          <cell r="B4947" t="str">
            <v>FG01605</v>
          </cell>
          <cell r="C4947" t="str">
            <v>HYDROXY CHLOROQUINE 200MG B/20CES</v>
          </cell>
        </row>
        <row r="4948">
          <cell r="B4948" t="str">
            <v>FG01606</v>
          </cell>
          <cell r="C4948" t="str">
            <v>HYGROMETER DIGITAL</v>
          </cell>
        </row>
        <row r="4949">
          <cell r="B4949" t="str">
            <v>FG01607</v>
          </cell>
          <cell r="C4949" t="str">
            <v>HYPARTIL PLUS B/30CES</v>
          </cell>
        </row>
        <row r="4950">
          <cell r="B4950" t="str">
            <v>FG01608</v>
          </cell>
          <cell r="C4950" t="str">
            <v>HYSTEN 0.3% 10ML COLLYRE</v>
          </cell>
        </row>
        <row r="4951">
          <cell r="B4951" t="str">
            <v>FG01609</v>
          </cell>
          <cell r="C4951" t="str">
            <v>I PHONE</v>
          </cell>
        </row>
        <row r="4952">
          <cell r="B4952" t="str">
            <v>FG01610</v>
          </cell>
          <cell r="C4952" t="str">
            <v>IBU PLUS SUSP (IBUPRO.+PARA.) 60ML</v>
          </cell>
        </row>
        <row r="4953">
          <cell r="B4953" t="str">
            <v>FG01611</v>
          </cell>
          <cell r="C4953" t="str">
            <v>IBUCAP 25 X 10 CAPS</v>
          </cell>
        </row>
        <row r="4954">
          <cell r="B4954" t="str">
            <v>FG01612</v>
          </cell>
          <cell r="C4954" t="str">
            <v>IBUCAP **FORT** B/10X10CAPS</v>
          </cell>
        </row>
        <row r="4955">
          <cell r="B4955" t="str">
            <v>FG01613</v>
          </cell>
          <cell r="C4955" t="str">
            <v>IBUCAP B/10X10 CAP</v>
          </cell>
        </row>
        <row r="4956">
          <cell r="B4956" t="str">
            <v>FG01614</v>
          </cell>
          <cell r="C4956" t="str">
            <v>IBUCAP COLD &amp; FLU SYRP 100ML</v>
          </cell>
        </row>
        <row r="4957">
          <cell r="B4957" t="str">
            <v>FG01615</v>
          </cell>
          <cell r="C4957" t="str">
            <v>IBUCAP COLF &amp; FLU B/4 TAB</v>
          </cell>
        </row>
        <row r="4958">
          <cell r="B4958" t="str">
            <v>FG01616</v>
          </cell>
          <cell r="C4958" t="str">
            <v>IBUCAP GEL 30G</v>
          </cell>
        </row>
        <row r="4959">
          <cell r="B4959" t="str">
            <v>FG01617</v>
          </cell>
          <cell r="C4959" t="str">
            <v>IBUCAP SUSP 100/125MG 60ML</v>
          </cell>
        </row>
        <row r="4960">
          <cell r="B4960" t="str">
            <v>FG01618</v>
          </cell>
          <cell r="C4960" t="str">
            <v>IBUMOL (IBU+PARA) SP 60ML</v>
          </cell>
        </row>
        <row r="4961">
          <cell r="B4961" t="str">
            <v>FG01619</v>
          </cell>
          <cell r="C4961" t="str">
            <v>IBUMOL (IBU+PARA+CAF) 10X10CAPS</v>
          </cell>
        </row>
        <row r="4962">
          <cell r="B4962" t="str">
            <v>FG01620</v>
          </cell>
          <cell r="C4962" t="str">
            <v>IBUNAL FORTE B/10 CAPS</v>
          </cell>
        </row>
        <row r="4963">
          <cell r="B4963" t="str">
            <v>FG01621</v>
          </cell>
          <cell r="C4963" t="str">
            <v>IBUPAR (IBU+PARA)SP 60ML</v>
          </cell>
        </row>
        <row r="4964">
          <cell r="B4964" t="str">
            <v>FG01622</v>
          </cell>
          <cell r="C4964" t="str">
            <v>IBUPROFEN 200MG B/10X10 CES</v>
          </cell>
        </row>
        <row r="4965">
          <cell r="B4965" t="str">
            <v>FG01623</v>
          </cell>
          <cell r="C4965" t="str">
            <v>IBUPROFEN DENK 400MG PL/10CES</v>
          </cell>
        </row>
        <row r="4966">
          <cell r="B4966" t="str">
            <v>FG01624</v>
          </cell>
          <cell r="C4966" t="str">
            <v>IBUPROFEN DENK 600MG B/20 (FR)</v>
          </cell>
        </row>
        <row r="4967">
          <cell r="B4967" t="str">
            <v>FG01625</v>
          </cell>
          <cell r="C4967" t="str">
            <v>IBUPROFEN SIROP 100ML FL</v>
          </cell>
        </row>
        <row r="4968">
          <cell r="B4968" t="str">
            <v>FG01626</v>
          </cell>
          <cell r="C4968" t="str">
            <v>IDEOS 30CES (FR)</v>
          </cell>
        </row>
        <row r="4969">
          <cell r="B4969" t="str">
            <v>FG01627</v>
          </cell>
          <cell r="C4969" t="str">
            <v>IMAZOLE V-7OVULES (CLOTRIMOXAZOLE)</v>
          </cell>
        </row>
        <row r="4970">
          <cell r="B4970" t="str">
            <v>FG01628</v>
          </cell>
          <cell r="C4970" t="str">
            <v>IMILAST (IMIP. 500 + CILAST. 500) INJ.B/ 1 FLACON</v>
          </cell>
        </row>
        <row r="4971">
          <cell r="B4971" t="str">
            <v>FG01629</v>
          </cell>
          <cell r="C4971" t="str">
            <v>IMMUN ACTIVE DENK SACHETS B/20(FR)</v>
          </cell>
        </row>
        <row r="4972">
          <cell r="B4972" t="str">
            <v>FG01630</v>
          </cell>
          <cell r="C4972" t="str">
            <v>IMODIUM 2MG CAPS 6 (EO)</v>
          </cell>
        </row>
        <row r="4973">
          <cell r="B4973" t="str">
            <v>FG01631</v>
          </cell>
          <cell r="C4973" t="str">
            <v>IMODIUM B/20CAPS (FR)</v>
          </cell>
        </row>
        <row r="4974">
          <cell r="B4974" t="str">
            <v>FG01632</v>
          </cell>
          <cell r="C4974" t="str">
            <v>INDACIDE 200ML SP</v>
          </cell>
        </row>
        <row r="4975">
          <cell r="B4975" t="str">
            <v>FG01633</v>
          </cell>
          <cell r="C4975" t="str">
            <v>INDAFLEX 30GR CREMA</v>
          </cell>
        </row>
        <row r="4976">
          <cell r="B4976" t="str">
            <v>FG01634</v>
          </cell>
          <cell r="C4976" t="str">
            <v>INDAMOL (PARACETAMOL) 100ML INFUSION</v>
          </cell>
        </row>
        <row r="4977">
          <cell r="B4977" t="str">
            <v>FG01635</v>
          </cell>
          <cell r="C4977" t="str">
            <v>INDO COLLYRE (GENERIQUE)</v>
          </cell>
        </row>
        <row r="4978">
          <cell r="B4978" t="str">
            <v>FG01636</v>
          </cell>
          <cell r="C4978" t="str">
            <v>INDOBIS COLLYRE 0.1% 5ML</v>
          </cell>
        </row>
        <row r="4979">
          <cell r="B4979" t="str">
            <v>FG01637</v>
          </cell>
          <cell r="C4979" t="str">
            <v>INDOCOLLYRE 1% FL/5ML (EO)</v>
          </cell>
        </row>
        <row r="4980">
          <cell r="B4980" t="str">
            <v>FG01638</v>
          </cell>
          <cell r="C4980" t="str">
            <v>INDOMET 100MG B/10SUPPO</v>
          </cell>
        </row>
        <row r="4981">
          <cell r="B4981" t="str">
            <v>FG01639</v>
          </cell>
          <cell r="C4981" t="str">
            <v>INDONIQUE 0.1% (INDOMETHACINE) COLLYRE 10ML</v>
          </cell>
        </row>
        <row r="4982">
          <cell r="B4982" t="str">
            <v>FG01640</v>
          </cell>
          <cell r="C4982" t="str">
            <v>INEXIUM 40MG 14CES(FR)</v>
          </cell>
        </row>
        <row r="4983">
          <cell r="B4983" t="str">
            <v>FG01641</v>
          </cell>
          <cell r="C4983" t="str">
            <v>INFEN -25 (DEXKETOPROFEN ) 25MG B/10CES</v>
          </cell>
        </row>
        <row r="4984">
          <cell r="B4984" t="str">
            <v>FG01642</v>
          </cell>
          <cell r="C4984" t="str">
            <v>INSTACEF 1G (CEFEPIME) INJ. B/1 VIAL + EAU 10ML</v>
          </cell>
        </row>
        <row r="4985">
          <cell r="B4985" t="str">
            <v>FG01643</v>
          </cell>
          <cell r="C4985" t="str">
            <v>INSULINE ACTARAPID 100UI 10ML (EO)***</v>
          </cell>
        </row>
        <row r="4986">
          <cell r="B4986" t="str">
            <v>FG01644</v>
          </cell>
          <cell r="C4986" t="str">
            <v>INSULINE NOVORAPIDE FLEXPEN 100U/ML3ML STYLOS</v>
          </cell>
        </row>
        <row r="4987">
          <cell r="B4987" t="str">
            <v>FG01645</v>
          </cell>
          <cell r="C4987" t="str">
            <v>INTRAXONE (CEFTRIXONE) 1G 1+1 (EO)</v>
          </cell>
        </row>
        <row r="4988">
          <cell r="B4988" t="str">
            <v>FG01646</v>
          </cell>
          <cell r="C4988" t="str">
            <v>IPPROSEC (RABEPRAZOLE) 20MG 10CES</v>
          </cell>
        </row>
        <row r="4989">
          <cell r="B4989" t="str">
            <v>FG01647</v>
          </cell>
          <cell r="C4989" t="str">
            <v>IPPROSEC (RABEPRAZOLE) IV INJ 20ML B/1</v>
          </cell>
        </row>
        <row r="4990">
          <cell r="B4990" t="str">
            <v>FG01648</v>
          </cell>
          <cell r="C4990" t="str">
            <v>IPPROSEC -D (RAB.+DOM.) B/10CES</v>
          </cell>
        </row>
        <row r="4991">
          <cell r="B4991" t="str">
            <v>FG01649</v>
          </cell>
          <cell r="C4991" t="str">
            <v>IPPTOCIDE (PANTAPRAZOLE) 20MG B/ 10CES</v>
          </cell>
        </row>
        <row r="4992">
          <cell r="B4992" t="str">
            <v>FG01650</v>
          </cell>
          <cell r="C4992" t="str">
            <v>IPPTOCIDE (PANTAPRAZOLE) 40MG B/ 10CES</v>
          </cell>
        </row>
        <row r="4993">
          <cell r="B4993" t="str">
            <v>FG01651</v>
          </cell>
          <cell r="C4993" t="str">
            <v>IPPTOCIDE (PANTAPRAZOLE) @@@ 40MG B/ INJ</v>
          </cell>
        </row>
        <row r="4994">
          <cell r="B4994" t="str">
            <v>FG01652</v>
          </cell>
          <cell r="C4994" t="str">
            <v>IPPTOCIDE D (PANTAPRAZOLE+DOM) B/10CES</v>
          </cell>
        </row>
        <row r="4995">
          <cell r="B4995" t="str">
            <v>FG01653</v>
          </cell>
          <cell r="C4995" t="str">
            <v>IRNOCEL 100MG/5ML (IRINOTECAN) INJ. B/1 VIAL</v>
          </cell>
        </row>
        <row r="4996">
          <cell r="B4996" t="str">
            <v>FG01654</v>
          </cell>
          <cell r="C4996" t="str">
            <v>IRNOCEL 40MG/2ML (IRINOTECAN) INJ. B/1 VIAL</v>
          </cell>
        </row>
        <row r="4997">
          <cell r="B4997" t="str">
            <v>FG01655</v>
          </cell>
          <cell r="C4997" t="str">
            <v>IRON</v>
          </cell>
        </row>
        <row r="4998">
          <cell r="B4998" t="str">
            <v>FG01656</v>
          </cell>
          <cell r="C4998" t="str">
            <v>IRREGULAR 2LTR</v>
          </cell>
        </row>
        <row r="4999">
          <cell r="B4999" t="str">
            <v>FG01657</v>
          </cell>
          <cell r="C4999" t="str">
            <v>IRRIGATEUR PVC 2L (PLIABLES)</v>
          </cell>
        </row>
        <row r="5000">
          <cell r="B5000" t="str">
            <v>FG01658</v>
          </cell>
          <cell r="C5000" t="str">
            <v>ISOFLURANE (ISORANE) ANESTHESIQUE A INHALER 250ML</v>
          </cell>
        </row>
        <row r="5001">
          <cell r="B5001" t="str">
            <v>FG01659</v>
          </cell>
          <cell r="C5001" t="str">
            <v>ISOFRA (FRAMYCETIN)SPRAY 100ML (FR)</v>
          </cell>
        </row>
        <row r="5002">
          <cell r="B5002" t="str">
            <v>FG01660</v>
          </cell>
          <cell r="C5002" t="str">
            <v>ITEL LAPTOP</v>
          </cell>
        </row>
        <row r="5003">
          <cell r="B5003" t="str">
            <v>FG01661</v>
          </cell>
          <cell r="C5003" t="str">
            <v>ITEL SAMPLE MOBILE</v>
          </cell>
        </row>
        <row r="5004">
          <cell r="B5004" t="str">
            <v>FG01662</v>
          </cell>
          <cell r="C5004" t="str">
            <v>ITEL TABLET</v>
          </cell>
        </row>
        <row r="5005">
          <cell r="B5005" t="str">
            <v>FG01663</v>
          </cell>
          <cell r="C5005" t="str">
            <v>JANUMET (SITAGLIPTIN + METFORMIN) 5/100MG B/56 CES</v>
          </cell>
        </row>
        <row r="5006">
          <cell r="B5006" t="str">
            <v>FG01664</v>
          </cell>
          <cell r="C5006" t="str">
            <v>JOMBO 4% COLLYRE 5ML</v>
          </cell>
        </row>
        <row r="5007">
          <cell r="B5007" t="str">
            <v>FG01665</v>
          </cell>
          <cell r="C5007" t="str">
            <v>JUVATEST (TESTOSTERONE 40MG) B/30 GELUES</v>
          </cell>
        </row>
        <row r="5008">
          <cell r="B5008" t="str">
            <v>FG01666</v>
          </cell>
          <cell r="C5008" t="str">
            <v>K C L (KALICHLOR) SP 100ML</v>
          </cell>
        </row>
        <row r="5009">
          <cell r="B5009" t="str">
            <v>FG01667</v>
          </cell>
          <cell r="C5009" t="str">
            <v>KABIVEN PERI 5GN/1000TOT KCL</v>
          </cell>
        </row>
        <row r="5010">
          <cell r="B5010" t="str">
            <v>FG01668</v>
          </cell>
          <cell r="C5010" t="str">
            <v>KAIYOSANG (ACIDE TRANEXAMIQUE) 5X5 ML</v>
          </cell>
        </row>
        <row r="5011">
          <cell r="B5011" t="str">
            <v>FG01669</v>
          </cell>
          <cell r="C5011" t="str">
            <v>KAMCILONE(TRIAMCINO) @@2MG@@B/10CES</v>
          </cell>
        </row>
        <row r="5012">
          <cell r="B5012" t="str">
            <v>FG01670</v>
          </cell>
          <cell r="C5012" t="str">
            <v>KAMCILONE(TRIAMCINO) @@4 MG@@B/10CES</v>
          </cell>
        </row>
        <row r="5013">
          <cell r="B5013" t="str">
            <v>FG01671</v>
          </cell>
          <cell r="C5013" t="str">
            <v>KANDATE (TRIHEXYPHENIDYLE) B/30CES</v>
          </cell>
        </row>
        <row r="5014">
          <cell r="B5014" t="str">
            <v>FG01672</v>
          </cell>
          <cell r="C5014" t="str">
            <v>KAOLIN (CESAMEX) SUSP 100ML</v>
          </cell>
        </row>
        <row r="5015">
          <cell r="B5015" t="str">
            <v>FG01673</v>
          </cell>
          <cell r="C5015" t="str">
            <v>KAOLIN PLUS SUSP 100ML</v>
          </cell>
        </row>
        <row r="5016">
          <cell r="B5016" t="str">
            <v>FG01674</v>
          </cell>
          <cell r="C5016" t="str">
            <v>KAOLINE SP 100ML (LOCAL)</v>
          </cell>
        </row>
        <row r="5017">
          <cell r="B5017" t="str">
            <v>FG01675</v>
          </cell>
          <cell r="C5017" t="str">
            <v>KAOPECTINE SP 100ML</v>
          </cell>
        </row>
        <row r="5018">
          <cell r="B5018" t="str">
            <v>FG01676</v>
          </cell>
          <cell r="C5018" t="str">
            <v>KAPTOL BEBE B/5SUPPOS</v>
          </cell>
        </row>
        <row r="5019">
          <cell r="B5019" t="str">
            <v>FG01677</v>
          </cell>
          <cell r="C5019" t="str">
            <v>KAPTOL ENFANT B/5SUPPOS</v>
          </cell>
        </row>
        <row r="5020">
          <cell r="B5020" t="str">
            <v>FG01678</v>
          </cell>
          <cell r="C5020" t="str">
            <v>KAPTOL LOZENGES B 2 X 8 CES</v>
          </cell>
        </row>
        <row r="5021">
          <cell r="B5021" t="str">
            <v>FG01679</v>
          </cell>
          <cell r="C5021" t="str">
            <v>KAPTOL SP 100ML (EXP.)</v>
          </cell>
        </row>
        <row r="5022">
          <cell r="B5022" t="str">
            <v>FG01680</v>
          </cell>
          <cell r="C5022" t="str">
            <v>KCL 1GR/10ML INJ B/1AMP (STREOP)</v>
          </cell>
        </row>
        <row r="5023">
          <cell r="B5023" t="str">
            <v>FG01681</v>
          </cell>
          <cell r="C5023" t="str">
            <v>KE-CORT 80MG INJ B/1AMP</v>
          </cell>
        </row>
        <row r="5024">
          <cell r="B5024" t="str">
            <v>FG01682</v>
          </cell>
          <cell r="C5024" t="str">
            <v>KENACORT 40MG RET LOC INJ B/1AMP(EO)</v>
          </cell>
        </row>
        <row r="5025">
          <cell r="B5025" t="str">
            <v>FG01683</v>
          </cell>
          <cell r="C5025" t="str">
            <v>KENACORT 80MG RET INJ B/1AMP (EO)</v>
          </cell>
        </row>
        <row r="5026">
          <cell r="B5026" t="str">
            <v>FG01684</v>
          </cell>
          <cell r="C5026" t="str">
            <v>KET-VISION 0.5% (KETOROLAC) COLLYRE 5ML</v>
          </cell>
        </row>
        <row r="5027">
          <cell r="B5027" t="str">
            <v>FG01685</v>
          </cell>
          <cell r="C5027" t="str">
            <v>KETALINE 50MG 10ML B/1AMP (UNIQUE)</v>
          </cell>
        </row>
        <row r="5028">
          <cell r="B5028" t="str">
            <v>FG01686</v>
          </cell>
          <cell r="C5028" t="str">
            <v>KETAZOLE 15GR. CREME</v>
          </cell>
        </row>
        <row r="5029">
          <cell r="B5029" t="str">
            <v>FG01687</v>
          </cell>
          <cell r="C5029" t="str">
            <v>KETAZOLE 30GR. CREME (G.F.)</v>
          </cell>
        </row>
        <row r="5030">
          <cell r="B5030" t="str">
            <v>FG01688</v>
          </cell>
          <cell r="C5030" t="str">
            <v>KETAZOLE B/10CES</v>
          </cell>
        </row>
        <row r="5031">
          <cell r="B5031" t="str">
            <v>FG01689</v>
          </cell>
          <cell r="C5031" t="str">
            <v>KETAZOLE SHAMPOO 100ML</v>
          </cell>
        </row>
        <row r="5032">
          <cell r="B5032" t="str">
            <v>FG01690</v>
          </cell>
          <cell r="C5032" t="str">
            <v>KETESSE (DEXKETO +TROMETAMOL )50MG/2ML B/1AMP</v>
          </cell>
        </row>
        <row r="5033">
          <cell r="B5033" t="str">
            <v>FG01691</v>
          </cell>
          <cell r="C5033" t="str">
            <v>KETESSE 25MG 20CES</v>
          </cell>
        </row>
        <row r="5034">
          <cell r="B5034" t="str">
            <v>FG01692</v>
          </cell>
          <cell r="C5034" t="str">
            <v>KETOCARE 5% 60ML SOLUTION</v>
          </cell>
        </row>
        <row r="5035">
          <cell r="B5035" t="str">
            <v>FG01693</v>
          </cell>
          <cell r="C5035" t="str">
            <v>KETOFEN 100MG (KETOPROFENE) B/12 SUPPOS</v>
          </cell>
        </row>
        <row r="5036">
          <cell r="B5036" t="str">
            <v>FG01694</v>
          </cell>
          <cell r="C5036" t="str">
            <v>KETOMIZ (KETOCONAZOLE) SHAMPOO 100ML</v>
          </cell>
        </row>
        <row r="5037">
          <cell r="B5037" t="str">
            <v>FG01695</v>
          </cell>
          <cell r="C5037" t="str">
            <v>KETOPROFENE BIOGARAN LP 100MG B/20 CES</v>
          </cell>
        </row>
        <row r="5038">
          <cell r="B5038" t="str">
            <v>FG01696</v>
          </cell>
          <cell r="C5038" t="str">
            <v>KEYCHEN</v>
          </cell>
        </row>
        <row r="5039">
          <cell r="B5039" t="str">
            <v>FG01697</v>
          </cell>
          <cell r="C5039" t="str">
            <v>KIDA PLUS ( ALBE + LVERMECTIN) B/1CES</v>
          </cell>
        </row>
        <row r="5040">
          <cell r="B5040" t="str">
            <v>FG01698</v>
          </cell>
          <cell r="C5040" t="str">
            <v>KIDA PLUS GOUTTE 10 ML</v>
          </cell>
        </row>
        <row r="5041">
          <cell r="B5041" t="str">
            <v>FG01699</v>
          </cell>
          <cell r="C5041" t="str">
            <v>KIFARU ***100MG B/4CES</v>
          </cell>
        </row>
        <row r="5042">
          <cell r="B5042" t="str">
            <v>FG01700</v>
          </cell>
          <cell r="C5042" t="str">
            <v>KIFARU 100MG JELLY</v>
          </cell>
        </row>
        <row r="5043">
          <cell r="B5043" t="str">
            <v>FG01701</v>
          </cell>
          <cell r="C5043" t="str">
            <v>KIFARU 50 B/2CES</v>
          </cell>
        </row>
        <row r="5044">
          <cell r="B5044" t="str">
            <v>FG01702</v>
          </cell>
          <cell r="C5044" t="str">
            <v>KIFARU 50MG JELLY</v>
          </cell>
        </row>
        <row r="5045">
          <cell r="B5045" t="str">
            <v>FG01703</v>
          </cell>
          <cell r="C5045" t="str">
            <v>KILL PAIN PLS DE 10CES PL</v>
          </cell>
        </row>
        <row r="5046">
          <cell r="B5046" t="str">
            <v>FG01704</v>
          </cell>
          <cell r="C5046" t="str">
            <v>KINASPRAY (ANTI MOUSTIQUE) 30ML P.K</v>
          </cell>
        </row>
        <row r="5047">
          <cell r="B5047" t="str">
            <v>FG01705</v>
          </cell>
          <cell r="C5047" t="str">
            <v>KIPTAR B/4 CES</v>
          </cell>
        </row>
        <row r="5048">
          <cell r="B5048" t="str">
            <v>FG01706</v>
          </cell>
          <cell r="C5048" t="str">
            <v>KIT CHOLESTEROL 2*125ML</v>
          </cell>
        </row>
        <row r="5049">
          <cell r="B5049" t="str">
            <v>FG01707</v>
          </cell>
          <cell r="C5049" t="str">
            <v>KIT COMPLET PETITE CHIRURGIE</v>
          </cell>
        </row>
        <row r="5050">
          <cell r="B5050" t="str">
            <v>FG01708</v>
          </cell>
          <cell r="C5050" t="str">
            <v>KIT DE VERRERIE DE LABO</v>
          </cell>
        </row>
        <row r="5051">
          <cell r="B5051" t="str">
            <v>FG01709</v>
          </cell>
          <cell r="C5051" t="str">
            <v>KIT DETERMINE HIV</v>
          </cell>
        </row>
        <row r="5052">
          <cell r="B5052" t="str">
            <v>FG01710</v>
          </cell>
          <cell r="C5052" t="str">
            <v>KIT GROUPAGE</v>
          </cell>
        </row>
        <row r="5053">
          <cell r="B5053" t="str">
            <v>FG01711</v>
          </cell>
          <cell r="C5053" t="str">
            <v>KIT POTASSIUM</v>
          </cell>
        </row>
        <row r="5054">
          <cell r="B5054" t="str">
            <v>FG01712</v>
          </cell>
          <cell r="C5054" t="str">
            <v>KIT PPE (COMBINAISON DE PROTECTION/UNISEXE)</v>
          </cell>
        </row>
        <row r="5055">
          <cell r="B5055" t="str">
            <v>FG01713</v>
          </cell>
          <cell r="C5055" t="str">
            <v>KIT SODUIUM</v>
          </cell>
        </row>
        <row r="5056">
          <cell r="B5056" t="str">
            <v>FG01714</v>
          </cell>
          <cell r="C5056" t="str">
            <v>KIT UREA BT 1</v>
          </cell>
        </row>
        <row r="5057">
          <cell r="B5057" t="str">
            <v>FG01715</v>
          </cell>
          <cell r="C5057" t="str">
            <v>KIT UREE</v>
          </cell>
        </row>
        <row r="5058">
          <cell r="B5058" t="str">
            <v>FG01716</v>
          </cell>
          <cell r="C5058" t="str">
            <v>KIT WIDAL</v>
          </cell>
        </row>
        <row r="5059">
          <cell r="B5059" t="str">
            <v>FG01717</v>
          </cell>
          <cell r="C5059" t="str">
            <v>KITI ROUDGE</v>
          </cell>
        </row>
        <row r="5060">
          <cell r="B5060" t="str">
            <v>FG01718</v>
          </cell>
          <cell r="C5060" t="str">
            <v>KLIPAL CODEINE 600MG/50MG12CES(FR)</v>
          </cell>
        </row>
        <row r="5061">
          <cell r="B5061" t="str">
            <v>FG01719</v>
          </cell>
          <cell r="C5061" t="str">
            <v>KLIPAL CODEINE300/25 MG B/16 CES(FR)</v>
          </cell>
        </row>
        <row r="5062">
          <cell r="B5062" t="str">
            <v>FG01720</v>
          </cell>
          <cell r="C5062" t="str">
            <v>KLOVINAL OVULES B/6 OVU</v>
          </cell>
        </row>
        <row r="5063">
          <cell r="B5063" t="str">
            <v>FG01721</v>
          </cell>
          <cell r="C5063" t="str">
            <v>KOFUREX EXP 100ML</v>
          </cell>
        </row>
        <row r="5064">
          <cell r="B5064" t="str">
            <v>FG01722</v>
          </cell>
          <cell r="C5064" t="str">
            <v>KOFUREX-P (MUCOLYTIQUE) 100ML</v>
          </cell>
        </row>
        <row r="5065">
          <cell r="B5065" t="str">
            <v>FG01723</v>
          </cell>
          <cell r="C5065" t="str">
            <v>KONAKION 10MG/1ML B/10AMP I.V./I.M.(FR)</v>
          </cell>
        </row>
        <row r="5066">
          <cell r="B5066" t="str">
            <v>FG01724</v>
          </cell>
          <cell r="C5066" t="str">
            <v>KOPHTOUX SP 100ML</v>
          </cell>
        </row>
        <row r="5067">
          <cell r="B5067" t="str">
            <v>FG01725</v>
          </cell>
          <cell r="C5067" t="str">
            <v>KREVALISS CREM PIED 50MG</v>
          </cell>
        </row>
        <row r="5068">
          <cell r="B5068" t="str">
            <v>FG01726</v>
          </cell>
          <cell r="C5068" t="str">
            <v>KROMO-VISION 2% (CROMOGLYCATE) COLLYRE 10ML</v>
          </cell>
        </row>
        <row r="5069">
          <cell r="B5069" t="str">
            <v>FG01727</v>
          </cell>
          <cell r="C5069" t="str">
            <v>KUBEL</v>
          </cell>
        </row>
        <row r="5070">
          <cell r="B5070" t="str">
            <v>FG01728</v>
          </cell>
          <cell r="C5070" t="str">
            <v>L-ARTEM (ARTEM.+LUME. 20/120 ) B/12CES</v>
          </cell>
        </row>
        <row r="5071">
          <cell r="B5071" t="str">
            <v>FG01729</v>
          </cell>
          <cell r="C5071" t="str">
            <v>L-ARTEM (ARTEM.+LUME.) B/24CES</v>
          </cell>
        </row>
        <row r="5072">
          <cell r="B5072" t="str">
            <v>FG01730</v>
          </cell>
          <cell r="C5072" t="str">
            <v>L-ARTEM (ARTEM.+LUMEFA.) ORAL SYROP 60ML</v>
          </cell>
        </row>
        <row r="5073">
          <cell r="B5073" t="str">
            <v>FG01731</v>
          </cell>
          <cell r="C5073" t="str">
            <v>L-ARTEM DISPERSIBLE @@@@ B/6CES</v>
          </cell>
        </row>
        <row r="5074">
          <cell r="B5074" t="str">
            <v>FG01732</v>
          </cell>
          <cell r="C5074" t="str">
            <v>L-ARTEM DISPERSIBLE B/18CES</v>
          </cell>
        </row>
        <row r="5075">
          <cell r="B5075" t="str">
            <v>FG01733</v>
          </cell>
          <cell r="C5075" t="str">
            <v>L-ARTEM FORT 6 CES</v>
          </cell>
        </row>
        <row r="5076">
          <cell r="B5076" t="str">
            <v>FG01734</v>
          </cell>
          <cell r="C5076" t="str">
            <v>L-THYROXINE 0.025MG 112CES (FR)</v>
          </cell>
        </row>
        <row r="5077">
          <cell r="B5077" t="str">
            <v>FG01735</v>
          </cell>
          <cell r="C5077" t="str">
            <v>L-THYROXINE 200MG B/112CES</v>
          </cell>
        </row>
        <row r="5078">
          <cell r="B5078" t="str">
            <v>FG01736</v>
          </cell>
          <cell r="C5078" t="str">
            <v>LA DS ( ARTE+ LAMEF) B/6 CES</v>
          </cell>
        </row>
        <row r="5079">
          <cell r="B5079" t="str">
            <v>FG01737</v>
          </cell>
          <cell r="C5079" t="str">
            <v>LA FORTE ( ARTE+ LAMEF) B/12 CES</v>
          </cell>
        </row>
        <row r="5080">
          <cell r="B5080" t="str">
            <v>FG01738</v>
          </cell>
          <cell r="C5080" t="str">
            <v>LA TONE (MULTIVIT) 100ML SP</v>
          </cell>
        </row>
        <row r="5081">
          <cell r="B5081" t="str">
            <v>FG01739</v>
          </cell>
          <cell r="C5081" t="str">
            <v>LA TONE (MULTIVITAMINE) BT/30CES</v>
          </cell>
        </row>
        <row r="5082">
          <cell r="B5082" t="str">
            <v>FG01740</v>
          </cell>
          <cell r="C5082" t="str">
            <v>LA WASH INTIME LIQUID 100ML</v>
          </cell>
        </row>
        <row r="5083">
          <cell r="B5083" t="str">
            <v>FG01741</v>
          </cell>
          <cell r="C5083" t="str">
            <v>LACTACYD DERMA FL/250ML ORIGNAL</v>
          </cell>
        </row>
        <row r="5084">
          <cell r="B5084" t="str">
            <v>FG01742</v>
          </cell>
          <cell r="C5084" t="str">
            <v>LACTACYD SAVON 100GR.(FR)</v>
          </cell>
        </row>
        <row r="5085">
          <cell r="B5085" t="str">
            <v>FG01743</v>
          </cell>
          <cell r="C5085" t="str">
            <v>LACTAMOUSSE FEMME 125ML</v>
          </cell>
        </row>
        <row r="5086">
          <cell r="B5086" t="str">
            <v>FG01744</v>
          </cell>
          <cell r="C5086" t="str">
            <v>LADINAX (PARA+DICLO) B/20 CES</v>
          </cell>
        </row>
        <row r="5087">
          <cell r="B5087" t="str">
            <v>FG01745</v>
          </cell>
          <cell r="C5087" t="str">
            <v>LAME BISTOURI NO.11 B/100PCS (UNIQUE)</v>
          </cell>
        </row>
        <row r="5088">
          <cell r="B5088" t="str">
            <v>FG01746</v>
          </cell>
          <cell r="C5088" t="str">
            <v>LAME BISTOURI NO.15 B/100PCS (UNIQUE)</v>
          </cell>
        </row>
        <row r="5089">
          <cell r="B5089" t="str">
            <v>FG01747</v>
          </cell>
          <cell r="C5089" t="str">
            <v>LAME BISTOURI NO.20 B/100PCS (UNIQUE)</v>
          </cell>
        </row>
        <row r="5090">
          <cell r="B5090" t="str">
            <v>FG01748</v>
          </cell>
          <cell r="C5090" t="str">
            <v>LAME BISTOURI NO.21 BT/100PCS (UNIQUE)</v>
          </cell>
        </row>
        <row r="5091">
          <cell r="B5091" t="str">
            <v>FG01749</v>
          </cell>
          <cell r="C5091" t="str">
            <v>LAME BISTOURI NO.22 BT/100PCS (UNIQUE)</v>
          </cell>
        </row>
        <row r="5092">
          <cell r="B5092" t="str">
            <v>FG01750</v>
          </cell>
          <cell r="C5092" t="str">
            <v>LAME BISTOURI NO.23 BT/100PCS (UNIQUE)</v>
          </cell>
        </row>
        <row r="5093">
          <cell r="B5093" t="str">
            <v>FG01751</v>
          </cell>
          <cell r="C5093" t="str">
            <v>LAME BISTOURI NO.24 BT/100PCS(UNIQUE)</v>
          </cell>
        </row>
        <row r="5094">
          <cell r="B5094" t="str">
            <v>FG01752</v>
          </cell>
          <cell r="C5094" t="str">
            <v>LAME ET LAMELLE</v>
          </cell>
        </row>
        <row r="5095">
          <cell r="B5095" t="str">
            <v>FG01753</v>
          </cell>
          <cell r="C5095" t="str">
            <v>LAME P.O. B/50 PCS</v>
          </cell>
        </row>
        <row r="5096">
          <cell r="B5096" t="str">
            <v>FG01754</v>
          </cell>
          <cell r="C5096" t="str">
            <v>LAMEL COUVERE OBJECT 18X18 B/100PCS</v>
          </cell>
        </row>
        <row r="5097">
          <cell r="B5097" t="str">
            <v>FG01755</v>
          </cell>
          <cell r="C5097" t="str">
            <v>LAMIVUDINE 150MG B/60CES</v>
          </cell>
        </row>
        <row r="5098">
          <cell r="B5098" t="str">
            <v>FG01756</v>
          </cell>
          <cell r="C5098" t="str">
            <v>LAMOX-CV SUSP</v>
          </cell>
        </row>
        <row r="5099">
          <cell r="B5099" t="str">
            <v>FG01757</v>
          </cell>
          <cell r="C5099" t="str">
            <v>LAMOX-CV TABLET</v>
          </cell>
        </row>
        <row r="5100">
          <cell r="B5100" t="str">
            <v>FG01758</v>
          </cell>
          <cell r="C5100" t="str">
            <v>LANCETTES STERILES PLSTIC B/100 PIECES (UNIQUE)</v>
          </cell>
        </row>
        <row r="5101">
          <cell r="B5101" t="str">
            <v>FG01759</v>
          </cell>
          <cell r="C5101" t="str">
            <v>LANCETTES A VACCINER STEEL B/200PCS (UNIQIUE)</v>
          </cell>
        </row>
        <row r="5102">
          <cell r="B5102" t="str">
            <v>FG01760</v>
          </cell>
          <cell r="C5102" t="str">
            <v>LAP ÉPONGE 45X45C FILETAGE19X15AVECX-RAY STÉRILES</v>
          </cell>
        </row>
        <row r="5103">
          <cell r="B5103" t="str">
            <v>FG01761</v>
          </cell>
          <cell r="C5103" t="str">
            <v>LAPTICRON COLLYRE 2%</v>
          </cell>
        </row>
        <row r="5104">
          <cell r="B5104" t="str">
            <v>FG01762</v>
          </cell>
          <cell r="C5104" t="str">
            <v>LAPTOP BAG ( SAC VOYAGE)</v>
          </cell>
        </row>
        <row r="5105">
          <cell r="B5105" t="str">
            <v>FG01763</v>
          </cell>
          <cell r="C5105" t="str">
            <v>LAPTOP LENOVO</v>
          </cell>
        </row>
        <row r="5106">
          <cell r="B5106" t="str">
            <v>FG01764</v>
          </cell>
          <cell r="C5106" t="str">
            <v>LARGACTIL 25MG INJ BT/5AMP</v>
          </cell>
        </row>
        <row r="5107">
          <cell r="B5107" t="str">
            <v>FG01765</v>
          </cell>
          <cell r="C5107" t="str">
            <v>LARGOPIME PLUS 1.125MG CEFEPIM +TAZ INJ B/1AMP</v>
          </cell>
        </row>
        <row r="5108">
          <cell r="B5108" t="str">
            <v>FG01766</v>
          </cell>
          <cell r="C5108" t="str">
            <v>LARMES ARTIFICIELE COLLYRE 10ML(FR)</v>
          </cell>
        </row>
        <row r="5109">
          <cell r="B5109" t="str">
            <v>FG01767</v>
          </cell>
          <cell r="C5109" t="str">
            <v>LARMES ARTIFICIELS GEL 10GR (GEL LARMES)</v>
          </cell>
        </row>
        <row r="5110">
          <cell r="B5110" t="str">
            <v>FG01768</v>
          </cell>
          <cell r="C5110" t="str">
            <v>LAROSCORBINE 1GR 10CES EFF.(FR)</v>
          </cell>
        </row>
        <row r="5111">
          <cell r="B5111" t="str">
            <v>FG01769</v>
          </cell>
          <cell r="C5111" t="str">
            <v>LAROSCORBINE 500MG B/30CES (E.O.)</v>
          </cell>
        </row>
        <row r="5112">
          <cell r="B5112" t="str">
            <v>FG01770</v>
          </cell>
          <cell r="C5112" t="str">
            <v>LAROSTA 0.005% 2ML COLLTRE</v>
          </cell>
        </row>
        <row r="5113">
          <cell r="B5113" t="str">
            <v>FG01771</v>
          </cell>
          <cell r="C5113" t="str">
            <v>LAROXYL (ROCHE) 25MG B/60CES (FR)</v>
          </cell>
        </row>
        <row r="5114">
          <cell r="B5114" t="str">
            <v>FG01772</v>
          </cell>
          <cell r="C5114" t="str">
            <v>LAROXYL 50MG 20CES (EO)</v>
          </cell>
        </row>
        <row r="5115">
          <cell r="B5115" t="str">
            <v>FG01773</v>
          </cell>
          <cell r="C5115" t="str">
            <v>LASILIX 40MG 30CES (FR)</v>
          </cell>
        </row>
        <row r="5116">
          <cell r="B5116" t="str">
            <v>FG01774</v>
          </cell>
          <cell r="C5116" t="str">
            <v>LASIX 20MG/2ML B/6AMP (FR)</v>
          </cell>
        </row>
        <row r="5117">
          <cell r="B5117" t="str">
            <v>FG01775</v>
          </cell>
          <cell r="C5117" t="str">
            <v>LASIX 50CES (EO)</v>
          </cell>
        </row>
        <row r="5118">
          <cell r="B5118" t="str">
            <v>FG01776</v>
          </cell>
          <cell r="C5118" t="str">
            <v>LATANO PLUS-VISION (LATANOPR+TIMOLOL) COLLYRE 3ML</v>
          </cell>
        </row>
        <row r="5119">
          <cell r="B5119" t="str">
            <v>FG01777</v>
          </cell>
          <cell r="C5119" t="str">
            <v>LATANO-VISION 0.05% (LATANOPROSTE) COLLYRE 3ML</v>
          </cell>
        </row>
        <row r="5120">
          <cell r="B5120" t="str">
            <v>FG01778</v>
          </cell>
          <cell r="C5120" t="str">
            <v>LAXAQUE 5MG (DULCOLAX) B/10 SUPPOS.</v>
          </cell>
        </row>
        <row r="5121">
          <cell r="B5121" t="str">
            <v>FG01779</v>
          </cell>
          <cell r="C5121" t="str">
            <v>LAXSTIM SACHETS 20 X 15 ML</v>
          </cell>
        </row>
        <row r="5122">
          <cell r="B5122" t="str">
            <v>FG01780</v>
          </cell>
          <cell r="C5122" t="str">
            <v>LECET DT TABLETS B/10CES</v>
          </cell>
        </row>
        <row r="5123">
          <cell r="B5123" t="str">
            <v>FG01781</v>
          </cell>
          <cell r="C5123" t="str">
            <v>LEMEART 20/120 CES DISPERSEBLES</v>
          </cell>
        </row>
        <row r="5124">
          <cell r="B5124" t="str">
            <v>FG01782</v>
          </cell>
          <cell r="C5124" t="str">
            <v>LENDRINE 10ML</v>
          </cell>
        </row>
        <row r="5125">
          <cell r="B5125" t="str">
            <v>FG01783</v>
          </cell>
          <cell r="C5125" t="str">
            <v>LENDRINE DOUX 10ML</v>
          </cell>
        </row>
        <row r="5126">
          <cell r="B5126" t="str">
            <v>FG01784</v>
          </cell>
          <cell r="C5126" t="str">
            <v>LEVAMISOLE 150MG 10X10CES</v>
          </cell>
        </row>
        <row r="5127">
          <cell r="B5127" t="str">
            <v>FG01785</v>
          </cell>
          <cell r="C5127" t="str">
            <v>LEVAMISOLE 150MG B/ 25 X 10CES (SHALINA)</v>
          </cell>
        </row>
        <row r="5128">
          <cell r="B5128" t="str">
            <v>FG01786</v>
          </cell>
          <cell r="C5128" t="str">
            <v>LEVAMISOLE 50MG B/10X10CES</v>
          </cell>
        </row>
        <row r="5129">
          <cell r="B5129" t="str">
            <v>FG01787</v>
          </cell>
          <cell r="C5129" t="str">
            <v>LEVASOL (LEVAMISOLE 50MG) B/25X10CES(SHALINA)</v>
          </cell>
        </row>
        <row r="5130">
          <cell r="B5130" t="str">
            <v>FG01788</v>
          </cell>
          <cell r="C5130" t="str">
            <v>LEVOBACT 750 (LEVO+HEMIH) B/10CES</v>
          </cell>
        </row>
        <row r="5131">
          <cell r="B5131" t="str">
            <v>FG01789</v>
          </cell>
          <cell r="C5131" t="str">
            <v>LEVODEX 500MG B/10CES</v>
          </cell>
        </row>
        <row r="5132">
          <cell r="B5132" t="str">
            <v>FG01790</v>
          </cell>
          <cell r="C5132" t="str">
            <v>LEVODEX INFUSTION 100ML</v>
          </cell>
        </row>
        <row r="5133">
          <cell r="B5133" t="str">
            <v>FG01791</v>
          </cell>
          <cell r="C5133" t="str">
            <v>LEVOQUE (LEVOFLOXACIN) PERFUSION (I.V.) FL/100ML</v>
          </cell>
        </row>
        <row r="5134">
          <cell r="B5134" t="str">
            <v>FG01792</v>
          </cell>
          <cell r="C5134" t="str">
            <v>LEVOQUE 500MG (LEVOFLOXACIN) B / 10 CES</v>
          </cell>
        </row>
        <row r="5135">
          <cell r="B5135" t="str">
            <v>FG01793</v>
          </cell>
          <cell r="C5135" t="str">
            <v>LEVOQUE 750MG (LEVOFLOXACIN) B/ 10 CES</v>
          </cell>
        </row>
        <row r="5136">
          <cell r="B5136" t="str">
            <v>FG01794</v>
          </cell>
          <cell r="C5136" t="str">
            <v>LEVOSKY (LEVOFLOXACINE) B/10 CES</v>
          </cell>
        </row>
        <row r="5137">
          <cell r="B5137" t="str">
            <v>FG01795</v>
          </cell>
          <cell r="C5137" t="str">
            <v>LEVOSKY (LEVOFLOXACINE) IV 100ML</v>
          </cell>
        </row>
        <row r="5138">
          <cell r="B5138" t="str">
            <v>FG01796</v>
          </cell>
          <cell r="C5138" t="str">
            <v>LEXOMAN 3MG B/30CES (GENERIQUE)</v>
          </cell>
        </row>
        <row r="5139">
          <cell r="B5139" t="str">
            <v>FG01797</v>
          </cell>
          <cell r="C5139" t="str">
            <v>LEXOMAN 6MG 30CES(LOCAL)</v>
          </cell>
        </row>
        <row r="5140">
          <cell r="B5140" t="str">
            <v>FG01798</v>
          </cell>
          <cell r="C5140" t="str">
            <v>LEXOTAN 3MG B/50CES (FR)</v>
          </cell>
        </row>
        <row r="5141">
          <cell r="B5141" t="str">
            <v>FG01799</v>
          </cell>
          <cell r="C5141" t="str">
            <v>LEXOTAN 6MG B/50CES (FR)</v>
          </cell>
        </row>
        <row r="5142">
          <cell r="B5142" t="str">
            <v>FG01800</v>
          </cell>
          <cell r="C5142" t="str">
            <v>LIBRAX B/30CES (LOCAL)</v>
          </cell>
        </row>
        <row r="5143">
          <cell r="B5143" t="str">
            <v>FG01801</v>
          </cell>
          <cell r="C5143" t="str">
            <v>LIBRAX B/30CES</v>
          </cell>
        </row>
        <row r="5144">
          <cell r="B5144" t="str">
            <v>FG01802</v>
          </cell>
          <cell r="C5144" t="str">
            <v>LIDOCAINE 2% 20ML</v>
          </cell>
        </row>
        <row r="5145">
          <cell r="B5145" t="str">
            <v>FG01803</v>
          </cell>
          <cell r="C5145" t="str">
            <v>LIFE FORCE ELIXIR 280ML</v>
          </cell>
        </row>
        <row r="5146">
          <cell r="B5146" t="str">
            <v>FG01804</v>
          </cell>
          <cell r="C5146" t="str">
            <v>LINCOCINE 1 AMP INJ 600MG (EO)</v>
          </cell>
        </row>
        <row r="5147">
          <cell r="B5147" t="str">
            <v>FG01805</v>
          </cell>
          <cell r="C5147" t="str">
            <v>LINCOCINE 250MG SP 60ML (EO)</v>
          </cell>
        </row>
        <row r="5148">
          <cell r="B5148" t="str">
            <v>FG01806</v>
          </cell>
          <cell r="C5148" t="str">
            <v>LINCOMYCINE 12CAP 500MG (D.G).....</v>
          </cell>
        </row>
        <row r="5149">
          <cell r="B5149" t="str">
            <v>FG01807</v>
          </cell>
          <cell r="C5149" t="str">
            <v>LINZOX 2X7 TAB</v>
          </cell>
        </row>
        <row r="5150">
          <cell r="B5150" t="str">
            <v>FG01808</v>
          </cell>
          <cell r="C5150" t="str">
            <v>LINZOX 600MG 300ML IV</v>
          </cell>
        </row>
        <row r="5151">
          <cell r="B5151" t="str">
            <v>FG01809</v>
          </cell>
          <cell r="C5151" t="str">
            <v>LIORESAL 10MG 50CES (FR)</v>
          </cell>
        </row>
        <row r="5152">
          <cell r="B5152" t="str">
            <v>FG01810</v>
          </cell>
          <cell r="C5152" t="str">
            <v>LIPITOR 20MG 28CES (FR)</v>
          </cell>
        </row>
        <row r="5153">
          <cell r="B5153" t="str">
            <v>FG01811</v>
          </cell>
          <cell r="C5153" t="str">
            <v>LIPPOD 20MG (DOXORUDICIN) INJ. B/1 VIAL</v>
          </cell>
        </row>
        <row r="5154">
          <cell r="B5154" t="str">
            <v>FG01812</v>
          </cell>
          <cell r="C5154" t="str">
            <v>LIPPOD 50MG (DOXORUBICIN) INJ. B/1 VIAL</v>
          </cell>
        </row>
        <row r="5155">
          <cell r="B5155" t="str">
            <v>FG01813</v>
          </cell>
          <cell r="C5155" t="str">
            <v>LIT D HOPITAL</v>
          </cell>
        </row>
        <row r="5156">
          <cell r="B5156" t="str">
            <v>FG01814</v>
          </cell>
          <cell r="C5156" t="str">
            <v>LOCOID CREME 30GR(FR)</v>
          </cell>
        </row>
        <row r="5157">
          <cell r="B5157" t="str">
            <v>FG01815</v>
          </cell>
          <cell r="C5157" t="str">
            <v>LOCOID LOTION 30ML (FR)</v>
          </cell>
        </row>
        <row r="5158">
          <cell r="B5158" t="str">
            <v>FG01816</v>
          </cell>
          <cell r="C5158" t="str">
            <v>LOMACID O SUSPENSION</v>
          </cell>
        </row>
        <row r="5159">
          <cell r="B5159" t="str">
            <v>FG01817</v>
          </cell>
          <cell r="C5159" t="str">
            <v>LOMACID TABLETS</v>
          </cell>
        </row>
        <row r="5160">
          <cell r="B5160" t="str">
            <v>FG01818</v>
          </cell>
          <cell r="C5160" t="str">
            <v>LOMACIDE SUSOENSION (200ML)</v>
          </cell>
        </row>
        <row r="5161">
          <cell r="B5161" t="str">
            <v>FG01819</v>
          </cell>
          <cell r="C5161" t="str">
            <v>LOMEXIN CREAM 2% 15GR (FR)</v>
          </cell>
        </row>
        <row r="5162">
          <cell r="B5162" t="str">
            <v>FG01820</v>
          </cell>
          <cell r="C5162" t="str">
            <v>LONART 24 CES</v>
          </cell>
        </row>
        <row r="5163">
          <cell r="B5163" t="str">
            <v>FG01821</v>
          </cell>
          <cell r="C5163" t="str">
            <v>LONART DISPERSIBLE B/6CES</v>
          </cell>
        </row>
        <row r="5164">
          <cell r="B5164" t="str">
            <v>FG01822</v>
          </cell>
          <cell r="C5164" t="str">
            <v>LONART DS 6 CES</v>
          </cell>
        </row>
        <row r="5165">
          <cell r="B5165" t="str">
            <v>FG01823</v>
          </cell>
          <cell r="C5165" t="str">
            <v>LONART FORTE 12 CES</v>
          </cell>
        </row>
        <row r="5166">
          <cell r="B5166" t="str">
            <v>FG01824</v>
          </cell>
          <cell r="C5166" t="str">
            <v>LONART SIROP 60 ML</v>
          </cell>
        </row>
        <row r="5167">
          <cell r="B5167" t="str">
            <v>FG01825</v>
          </cell>
          <cell r="C5167" t="str">
            <v>LOOZE 3.35MG/5ML (LACTULOSE) SOLUTION FL/ 150ML</v>
          </cell>
        </row>
        <row r="5168">
          <cell r="B5168" t="str">
            <v>FG01826</v>
          </cell>
          <cell r="C5168" t="str">
            <v>LOPINAVIR RITONAVIR 200/50MG B/120 CES</v>
          </cell>
        </row>
        <row r="5169">
          <cell r="B5169" t="str">
            <v>FG01827</v>
          </cell>
          <cell r="C5169" t="str">
            <v>LOPRADE BOITE DE 25PL</v>
          </cell>
        </row>
        <row r="5170">
          <cell r="B5170" t="str">
            <v>FG01828</v>
          </cell>
          <cell r="C5170" t="str">
            <v>LORA-C (VITAMINE C) 100ML SIROP</v>
          </cell>
        </row>
        <row r="5171">
          <cell r="B5171" t="str">
            <v>FG01829</v>
          </cell>
          <cell r="C5171" t="str">
            <v>LORANIQE 10MG (LORATADINE) B/10 CES</v>
          </cell>
        </row>
        <row r="5172">
          <cell r="B5172" t="str">
            <v>FG01830</v>
          </cell>
          <cell r="C5172" t="str">
            <v>LORATOL 10MG 10CES (FR)</v>
          </cell>
        </row>
        <row r="5173">
          <cell r="B5173" t="str">
            <v>FG01831</v>
          </cell>
          <cell r="C5173" t="str">
            <v>LORATOL 5MG/5ML SUSP 100ML (FR)</v>
          </cell>
        </row>
        <row r="5174">
          <cell r="B5174" t="str">
            <v>FG01832</v>
          </cell>
          <cell r="C5174" t="str">
            <v>LOSARTAS 100MG (LOSARTAN) B/30CES</v>
          </cell>
        </row>
        <row r="5175">
          <cell r="B5175" t="str">
            <v>FG01833</v>
          </cell>
          <cell r="C5175" t="str">
            <v>LOSARTAS 50MG (LOSARTAN) B/28CES</v>
          </cell>
        </row>
        <row r="5176">
          <cell r="B5176" t="str">
            <v>FG01834</v>
          </cell>
          <cell r="C5176" t="str">
            <v>LOSARTAS-HT (LOSARTAN+ HCL) 50MG+12.5MG B/30CES</v>
          </cell>
        </row>
        <row r="5177">
          <cell r="B5177" t="str">
            <v>FG01835</v>
          </cell>
          <cell r="C5177" t="str">
            <v>LOTREX 1% 5ML COLLYRE</v>
          </cell>
        </row>
        <row r="5178">
          <cell r="B5178" t="str">
            <v>FG01836</v>
          </cell>
          <cell r="C5178" t="str">
            <v>LOVENOX 4000UI ANTI XA 2 SERINGUES (FR)</v>
          </cell>
        </row>
        <row r="5179">
          <cell r="B5179" t="str">
            <v>FG01837</v>
          </cell>
          <cell r="C5179" t="str">
            <v>LOVENOX 6000UI/0ML 6 SER BT2 (EO)^^^</v>
          </cell>
        </row>
        <row r="5180">
          <cell r="B5180" t="str">
            <v>FG01838</v>
          </cell>
          <cell r="C5180" t="str">
            <v>LOVENOX 8000UI/0.8ML B/2SERINGE(FR)</v>
          </cell>
        </row>
        <row r="5181">
          <cell r="B5181" t="str">
            <v>FG01839</v>
          </cell>
          <cell r="C5181" t="str">
            <v>LOXEN 20MG B/30CES (EO)</v>
          </cell>
        </row>
        <row r="5182">
          <cell r="B5182" t="str">
            <v>FG01840</v>
          </cell>
          <cell r="C5182" t="str">
            <v>LOXEN LP 50MG B/60GELLULE (FR)</v>
          </cell>
        </row>
        <row r="5183">
          <cell r="B5183" t="str">
            <v>FG01841</v>
          </cell>
          <cell r="C5183" t="str">
            <v>LUCAL 15MG/5ML (LEUCOVORIN CALCIUM) INJ. B/1AMP</v>
          </cell>
        </row>
        <row r="5184">
          <cell r="B5184" t="str">
            <v>FG01842</v>
          </cell>
          <cell r="C5184" t="str">
            <v>LUFAMET DS 6 CES</v>
          </cell>
        </row>
        <row r="5185">
          <cell r="B5185" t="str">
            <v>FG01843</v>
          </cell>
          <cell r="C5185" t="str">
            <v>LUFAMET FORTE 12CES</v>
          </cell>
        </row>
        <row r="5186">
          <cell r="B5186" t="str">
            <v>FG01844</v>
          </cell>
          <cell r="C5186" t="str">
            <v>LUFAMET SUSP ORAL 60ML</v>
          </cell>
        </row>
        <row r="5187">
          <cell r="B5187" t="str">
            <v>FG01845</v>
          </cell>
          <cell r="C5187" t="str">
            <v>LUMART ADULT (ARTEMETHER+LUMEFANTRINE ) B/6CES</v>
          </cell>
        </row>
        <row r="5188">
          <cell r="B5188" t="str">
            <v>FG01846</v>
          </cell>
          <cell r="C5188" t="str">
            <v>LUMART ENF (ARTEMETHER+LUMEFANTRINE ) B/12CES</v>
          </cell>
        </row>
        <row r="5189">
          <cell r="B5189" t="str">
            <v>FG01847</v>
          </cell>
          <cell r="C5189" t="str">
            <v>LUMATE FORT B/12</v>
          </cell>
        </row>
        <row r="5190">
          <cell r="B5190" t="str">
            <v>FG01848</v>
          </cell>
          <cell r="C5190" t="str">
            <v>LUMATE PLUS 80MG/480MG CP B/6</v>
          </cell>
        </row>
        <row r="5191">
          <cell r="B5191" t="str">
            <v>FG01849</v>
          </cell>
          <cell r="C5191" t="str">
            <v>LUMEART 20/120MG B/12 CES</v>
          </cell>
        </row>
        <row r="5192">
          <cell r="B5192" t="str">
            <v>FG01850</v>
          </cell>
          <cell r="C5192" t="str">
            <v>LUMEART 40/240 (ARTEME+LUMEFA) B/12CES</v>
          </cell>
        </row>
        <row r="5193">
          <cell r="B5193" t="str">
            <v>FG01851</v>
          </cell>
          <cell r="C5193" t="str">
            <v>LUMEART 80/480 ADULTE (ARTE+LUMEFA) B/6CES</v>
          </cell>
        </row>
        <row r="5194">
          <cell r="B5194" t="str">
            <v>FG01852</v>
          </cell>
          <cell r="C5194" t="str">
            <v>LUMEART ORAL SOLUTION</v>
          </cell>
        </row>
        <row r="5195">
          <cell r="B5195" t="str">
            <v>FG01853</v>
          </cell>
          <cell r="C5195" t="str">
            <v>LUNETTE DE PROTECTION MEDICALE</v>
          </cell>
        </row>
        <row r="5196">
          <cell r="B5196" t="str">
            <v>FG01854</v>
          </cell>
          <cell r="C5196" t="str">
            <v>LUNETTES A OXYGÈNE COURBES AVEC TUBULURE (ADULT)</v>
          </cell>
        </row>
        <row r="5197">
          <cell r="B5197" t="str">
            <v>FG01855</v>
          </cell>
          <cell r="C5197" t="str">
            <v>LUNETTES A OXYGÈNE COURBES AVEC TUBULURE (ENFANT)</v>
          </cell>
        </row>
        <row r="5198">
          <cell r="B5198" t="str">
            <v>FG01856</v>
          </cell>
          <cell r="C5198" t="str">
            <v>LUNETTES DE PROTECTION MATERNITE</v>
          </cell>
        </row>
        <row r="5199">
          <cell r="B5199" t="str">
            <v>FG01857</v>
          </cell>
          <cell r="C5199" t="str">
            <v>LUTENYL 5MG B/10CES (FR)</v>
          </cell>
        </row>
        <row r="5200">
          <cell r="B5200" t="str">
            <v>FG01858</v>
          </cell>
          <cell r="C5200" t="str">
            <v>LUTHER (ARTE.+LUME.) SUSPENSION FL/ 60ML</v>
          </cell>
        </row>
        <row r="5201">
          <cell r="B5201" t="str">
            <v>FG01859</v>
          </cell>
          <cell r="C5201" t="str">
            <v>LUTHER 20+120 MG (ARTE.+LUME.) B/ 24 CES SIMPLE</v>
          </cell>
        </row>
        <row r="5202">
          <cell r="B5202" t="str">
            <v>FG01860</v>
          </cell>
          <cell r="C5202" t="str">
            <v>LUTHER 20MG (ARTEMETHER) INJ. B/6 AMP</v>
          </cell>
        </row>
        <row r="5203">
          <cell r="B5203" t="str">
            <v>FG01861</v>
          </cell>
          <cell r="C5203" t="str">
            <v>LUTHER 40MG (ARTEMETHER) INJ. B/6 AMP</v>
          </cell>
        </row>
        <row r="5204">
          <cell r="B5204" t="str">
            <v>FG01862</v>
          </cell>
          <cell r="C5204" t="str">
            <v>LUTHER DP (ARTE.+LUME.) B/6 CES SIMPLE</v>
          </cell>
        </row>
        <row r="5205">
          <cell r="B5205" t="str">
            <v>FG01863</v>
          </cell>
          <cell r="C5205" t="str">
            <v>LUTHER DP DISPERSIBLE B/ 6 CES</v>
          </cell>
        </row>
        <row r="5206">
          <cell r="B5206" t="str">
            <v>FG01864</v>
          </cell>
          <cell r="C5206" t="str">
            <v>LUTHER FORTE (ARTEME.+LUMEFA.) B/12 CES SIMPLE</v>
          </cell>
        </row>
        <row r="5207">
          <cell r="B5207" t="str">
            <v>FG01865</v>
          </cell>
          <cell r="C5207" t="str">
            <v>LUTHER FORTE DISPERSIBLE B/ 12 CES</v>
          </cell>
        </row>
        <row r="5208">
          <cell r="B5208" t="str">
            <v>FG01866</v>
          </cell>
          <cell r="C5208" t="str">
            <v>LUTHER JUNIOR (ARTEME.+LUMEFA.) B/6 CES SIMPLE</v>
          </cell>
        </row>
        <row r="5209">
          <cell r="B5209" t="str">
            <v>FG01867</v>
          </cell>
          <cell r="C5209" t="str">
            <v>LUTHER JUNIOR DISPERSIBLE B/6 CES</v>
          </cell>
        </row>
        <row r="5210">
          <cell r="B5210" t="str">
            <v>FG01868</v>
          </cell>
          <cell r="C5210" t="str">
            <v>LYATER AD (ARTEMETHER+LUMEFANTRINE) B/6 CES</v>
          </cell>
        </row>
        <row r="5211">
          <cell r="B5211" t="str">
            <v>FG01870</v>
          </cell>
          <cell r="C5211" t="str">
            <v>LYBEN (ALBENDAZOLE 400MG) B/3 CES</v>
          </cell>
        </row>
        <row r="5212">
          <cell r="B5212" t="str">
            <v>FG01871</v>
          </cell>
          <cell r="C5212" t="str">
            <v>LYCOTONE (LYCOPENE+MULTIVI+MINER) SUSP. FL/ 200ML</v>
          </cell>
        </row>
        <row r="5213">
          <cell r="B5213" t="str">
            <v>FG01872</v>
          </cell>
          <cell r="C5213" t="str">
            <v>LYCOTONE (LYCOPENE+MULTIVI+MINER) SUSP.FL/ 100ML</v>
          </cell>
        </row>
        <row r="5214">
          <cell r="B5214" t="str">
            <v>FG01873</v>
          </cell>
          <cell r="C5214" t="str">
            <v>LYCOTONE (LYCOPENE+MULTIVI+MINER) B/30 CAP</v>
          </cell>
        </row>
        <row r="5215">
          <cell r="B5215" t="str">
            <v>FG01874</v>
          </cell>
          <cell r="C5215" t="str">
            <v>LYNEVIT CAPSULE B/20 CES</v>
          </cell>
        </row>
        <row r="5216">
          <cell r="B5216" t="str">
            <v>FG01875</v>
          </cell>
          <cell r="C5216" t="str">
            <v>LYNEVIT SUSPENSION 200ML</v>
          </cell>
        </row>
        <row r="5217">
          <cell r="B5217" t="str">
            <v>FG01876</v>
          </cell>
          <cell r="C5217" t="str">
            <v>LYNEVIT SYRUP 100ML</v>
          </cell>
        </row>
        <row r="5218">
          <cell r="B5218" t="str">
            <v>FG01877</v>
          </cell>
          <cell r="C5218" t="str">
            <v>LYRICA 25MG B/56 GELULES (FR)</v>
          </cell>
        </row>
        <row r="5219">
          <cell r="B5219" t="str">
            <v>FG01878</v>
          </cell>
          <cell r="C5219" t="str">
            <v>LYRICA 50MG 84 CES(FR)</v>
          </cell>
        </row>
        <row r="5220">
          <cell r="B5220" t="str">
            <v>FG01879</v>
          </cell>
          <cell r="C5220" t="str">
            <v>LYTAMOL (PARACETAMOL 10MG/ML) INJ</v>
          </cell>
        </row>
        <row r="5221">
          <cell r="B5221" t="str">
            <v>FG01880</v>
          </cell>
          <cell r="C5221" t="str">
            <v>LYZIT(AZITHROMYCINE 500MG) B/3 CES</v>
          </cell>
        </row>
        <row r="5222">
          <cell r="B5222" t="str">
            <v>FG01881</v>
          </cell>
          <cell r="C5222" t="str">
            <v>M-2(ARTE.+LUME.) SUSP ORAL 60ML</v>
          </cell>
        </row>
        <row r="5223">
          <cell r="B5223" t="str">
            <v>FG01882</v>
          </cell>
          <cell r="C5223" t="str">
            <v>M-ARRET (ARTESUNATE 120MG) B/1AMP</v>
          </cell>
        </row>
        <row r="5224">
          <cell r="B5224" t="str">
            <v>FG01883</v>
          </cell>
          <cell r="C5224" t="str">
            <v>M-ARRET (ARTESUNATE 30MG) B/1AMP</v>
          </cell>
        </row>
        <row r="5225">
          <cell r="B5225" t="str">
            <v>FG01884</v>
          </cell>
          <cell r="C5225" t="str">
            <v>M-ARRET (ARTESUNATE 60MG) B/1AMP</v>
          </cell>
        </row>
        <row r="5226">
          <cell r="B5226" t="str">
            <v>FG01885</v>
          </cell>
          <cell r="C5226" t="str">
            <v>MA YINGLONG CREAME 10GR</v>
          </cell>
        </row>
        <row r="5227">
          <cell r="B5227" t="str">
            <v>FG01886</v>
          </cell>
          <cell r="C5227" t="str">
            <v>MAALOX SUSP. 2 SACHETS</v>
          </cell>
        </row>
        <row r="5228">
          <cell r="B5228" t="str">
            <v>FG01887</v>
          </cell>
          <cell r="C5228" t="str">
            <v>MAALOX *****B/20 SACHET</v>
          </cell>
        </row>
        <row r="5229">
          <cell r="B5229" t="str">
            <v>FG01888</v>
          </cell>
          <cell r="C5229" t="str">
            <v>MAALOX CES B/40 (FR)</v>
          </cell>
        </row>
        <row r="5230">
          <cell r="B5230" t="str">
            <v>FG01889</v>
          </cell>
          <cell r="C5230" t="str">
            <v>MAALOX SUSP BUV 250ML</v>
          </cell>
        </row>
        <row r="5231">
          <cell r="B5231" t="str">
            <v>FG01890</v>
          </cell>
          <cell r="C5231" t="str">
            <v>MACROLYN 500MG B/3 CES</v>
          </cell>
        </row>
        <row r="5232">
          <cell r="B5232" t="str">
            <v>FG01891</v>
          </cell>
          <cell r="C5232" t="str">
            <v>MACROMAX 500MG B/3 TAB</v>
          </cell>
        </row>
        <row r="5233">
          <cell r="B5233" t="str">
            <v>FG01892</v>
          </cell>
          <cell r="C5233" t="str">
            <v>MADECASSOL 1% POMMADE CREME TUBE $$$$ 10FR ###</v>
          </cell>
        </row>
        <row r="5234">
          <cell r="B5234" t="str">
            <v>FG01893</v>
          </cell>
          <cell r="C5234" t="str">
            <v>MAG 2 B/12AMP INJECTABLA</v>
          </cell>
        </row>
        <row r="5235">
          <cell r="B5235" t="str">
            <v>FG01894</v>
          </cell>
          <cell r="C5235" t="str">
            <v>MAG 2 PL/10AMP^^^ BUV.^^^^</v>
          </cell>
        </row>
        <row r="5236">
          <cell r="B5236" t="str">
            <v>FG01895</v>
          </cell>
          <cell r="C5236" t="str">
            <v>MAGASCON SIROP 200ML</v>
          </cell>
        </row>
        <row r="5237">
          <cell r="B5237" t="str">
            <v>FG01896</v>
          </cell>
          <cell r="C5237" t="str">
            <v>MAGASCON SACHET 15ML 1PCS</v>
          </cell>
        </row>
        <row r="5238">
          <cell r="B5238" t="str">
            <v>FG01897</v>
          </cell>
          <cell r="C5238" t="str">
            <v>MAGEN (GENTAMICIN)COOLYRE</v>
          </cell>
        </row>
        <row r="5239">
          <cell r="B5239" t="str">
            <v>FG01898</v>
          </cell>
          <cell r="C5239" t="str">
            <v>MAGNAVIT B/30CAP</v>
          </cell>
        </row>
        <row r="5240">
          <cell r="B5240" t="str">
            <v>FG01899</v>
          </cell>
          <cell r="C5240" t="str">
            <v>MAGNAVIT TONIC 200ML</v>
          </cell>
        </row>
        <row r="5241">
          <cell r="B5241" t="str">
            <v>FG01900</v>
          </cell>
          <cell r="C5241" t="str">
            <v>MAGNEQUE FORTE 5MG/10ML (MAGNESIUM) INJ B/5 AMP</v>
          </cell>
        </row>
        <row r="5242">
          <cell r="B5242" t="str">
            <v>FG01901</v>
          </cell>
          <cell r="C5242" t="str">
            <v>MAGNES 1GM/10ML (MAGNESIUM) INJ. B/5 AMP</v>
          </cell>
        </row>
        <row r="5243">
          <cell r="B5243" t="str">
            <v>FG01902</v>
          </cell>
          <cell r="C5243" t="str">
            <v>MAGNES DIRECT DENK B/30 STICKS (FR)</v>
          </cell>
        </row>
        <row r="5244">
          <cell r="B5244" t="str">
            <v>FG01903</v>
          </cell>
          <cell r="C5244" t="str">
            <v>MAKE UP KIT</v>
          </cell>
        </row>
        <row r="5245">
          <cell r="B5245" t="str">
            <v>FG01904</v>
          </cell>
          <cell r="C5245" t="str">
            <v>MALACOM - A B/3 CES</v>
          </cell>
        </row>
        <row r="5246">
          <cell r="B5246" t="str">
            <v>FG01905</v>
          </cell>
          <cell r="C5246" t="str">
            <v>MALACOM - E B/3CES</v>
          </cell>
        </row>
        <row r="5247">
          <cell r="B5247" t="str">
            <v>FG01906</v>
          </cell>
          <cell r="C5247" t="str">
            <v>MALADOX POCH/3CES</v>
          </cell>
        </row>
        <row r="5248">
          <cell r="B5248" t="str">
            <v>FG01907</v>
          </cell>
          <cell r="C5248" t="str">
            <v>MALAFAN B/3CES PL</v>
          </cell>
        </row>
        <row r="5249">
          <cell r="B5249" t="str">
            <v>FG01908</v>
          </cell>
          <cell r="C5249" t="str">
            <v>MALAFAN SUSP 30ML</v>
          </cell>
        </row>
        <row r="5250">
          <cell r="B5250" t="str">
            <v>FG01909</v>
          </cell>
          <cell r="C5250" t="str">
            <v>MALARKIT (ARTEETHER) 225MG B/3AMP</v>
          </cell>
        </row>
        <row r="5251">
          <cell r="B5251" t="str">
            <v>FG01910</v>
          </cell>
          <cell r="C5251" t="str">
            <v>MALARKIT (ARTEETHER) 75MG B/3AMP</v>
          </cell>
        </row>
        <row r="5252">
          <cell r="B5252" t="str">
            <v>FG01911</v>
          </cell>
          <cell r="C5252" t="str">
            <v>MALARKIT (ARTEETHER) 150MG B/3AMP</v>
          </cell>
        </row>
        <row r="5253">
          <cell r="B5253" t="str">
            <v>FG01912</v>
          </cell>
          <cell r="C5253" t="str">
            <v>MALAXIN P SUSP 60ML</v>
          </cell>
        </row>
        <row r="5254">
          <cell r="B5254" t="str">
            <v>FG01913</v>
          </cell>
          <cell r="C5254" t="str">
            <v>MALAXIN PLUS B/6CAPS</v>
          </cell>
        </row>
        <row r="5255">
          <cell r="B5255" t="str">
            <v>FG01914</v>
          </cell>
          <cell r="C5255" t="str">
            <v>MALDON (OPTALIDON) 1X10CES</v>
          </cell>
        </row>
        <row r="5256">
          <cell r="B5256" t="str">
            <v>FG01915</v>
          </cell>
          <cell r="C5256" t="str">
            <v>MALDON (OPTALIDON) 55 X 2</v>
          </cell>
        </row>
        <row r="5257">
          <cell r="B5257" t="str">
            <v>FG01916</v>
          </cell>
          <cell r="C5257" t="str">
            <v>MAN ACTIVE DENK B/60CES (FR)</v>
          </cell>
        </row>
        <row r="5258">
          <cell r="B5258" t="str">
            <v>FG01917</v>
          </cell>
          <cell r="C5258" t="str">
            <v>MANACOVID ANTIVIRAL 100ML</v>
          </cell>
        </row>
        <row r="5259">
          <cell r="B5259" t="str">
            <v>FG01918</v>
          </cell>
          <cell r="C5259" t="str">
            <v>MANADIAR B/10CES</v>
          </cell>
        </row>
        <row r="5260">
          <cell r="B5260" t="str">
            <v>FG01919</v>
          </cell>
          <cell r="C5260" t="str">
            <v>MANADIAR SP 60ML</v>
          </cell>
        </row>
        <row r="5261">
          <cell r="B5261" t="str">
            <v>FG01920</v>
          </cell>
          <cell r="C5261" t="str">
            <v>MANALARIA B/18CES</v>
          </cell>
        </row>
        <row r="5262">
          <cell r="B5262" t="str">
            <v>FG01921</v>
          </cell>
          <cell r="C5262" t="str">
            <v>MANALARIA SP 60ML</v>
          </cell>
        </row>
        <row r="5263">
          <cell r="B5263" t="str">
            <v>FG01922</v>
          </cell>
          <cell r="C5263" t="str">
            <v>MANDELA MOBILE</v>
          </cell>
        </row>
        <row r="5264">
          <cell r="B5264" t="str">
            <v>FG01923</v>
          </cell>
          <cell r="C5264" t="str">
            <v>MARCAINE 20ML IV INJ 0.5% 100MG</v>
          </cell>
        </row>
        <row r="5265">
          <cell r="B5265" t="str">
            <v>FG01924</v>
          </cell>
          <cell r="C5265" t="str">
            <v>MARCHEUR AVEC ROUES PLIANT 1 PCS (FS9125L)</v>
          </cell>
        </row>
        <row r="5266">
          <cell r="B5266" t="str">
            <v>FG01925</v>
          </cell>
          <cell r="C5266" t="str">
            <v>MARCHEUR AVEC SIEGE 1 PCS (FS961L)</v>
          </cell>
        </row>
        <row r="5267">
          <cell r="B5267" t="str">
            <v>FG01926</v>
          </cell>
          <cell r="C5267" t="str">
            <v>MARCHEUR ROLIATOR 2 ROUES PCS (FS914L)</v>
          </cell>
        </row>
        <row r="5268">
          <cell r="B5268" t="str">
            <v>FG01927</v>
          </cell>
          <cell r="C5268" t="str">
            <v>MARCHEUR SIMPLE 4 PIEDS PLIANT 1 PCS (FS963L)</v>
          </cell>
        </row>
        <row r="5269">
          <cell r="B5269" t="str">
            <v>FG01928</v>
          </cell>
          <cell r="C5269" t="str">
            <v>MASQUE A OXYGENE ( TUBE : F5MM 2.1M ) 1 PCS</v>
          </cell>
        </row>
        <row r="5270">
          <cell r="B5270" t="str">
            <v>FG01929</v>
          </cell>
          <cell r="C5270" t="str">
            <v>MASQUE A OXYGENE AVEC NEBULISEUR ADULTE 1 PCS</v>
          </cell>
        </row>
        <row r="5271">
          <cell r="B5271" t="str">
            <v>FG01930</v>
          </cell>
          <cell r="C5271" t="str">
            <v>MASQUE A OXYGENE AVEC NEBULISEUR ENFANT 1 PCS</v>
          </cell>
        </row>
        <row r="5272">
          <cell r="B5272" t="str">
            <v>FG01931</v>
          </cell>
          <cell r="C5272" t="str">
            <v>MASQUE USAGE UNIQUE 100 PIECES</v>
          </cell>
        </row>
        <row r="5273">
          <cell r="B5273" t="str">
            <v>FG01932</v>
          </cell>
          <cell r="C5273" t="str">
            <v>MASQUE USAGE UNIQUE 50 PIECES</v>
          </cell>
        </row>
        <row r="5274">
          <cell r="B5274" t="str">
            <v>FG01933</v>
          </cell>
          <cell r="C5274" t="str">
            <v>MASQUES KN95/FFP2 1 PCS</v>
          </cell>
        </row>
        <row r="5275">
          <cell r="B5275" t="str">
            <v>FG01934</v>
          </cell>
          <cell r="C5275" t="str">
            <v>MATEJA CREME</v>
          </cell>
        </row>
        <row r="5276">
          <cell r="B5276" t="str">
            <v>FG01935</v>
          </cell>
          <cell r="C5276" t="str">
            <v>MATEJA SAVON HERBAL</v>
          </cell>
        </row>
        <row r="5277">
          <cell r="B5277" t="str">
            <v>FG01936</v>
          </cell>
          <cell r="C5277" t="str">
            <v>MATELAS (M)</v>
          </cell>
        </row>
        <row r="5278">
          <cell r="B5278" t="str">
            <v>FG01937</v>
          </cell>
          <cell r="C5278" t="str">
            <v>MAXICRON CY 2% FL/5ML</v>
          </cell>
        </row>
        <row r="5279">
          <cell r="B5279" t="str">
            <v>FG01938</v>
          </cell>
          <cell r="C5279" t="str">
            <v>MAXIDROL COLLYRE 3ML (FR)</v>
          </cell>
        </row>
        <row r="5280">
          <cell r="B5280" t="str">
            <v>FG01939</v>
          </cell>
          <cell r="C5280" t="str">
            <v>MAXIDROL PDE OPHT 3.5GR (EO)</v>
          </cell>
        </row>
        <row r="5281">
          <cell r="B5281" t="str">
            <v>FG01940</v>
          </cell>
          <cell r="C5281" t="str">
            <v>MAXILASE SIROP 125ML (FR)</v>
          </cell>
        </row>
        <row r="5282">
          <cell r="B5282" t="str">
            <v>FG01941</v>
          </cell>
          <cell r="C5282" t="str">
            <v>MAXSPRIN (ASPIRINE BP 162MG) B/30 CES</v>
          </cell>
        </row>
        <row r="5283">
          <cell r="B5283" t="str">
            <v>FG01942</v>
          </cell>
          <cell r="C5283" t="str">
            <v>MAXSPRIN (ASPIRINE BP 81 MG) B/30 CES</v>
          </cell>
        </row>
        <row r="5284">
          <cell r="B5284" t="str">
            <v>FG01943</v>
          </cell>
          <cell r="C5284" t="str">
            <v>MAY GRUNWALD 1LTR LIQUIDE</v>
          </cell>
        </row>
        <row r="5285">
          <cell r="B5285" t="str">
            <v>FG01944</v>
          </cell>
          <cell r="C5285" t="str">
            <v>MAYAMISO (POVIDONE) COLLYRE</v>
          </cell>
        </row>
        <row r="5286">
          <cell r="B5286" t="str">
            <v>FG01945</v>
          </cell>
          <cell r="C5286" t="str">
            <v>MEBAMEX (MEBENDAZOL) B/25PL</v>
          </cell>
        </row>
        <row r="5287">
          <cell r="B5287" t="str">
            <v>FG01946</v>
          </cell>
          <cell r="C5287" t="str">
            <v>MEBAMEX SP 30ML</v>
          </cell>
        </row>
        <row r="5288">
          <cell r="B5288" t="str">
            <v>FG01947</v>
          </cell>
          <cell r="C5288" t="str">
            <v>MEBENDAZOLE 100MG CES 25 PL</v>
          </cell>
        </row>
        <row r="5289">
          <cell r="B5289" t="str">
            <v>FG01948</v>
          </cell>
          <cell r="C5289" t="str">
            <v>MEBENDAZOLE SP 30ML</v>
          </cell>
        </row>
        <row r="5290">
          <cell r="B5290" t="str">
            <v>FG01949</v>
          </cell>
          <cell r="C5290" t="str">
            <v>MEBOX (MEBENDAZOLE) POCH/6CES</v>
          </cell>
        </row>
        <row r="5291">
          <cell r="B5291" t="str">
            <v>FG01950</v>
          </cell>
          <cell r="C5291" t="str">
            <v>MEBOX SP 30ML</v>
          </cell>
        </row>
        <row r="5292">
          <cell r="B5292" t="str">
            <v>FG01951</v>
          </cell>
          <cell r="C5292" t="str">
            <v>MECANIQUE ECHELLE DE PESEE PCS/1</v>
          </cell>
        </row>
        <row r="5293">
          <cell r="B5293" t="str">
            <v>FG01952</v>
          </cell>
          <cell r="C5293" t="str">
            <v>MECONERY FORT (MECOBALAMIN) B/30CES</v>
          </cell>
        </row>
        <row r="5294">
          <cell r="B5294" t="str">
            <v>FG01953</v>
          </cell>
          <cell r="C5294" t="str">
            <v>MEDICAL REGULATOR</v>
          </cell>
        </row>
        <row r="5295">
          <cell r="B5295" t="str">
            <v>FG01954</v>
          </cell>
          <cell r="C5295" t="str">
            <v>MEDICEF (CEFTRIAXONE) 1500MG B/1AMP</v>
          </cell>
        </row>
        <row r="5296">
          <cell r="B5296" t="str">
            <v>FG01955</v>
          </cell>
          <cell r="C5296" t="str">
            <v>MEDICEF (CEFTRIAXONE) I.M/ I.V 1GM B/1AMP</v>
          </cell>
        </row>
        <row r="5297">
          <cell r="B5297" t="str">
            <v>FG01956</v>
          </cell>
          <cell r="C5297" t="str">
            <v>MEDIK-55 (PARA+CAFF.) BT/24CES</v>
          </cell>
        </row>
        <row r="5298">
          <cell r="B5298" t="str">
            <v>FG01957</v>
          </cell>
          <cell r="C5298" t="str">
            <v>MEDITHER 150MG B/1AMP</v>
          </cell>
        </row>
        <row r="5299">
          <cell r="B5299" t="str">
            <v>FG01958</v>
          </cell>
          <cell r="C5299" t="str">
            <v>MEDITHER 225MG B/1AMP</v>
          </cell>
        </row>
        <row r="5300">
          <cell r="B5300" t="str">
            <v>FG01959</v>
          </cell>
          <cell r="C5300" t="str">
            <v>MEDITHER 75MG B/1AMP</v>
          </cell>
        </row>
        <row r="5301">
          <cell r="B5301" t="str">
            <v>FG01960</v>
          </cell>
          <cell r="C5301" t="str">
            <v>MEDITHER-L B/6CES</v>
          </cell>
        </row>
        <row r="5302">
          <cell r="B5302" t="str">
            <v>FG01961</v>
          </cell>
          <cell r="C5302" t="str">
            <v>MEDITHER-L SP 60ML</v>
          </cell>
        </row>
        <row r="5303">
          <cell r="B5303" t="str">
            <v>FG01962</v>
          </cell>
          <cell r="C5303" t="str">
            <v>MEDLYTE LIQUID ORS TETRA PACK/200ML</v>
          </cell>
        </row>
        <row r="5304">
          <cell r="B5304" t="str">
            <v>FG01963</v>
          </cell>
          <cell r="C5304" t="str">
            <v>MEDROL 16MG 20CES (FR)</v>
          </cell>
        </row>
        <row r="5305">
          <cell r="B5305" t="str">
            <v>FG01964</v>
          </cell>
          <cell r="C5305" t="str">
            <v>MEFANTHER DS B/6CES</v>
          </cell>
        </row>
        <row r="5306">
          <cell r="B5306" t="str">
            <v>FG01965</v>
          </cell>
          <cell r="C5306" t="str">
            <v>MEFANTHER DS DISPERSIBLE B/6 CES</v>
          </cell>
        </row>
        <row r="5307">
          <cell r="B5307" t="str">
            <v>FG01966</v>
          </cell>
          <cell r="C5307" t="str">
            <v>MEFANTHER FORTE DISPERSIBLE B/12CES</v>
          </cell>
        </row>
        <row r="5308">
          <cell r="B5308" t="str">
            <v>FG01967</v>
          </cell>
          <cell r="C5308" t="str">
            <v>MEFANTHER FORTE B/12CES</v>
          </cell>
        </row>
        <row r="5309">
          <cell r="B5309" t="str">
            <v>FG01968</v>
          </cell>
          <cell r="C5309" t="str">
            <v>MEFANTHER JUNIOR DISPERSIBLE B/6CES</v>
          </cell>
        </row>
        <row r="5310">
          <cell r="B5310" t="str">
            <v>FG01969</v>
          </cell>
          <cell r="C5310" t="str">
            <v>MEFANTHER SIROP 60ML</v>
          </cell>
        </row>
        <row r="5311">
          <cell r="B5311" t="str">
            <v>FG01970</v>
          </cell>
          <cell r="C5311" t="str">
            <v>MEFTAL FORTE B/2PL X 10CES</v>
          </cell>
        </row>
        <row r="5312">
          <cell r="B5312" t="str">
            <v>FG01971</v>
          </cell>
          <cell r="C5312" t="str">
            <v>MEFTAL PEDIATRIC SP 60ML</v>
          </cell>
        </row>
        <row r="5313">
          <cell r="B5313" t="str">
            <v>FG01972</v>
          </cell>
          <cell r="C5313" t="str">
            <v>MEFTAL SPAS (DICYCLOMINE) B/5AMP</v>
          </cell>
        </row>
        <row r="5314">
          <cell r="B5314" t="str">
            <v>FG01973</v>
          </cell>
          <cell r="C5314" t="str">
            <v>MEFTAL SPAS B/10CES PL</v>
          </cell>
        </row>
        <row r="5315">
          <cell r="B5315" t="str">
            <v>FG01974</v>
          </cell>
          <cell r="C5315" t="str">
            <v>MEFTAL SPAS GOUTTE</v>
          </cell>
        </row>
        <row r="5316">
          <cell r="B5316" t="str">
            <v>FG01975</v>
          </cell>
          <cell r="C5316" t="str">
            <v>MEFTAL-500 B/2PL X 10CES</v>
          </cell>
        </row>
        <row r="5317">
          <cell r="B5317" t="str">
            <v>FG01976</v>
          </cell>
          <cell r="C5317" t="str">
            <v>MEFTAL-FORTE CREME 50GR</v>
          </cell>
        </row>
        <row r="5318">
          <cell r="B5318" t="str">
            <v>FG01977</v>
          </cell>
          <cell r="C5318" t="str">
            <v>MEFTAL-PEDIAT. B/1X10CES</v>
          </cell>
        </row>
        <row r="5319">
          <cell r="B5319" t="str">
            <v>FG01978</v>
          </cell>
          <cell r="C5319" t="str">
            <v>MEGATONE-Z 200ML SP</v>
          </cell>
        </row>
        <row r="5320">
          <cell r="B5320" t="str">
            <v>FG01979</v>
          </cell>
          <cell r="C5320" t="str">
            <v>MEGAVIT-18 B/30 CES</v>
          </cell>
        </row>
        <row r="5321">
          <cell r="B5321" t="str">
            <v>FG01980</v>
          </cell>
          <cell r="C5321" t="str">
            <v>MELADININE 30CES (FR)</v>
          </cell>
        </row>
        <row r="5322">
          <cell r="B5322" t="str">
            <v>FG01981</v>
          </cell>
          <cell r="C5322" t="str">
            <v>MELADININE FAIBLE SOLUTION 24 ML</v>
          </cell>
        </row>
        <row r="5323">
          <cell r="B5323" t="str">
            <v>FG01982</v>
          </cell>
          <cell r="C5323" t="str">
            <v>MENOPTAS 75IU (MENOTROPHINE) INJ. B/ 1 VIAL</v>
          </cell>
        </row>
        <row r="5324">
          <cell r="B5324" t="str">
            <v>FG01983</v>
          </cell>
          <cell r="C5324" t="str">
            <v>MENORCINE B/10CES</v>
          </cell>
        </row>
        <row r="5325">
          <cell r="B5325" t="str">
            <v>FG01984</v>
          </cell>
          <cell r="C5325" t="str">
            <v>MENORCINE FORT B/10CES</v>
          </cell>
        </row>
        <row r="5326">
          <cell r="B5326" t="str">
            <v>FG01985</v>
          </cell>
          <cell r="C5326" t="str">
            <v>MENORCINE SP #### 60ML#####</v>
          </cell>
        </row>
        <row r="5327">
          <cell r="B5327" t="str">
            <v>FG01986</v>
          </cell>
          <cell r="C5327" t="str">
            <v>MENORCINE SP 30ML</v>
          </cell>
        </row>
        <row r="5328">
          <cell r="B5328" t="str">
            <v>FG01987</v>
          </cell>
          <cell r="C5328" t="str">
            <v>MENTHRIL SOLUTION 100ML</v>
          </cell>
        </row>
        <row r="5329">
          <cell r="B5329" t="str">
            <v>FG01988</v>
          </cell>
          <cell r="C5329" t="str">
            <v>MEPROBAMATE 400MG 10CES</v>
          </cell>
        </row>
        <row r="5330">
          <cell r="B5330" t="str">
            <v>FG01989</v>
          </cell>
          <cell r="C5330" t="str">
            <v>MERCUROCROME 60ML SOL.</v>
          </cell>
        </row>
        <row r="5331">
          <cell r="B5331" t="str">
            <v>FG01990</v>
          </cell>
          <cell r="C5331" t="str">
            <v>MERONIA 1000MG @@@@ 30ML @@@ (FR)</v>
          </cell>
        </row>
        <row r="5332">
          <cell r="B5332" t="str">
            <v>FG01991</v>
          </cell>
          <cell r="C5332" t="str">
            <v>MERONIA 500 MG 20ML IV B/1 (FR)</v>
          </cell>
        </row>
        <row r="5333">
          <cell r="B5333" t="str">
            <v>FG01992</v>
          </cell>
          <cell r="C5333" t="str">
            <v>MEROP 1000MG (MEROPENEME) INJB/1VIAL+10 ML SOLVANT</v>
          </cell>
        </row>
        <row r="5334">
          <cell r="B5334" t="str">
            <v>FG01993</v>
          </cell>
          <cell r="C5334" t="str">
            <v>MEROP 500MG (MEROPENEME) INJ B/1VIAL+10 ML SOLVANT</v>
          </cell>
        </row>
        <row r="5335">
          <cell r="B5335" t="str">
            <v>FG01994</v>
          </cell>
          <cell r="C5335" t="str">
            <v>MESTINON 150DRG 60MG (FR)</v>
          </cell>
        </row>
        <row r="5336">
          <cell r="B5336" t="str">
            <v>FG01995</v>
          </cell>
          <cell r="C5336" t="str">
            <v>MESTINON 20CES 60MG (FR)</v>
          </cell>
        </row>
        <row r="5337">
          <cell r="B5337" t="str">
            <v>FG01996</v>
          </cell>
          <cell r="C5337" t="str">
            <v>MESUPAIN B/ 10 X 10 CES</v>
          </cell>
        </row>
        <row r="5338">
          <cell r="B5338" t="str">
            <v>FG01997</v>
          </cell>
          <cell r="C5338" t="str">
            <v>MESURE VOLUME SET 150ML AVEC BURETTE 1 PCS</v>
          </cell>
        </row>
        <row r="5339">
          <cell r="B5339" t="str">
            <v>FG01998</v>
          </cell>
          <cell r="C5339" t="str">
            <v>METAZOL B/10CESX25PL</v>
          </cell>
        </row>
        <row r="5340">
          <cell r="B5340" t="str">
            <v>FG01999</v>
          </cell>
          <cell r="C5340" t="str">
            <v>METAZOL INJ. 100ML (SAN TROUSSE)</v>
          </cell>
        </row>
        <row r="5341">
          <cell r="B5341" t="str">
            <v>FG02000</v>
          </cell>
          <cell r="C5341" t="str">
            <v>METAZOL SIROP 120ML</v>
          </cell>
        </row>
        <row r="5342">
          <cell r="B5342" t="str">
            <v>FG02001</v>
          </cell>
          <cell r="C5342" t="str">
            <v>METFLOX (METRO+NORFLO) B/10CES</v>
          </cell>
        </row>
        <row r="5343">
          <cell r="B5343" t="str">
            <v>FG02002</v>
          </cell>
          <cell r="C5343" t="str">
            <v>METFLOX (METRO+NORFLO) SUSPENSION 30ML</v>
          </cell>
        </row>
        <row r="5344">
          <cell r="B5344" t="str">
            <v>FG02003</v>
          </cell>
          <cell r="C5344" t="str">
            <v>METFORMIN DENK 500MG B/(10)CES</v>
          </cell>
        </row>
        <row r="5345">
          <cell r="B5345" t="str">
            <v>FG02004</v>
          </cell>
          <cell r="C5345" t="str">
            <v>METFORMIN DENK 500MG B/30CES</v>
          </cell>
        </row>
        <row r="5346">
          <cell r="B5346" t="str">
            <v>FG02005</v>
          </cell>
          <cell r="C5346" t="str">
            <v>METFORMIN DENK 850MG B/30CES</v>
          </cell>
        </row>
        <row r="5347">
          <cell r="B5347" t="str">
            <v>FG02006</v>
          </cell>
          <cell r="C5347" t="str">
            <v>METFORMIN DENK 850MG PLS 15 CES</v>
          </cell>
        </row>
        <row r="5348">
          <cell r="B5348" t="str">
            <v>FG02007</v>
          </cell>
          <cell r="C5348" t="str">
            <v>METHABISULFITE DE SODIUM</v>
          </cell>
        </row>
        <row r="5349">
          <cell r="B5349" t="str">
            <v>FG02009</v>
          </cell>
          <cell r="C5349" t="str">
            <v>METHERGINE 125MG PLS DE 50CES (5X10CES)</v>
          </cell>
        </row>
        <row r="5350">
          <cell r="B5350" t="str">
            <v>FG02010</v>
          </cell>
          <cell r="C5350" t="str">
            <v>METHERGINE AMP INJ 1ML B/3 (EO)</v>
          </cell>
        </row>
        <row r="5351">
          <cell r="B5351" t="str">
            <v>FG02011</v>
          </cell>
          <cell r="C5351" t="str">
            <v>METHERINE 0.25MG/ML GOUTTE 10ML GENERI.</v>
          </cell>
        </row>
        <row r="5352">
          <cell r="B5352" t="str">
            <v>FG02012</v>
          </cell>
          <cell r="C5352" t="str">
            <v>METHOCEL 1000MG (METHOTREXATE) INJ. B/1 VIAL</v>
          </cell>
        </row>
        <row r="5353">
          <cell r="B5353" t="str">
            <v>FG02013</v>
          </cell>
          <cell r="C5353" t="str">
            <v>METHOCEL 15MG (METHOTREXATE) INJ. B/1AMP</v>
          </cell>
        </row>
        <row r="5354">
          <cell r="B5354" t="str">
            <v>FG02014</v>
          </cell>
          <cell r="C5354" t="str">
            <v>METHOCEL 2.5MG (METHOTREXATE) PLS DE 10 CES</v>
          </cell>
        </row>
        <row r="5355">
          <cell r="B5355" t="str">
            <v>FG02015</v>
          </cell>
          <cell r="C5355" t="str">
            <v>METHOCEL 500MG (METHOTREXATE) INJ. B/1 VIAL</v>
          </cell>
        </row>
        <row r="5356">
          <cell r="B5356" t="str">
            <v>FG02016</v>
          </cell>
          <cell r="C5356" t="str">
            <v>METHOCEL 50MG (METHOTREXATE) INJ B/1AMP</v>
          </cell>
        </row>
        <row r="5357">
          <cell r="B5357" t="str">
            <v>FG02017</v>
          </cell>
          <cell r="C5357" t="str">
            <v>METHYL CELLULOSE 2% COLLYRE 10ML</v>
          </cell>
        </row>
        <row r="5358">
          <cell r="B5358" t="str">
            <v>FG02018</v>
          </cell>
          <cell r="C5358" t="str">
            <v>METNOR (METRO+NORFLOXACIN) 30ML SP</v>
          </cell>
        </row>
        <row r="5359">
          <cell r="B5359" t="str">
            <v>FG02019</v>
          </cell>
          <cell r="C5359" t="str">
            <v>METNOR 200 MG B/10 CES</v>
          </cell>
        </row>
        <row r="5360">
          <cell r="B5360" t="str">
            <v>FG02020</v>
          </cell>
          <cell r="C5360" t="str">
            <v>METNOR 400MG B/10CES</v>
          </cell>
        </row>
        <row r="5361">
          <cell r="B5361" t="str">
            <v>FG02021</v>
          </cell>
          <cell r="C5361" t="str">
            <v>METROKIM 250MG 10CES</v>
          </cell>
        </row>
        <row r="5362">
          <cell r="B5362" t="str">
            <v>FG02022</v>
          </cell>
          <cell r="C5362" t="str">
            <v>METROKIM 500MG B/10CAP</v>
          </cell>
        </row>
        <row r="5363">
          <cell r="B5363" t="str">
            <v>FG02023</v>
          </cell>
          <cell r="C5363" t="str">
            <v>METRONIDAZOLE 100 ML SIROP (PHATKIN)</v>
          </cell>
        </row>
        <row r="5364">
          <cell r="B5364" t="str">
            <v>FG02024</v>
          </cell>
          <cell r="C5364" t="str">
            <v>METRONIDAZOLE INJ. 100ML (LOCAL)</v>
          </cell>
        </row>
        <row r="5365">
          <cell r="B5365" t="str">
            <v>FG02025</v>
          </cell>
          <cell r="C5365" t="str">
            <v>METRONIDAZOLE SP 100ML</v>
          </cell>
        </row>
        <row r="5366">
          <cell r="B5366" t="str">
            <v>FG02026</v>
          </cell>
          <cell r="C5366" t="str">
            <v>MEYAMYCINE 200MG 20CES</v>
          </cell>
        </row>
        <row r="5367">
          <cell r="B5367" t="str">
            <v>FG02027</v>
          </cell>
          <cell r="C5367" t="str">
            <v>MEYAMYCINE SP 60ML</v>
          </cell>
        </row>
        <row r="5368">
          <cell r="B5368" t="str">
            <v>FG02028</v>
          </cell>
          <cell r="C5368" t="str">
            <v>MFORT 500MG B/30CES</v>
          </cell>
        </row>
        <row r="5369">
          <cell r="B5369" t="str">
            <v>FG02029</v>
          </cell>
          <cell r="C5369" t="str">
            <v>MFORT 850MG B/30CES</v>
          </cell>
        </row>
        <row r="5370">
          <cell r="B5370" t="str">
            <v>FG02030</v>
          </cell>
          <cell r="C5370" t="str">
            <v>MICROCUVETTES HEMOCUE B/100</v>
          </cell>
        </row>
        <row r="5371">
          <cell r="B5371" t="str">
            <v>FG02031</v>
          </cell>
          <cell r="C5371" t="str">
            <v>MICROGYNON 30 PLS 21CES (FR)</v>
          </cell>
        </row>
        <row r="5372">
          <cell r="B5372" t="str">
            <v>FG02032</v>
          </cell>
          <cell r="C5372" t="str">
            <v>MICROGYNON 50 PLS DE 21CES (FR)</v>
          </cell>
        </row>
        <row r="5373">
          <cell r="B5373" t="str">
            <v>FG02033</v>
          </cell>
          <cell r="C5373" t="str">
            <v>MICROLAX 5ML AD B/(12)SUPPO</v>
          </cell>
        </row>
        <row r="5374">
          <cell r="B5374" t="str">
            <v>FG02034</v>
          </cell>
          <cell r="C5374" t="str">
            <v>MICROLAX AD B/4 TUBE (FR)</v>
          </cell>
        </row>
        <row r="5375">
          <cell r="B5375" t="str">
            <v>FG02035</v>
          </cell>
          <cell r="C5375" t="str">
            <v>MICROLAX BB B/4 TUBES (FR)</v>
          </cell>
        </row>
        <row r="5376">
          <cell r="B5376" t="str">
            <v>FG02036</v>
          </cell>
          <cell r="C5376" t="str">
            <v>MICROPAQUE SUSPENSION ORALE 150ML</v>
          </cell>
        </row>
        <row r="5377">
          <cell r="B5377" t="str">
            <v>FG02037</v>
          </cell>
          <cell r="C5377" t="str">
            <v>MICROPIME 1G (CEFEPIME USP) I.M I.V B/ AMP</v>
          </cell>
        </row>
        <row r="5378">
          <cell r="B5378" t="str">
            <v>FG02038</v>
          </cell>
          <cell r="C5378" t="str">
            <v>MICROPORE 2.5CM 1PCS</v>
          </cell>
        </row>
        <row r="5379">
          <cell r="B5379" t="str">
            <v>FG02039</v>
          </cell>
          <cell r="C5379" t="str">
            <v>MICROSCOP 1PCS</v>
          </cell>
        </row>
        <row r="5380">
          <cell r="B5380" t="str">
            <v>FG02040</v>
          </cell>
          <cell r="C5380" t="str">
            <v>MICROSCOP BIG</v>
          </cell>
        </row>
        <row r="5381">
          <cell r="B5381" t="str">
            <v>FG02041</v>
          </cell>
          <cell r="C5381" t="str">
            <v>MICROWAVE OVENS</v>
          </cell>
        </row>
        <row r="5382">
          <cell r="B5382" t="str">
            <v>FG02042</v>
          </cell>
          <cell r="C5382" t="str">
            <v>MIDARONE 50MG/ML (AMIODARONE) 3ML INJ. B/1AMP</v>
          </cell>
        </row>
        <row r="5383">
          <cell r="B5383" t="str">
            <v>FG02043</v>
          </cell>
          <cell r="C5383" t="str">
            <v>MIDAZOLAM INJECTION BP 1MG/ML B/1 AMP (SEDOZ)</v>
          </cell>
        </row>
        <row r="5384">
          <cell r="B5384" t="str">
            <v>FG02044</v>
          </cell>
          <cell r="C5384" t="str">
            <v>MIFEPACK B/5 CES</v>
          </cell>
        </row>
        <row r="5385">
          <cell r="B5385" t="str">
            <v>FG02045</v>
          </cell>
          <cell r="C5385" t="str">
            <v>MINII FOOR</v>
          </cell>
        </row>
        <row r="5386">
          <cell r="B5386" t="str">
            <v>FG02046</v>
          </cell>
          <cell r="C5386" t="str">
            <v>MINUTERIE</v>
          </cell>
        </row>
        <row r="5387">
          <cell r="B5387" t="str">
            <v>FG02047</v>
          </cell>
          <cell r="C5387" t="str">
            <v>MIOREL 4MG B/12GEL</v>
          </cell>
        </row>
        <row r="5388">
          <cell r="B5388" t="str">
            <v>FG02048</v>
          </cell>
          <cell r="C5388" t="str">
            <v>MIPOTEC (MISOPROSTOL) 200MG B/4CES</v>
          </cell>
        </row>
        <row r="5389">
          <cell r="B5389" t="str">
            <v>FG02049</v>
          </cell>
          <cell r="C5389" t="str">
            <v>MIRONVIT (FER+VITA+ZINC) SIROP150ML</v>
          </cell>
        </row>
        <row r="5390">
          <cell r="B5390" t="str">
            <v>FG02050</v>
          </cell>
          <cell r="C5390" t="str">
            <v>MISO (MISOPROSTOL) 200MG B/4CES</v>
          </cell>
        </row>
        <row r="5391">
          <cell r="B5391" t="str">
            <v>FG02051</v>
          </cell>
          <cell r="C5391" t="str">
            <v>MISPRO (MISOPROSTOL) 200MG B/4CES</v>
          </cell>
        </row>
        <row r="5392">
          <cell r="B5392" t="str">
            <v>FG02052</v>
          </cell>
          <cell r="C5392" t="str">
            <v>MISTROVIX B/4 CES</v>
          </cell>
        </row>
        <row r="5393">
          <cell r="B5393" t="str">
            <v>FG02053</v>
          </cell>
          <cell r="C5393" t="str">
            <v>MIXACOL SUSPENSION 100ML</v>
          </cell>
        </row>
        <row r="5394">
          <cell r="B5394" t="str">
            <v>FG02054</v>
          </cell>
          <cell r="C5394" t="str">
            <v>MOBIC 15MG 30CES</v>
          </cell>
        </row>
        <row r="5395">
          <cell r="B5395" t="str">
            <v>FG02055</v>
          </cell>
          <cell r="C5395" t="str">
            <v>MOBILE EPERIA</v>
          </cell>
        </row>
        <row r="5396">
          <cell r="B5396" t="str">
            <v>FG02056</v>
          </cell>
          <cell r="C5396" t="str">
            <v>MODIC FORTE 100MG B/20CES</v>
          </cell>
        </row>
        <row r="5397">
          <cell r="B5397" t="str">
            <v>FG02057</v>
          </cell>
          <cell r="C5397" t="str">
            <v>MODU -N 40MG NORR. SIROP 100ML FL</v>
          </cell>
        </row>
        <row r="5398">
          <cell r="B5398" t="str">
            <v>FG02058</v>
          </cell>
          <cell r="C5398" t="str">
            <v>MODU CAP B/8</v>
          </cell>
        </row>
        <row r="5399">
          <cell r="B5399" t="str">
            <v>FG02059</v>
          </cell>
          <cell r="C5399" t="str">
            <v>MODU-E 100MG ENFANT SIROP 100ML FL</v>
          </cell>
        </row>
        <row r="5400">
          <cell r="B5400" t="str">
            <v>FG02060</v>
          </cell>
          <cell r="C5400" t="str">
            <v>MOMEX SPRAY 50MG 140 DOSES (FR)</v>
          </cell>
        </row>
        <row r="5401">
          <cell r="B5401" t="str">
            <v>FG02061</v>
          </cell>
          <cell r="C5401" t="str">
            <v>MON PLAIISIR B/1 CHEWABLE CES</v>
          </cell>
        </row>
        <row r="5402">
          <cell r="B5402" t="str">
            <v>FG02062</v>
          </cell>
          <cell r="C5402" t="str">
            <v>MONA (LATANOPROST) 0.005% COLLYRE</v>
          </cell>
        </row>
        <row r="5403">
          <cell r="B5403" t="str">
            <v>FG02063</v>
          </cell>
          <cell r="C5403" t="str">
            <v>MONEY COUNTING MACHINE</v>
          </cell>
        </row>
        <row r="5404">
          <cell r="B5404" t="str">
            <v>FG02064</v>
          </cell>
          <cell r="C5404" t="str">
            <v>MONTIGET 10MG B/2*7 CES</v>
          </cell>
        </row>
        <row r="5405">
          <cell r="B5405" t="str">
            <v>FG02065</v>
          </cell>
          <cell r="C5405" t="str">
            <v>MONTIGET 4MG B2X7 CES</v>
          </cell>
        </row>
        <row r="5406">
          <cell r="B5406" t="str">
            <v>FG02066</v>
          </cell>
          <cell r="C5406" t="str">
            <v>MONTIGET 5MG B2X7 CES</v>
          </cell>
        </row>
        <row r="5407">
          <cell r="B5407" t="str">
            <v>FG02067</v>
          </cell>
          <cell r="C5407" t="str">
            <v>MORPHINE 10MG/1ML--1AMP(FR)</v>
          </cell>
        </row>
        <row r="5408">
          <cell r="B5408" t="str">
            <v>FG02068</v>
          </cell>
          <cell r="C5408" t="str">
            <v>MORPHINE SULPHATE 10MG B/10AMP</v>
          </cell>
        </row>
        <row r="5409">
          <cell r="B5409" t="str">
            <v>FG02069</v>
          </cell>
          <cell r="C5409" t="str">
            <v>MORPHIQUE (MORPHINE) 10MG/ML B/ 1 AMPS</v>
          </cell>
        </row>
        <row r="5410">
          <cell r="B5410" t="str">
            <v>FG02070</v>
          </cell>
          <cell r="C5410" t="str">
            <v>MOTILIUM 10MG CES B/30(EO)</v>
          </cell>
        </row>
        <row r="5411">
          <cell r="B5411" t="str">
            <v>FG02071</v>
          </cell>
          <cell r="C5411" t="str">
            <v>MOTILIUM SUSP BUV 200ML (FR)</v>
          </cell>
        </row>
        <row r="5412">
          <cell r="B5412" t="str">
            <v>FG02072</v>
          </cell>
          <cell r="C5412" t="str">
            <v>MOUSTIDOSE PLUS LOTTON FLACO 125ML (FR)</v>
          </cell>
        </row>
        <row r="5413">
          <cell r="B5413" t="str">
            <v>FG02073</v>
          </cell>
          <cell r="C5413" t="str">
            <v>MOVICOL SACHET B/20(FR)</v>
          </cell>
        </row>
        <row r="5414">
          <cell r="B5414" t="str">
            <v>FG02074</v>
          </cell>
          <cell r="C5414" t="str">
            <v>MOX CV 1.2MG B/1AMP</v>
          </cell>
        </row>
        <row r="5415">
          <cell r="B5415" t="str">
            <v>FG02075</v>
          </cell>
          <cell r="C5415" t="str">
            <v>MOX CV 625 MG B/16CES</v>
          </cell>
        </row>
        <row r="5416">
          <cell r="B5416" t="str">
            <v>FG02076</v>
          </cell>
          <cell r="C5416" t="str">
            <v>MOX CV DS 100ML</v>
          </cell>
        </row>
        <row r="5417">
          <cell r="B5417" t="str">
            <v>FG02077</v>
          </cell>
          <cell r="C5417" t="str">
            <v>MOXBACTAM 500/125MG DP B/10CES</v>
          </cell>
        </row>
        <row r="5418">
          <cell r="B5418" t="str">
            <v>FG02078</v>
          </cell>
          <cell r="C5418" t="str">
            <v>MOXIGET 400MG B/5 CES</v>
          </cell>
        </row>
        <row r="5419">
          <cell r="B5419" t="str">
            <v>FG02079</v>
          </cell>
          <cell r="C5419" t="str">
            <v>MOXONE 5ML COLLYRE</v>
          </cell>
        </row>
        <row r="5420">
          <cell r="B5420" t="str">
            <v>FG02080</v>
          </cell>
          <cell r="C5420" t="str">
            <v>MOXYCLA DUO 457MG 70ML SIROP</v>
          </cell>
        </row>
        <row r="5421">
          <cell r="B5421" t="str">
            <v>FG02081</v>
          </cell>
          <cell r="C5421" t="str">
            <v>MOXYCLAV 1.2G B/1AMP</v>
          </cell>
        </row>
        <row r="5422">
          <cell r="B5422" t="str">
            <v>FG02082</v>
          </cell>
          <cell r="C5422" t="str">
            <v>MOXYCLAV DUO 1000MG 10CES</v>
          </cell>
        </row>
        <row r="5423">
          <cell r="B5423" t="str">
            <v>FG02083</v>
          </cell>
          <cell r="C5423" t="str">
            <v>MOXYCLAV DUO 562.5MG B/16CES</v>
          </cell>
        </row>
        <row r="5424">
          <cell r="B5424" t="str">
            <v>FG02084</v>
          </cell>
          <cell r="C5424" t="str">
            <v>MOXYCLAV INJ 600MG 1 VIAL</v>
          </cell>
        </row>
        <row r="5425">
          <cell r="B5425" t="str">
            <v>FG02085</v>
          </cell>
          <cell r="C5425" t="str">
            <v>MOYO HEMORRHOIDIAL SUPPO B/10</v>
          </cell>
        </row>
        <row r="5426">
          <cell r="B5426" t="str">
            <v>FG02086</v>
          </cell>
          <cell r="C5426" t="str">
            <v>MP CLOX 500MG 2X 10 CAPS</v>
          </cell>
        </row>
        <row r="5427">
          <cell r="B5427" t="str">
            <v>FG02087</v>
          </cell>
          <cell r="C5427" t="str">
            <v>MUCOCLER (AMBROXOL) B/10 CES</v>
          </cell>
        </row>
        <row r="5428">
          <cell r="B5428" t="str">
            <v>FG02088</v>
          </cell>
          <cell r="C5428" t="str">
            <v>MUCOCLER ADULT (AMBROXOL) SIROP FL/150ML</v>
          </cell>
        </row>
        <row r="5429">
          <cell r="B5429" t="str">
            <v>FG02089</v>
          </cell>
          <cell r="C5429" t="str">
            <v>MUCOCLER ENFANT (AMBROXOL) SIROP FL/150ML</v>
          </cell>
        </row>
        <row r="5430">
          <cell r="B5430" t="str">
            <v>FG02090</v>
          </cell>
          <cell r="C5430" t="str">
            <v>MUCOMYST 18 SACHETS 200MG (FR)</v>
          </cell>
        </row>
        <row r="5431">
          <cell r="B5431" t="str">
            <v>FG02091</v>
          </cell>
          <cell r="C5431" t="str">
            <v>MUCOPRIN (ANTITUSSIF) EXP ADULT 100ML</v>
          </cell>
        </row>
        <row r="5432">
          <cell r="B5432" t="str">
            <v>FG02092</v>
          </cell>
          <cell r="C5432" t="str">
            <v>MUCOPRIN (ANTITUSSIF) EXP PED 100ML</v>
          </cell>
        </row>
        <row r="5433">
          <cell r="B5433" t="str">
            <v>FG02093</v>
          </cell>
          <cell r="C5433" t="str">
            <v>MUCORIL (ANTI TOUSSIF) EXP 100 ML SP</v>
          </cell>
        </row>
        <row r="5434">
          <cell r="B5434" t="str">
            <v>FG02094</v>
          </cell>
          <cell r="C5434" t="str">
            <v>MULTIMEX SP 100ML</v>
          </cell>
        </row>
        <row r="5435">
          <cell r="B5435" t="str">
            <v>FG02095</v>
          </cell>
          <cell r="C5435" t="str">
            <v>MULTIVIT SIROP ( LOCAL)</v>
          </cell>
        </row>
        <row r="5436">
          <cell r="B5436" t="str">
            <v>FG02096</v>
          </cell>
          <cell r="C5436" t="str">
            <v>MULTIVIT SP 100ML(PHATKIN)</v>
          </cell>
        </row>
        <row r="5437">
          <cell r="B5437" t="str">
            <v>FG02097</v>
          </cell>
          <cell r="C5437" t="str">
            <v>MULTIVITAMIN B/10X10CES</v>
          </cell>
        </row>
        <row r="5438">
          <cell r="B5438" t="str">
            <v>FG02098</v>
          </cell>
          <cell r="C5438" t="str">
            <v>MULTIVITAMINE GOUTTE 15ML</v>
          </cell>
        </row>
        <row r="5439">
          <cell r="B5439" t="str">
            <v>FG02099</v>
          </cell>
          <cell r="C5439" t="str">
            <v>MUSCLE PLUS B/10X10CES</v>
          </cell>
        </row>
        <row r="5440">
          <cell r="B5440" t="str">
            <v>FG02100</v>
          </cell>
          <cell r="C5440" t="str">
            <v>MUSCLE PLUS B/5 AMP</v>
          </cell>
        </row>
        <row r="5441">
          <cell r="B5441" t="str">
            <v>FG02101</v>
          </cell>
          <cell r="C5441" t="str">
            <v>CREME MUSCLE PLUS 25 MG</v>
          </cell>
        </row>
        <row r="5442">
          <cell r="B5442" t="str">
            <v>FG02102</v>
          </cell>
          <cell r="C5442" t="str">
            <v>MUSCUREL 8 MG 10 CAP(FR)</v>
          </cell>
        </row>
        <row r="5443">
          <cell r="B5443" t="str">
            <v>FG02103</v>
          </cell>
          <cell r="C5443" t="str">
            <v>MUSIC SYSTEM</v>
          </cell>
        </row>
        <row r="5444">
          <cell r="B5444" t="str">
            <v>FG02104</v>
          </cell>
          <cell r="C5444" t="str">
            <v>MUST. M BAUME HYDRA APAISANT 200ML PS</v>
          </cell>
        </row>
        <row r="5445">
          <cell r="B5445" t="str">
            <v>FG02105</v>
          </cell>
          <cell r="C5445" t="str">
            <v>MUST. PA STELATOPIA GEL LAVANT 200ML</v>
          </cell>
        </row>
        <row r="5446">
          <cell r="B5446" t="str">
            <v>FG02106</v>
          </cell>
          <cell r="C5446" t="str">
            <v>MUST. SHAMP BB FL/200ML</v>
          </cell>
        </row>
        <row r="5447">
          <cell r="B5447" t="str">
            <v>FG02107</v>
          </cell>
          <cell r="C5447" t="str">
            <v>MUST.HUILE MASSAGE SPARAY FL/100ML</v>
          </cell>
        </row>
        <row r="5448">
          <cell r="B5448" t="str">
            <v>FG02108</v>
          </cell>
          <cell r="C5448" t="str">
            <v>MUST.LAIT CORPS HYDRA BB FL/300ML</v>
          </cell>
        </row>
        <row r="5449">
          <cell r="B5449" t="str">
            <v>FG02109</v>
          </cell>
          <cell r="C5449" t="str">
            <v>MUST.M.BAUME HYDRA APAISANT 200ML PS</v>
          </cell>
        </row>
        <row r="5450">
          <cell r="B5450" t="str">
            <v>FG02110</v>
          </cell>
          <cell r="C5450" t="str">
            <v>MY VITA (VITAMIN C PLUS ZINC) 20CES EFF</v>
          </cell>
        </row>
        <row r="5451">
          <cell r="B5451" t="str">
            <v>FG02111</v>
          </cell>
          <cell r="C5451" t="str">
            <v>MY VITA KIDS 20CES EFF.</v>
          </cell>
        </row>
        <row r="5452">
          <cell r="B5452" t="str">
            <v>FG02112</v>
          </cell>
          <cell r="C5452" t="str">
            <v>MY VITA MULTIVITAMINES 20CES EFF.</v>
          </cell>
        </row>
        <row r="5453">
          <cell r="B5453" t="str">
            <v>FG02113</v>
          </cell>
          <cell r="C5453" t="str">
            <v>MYCONAFINE 1% CREEME 15GR (TERBINAFINE)</v>
          </cell>
        </row>
        <row r="5454">
          <cell r="B5454" t="str">
            <v>FG02114</v>
          </cell>
          <cell r="C5454" t="str">
            <v>MYCOSTATINE SIROP FL/24ML</v>
          </cell>
        </row>
        <row r="5455">
          <cell r="B5455" t="str">
            <v>FG02115</v>
          </cell>
          <cell r="C5455" t="str">
            <v>MYCOSTER 1% CREME 30GR(FR)</v>
          </cell>
        </row>
        <row r="5456">
          <cell r="B5456" t="str">
            <v>FG02116</v>
          </cell>
          <cell r="C5456" t="str">
            <v>MYCOSTER 1% POUDRE 30GR (FR)</v>
          </cell>
        </row>
        <row r="5457">
          <cell r="B5457" t="str">
            <v>FG02117</v>
          </cell>
          <cell r="C5457" t="str">
            <v>MYCOSTER 1% SOLUTION 30ML (FR)</v>
          </cell>
        </row>
        <row r="5458">
          <cell r="B5458" t="str">
            <v>FG02118</v>
          </cell>
          <cell r="C5458" t="str">
            <v>MYCOSTER 8% SOLUTION FILMOGENE 3ML (FR)</v>
          </cell>
        </row>
        <row r="5459">
          <cell r="B5459" t="str">
            <v>FG02119</v>
          </cell>
          <cell r="C5459" t="str">
            <v>MYCOZEMA CREAM 30GR</v>
          </cell>
        </row>
        <row r="5460">
          <cell r="B5460" t="str">
            <v>FG02120</v>
          </cell>
          <cell r="C5460" t="str">
            <v>MYDRIATICUM COLLYRE (FR)</v>
          </cell>
        </row>
        <row r="5461">
          <cell r="B5461" t="str">
            <v>FG02121</v>
          </cell>
          <cell r="C5461" t="str">
            <v>MYDRIX 0.1% COLLYRE</v>
          </cell>
        </row>
        <row r="5462">
          <cell r="B5462" t="str">
            <v>FG02122</v>
          </cell>
          <cell r="C5462" t="str">
            <v>MYDRIX 0.5% COLLYRE</v>
          </cell>
        </row>
        <row r="5463">
          <cell r="B5463" t="str">
            <v>FG02123</v>
          </cell>
          <cell r="C5463" t="str">
            <v>NAAXIA COLLYRE 10ML (IMPORTE)</v>
          </cell>
        </row>
        <row r="5464">
          <cell r="B5464" t="str">
            <v>FG02124</v>
          </cell>
          <cell r="C5464" t="str">
            <v>NACL 1GR/10ML INJ B/1AMP (STEROP)</v>
          </cell>
        </row>
        <row r="5465">
          <cell r="B5465" t="str">
            <v>FG02125</v>
          </cell>
          <cell r="C5465" t="str">
            <v>NACL-VISION (CHLOR.DE SODIUM) POMMADE OPTA. 5G</v>
          </cell>
        </row>
        <row r="5466">
          <cell r="B5466" t="str">
            <v>FG02126</v>
          </cell>
          <cell r="C5466" t="str">
            <v>NACL-VISION 5% (CHLOR. DE SODIUM) COLLYRE 10ML</v>
          </cell>
        </row>
        <row r="5467">
          <cell r="B5467" t="str">
            <v>FG02127</v>
          </cell>
          <cell r="C5467" t="str">
            <v>NAFCLOR 10ML COLLYRE</v>
          </cell>
        </row>
        <row r="5468">
          <cell r="B5468" t="str">
            <v>FG02128</v>
          </cell>
          <cell r="C5468" t="str">
            <v>NAP-VISION 0.012% (NAPHAZILINE) COLLYRE 10ML</v>
          </cell>
        </row>
        <row r="5469">
          <cell r="B5469" t="str">
            <v>FG02129</v>
          </cell>
          <cell r="C5469" t="str">
            <v>NAPRIL 10MG B/30CES</v>
          </cell>
        </row>
        <row r="5470">
          <cell r="B5470" t="str">
            <v>FG02130</v>
          </cell>
          <cell r="C5470" t="str">
            <v>NAPRIL 5MG B/30CES</v>
          </cell>
        </row>
        <row r="5471">
          <cell r="B5471" t="str">
            <v>FG02131</v>
          </cell>
          <cell r="C5471" t="str">
            <v>NASCARON SP 30ML</v>
          </cell>
        </row>
        <row r="5472">
          <cell r="B5472" t="str">
            <v>FG02132</v>
          </cell>
          <cell r="C5472" t="str">
            <v>NASONEX 50 MCG SPRAY NAS. 40 DOSES (FR)</v>
          </cell>
        </row>
        <row r="5473">
          <cell r="B5473" t="str">
            <v>FG02133</v>
          </cell>
          <cell r="C5473" t="str">
            <v>NATRIXAM 1.5/10MG B/30CP (FR)</v>
          </cell>
        </row>
        <row r="5474">
          <cell r="B5474" t="str">
            <v>FG02134</v>
          </cell>
          <cell r="C5474" t="str">
            <v>NATRIXAM 1.5/5MG B/30CP (FR)</v>
          </cell>
        </row>
        <row r="5475">
          <cell r="B5475" t="str">
            <v>FG02135</v>
          </cell>
          <cell r="C5475" t="str">
            <v>NAXONE 0.02MG/ML (NALOXONE) INJ. B/1 AMP</v>
          </cell>
        </row>
        <row r="5476">
          <cell r="B5476" t="str">
            <v>FG02136</v>
          </cell>
          <cell r="C5476" t="str">
            <v>NAZOCLEAR (SERUM PHYSIO) 0.65% 10ML GOUTTES NASALS</v>
          </cell>
        </row>
        <row r="5477">
          <cell r="B5477" t="str">
            <v>FG02137</v>
          </cell>
          <cell r="C5477" t="str">
            <v>NEBILONG (NEBIVOLOL) 5MG B/30CES</v>
          </cell>
        </row>
        <row r="5478">
          <cell r="B5478" t="str">
            <v>FG02138</v>
          </cell>
          <cell r="C5478" t="str">
            <v>NEBIVOLOL BIOGARAN 5MG B/30 CES</v>
          </cell>
        </row>
        <row r="5479">
          <cell r="B5479" t="str">
            <v>FG02139</v>
          </cell>
          <cell r="C5479" t="str">
            <v>NEBTAS-5 (NEBIVOLOL) B/30 CES</v>
          </cell>
        </row>
        <row r="5480">
          <cell r="B5480" t="str">
            <v>FG02140</v>
          </cell>
          <cell r="C5480" t="str">
            <v>NEBTAS-H (NEBIVOLOL+HCL 5 MG / 12.5MG) B/30CES</v>
          </cell>
        </row>
        <row r="5481">
          <cell r="B5481" t="str">
            <v>FG02141</v>
          </cell>
          <cell r="C5481" t="str">
            <v>NEBULISATEUR</v>
          </cell>
        </row>
        <row r="5482">
          <cell r="B5482" t="str">
            <v>FG02142</v>
          </cell>
          <cell r="C5482" t="str">
            <v>NECLAZ - 80 (GLICLAZIDE BP 80 MG) B/30CES</v>
          </cell>
        </row>
        <row r="5483">
          <cell r="B5483" t="str">
            <v>FG02143</v>
          </cell>
          <cell r="C5483" t="str">
            <v>NECLAZ -M (GLICLAZIDE+METFORMINE) B/30CES</v>
          </cell>
        </row>
        <row r="5484">
          <cell r="B5484" t="str">
            <v>FG02144</v>
          </cell>
          <cell r="C5484" t="str">
            <v>NECLAZ-40 (GLICLAZIDE BP40MG) B/30CES</v>
          </cell>
        </row>
        <row r="5485">
          <cell r="B5485" t="str">
            <v>FG02145</v>
          </cell>
          <cell r="C5485" t="str">
            <v>NEKAPECTINE SP 100ML</v>
          </cell>
        </row>
        <row r="5486">
          <cell r="B5486" t="str">
            <v>FG02146</v>
          </cell>
          <cell r="C5486" t="str">
            <v>NELAXONE INJ B/1 AMP</v>
          </cell>
        </row>
        <row r="5487">
          <cell r="B5487" t="str">
            <v>FG02147</v>
          </cell>
          <cell r="C5487" t="str">
            <v>NEO CODION BEBE SIROP 125ML</v>
          </cell>
        </row>
        <row r="5488">
          <cell r="B5488" t="str">
            <v>FG02148</v>
          </cell>
          <cell r="C5488" t="str">
            <v>NEO CODION SIROP ADULTES 180ML</v>
          </cell>
        </row>
        <row r="5489">
          <cell r="B5489" t="str">
            <v>FG02149</v>
          </cell>
          <cell r="C5489" t="str">
            <v>NEOCEF 1G (CEFTRIAXONE) INJ</v>
          </cell>
        </row>
        <row r="5490">
          <cell r="B5490" t="str">
            <v>FG02150</v>
          </cell>
          <cell r="C5490" t="str">
            <v>NEOCINE CREME 15GR.</v>
          </cell>
        </row>
        <row r="5491">
          <cell r="B5491" t="str">
            <v>FG02151</v>
          </cell>
          <cell r="C5491" t="str">
            <v>NEODEXIN COLLYRE 5ML FL</v>
          </cell>
        </row>
        <row r="5492">
          <cell r="B5492" t="str">
            <v>FG02152</v>
          </cell>
          <cell r="C5492" t="str">
            <v>NEOGYNAX 12 CAPS VAGINAL</v>
          </cell>
        </row>
        <row r="5493">
          <cell r="B5493" t="str">
            <v>FG02153</v>
          </cell>
          <cell r="C5493" t="str">
            <v>NEOGYNAX 6 OVULES VAG.</v>
          </cell>
        </row>
        <row r="5494">
          <cell r="B5494" t="str">
            <v>FG02154</v>
          </cell>
          <cell r="C5494" t="str">
            <v>NEOPRED 5ML COLLTRE (FR)</v>
          </cell>
        </row>
        <row r="5495">
          <cell r="B5495" t="str">
            <v>FG02155</v>
          </cell>
          <cell r="C5495" t="str">
            <v>NEPKIN</v>
          </cell>
        </row>
        <row r="5496">
          <cell r="B5496" t="str">
            <v>FG02156</v>
          </cell>
          <cell r="C5496" t="str">
            <v>NERISONE C CREME 30GR (FR)</v>
          </cell>
        </row>
        <row r="5497">
          <cell r="B5497" t="str">
            <v>FG02157</v>
          </cell>
          <cell r="C5497" t="str">
            <v>NERVOCAINE (BUPIVACAINE+DEXTROSE) INJ. B/5 AMP</v>
          </cell>
        </row>
        <row r="5498">
          <cell r="B5498" t="str">
            <v>FG02158</v>
          </cell>
          <cell r="C5498" t="str">
            <v>NERVOCAINE 0.5% (BUPIVACAINE) INJ 20ML B/1 VIAL</v>
          </cell>
        </row>
        <row r="5499">
          <cell r="B5499" t="str">
            <v>FG02159</v>
          </cell>
          <cell r="C5499" t="str">
            <v>NESIVINE GTTES PEDIATRIQUES 0.025% (FR)</v>
          </cell>
        </row>
        <row r="5500">
          <cell r="B5500" t="str">
            <v>FG02160</v>
          </cell>
          <cell r="C5500" t="str">
            <v>NEULEPTIL 1% GTTES 30ML</v>
          </cell>
        </row>
        <row r="5501">
          <cell r="B5501" t="str">
            <v>FG02161</v>
          </cell>
          <cell r="C5501" t="str">
            <v>NEURO CENTRUM BUVABLE B/10FL</v>
          </cell>
        </row>
        <row r="5502">
          <cell r="B5502" t="str">
            <v>FG02162</v>
          </cell>
          <cell r="C5502" t="str">
            <v>NEURODOC B/10 CES</v>
          </cell>
        </row>
        <row r="5503">
          <cell r="B5503" t="str">
            <v>FG02163</v>
          </cell>
          <cell r="C5503" t="str">
            <v>NEURODOC INJECTABLE B/5 AMP</v>
          </cell>
        </row>
        <row r="5504">
          <cell r="B5504" t="str">
            <v>FG02164</v>
          </cell>
          <cell r="C5504" t="str">
            <v>NEUROGIL-75 (PREGABALIN 75MG) B/20 CAP</v>
          </cell>
        </row>
        <row r="5505">
          <cell r="B5505" t="str">
            <v>FG02165</v>
          </cell>
          <cell r="C5505" t="str">
            <v>NEUROQUE 500MCG/ML (MECOBALAMIN) INJ. B/5 AMP</v>
          </cell>
        </row>
        <row r="5506">
          <cell r="B5506" t="str">
            <v>FG02166</v>
          </cell>
          <cell r="C5506" t="str">
            <v>NEUTROSEC LIQUID 200 ML</v>
          </cell>
        </row>
        <row r="5507">
          <cell r="B5507" t="str">
            <v>FG02167</v>
          </cell>
          <cell r="C5507" t="str">
            <v>NEWMEX FORTE B/10CES</v>
          </cell>
        </row>
        <row r="5508">
          <cell r="B5508" t="str">
            <v>FG02168</v>
          </cell>
          <cell r="C5508" t="str">
            <v>NEWMEX-500 10CES</v>
          </cell>
        </row>
        <row r="5509">
          <cell r="B5509" t="str">
            <v>FG02169</v>
          </cell>
          <cell r="C5509" t="str">
            <v>NEWMEX-P B/10CES</v>
          </cell>
        </row>
        <row r="5510">
          <cell r="B5510" t="str">
            <v>FG02170</v>
          </cell>
          <cell r="C5510" t="str">
            <v>NEWMEX-SPAS 10CES</v>
          </cell>
        </row>
        <row r="5511">
          <cell r="B5511" t="str">
            <v>FG02171</v>
          </cell>
          <cell r="C5511" t="str">
            <v>NEXAM (ACIDE TRANEXAMIQE) 5ML I.V B/1AMP</v>
          </cell>
        </row>
        <row r="5512">
          <cell r="B5512" t="str">
            <v>FG02172</v>
          </cell>
          <cell r="C5512" t="str">
            <v>NEZ CLAIR 0.1% (XYLOMETAZ) DROPS</v>
          </cell>
        </row>
        <row r="5513">
          <cell r="B5513" t="str">
            <v>FG02173</v>
          </cell>
          <cell r="C5513" t="str">
            <v>NEZ CLAIR 0.05% (XYLOMET) 10ML DROPS</v>
          </cell>
        </row>
        <row r="5514">
          <cell r="B5514" t="str">
            <v>FG02174</v>
          </cell>
          <cell r="C5514" t="str">
            <v>NICARDEX 10MG/10ML (NICARDIPINE) INJ. B/5 AMP</v>
          </cell>
        </row>
        <row r="5515">
          <cell r="B5515" t="str">
            <v>FG02175</v>
          </cell>
          <cell r="C5515" t="str">
            <v>NIDO 2270G</v>
          </cell>
        </row>
        <row r="5516">
          <cell r="B5516" t="str">
            <v>FG02176</v>
          </cell>
          <cell r="C5516" t="str">
            <v>NIFEDI DENK 10MG RETARD PL/(10)CES</v>
          </cell>
        </row>
        <row r="5517">
          <cell r="B5517" t="str">
            <v>FG02177</v>
          </cell>
          <cell r="C5517" t="str">
            <v>NIFEDI DENK 20MG RETARD B/30 CES</v>
          </cell>
        </row>
        <row r="5518">
          <cell r="B5518" t="str">
            <v>FG02178</v>
          </cell>
          <cell r="C5518" t="str">
            <v>NIFERINOL @@PLUS@@ B/10CES</v>
          </cell>
        </row>
        <row r="5519">
          <cell r="B5519" t="str">
            <v>FG02179</v>
          </cell>
          <cell r="C5519" t="str">
            <v>NIFERINOL GOUTTE OTIQUE 10ML</v>
          </cell>
        </row>
        <row r="5520">
          <cell r="B5520" t="str">
            <v>FG02180</v>
          </cell>
          <cell r="C5520" t="str">
            <v>NIFERINOL SP AD 100ML</v>
          </cell>
        </row>
        <row r="5521">
          <cell r="B5521" t="str">
            <v>FG02181</v>
          </cell>
          <cell r="C5521" t="str">
            <v>NIFERINOL SP ENF 100ML</v>
          </cell>
        </row>
        <row r="5522">
          <cell r="B5522" t="str">
            <v>FG02182</v>
          </cell>
          <cell r="C5522" t="str">
            <v>NIFLURIL 250MG 30 GELULES (FR)</v>
          </cell>
        </row>
        <row r="5523">
          <cell r="B5523" t="str">
            <v>FG02183</v>
          </cell>
          <cell r="C5523" t="str">
            <v>NIFLURIL 400 MG 8 SUPPOS ENF. (FR)</v>
          </cell>
        </row>
        <row r="5524">
          <cell r="B5524" t="str">
            <v>FG02184</v>
          </cell>
          <cell r="C5524" t="str">
            <v>NIFLURIL 700 MG 8 SUPPOS AD. (FR)</v>
          </cell>
        </row>
        <row r="5525">
          <cell r="B5525" t="str">
            <v>FG02185</v>
          </cell>
          <cell r="C5525" t="str">
            <v>NIZORAL SHAMPOOING 100ML (FR)</v>
          </cell>
        </row>
        <row r="5526">
          <cell r="B5526" t="str">
            <v>FG02186</v>
          </cell>
          <cell r="C5526" t="str">
            <v>NO SPA --FORTE --80MG--20CES (FR)</v>
          </cell>
        </row>
        <row r="5527">
          <cell r="B5527" t="str">
            <v>FG02187</v>
          </cell>
          <cell r="C5527" t="str">
            <v>NO SPA 40 INJ B/5AMP (FR)</v>
          </cell>
        </row>
        <row r="5528">
          <cell r="B5528" t="str">
            <v>FG02188</v>
          </cell>
          <cell r="C5528" t="str">
            <v>NO SPA 40MG B/2 X 10 CES</v>
          </cell>
        </row>
        <row r="5529">
          <cell r="B5529" t="str">
            <v>FG02189</v>
          </cell>
          <cell r="C5529" t="str">
            <v>NO SPA 40MG PL/10CES</v>
          </cell>
        </row>
        <row r="5530">
          <cell r="B5530" t="str">
            <v>FG02190</v>
          </cell>
          <cell r="C5530" t="str">
            <v>NO-GRIPPE SIROP ADULT 100ML</v>
          </cell>
        </row>
        <row r="5531">
          <cell r="B5531" t="str">
            <v>FG02191</v>
          </cell>
          <cell r="C5531" t="str">
            <v>NO-GRIPPE SIROP ENF 100ML</v>
          </cell>
        </row>
        <row r="5532">
          <cell r="B5532" t="str">
            <v>FG02192</v>
          </cell>
          <cell r="C5532" t="str">
            <v>NO-GRIPPE SIROP NOURISSON 100ML</v>
          </cell>
        </row>
        <row r="5533">
          <cell r="B5533" t="str">
            <v>FG02193</v>
          </cell>
          <cell r="C5533" t="str">
            <v>NOBACTER SAVON DERMATO. 100 GR</v>
          </cell>
        </row>
        <row r="5534">
          <cell r="B5534" t="str">
            <v>FG02194</v>
          </cell>
          <cell r="C5534" t="str">
            <v>NOCI KIT (LANSO.+CLARI.+TINIDA.) 1 KIT DE COMBI</v>
          </cell>
        </row>
        <row r="5535">
          <cell r="B5535" t="str">
            <v>FG02195</v>
          </cell>
          <cell r="C5535" t="str">
            <v>NOCIGEL (ANTIACIDE + ANTIFLATULENT) SUSP. 200ML</v>
          </cell>
        </row>
        <row r="5536">
          <cell r="B5536" t="str">
            <v>FG02196</v>
          </cell>
          <cell r="C5536" t="str">
            <v>NODON 5MG B/30CES</v>
          </cell>
        </row>
        <row r="5537">
          <cell r="B5537" t="str">
            <v>FG02197</v>
          </cell>
          <cell r="C5537" t="str">
            <v>NOLVADEX 10MG 30CES (EO)</v>
          </cell>
        </row>
        <row r="5538">
          <cell r="B5538" t="str">
            <v>FG02198</v>
          </cell>
          <cell r="C5538" t="str">
            <v>NOMAL B/6 CES</v>
          </cell>
        </row>
        <row r="5539">
          <cell r="B5539" t="str">
            <v>FG02199</v>
          </cell>
          <cell r="C5539" t="str">
            <v>NOMAL SUSP 60ML</v>
          </cell>
        </row>
        <row r="5540">
          <cell r="B5540" t="str">
            <v>FG02200</v>
          </cell>
          <cell r="C5540" t="str">
            <v>NOMYCOSE (TERBINAFINE) CREME T/15G</v>
          </cell>
        </row>
        <row r="5541">
          <cell r="B5541" t="str">
            <v>FG02201</v>
          </cell>
          <cell r="C5541" t="str">
            <v>NOMYCOSE 250MG (TERBINAFINE) B/10 CES</v>
          </cell>
        </row>
        <row r="5542">
          <cell r="B5542" t="str">
            <v>FG02202</v>
          </cell>
          <cell r="C5542" t="str">
            <v>NOOPRYL 1 GR IM/IV B/12AMP</v>
          </cell>
        </row>
        <row r="5543">
          <cell r="B5543" t="str">
            <v>FG02203</v>
          </cell>
          <cell r="C5543" t="str">
            <v>NOOPRYL 400MG BT/60CES</v>
          </cell>
        </row>
        <row r="5544">
          <cell r="B5544" t="str">
            <v>FG02204</v>
          </cell>
          <cell r="C5544" t="str">
            <v>NOOPRYL 800MG BT/60CES</v>
          </cell>
        </row>
        <row r="5545">
          <cell r="B5545" t="str">
            <v>FG02205</v>
          </cell>
          <cell r="C5545" t="str">
            <v>NOOTROPIL SIROP 125ML (EO)</v>
          </cell>
        </row>
        <row r="5546">
          <cell r="B5546" t="str">
            <v>FG02206</v>
          </cell>
          <cell r="C5546" t="str">
            <v>NORADRENALIME 4MG/4ML 10AMP(STEROP)</v>
          </cell>
        </row>
        <row r="5547">
          <cell r="B5547" t="str">
            <v>FG02207</v>
          </cell>
          <cell r="C5547" t="str">
            <v>NORCIN - M 30ML SIROP</v>
          </cell>
        </row>
        <row r="5548">
          <cell r="B5548" t="str">
            <v>FG02208</v>
          </cell>
          <cell r="C5548" t="str">
            <v>NOREX 1MG/ML (NORADRENALINE) 4ML INJ. B/1AMP</v>
          </cell>
        </row>
        <row r="5549">
          <cell r="B5549" t="str">
            <v>FG02209</v>
          </cell>
          <cell r="C5549" t="str">
            <v>NORFEN 400MG B/10CES</v>
          </cell>
        </row>
        <row r="5550">
          <cell r="B5550" t="str">
            <v>FG02210</v>
          </cell>
          <cell r="C5550" t="str">
            <v>NORFEN TZ B/20CES</v>
          </cell>
        </row>
        <row r="5551">
          <cell r="B5551" t="str">
            <v>FG02211</v>
          </cell>
          <cell r="C5551" t="str">
            <v>NORFLAGYL B/10CES</v>
          </cell>
        </row>
        <row r="5552">
          <cell r="B5552" t="str">
            <v>FG02212</v>
          </cell>
          <cell r="C5552" t="str">
            <v>NORFLAGYL SUSP.60ML</v>
          </cell>
        </row>
        <row r="5553">
          <cell r="B5553" t="str">
            <v>FG02213</v>
          </cell>
          <cell r="C5553" t="str">
            <v>NORLEVO 1.5MG 1CES (FR)</v>
          </cell>
        </row>
        <row r="5554">
          <cell r="B5554" t="str">
            <v>FG02214</v>
          </cell>
          <cell r="C5554" t="str">
            <v>NORMACOL 30 SACHETS</v>
          </cell>
        </row>
        <row r="5555">
          <cell r="B5555" t="str">
            <v>FG02215</v>
          </cell>
          <cell r="C5555" t="str">
            <v>NORMACOL LAVEMENT 130ML (FR)</v>
          </cell>
        </row>
        <row r="5556">
          <cell r="B5556" t="str">
            <v>FG02216</v>
          </cell>
          <cell r="C5556" t="str">
            <v>NORMEGYL (NOR.+METRO.) B/10CES</v>
          </cell>
        </row>
        <row r="5557">
          <cell r="B5557" t="str">
            <v>FG02217</v>
          </cell>
          <cell r="C5557" t="str">
            <v>NORMEGYL **60 ML** SIROP</v>
          </cell>
        </row>
        <row r="5558">
          <cell r="B5558" t="str">
            <v>FG02218</v>
          </cell>
          <cell r="C5558" t="str">
            <v>NORMEGYL SUSP 30ML</v>
          </cell>
        </row>
        <row r="5559">
          <cell r="B5559" t="str">
            <v>FG02219</v>
          </cell>
          <cell r="C5559" t="str">
            <v>NORMEGYL-DP B/10CES</v>
          </cell>
        </row>
        <row r="5560">
          <cell r="B5560" t="str">
            <v>FG02220</v>
          </cell>
          <cell r="C5560" t="str">
            <v>NORMET 200MG B/10CES</v>
          </cell>
        </row>
        <row r="5561">
          <cell r="B5561" t="str">
            <v>FG02221</v>
          </cell>
          <cell r="C5561" t="str">
            <v>NORMET 400MG BT/10CES</v>
          </cell>
        </row>
        <row r="5562">
          <cell r="B5562" t="str">
            <v>FG02222</v>
          </cell>
          <cell r="C5562" t="str">
            <v>NORMET SIROP FL DE 60ML (G.F)</v>
          </cell>
        </row>
        <row r="5563">
          <cell r="B5563" t="str">
            <v>FG02223</v>
          </cell>
          <cell r="C5563" t="str">
            <v>NORMET SUSP FL/30ML(P.M.)</v>
          </cell>
        </row>
        <row r="5564">
          <cell r="B5564" t="str">
            <v>FG02224</v>
          </cell>
          <cell r="C5564" t="str">
            <v>NORPLAT 75MG (CLOPIDOGREL) B/30 CES</v>
          </cell>
        </row>
        <row r="5565">
          <cell r="B5565" t="str">
            <v>FG02225</v>
          </cell>
          <cell r="C5565" t="str">
            <v>NORZOL 400MG 10CES (FR)</v>
          </cell>
        </row>
        <row r="5566">
          <cell r="B5566" t="str">
            <v>FG02226</v>
          </cell>
          <cell r="C5566" t="str">
            <v>NOZINAN 100MG 20CES (FR)</v>
          </cell>
        </row>
        <row r="5567">
          <cell r="B5567" t="str">
            <v>FG02227</v>
          </cell>
          <cell r="C5567" t="str">
            <v>NOZINAN INJ 5AMP 25MG 1ML (FR)</v>
          </cell>
        </row>
        <row r="5568">
          <cell r="B5568" t="str">
            <v>FG02228</v>
          </cell>
          <cell r="C5568" t="str">
            <v>NSANSIPHOS (ANTI-MALARIA) SIROP 100ML</v>
          </cell>
        </row>
        <row r="5569">
          <cell r="B5569" t="str">
            <v>FG02229</v>
          </cell>
          <cell r="C5569" t="str">
            <v>NSANSIPHOS (ANTI-MALARIA) 100MF B/30 CES</v>
          </cell>
        </row>
        <row r="5570">
          <cell r="B5570" t="str">
            <v>FG02230</v>
          </cell>
          <cell r="C5570" t="str">
            <v>NUCLEO CMP FRT 30GELULES (FR)</v>
          </cell>
        </row>
        <row r="5571">
          <cell r="B5571" t="str">
            <v>FG02231</v>
          </cell>
          <cell r="C5571" t="str">
            <v>NUICOLD B/ 2 X 12 CAPSULE</v>
          </cell>
        </row>
        <row r="5572">
          <cell r="B5572" t="str">
            <v>FG02232</v>
          </cell>
          <cell r="C5572" t="str">
            <v>NUICOLD SP 200ML</v>
          </cell>
        </row>
        <row r="5573">
          <cell r="B5573" t="str">
            <v>FG02233</v>
          </cell>
          <cell r="C5573" t="str">
            <v>NUROVIT (VIT B1+B6+B12) 30CES</v>
          </cell>
        </row>
        <row r="5574">
          <cell r="B5574" t="str">
            <v>FG02234</v>
          </cell>
          <cell r="C5574" t="str">
            <v>NUROVIT (VIT B1+B6+B12) SP 100 ML</v>
          </cell>
        </row>
        <row r="5575">
          <cell r="B5575" t="str">
            <v>FG02235</v>
          </cell>
          <cell r="C5575" t="str">
            <v>NUTRILINE B/10 X10 CES</v>
          </cell>
        </row>
        <row r="5576">
          <cell r="B5576" t="str">
            <v>FG02236</v>
          </cell>
          <cell r="C5576" t="str">
            <v>NUTRILINE SP 100ML</v>
          </cell>
        </row>
        <row r="5577">
          <cell r="B5577" t="str">
            <v>FG02237</v>
          </cell>
          <cell r="C5577" t="str">
            <v>NUTRISANG TONIQUE 200ML</v>
          </cell>
        </row>
        <row r="5578">
          <cell r="B5578" t="str">
            <v>FG02238</v>
          </cell>
          <cell r="C5578" t="str">
            <v>NYLON NO.0 --PCS/1 (UNIQUE)</v>
          </cell>
        </row>
        <row r="5579">
          <cell r="B5579" t="str">
            <v>FG02239</v>
          </cell>
          <cell r="C5579" t="str">
            <v>NYLON NO.1 PCS/1 (UNIQUE)</v>
          </cell>
        </row>
        <row r="5580">
          <cell r="B5580" t="str">
            <v>FG02240</v>
          </cell>
          <cell r="C5580" t="str">
            <v>NYLON NO.2 PCS/1 (UNIQUE)</v>
          </cell>
        </row>
        <row r="5581">
          <cell r="B5581" t="str">
            <v>FG02241</v>
          </cell>
          <cell r="C5581" t="str">
            <v>NYLON NO.2/0...PCS/1 (UNIQUE)</v>
          </cell>
        </row>
        <row r="5582">
          <cell r="B5582" t="str">
            <v>FG02242</v>
          </cell>
          <cell r="C5582" t="str">
            <v>NYSTATIN 500.000 U.I.16CES (EO)</v>
          </cell>
        </row>
        <row r="5583">
          <cell r="B5583" t="str">
            <v>FG02243</v>
          </cell>
          <cell r="C5583" t="str">
            <v>OB-SPAS (PHLOROGLUCINOL AND TRIMETHYL) 4ML B/6AMP</v>
          </cell>
        </row>
        <row r="5584">
          <cell r="B5584" t="str">
            <v>FG02244</v>
          </cell>
          <cell r="C5584" t="str">
            <v>OBJECTIF 10 X OLUMPUS</v>
          </cell>
        </row>
        <row r="5585">
          <cell r="B5585" t="str">
            <v>FG02245</v>
          </cell>
          <cell r="C5585" t="str">
            <v>OBJECTIF 100 X OLUMPUS</v>
          </cell>
        </row>
        <row r="5586">
          <cell r="B5586" t="str">
            <v>FG02246</v>
          </cell>
          <cell r="C5586" t="str">
            <v>OCUTIM 0.50% (TIMOLOL) COLLYRE 10ML</v>
          </cell>
        </row>
        <row r="5587">
          <cell r="B5587" t="str">
            <v>FG02247</v>
          </cell>
          <cell r="C5587" t="str">
            <v>OFFICE TABLE</v>
          </cell>
        </row>
        <row r="5588">
          <cell r="B5588" t="str">
            <v>FG02248</v>
          </cell>
          <cell r="C5588" t="str">
            <v>OFLOCARE 100ML</v>
          </cell>
        </row>
        <row r="5589">
          <cell r="B5589" t="str">
            <v>FG02249</v>
          </cell>
          <cell r="C5589" t="str">
            <v>OFLOCET SOL.AURICULAIRE 15MG/05ML</v>
          </cell>
        </row>
        <row r="5590">
          <cell r="B5590" t="str">
            <v>FG02250</v>
          </cell>
          <cell r="C5590" t="str">
            <v>OFLOPRIN - OZ (OFLOXACINE) 200MG B/10 CES</v>
          </cell>
        </row>
        <row r="5591">
          <cell r="B5591" t="str">
            <v>FG02251</v>
          </cell>
          <cell r="C5591" t="str">
            <v>OFLOPRIN-OZ B/10CES</v>
          </cell>
        </row>
        <row r="5592">
          <cell r="B5592" t="str">
            <v>FG02252</v>
          </cell>
          <cell r="C5592" t="str">
            <v>OFLOPRIN-OZ SIROP FL/30ML</v>
          </cell>
        </row>
        <row r="5593">
          <cell r="B5593" t="str">
            <v>FG02253</v>
          </cell>
          <cell r="C5593" t="str">
            <v>OFLOQ-OZ (OFLOXACIN + ORNID.) PERFUSION IV 100ML</v>
          </cell>
        </row>
        <row r="5594">
          <cell r="B5594" t="str">
            <v>FG02254</v>
          </cell>
          <cell r="C5594" t="str">
            <v>OFLOQUE (OFLOXACIN) COLLYRE 10ML</v>
          </cell>
        </row>
        <row r="5595">
          <cell r="B5595" t="str">
            <v>FG02255</v>
          </cell>
          <cell r="C5595" t="str">
            <v>OFLOQUE (OFLOXACINE) PERFUSION IV FL/100ML</v>
          </cell>
        </row>
        <row r="5596">
          <cell r="B5596" t="str">
            <v>FG02256</v>
          </cell>
          <cell r="C5596" t="str">
            <v>OFLOQUE 200MG (OFLOXACINE) B/10 CES</v>
          </cell>
        </row>
        <row r="5597">
          <cell r="B5597" t="str">
            <v>FG02257</v>
          </cell>
          <cell r="C5597" t="str">
            <v>OFLOQUE-OZ (OFLOXACINE+ORNIDA.) B/10 CES</v>
          </cell>
        </row>
        <row r="5598">
          <cell r="B5598" t="str">
            <v>FG02258</v>
          </cell>
          <cell r="C5598" t="str">
            <v>OFLOQUE-OZ (OFLOXACINE+ORNIDA.) SUSPENSION 60ML</v>
          </cell>
        </row>
        <row r="5599">
          <cell r="B5599" t="str">
            <v>FG02259</v>
          </cell>
          <cell r="C5599" t="str">
            <v>OFLOSWIZ O (OFLO+ORNI) B\10CES</v>
          </cell>
        </row>
        <row r="5600">
          <cell r="B5600" t="str">
            <v>FG02260</v>
          </cell>
          <cell r="C5600" t="str">
            <v>OFLOXACINE COLLYRE 0.3% 10ML</v>
          </cell>
        </row>
        <row r="5601">
          <cell r="B5601" t="str">
            <v>FG02261</v>
          </cell>
          <cell r="C5601" t="str">
            <v>OFLOXIN 200MG 10CES SEC.(OFLOXACINE)</v>
          </cell>
        </row>
        <row r="5602">
          <cell r="B5602" t="str">
            <v>FG02262</v>
          </cell>
          <cell r="C5602" t="str">
            <v>OFLOZOL 10CES</v>
          </cell>
        </row>
        <row r="5603">
          <cell r="B5603" t="str">
            <v>FG02263</v>
          </cell>
          <cell r="C5603" t="str">
            <v>OFLOZOL 60ML SIROP</v>
          </cell>
        </row>
        <row r="5604">
          <cell r="B5604" t="str">
            <v>FG02264</v>
          </cell>
          <cell r="C5604" t="str">
            <v>OFORE (OFLOX+ORNI) SUSP. 60ML</v>
          </cell>
        </row>
        <row r="5605">
          <cell r="B5605" t="str">
            <v>FG02265</v>
          </cell>
          <cell r="C5605" t="str">
            <v>OFORNI SUSPENSION 60ML</v>
          </cell>
        </row>
        <row r="5606">
          <cell r="B5606" t="str">
            <v>FG02266</v>
          </cell>
          <cell r="C5606" t="str">
            <v>OFORNI TABLETS B/10CES</v>
          </cell>
        </row>
        <row r="5607">
          <cell r="B5607" t="str">
            <v>FG02267</v>
          </cell>
          <cell r="C5607" t="str">
            <v>OLAMAG (OLANZAPAIN UPS5MG) B/3 X 10 CES</v>
          </cell>
        </row>
        <row r="5608">
          <cell r="B5608" t="str">
            <v>FG02268</v>
          </cell>
          <cell r="C5608" t="str">
            <v>OMBILICAL PINCE DE CORDON 1 PCS</v>
          </cell>
        </row>
        <row r="5609">
          <cell r="B5609" t="str">
            <v>FG02269</v>
          </cell>
          <cell r="C5609" t="str">
            <v>OMEGACOM 500MG B/30CES</v>
          </cell>
        </row>
        <row r="5610">
          <cell r="B5610" t="str">
            <v>FG02270</v>
          </cell>
          <cell r="C5610" t="str">
            <v>OMEGACOM SIROP 125ML</v>
          </cell>
        </row>
        <row r="5611">
          <cell r="B5611" t="str">
            <v>FG02271</v>
          </cell>
          <cell r="C5611" t="str">
            <v>OMEKAR (OMEPRAZOLE) 20MG B/10 CAP</v>
          </cell>
        </row>
        <row r="5612">
          <cell r="B5612" t="str">
            <v>FG02272</v>
          </cell>
          <cell r="C5612" t="str">
            <v>OMEKAR (OMEPRAZOLE) 40MG B/1AMP</v>
          </cell>
        </row>
        <row r="5613">
          <cell r="B5613" t="str">
            <v>FG02273</v>
          </cell>
          <cell r="C5613" t="str">
            <v>OMEPREN (OMEPRAZOLE) B/10CAP</v>
          </cell>
        </row>
        <row r="5614">
          <cell r="B5614" t="str">
            <v>FG02274</v>
          </cell>
          <cell r="C5614" t="str">
            <v>OMNIBIONTA PRONATAL PLUS DHA 60CAPS (EO)</v>
          </cell>
        </row>
        <row r="5615">
          <cell r="B5615" t="str">
            <v>FG02275</v>
          </cell>
          <cell r="C5615" t="str">
            <v>ONDACET (ONDASETRON) ORAL SPRAY 15ML</v>
          </cell>
        </row>
        <row r="5616">
          <cell r="B5616" t="str">
            <v>FG02276</v>
          </cell>
          <cell r="C5616" t="str">
            <v>ONDACET 4MG (ONDASETRON) INJ. B/1 AMP+ SER.</v>
          </cell>
        </row>
        <row r="5617">
          <cell r="B5617" t="str">
            <v>FG02277</v>
          </cell>
          <cell r="C5617" t="str">
            <v>ONE TOUCH SELECT SIMPLE APPAREIL</v>
          </cell>
        </row>
        <row r="5618">
          <cell r="B5618" t="str">
            <v>FG02278</v>
          </cell>
          <cell r="C5618" t="str">
            <v>ONE TOUCH ULTRA EASY APPAREIL</v>
          </cell>
        </row>
        <row r="5619">
          <cell r="B5619" t="str">
            <v>FG02279</v>
          </cell>
          <cell r="C5619" t="str">
            <v>ONE TOUCH VERIO APPAREIL</v>
          </cell>
        </row>
        <row r="5620">
          <cell r="B5620" t="str">
            <v>FG02280</v>
          </cell>
          <cell r="C5620" t="str">
            <v>ONSETROM-MD UPS 4MG BT/10CES</v>
          </cell>
        </row>
        <row r="5621">
          <cell r="B5621" t="str">
            <v>FG02281</v>
          </cell>
          <cell r="C5621" t="str">
            <v>ONSETRON (ONDA) 2MG NO B/1AMP</v>
          </cell>
        </row>
        <row r="5622">
          <cell r="B5622" t="str">
            <v>FG02282</v>
          </cell>
          <cell r="C5622" t="str">
            <v>ONSETRON SYRUP 30ML</v>
          </cell>
        </row>
        <row r="5623">
          <cell r="B5623" t="str">
            <v>FG02283</v>
          </cell>
          <cell r="C5623" t="str">
            <v>OPT IRYL 5ML COLLYRE</v>
          </cell>
        </row>
        <row r="5624">
          <cell r="B5624" t="str">
            <v>FG02284</v>
          </cell>
          <cell r="C5624" t="str">
            <v>OPT- CIPROS ( CIPROFLOXACINE) COLLYRE USP 10ML</v>
          </cell>
        </row>
        <row r="5625">
          <cell r="B5625" t="str">
            <v>FG02285</v>
          </cell>
          <cell r="C5625" t="str">
            <v>OPT- NAT (NATAMYCIN USP 5%) COLLYRE</v>
          </cell>
        </row>
        <row r="5626">
          <cell r="B5626" t="str">
            <v>FG02286</v>
          </cell>
          <cell r="C5626" t="str">
            <v>OPT-AT (ATROPINE SULFATE) COLLYRE</v>
          </cell>
        </row>
        <row r="5627">
          <cell r="B5627" t="str">
            <v>FG02287</v>
          </cell>
          <cell r="C5627" t="str">
            <v>OPT-CD (CHLORA+DEXA) COLLYRE</v>
          </cell>
        </row>
        <row r="5628">
          <cell r="B5628" t="str">
            <v>FG02288</v>
          </cell>
          <cell r="C5628" t="str">
            <v>OPT-CHLORA (CHLORAPHENICOL) COLLYRE</v>
          </cell>
        </row>
        <row r="5629">
          <cell r="B5629" t="str">
            <v>FG02289</v>
          </cell>
          <cell r="C5629" t="str">
            <v>OPT-CHROM (CROMOGLYCATE DE SO.) COLLYRE</v>
          </cell>
        </row>
        <row r="5630">
          <cell r="B5630" t="str">
            <v>FG02290</v>
          </cell>
          <cell r="C5630" t="str">
            <v>OPT-DICLO (DICLOFEAN ) COLLYRE</v>
          </cell>
        </row>
        <row r="5631">
          <cell r="B5631" t="str">
            <v>FG02291</v>
          </cell>
          <cell r="C5631" t="str">
            <v>OPT-INDO (INDOMETHASINE) COLLYRE</v>
          </cell>
        </row>
        <row r="5632">
          <cell r="B5632" t="str">
            <v>FG02292</v>
          </cell>
          <cell r="C5632" t="str">
            <v>OPT-LARM (LUBRICAN) COLLYRE 5ML</v>
          </cell>
        </row>
        <row r="5633">
          <cell r="B5633" t="str">
            <v>FG02293</v>
          </cell>
          <cell r="C5633" t="str">
            <v>OPT-ML (MOXIFLOXACIN + LOTEPREDNOL) COLLYRE</v>
          </cell>
        </row>
        <row r="5634">
          <cell r="B5634" t="str">
            <v>FG02294</v>
          </cell>
          <cell r="C5634" t="str">
            <v>OPT-MOX (MOXIFLOXACIN HCL 0.5%) COLLYRE</v>
          </cell>
        </row>
        <row r="5635">
          <cell r="B5635" t="str">
            <v>FG02295</v>
          </cell>
          <cell r="C5635" t="str">
            <v>OPT-ND (NEOMY. + DEXA.) COLLYRE</v>
          </cell>
        </row>
        <row r="5636">
          <cell r="B5636" t="str">
            <v>FG02296</v>
          </cell>
          <cell r="C5636" t="str">
            <v>OPT-O (OFLOXACIN) COLLYRE</v>
          </cell>
        </row>
        <row r="5637">
          <cell r="B5637" t="str">
            <v>FG02297</v>
          </cell>
          <cell r="C5637" t="str">
            <v>OPT-PILOCARP (PILOCARPINE NIRATE 4%) EYE DROPS</v>
          </cell>
        </row>
        <row r="5638">
          <cell r="B5638" t="str">
            <v>FG02298</v>
          </cell>
          <cell r="C5638" t="str">
            <v>OPT-PRED (PREDNISOLONE) COLLYRE</v>
          </cell>
        </row>
        <row r="5639">
          <cell r="B5639" t="str">
            <v>FG02299</v>
          </cell>
          <cell r="C5639" t="str">
            <v>OPT-PROST (LATANOPROST) COLLYRE</v>
          </cell>
        </row>
        <row r="5640">
          <cell r="B5640" t="str">
            <v>FG02300</v>
          </cell>
          <cell r="C5640" t="str">
            <v>OPTADONE (OPTALIDON) B/50CES</v>
          </cell>
        </row>
        <row r="5641">
          <cell r="B5641" t="str">
            <v>FG02301</v>
          </cell>
          <cell r="C5641" t="str">
            <v>OPTICRON 2% COLLYRE 5ML (FR)</v>
          </cell>
        </row>
        <row r="5642">
          <cell r="B5642" t="str">
            <v>FG02302</v>
          </cell>
          <cell r="C5642" t="str">
            <v>OPTIFRESH SOLUTION 10ML</v>
          </cell>
        </row>
        <row r="5643">
          <cell r="B5643" t="str">
            <v>FG02303</v>
          </cell>
          <cell r="C5643" t="str">
            <v>ORACEE FIZZ (VITAMINE C ) 1000MG B/8CES</v>
          </cell>
        </row>
        <row r="5644">
          <cell r="B5644" t="str">
            <v>FG02304</v>
          </cell>
          <cell r="C5644" t="str">
            <v>ORACIP (CIPROFLOX.) 100ML INJ AVEC TROU.</v>
          </cell>
        </row>
        <row r="5645">
          <cell r="B5645" t="str">
            <v>FG02305</v>
          </cell>
          <cell r="C5645" t="str">
            <v>ORACIP 10CES PL</v>
          </cell>
        </row>
        <row r="5646">
          <cell r="B5646" t="str">
            <v>FG02306</v>
          </cell>
          <cell r="C5646" t="str">
            <v>ORACIP GOUTTE EAR/EYE DROPS 5ML</v>
          </cell>
        </row>
        <row r="5647">
          <cell r="B5647" t="str">
            <v>FG02307</v>
          </cell>
          <cell r="C5647" t="str">
            <v>ORACIP-TZ 12CES</v>
          </cell>
        </row>
        <row r="5648">
          <cell r="B5648" t="str">
            <v>FG02308</v>
          </cell>
          <cell r="C5648" t="str">
            <v>ORANGINE SP 100ML</v>
          </cell>
        </row>
        <row r="5649">
          <cell r="B5649" t="str">
            <v>FG02309</v>
          </cell>
          <cell r="C5649" t="str">
            <v>ORCHAZIDE COLLYRE 5ML</v>
          </cell>
        </row>
        <row r="5650">
          <cell r="B5650" t="str">
            <v>FG02310</v>
          </cell>
          <cell r="C5650" t="str">
            <v>OREDOXIME 200MG B/10CES</v>
          </cell>
        </row>
        <row r="5651">
          <cell r="B5651" t="str">
            <v>FG02311</v>
          </cell>
          <cell r="C5651" t="str">
            <v>ORELOX 100MG 10CES (FR)</v>
          </cell>
        </row>
        <row r="5652">
          <cell r="B5652" t="str">
            <v>FG02312</v>
          </cell>
          <cell r="C5652" t="str">
            <v>ORELOX SUSP BUV 100ML 40MG (FR)</v>
          </cell>
        </row>
        <row r="5653">
          <cell r="B5653" t="str">
            <v>FG02313</v>
          </cell>
          <cell r="C5653" t="str">
            <v>ORGAMETRIL 5MG B/30CES (FR)</v>
          </cell>
        </row>
        <row r="5654">
          <cell r="B5654" t="str">
            <v>FG02314</v>
          </cell>
          <cell r="C5654" t="str">
            <v>ORITAXIM 1 GR. B/1AMP</v>
          </cell>
        </row>
        <row r="5655">
          <cell r="B5655" t="str">
            <v>FG02315</v>
          </cell>
          <cell r="C5655" t="str">
            <v>ORNID 500MG 10 OVULES</v>
          </cell>
        </row>
        <row r="5656">
          <cell r="B5656" t="str">
            <v>FG02316</v>
          </cell>
          <cell r="C5656" t="str">
            <v>ORNID 500MG B/10CES</v>
          </cell>
        </row>
        <row r="5657">
          <cell r="B5657" t="str">
            <v>FG02317</v>
          </cell>
          <cell r="C5657" t="str">
            <v>ORNID IV 100ML AR</v>
          </cell>
        </row>
        <row r="5658">
          <cell r="B5658" t="str">
            <v>FG02318</v>
          </cell>
          <cell r="C5658" t="str">
            <v>ORNID-OX IV INJ.100ML</v>
          </cell>
        </row>
        <row r="5659">
          <cell r="B5659" t="str">
            <v>FG02319</v>
          </cell>
          <cell r="C5659" t="str">
            <v>ORNID-OX (OFLOXA.+ORNIDA.) 10 CES</v>
          </cell>
        </row>
        <row r="5660">
          <cell r="B5660" t="str">
            <v>FG02320</v>
          </cell>
          <cell r="C5660" t="str">
            <v>ORNID-OX (OFLOXA.+ORNIDA.) 60ML SP</v>
          </cell>
        </row>
        <row r="5661">
          <cell r="B5661" t="str">
            <v>FG02321</v>
          </cell>
          <cell r="C5661" t="str">
            <v>ORNIDAZOLE IV 100ML (GENERIQUE)</v>
          </cell>
        </row>
        <row r="5662">
          <cell r="B5662" t="str">
            <v>FG02322</v>
          </cell>
          <cell r="C5662" t="str">
            <v>OROFER 150ML SP</v>
          </cell>
        </row>
        <row r="5663">
          <cell r="B5663" t="str">
            <v>FG02323</v>
          </cell>
          <cell r="C5663" t="str">
            <v>OROFER B/30CES</v>
          </cell>
        </row>
        <row r="5664">
          <cell r="B5664" t="str">
            <v>FG02324</v>
          </cell>
          <cell r="C5664" t="str">
            <v>OROKEN 100MG/ 5ML FLACON 40ML</v>
          </cell>
        </row>
        <row r="5665">
          <cell r="B5665" t="str">
            <v>FG02325</v>
          </cell>
          <cell r="C5665" t="str">
            <v>OROKEN 200MG B/8CES (FR)</v>
          </cell>
        </row>
        <row r="5666">
          <cell r="B5666" t="str">
            <v>FG02326</v>
          </cell>
          <cell r="C5666" t="str">
            <v>OROKEN SIROP 40MG/5ML BEBE+ENF 40ML</v>
          </cell>
        </row>
        <row r="5667">
          <cell r="B5667" t="str">
            <v>FG02327</v>
          </cell>
          <cell r="C5667" t="str">
            <v>OSCAL D FORT 30CES</v>
          </cell>
        </row>
        <row r="5668">
          <cell r="B5668" t="str">
            <v>FG02328</v>
          </cell>
          <cell r="C5668" t="str">
            <v>OSMONEMA 5 X 5ML</v>
          </cell>
        </row>
        <row r="5669">
          <cell r="B5669" t="str">
            <v>FG02329</v>
          </cell>
          <cell r="C5669" t="str">
            <v>OSMONEMA BEBE 5 X 3ML</v>
          </cell>
        </row>
        <row r="5670">
          <cell r="B5670" t="str">
            <v>FG02330</v>
          </cell>
          <cell r="C5670" t="str">
            <v>OSPAMOX 250MG/5ML SUSP. 60ML</v>
          </cell>
        </row>
        <row r="5671">
          <cell r="B5671" t="str">
            <v>FG02331</v>
          </cell>
          <cell r="C5671" t="str">
            <v>OTIPAX 15ML GOUTTE</v>
          </cell>
        </row>
        <row r="5672">
          <cell r="B5672" t="str">
            <v>FG02332</v>
          </cell>
          <cell r="C5672" t="str">
            <v>OTOBIOTIC GOUTTES OTIQUES 5ML</v>
          </cell>
        </row>
        <row r="5673">
          <cell r="B5673" t="str">
            <v>FG02333</v>
          </cell>
          <cell r="C5673" t="str">
            <v>OTOSCOP</v>
          </cell>
        </row>
        <row r="5674">
          <cell r="B5674" t="str">
            <v>FG02334</v>
          </cell>
          <cell r="C5674" t="str">
            <v>OTOSTOP GOUTTES OTIQUES 10ML</v>
          </cell>
        </row>
        <row r="5675">
          <cell r="B5675" t="str">
            <v>FG02335</v>
          </cell>
          <cell r="C5675" t="str">
            <v>OTRIMINE ADULTE 1% 10ML</v>
          </cell>
        </row>
        <row r="5676">
          <cell r="B5676" t="str">
            <v>FG02336</v>
          </cell>
          <cell r="C5676" t="str">
            <v>OTRIMINE ENF 0.5% 10ML</v>
          </cell>
        </row>
        <row r="5677">
          <cell r="B5677" t="str">
            <v>FG02337</v>
          </cell>
          <cell r="C5677" t="str">
            <v>OTRIVAN 0.05% GOUTTE 10ML</v>
          </cell>
        </row>
        <row r="5678">
          <cell r="B5678" t="str">
            <v>FG02338</v>
          </cell>
          <cell r="C5678" t="str">
            <v>OTRIVAN 0.1% GOUTTE 10ML</v>
          </cell>
        </row>
        <row r="5679">
          <cell r="B5679" t="str">
            <v>FG02339</v>
          </cell>
          <cell r="C5679" t="str">
            <v>OTRIVIN GOUTTES 0.5% (INDE)</v>
          </cell>
        </row>
        <row r="5680">
          <cell r="B5680" t="str">
            <v>FG02340</v>
          </cell>
          <cell r="C5680" t="str">
            <v>OTRIVINE 0.05% GTTES 10ML (FR)</v>
          </cell>
        </row>
        <row r="5681">
          <cell r="B5681" t="str">
            <v>FG02341</v>
          </cell>
          <cell r="C5681" t="str">
            <v>OTRIVINE 0.1% GOUTTES 10ML (FR)</v>
          </cell>
        </row>
        <row r="5682">
          <cell r="B5682" t="str">
            <v>FG02342</v>
          </cell>
          <cell r="C5682" t="str">
            <v>OTRIZEN 0.5% GOUTTE NAZAL</v>
          </cell>
        </row>
        <row r="5683">
          <cell r="B5683" t="str">
            <v>FG02343</v>
          </cell>
          <cell r="C5683" t="str">
            <v>OTRIZEN 1% GOUTTE NAZAL</v>
          </cell>
        </row>
        <row r="5684">
          <cell r="B5684" t="str">
            <v>FG02344</v>
          </cell>
          <cell r="C5684" t="str">
            <v>OUATE 250GR. QUALITE SUPERIEURE PCS/1(UNIQUE)</v>
          </cell>
        </row>
        <row r="5685">
          <cell r="B5685" t="str">
            <v>FG02345</v>
          </cell>
          <cell r="C5685" t="str">
            <v>OUATE 100GR. QUALITE SUPERIEURE PCS/1(UNIQUE)</v>
          </cell>
        </row>
        <row r="5686">
          <cell r="B5686" t="str">
            <v>FG02346</v>
          </cell>
          <cell r="C5686" t="str">
            <v>OUATE 25G*** QUALITE SUPERIEURE PCS/1(UNIQUE)</v>
          </cell>
        </row>
        <row r="5687">
          <cell r="B5687" t="str">
            <v>FG02347</v>
          </cell>
          <cell r="C5687" t="str">
            <v>OUATE 500GR. QUALITE SUPERIEURE PCS/1(UNIQUE)</v>
          </cell>
        </row>
        <row r="5688">
          <cell r="B5688" t="str">
            <v>FG02348</v>
          </cell>
          <cell r="C5688" t="str">
            <v>OUATE 50G***QUALITE SUPERIEURE PCS/1(UNIQUE)</v>
          </cell>
        </row>
        <row r="5689">
          <cell r="B5689" t="str">
            <v>FG02349</v>
          </cell>
          <cell r="C5689" t="str">
            <v>OUICEF 1000MG (CEFOTAXIME) INJ. B/1 VIAL + EAU</v>
          </cell>
        </row>
        <row r="5690">
          <cell r="B5690" t="str">
            <v>FG02350</v>
          </cell>
          <cell r="C5690" t="str">
            <v>OUICEF-S 1.5MG (CEFOTAXIME+SULB) INJ B/1VIAL+EAU</v>
          </cell>
        </row>
        <row r="5691">
          <cell r="B5691" t="str">
            <v>FG02351</v>
          </cell>
          <cell r="C5691" t="str">
            <v>OVA-PLUS (LETROZOLE) 2.5MG B/1X5 CES</v>
          </cell>
        </row>
        <row r="5692">
          <cell r="B5692" t="str">
            <v>FG02352</v>
          </cell>
          <cell r="C5692" t="str">
            <v>OVOGYL 500MG (METRONIDAZOLE) B/10 OVULES</v>
          </cell>
        </row>
        <row r="5693">
          <cell r="B5693" t="str">
            <v>FG02353</v>
          </cell>
          <cell r="C5693" t="str">
            <v>OXAPEN 1G 1 AMP INJ + SERINGUE (FR)</v>
          </cell>
        </row>
        <row r="5694">
          <cell r="B5694" t="str">
            <v>FG02354</v>
          </cell>
          <cell r="C5694" t="str">
            <v>OXAPEN 250MG/5ML SUSP 60ML (FR)</v>
          </cell>
        </row>
        <row r="5695">
          <cell r="B5695" t="str">
            <v>FG02355</v>
          </cell>
          <cell r="C5695" t="str">
            <v>OXAPEN 500MG 12CES (FR)</v>
          </cell>
        </row>
        <row r="5696">
          <cell r="B5696" t="str">
            <v>FG02356</v>
          </cell>
          <cell r="C5696" t="str">
            <v>OXARIN (ENOXAPARINE SODIQUE 40MG) B/ 1 INJ</v>
          </cell>
        </row>
        <row r="5697">
          <cell r="B5697" t="str">
            <v>FG02357</v>
          </cell>
          <cell r="C5697" t="str">
            <v>OXARIN (ENOXAPARINE SODIQUE 60MG) B/ 1 INJ</v>
          </cell>
        </row>
        <row r="5698">
          <cell r="B5698" t="str">
            <v>FG02358</v>
          </cell>
          <cell r="C5698" t="str">
            <v>OXARIN 20 MG (ENOXAPARINE SODIQUE) B/ 1 INJ</v>
          </cell>
        </row>
        <row r="5699">
          <cell r="B5699" t="str">
            <v>FG02359</v>
          </cell>
          <cell r="C5699" t="str">
            <v>OXARIN 80 MG (ENOXAPARINE SODIQUE) B/ 1 INJ</v>
          </cell>
        </row>
        <row r="5700">
          <cell r="B5700" t="str">
            <v>FG02360</v>
          </cell>
          <cell r="C5700" t="str">
            <v>OXIN (OFLOXACINE) 200MG B/10CAP</v>
          </cell>
        </row>
        <row r="5701">
          <cell r="B5701" t="str">
            <v>FG02361</v>
          </cell>
          <cell r="C5701" t="str">
            <v>OXYMETRE DOIGT 1 UNITE</v>
          </cell>
        </row>
        <row r="5702">
          <cell r="B5702" t="str">
            <v>FG02362</v>
          </cell>
          <cell r="C5702" t="str">
            <v>OZ (ORNIDAZOLE) PERFUSION I.V. FL/100ML</v>
          </cell>
        </row>
        <row r="5703">
          <cell r="B5703" t="str">
            <v>FG02363</v>
          </cell>
          <cell r="C5703" t="str">
            <v>OZIBEN 100MG SUSP BUV FL/30ML</v>
          </cell>
        </row>
        <row r="5704">
          <cell r="B5704" t="str">
            <v>FG02364</v>
          </cell>
          <cell r="C5704" t="str">
            <v>OZIBEN 200MG SACHET B/3</v>
          </cell>
        </row>
        <row r="5705">
          <cell r="B5705" t="str">
            <v>FG02365</v>
          </cell>
          <cell r="C5705" t="str">
            <v>OZIBEN 500MG COMP SEC B/1</v>
          </cell>
        </row>
        <row r="5706">
          <cell r="B5706" t="str">
            <v>FG02366</v>
          </cell>
          <cell r="C5706" t="str">
            <v>P-VIRIL 350MG 10CAPS</v>
          </cell>
        </row>
        <row r="5707">
          <cell r="B5707" t="str">
            <v>FG02367</v>
          </cell>
          <cell r="C5707" t="str">
            <v>PA (PARACETAMOL) IV/IM INJ. B/5 AMP</v>
          </cell>
        </row>
        <row r="5708">
          <cell r="B5708" t="str">
            <v>FG02368</v>
          </cell>
          <cell r="C5708" t="str">
            <v>PA 125MG/5ML (PARACETAMOL) SUSPENSION 100ML</v>
          </cell>
        </row>
        <row r="5709">
          <cell r="B5709" t="str">
            <v>FG02369</v>
          </cell>
          <cell r="C5709" t="str">
            <v>PA-12 1000MG LP (PARACETAMOL) B/12 CES</v>
          </cell>
        </row>
        <row r="5710">
          <cell r="B5710" t="str">
            <v>FG02370</v>
          </cell>
          <cell r="C5710" t="str">
            <v>PABU (PARACETAMOL+IBUPROFEN) SIROP 60ML</v>
          </cell>
        </row>
        <row r="5711">
          <cell r="B5711" t="str">
            <v>FG02371</v>
          </cell>
          <cell r="C5711" t="str">
            <v>PAGNE JAVA</v>
          </cell>
        </row>
        <row r="5712">
          <cell r="B5712" t="str">
            <v>FG02372</v>
          </cell>
          <cell r="C5712" t="str">
            <v>PAGNE SIMPLE</v>
          </cell>
        </row>
        <row r="5713">
          <cell r="B5713" t="str">
            <v>FG02373</v>
          </cell>
          <cell r="C5713" t="str">
            <v>PAGNE SUPERWAX</v>
          </cell>
        </row>
        <row r="5714">
          <cell r="B5714" t="str">
            <v>FG02374</v>
          </cell>
          <cell r="C5714" t="str">
            <v>PAIDOFEBRIL 100MG/5ML 200ML (FR)</v>
          </cell>
        </row>
        <row r="5715">
          <cell r="B5715" t="str">
            <v>FG02375</v>
          </cell>
          <cell r="C5715" t="str">
            <v>PAIDOTERIN SIROP 100ML (FR)</v>
          </cell>
        </row>
        <row r="5716">
          <cell r="B5716" t="str">
            <v>FG02376</v>
          </cell>
          <cell r="C5716" t="str">
            <v>PAIN OFF (DICLO+PARA+CHLORA+MAGNESIUM) B/10 CES</v>
          </cell>
        </row>
        <row r="5717">
          <cell r="B5717" t="str">
            <v>FG02377</v>
          </cell>
          <cell r="C5717" t="str">
            <v>PAIN RELIEVER (DICLO+PARA+CHLOR+MAGNE) B\10CES</v>
          </cell>
        </row>
        <row r="5718">
          <cell r="B5718" t="str">
            <v>FG02378</v>
          </cell>
          <cell r="C5718" t="str">
            <v>PALCEF (CEFOTAXIM) 1GR B/1 AMP</v>
          </cell>
        </row>
        <row r="5719">
          <cell r="B5719" t="str">
            <v>FG02379</v>
          </cell>
          <cell r="C5719" t="str">
            <v>PALINDA (CLINDAMYCIN) 600MG/4ML B/1AMP</v>
          </cell>
        </row>
        <row r="5720">
          <cell r="B5720" t="str">
            <v>FG02380</v>
          </cell>
          <cell r="C5720" t="str">
            <v>PALINDA CAPSULES 150MG B/10CAP</v>
          </cell>
        </row>
        <row r="5721">
          <cell r="B5721" t="str">
            <v>FG02381</v>
          </cell>
          <cell r="C5721" t="str">
            <v>PALINDA CAPSULES 300MG B/10CAP</v>
          </cell>
        </row>
        <row r="5722">
          <cell r="B5722" t="str">
            <v>FG02382</v>
          </cell>
          <cell r="C5722" t="str">
            <v>PALINDA INJECTION 150MG B/1AMP</v>
          </cell>
        </row>
        <row r="5723">
          <cell r="B5723" t="str">
            <v>FG02383</v>
          </cell>
          <cell r="C5723" t="str">
            <v>PALINDA INJECTION 300MG B/1AMP</v>
          </cell>
        </row>
        <row r="5724">
          <cell r="B5724" t="str">
            <v>FG02384</v>
          </cell>
          <cell r="C5724" t="str">
            <v>PALIXI-AZ(CEFIXIME+AZITHRO) B/10 X 10 CES</v>
          </cell>
        </row>
        <row r="5725">
          <cell r="B5725" t="str">
            <v>FG02385</v>
          </cell>
          <cell r="C5725" t="str">
            <v>PALIXIM (CEFIXIME) 400MG B/10 X 10 CES</v>
          </cell>
        </row>
        <row r="5726">
          <cell r="B5726" t="str">
            <v>FG02386</v>
          </cell>
          <cell r="C5726" t="str">
            <v>PALIXIM 5 100(CEFIXIME SP 100MG) 60ML</v>
          </cell>
        </row>
        <row r="5727">
          <cell r="B5727" t="str">
            <v>FG02387</v>
          </cell>
          <cell r="C5727" t="str">
            <v>PALIXIM T 200 (CEFIXIME 200MG) B/10CES</v>
          </cell>
        </row>
        <row r="5728">
          <cell r="B5728" t="str">
            <v>FG02388</v>
          </cell>
          <cell r="C5728" t="str">
            <v>PALKOF BOMBO**** B/200</v>
          </cell>
        </row>
        <row r="5729">
          <cell r="B5729" t="str">
            <v>FG02389</v>
          </cell>
          <cell r="C5729" t="str">
            <v>PALKOF EXPECTORANT 100ML</v>
          </cell>
        </row>
        <row r="5730">
          <cell r="B5730" t="str">
            <v>FG02390</v>
          </cell>
          <cell r="C5730" t="str">
            <v>PALOAPETI (CYPROHEPTADINE) CES</v>
          </cell>
        </row>
        <row r="5731">
          <cell r="B5731" t="str">
            <v>FG02391</v>
          </cell>
          <cell r="C5731" t="str">
            <v>PALOAPETI (MULTI) 100ML</v>
          </cell>
        </row>
        <row r="5732">
          <cell r="B5732" t="str">
            <v>FG02392</v>
          </cell>
          <cell r="C5732" t="str">
            <v>PALPOUX LOTION 30ML</v>
          </cell>
        </row>
        <row r="5733">
          <cell r="B5733" t="str">
            <v>FG02393</v>
          </cell>
          <cell r="C5733" t="str">
            <v>PALUCUR (ANTI-PALUDEEN) B/6CES</v>
          </cell>
        </row>
        <row r="5734">
          <cell r="B5734" t="str">
            <v>FG02394</v>
          </cell>
          <cell r="C5734" t="str">
            <v>PALUDIC INJECTION (DICLOFENAC) 75MG/3ML B/5AMP</v>
          </cell>
        </row>
        <row r="5735">
          <cell r="B5735" t="str">
            <v>FG02395</v>
          </cell>
          <cell r="C5735" t="str">
            <v>PALUDROX 250MG ORAL SUSP 100ML</v>
          </cell>
        </row>
        <row r="5736">
          <cell r="B5736" t="str">
            <v>FG02396</v>
          </cell>
          <cell r="C5736" t="str">
            <v>PALUDROX 500MG B/12CAP</v>
          </cell>
        </row>
        <row r="5737">
          <cell r="B5737" t="str">
            <v>FG02397</v>
          </cell>
          <cell r="C5737" t="str">
            <v>PALUNATE (ARTESUNATE) 120MG 1 PCE</v>
          </cell>
        </row>
        <row r="5738">
          <cell r="B5738" t="str">
            <v>FG02398</v>
          </cell>
          <cell r="C5738" t="str">
            <v>PALUNATE (ARTESUNATE) 150 MG INJ B/1AMP</v>
          </cell>
        </row>
        <row r="5739">
          <cell r="B5739" t="str">
            <v>FG02399</v>
          </cell>
          <cell r="C5739" t="str">
            <v>PALUNATE (ARTESUNATE) 180MG INJ B/1AMP</v>
          </cell>
        </row>
        <row r="5740">
          <cell r="B5740" t="str">
            <v>FG02400</v>
          </cell>
          <cell r="C5740" t="str">
            <v>PALUNATE (ARTESUNATE) 240MG INJ B/1AMP</v>
          </cell>
        </row>
        <row r="5741">
          <cell r="B5741" t="str">
            <v>FG02401</v>
          </cell>
          <cell r="C5741" t="str">
            <v>PALUNATE (ARTESUNATE) 30MG INJ B/1AMP</v>
          </cell>
        </row>
        <row r="5742">
          <cell r="B5742" t="str">
            <v>FG02402</v>
          </cell>
          <cell r="C5742" t="str">
            <v>PALUNATE (ARTESUNATE) 60MG INJ B/1AMP</v>
          </cell>
        </row>
        <row r="5743">
          <cell r="B5743" t="str">
            <v>FG02403</v>
          </cell>
          <cell r="C5743" t="str">
            <v>PAMPERS</v>
          </cell>
        </row>
        <row r="5744">
          <cell r="B5744" t="str">
            <v>FG02404</v>
          </cell>
          <cell r="C5744" t="str">
            <v>PANADOL 500MG 12CES EFF-(FR)</v>
          </cell>
        </row>
        <row r="5745">
          <cell r="B5745" t="str">
            <v>FG02405</v>
          </cell>
          <cell r="C5745" t="str">
            <v>PANADOL 500MG 16CES (FR)</v>
          </cell>
        </row>
        <row r="5746">
          <cell r="B5746" t="str">
            <v>FG02406</v>
          </cell>
          <cell r="C5746" t="str">
            <v>PANADOL ACTIFAST 500MG 20CES (FR)</v>
          </cell>
        </row>
        <row r="5747">
          <cell r="B5747" t="str">
            <v>FG02407</v>
          </cell>
          <cell r="C5747" t="str">
            <v>PANADOL EXTRA 500MG 20CES (FR)</v>
          </cell>
        </row>
        <row r="5748">
          <cell r="B5748" t="str">
            <v>FG02408</v>
          </cell>
          <cell r="C5748" t="str">
            <v>PANADOL SUSP. 100ML ENF/NOUR. (FR)</v>
          </cell>
        </row>
        <row r="5749">
          <cell r="B5749" t="str">
            <v>FG02409</v>
          </cell>
          <cell r="C5749" t="str">
            <v>PANAL 400MG 10CES PL</v>
          </cell>
        </row>
        <row r="5750">
          <cell r="B5750" t="str">
            <v>FG02410</v>
          </cell>
          <cell r="C5750" t="str">
            <v>PANAL D SIROP</v>
          </cell>
        </row>
        <row r="5751">
          <cell r="B5751" t="str">
            <v>FG02411</v>
          </cell>
          <cell r="C5751" t="str">
            <v>PANAL-D CES</v>
          </cell>
        </row>
        <row r="5752">
          <cell r="B5752" t="str">
            <v>FG02412</v>
          </cell>
          <cell r="C5752" t="str">
            <v>PANDIL</v>
          </cell>
        </row>
        <row r="5753">
          <cell r="B5753" t="str">
            <v>FG02413</v>
          </cell>
          <cell r="C5753" t="str">
            <v>PANLOMA-D (PANTOPRAZOLE + DOMPERIDONE) B/10 X 10</v>
          </cell>
        </row>
        <row r="5754">
          <cell r="B5754" t="str">
            <v>FG02414</v>
          </cell>
          <cell r="C5754" t="str">
            <v>PANO OMEGA 150W</v>
          </cell>
        </row>
        <row r="5755">
          <cell r="B5755" t="str">
            <v>FG02415</v>
          </cell>
          <cell r="C5755" t="str">
            <v>PANOSOLEI</v>
          </cell>
        </row>
        <row r="5756">
          <cell r="B5756" t="str">
            <v>FG02416</v>
          </cell>
          <cell r="C5756" t="str">
            <v>PANTAC-20 (PANTOPRAZOLE 20MG) B/30CES</v>
          </cell>
        </row>
        <row r="5757">
          <cell r="B5757" t="str">
            <v>FG02417</v>
          </cell>
          <cell r="C5757" t="str">
            <v>PANTAC-40 (PANTOPRAZOLE) B/30CES</v>
          </cell>
        </row>
        <row r="5758">
          <cell r="B5758" t="str">
            <v>FG02418</v>
          </cell>
          <cell r="C5758" t="str">
            <v>PANTEC (PANTOGRAZOLE) 40MG IV B/1 AMP</v>
          </cell>
        </row>
        <row r="5759">
          <cell r="B5759" t="str">
            <v>FG02419</v>
          </cell>
          <cell r="C5759" t="str">
            <v>PANTEC-20MG (PANTOPRAZOLE ) CES</v>
          </cell>
        </row>
        <row r="5760">
          <cell r="B5760" t="str">
            <v>FG02420</v>
          </cell>
          <cell r="C5760" t="str">
            <v>PANTEC-40 (PANTOPRAZOLE) CES</v>
          </cell>
        </row>
        <row r="5761">
          <cell r="B5761" t="str">
            <v>FG02421</v>
          </cell>
          <cell r="C5761" t="str">
            <v>PANTEX-30MG (PENTAZOCINE) I.M/ I.V B/10AMP</v>
          </cell>
        </row>
        <row r="5762">
          <cell r="B5762" t="str">
            <v>FG02422</v>
          </cell>
          <cell r="C5762" t="str">
            <v>PANTO-DENK 20 B/28 CES(FR)</v>
          </cell>
        </row>
        <row r="5763">
          <cell r="B5763" t="str">
            <v>FG02423</v>
          </cell>
          <cell r="C5763" t="str">
            <v>PANTO-DENK 40MG B/28CES(FR)</v>
          </cell>
        </row>
        <row r="5764">
          <cell r="B5764" t="str">
            <v>FG02424</v>
          </cell>
          <cell r="C5764" t="str">
            <v>PAPAVERINE 40MG 10 X10CES</v>
          </cell>
        </row>
        <row r="5765">
          <cell r="B5765" t="str">
            <v>FG02425</v>
          </cell>
          <cell r="C5765" t="str">
            <v>PAPER LISTING</v>
          </cell>
        </row>
        <row r="5766">
          <cell r="B5766" t="str">
            <v>FG02426</v>
          </cell>
          <cell r="C5766" t="str">
            <v>PARA C SIROP 100ML</v>
          </cell>
        </row>
        <row r="5767">
          <cell r="B5767" t="str">
            <v>FG02427</v>
          </cell>
          <cell r="C5767" t="str">
            <v>PARA C POCH/4CES</v>
          </cell>
        </row>
        <row r="5768">
          <cell r="B5768" t="str">
            <v>FG02428</v>
          </cell>
          <cell r="C5768" t="str">
            <v>PARA DENK 250 B/10SUPPOS</v>
          </cell>
        </row>
        <row r="5769">
          <cell r="B5769" t="str">
            <v>FG02429</v>
          </cell>
          <cell r="C5769" t="str">
            <v>PARA DENK 500MG B/20CES (FR)</v>
          </cell>
        </row>
        <row r="5770">
          <cell r="B5770" t="str">
            <v>FG02430</v>
          </cell>
          <cell r="C5770" t="str">
            <v>PARA PLUS C SP 100ML</v>
          </cell>
        </row>
        <row r="5771">
          <cell r="B5771" t="str">
            <v>FG02431</v>
          </cell>
          <cell r="C5771" t="str">
            <v>PARA PLUS POCH/4CES</v>
          </cell>
        </row>
        <row r="5772">
          <cell r="B5772" t="str">
            <v>FG02432</v>
          </cell>
          <cell r="C5772" t="str">
            <v>PARA-C EFFERVESCENT 500MG B/10CES</v>
          </cell>
        </row>
        <row r="5773">
          <cell r="B5773" t="str">
            <v>FG02433</v>
          </cell>
          <cell r="C5773" t="str">
            <v>PARACEL (PARA 750MG)I.M/5ML B/5AMP</v>
          </cell>
        </row>
        <row r="5774">
          <cell r="B5774" t="str">
            <v>FG02434</v>
          </cell>
          <cell r="C5774" t="str">
            <v>PARACEL 100ML IV</v>
          </cell>
        </row>
        <row r="5775">
          <cell r="B5775" t="str">
            <v>FG02435</v>
          </cell>
          <cell r="C5775" t="str">
            <v>PARACEL POCH/4CES</v>
          </cell>
        </row>
        <row r="5776">
          <cell r="B5776" t="str">
            <v>FG02436</v>
          </cell>
          <cell r="C5776" t="str">
            <v>PARACEL SIROP 100ML</v>
          </cell>
        </row>
        <row r="5777">
          <cell r="B5777" t="str">
            <v>FG02437</v>
          </cell>
          <cell r="C5777" t="str">
            <v>PARACETAMOL 125MG B/6SUPPOS</v>
          </cell>
        </row>
        <row r="5778">
          <cell r="B5778" t="str">
            <v>FG02438</v>
          </cell>
          <cell r="C5778" t="str">
            <v>PARACETAMOL 250MG B/10SUPPOS</v>
          </cell>
        </row>
        <row r="5779">
          <cell r="B5779" t="str">
            <v>FG02439</v>
          </cell>
          <cell r="C5779" t="str">
            <v>PARACETAMOL 500MG B/1000CES</v>
          </cell>
        </row>
        <row r="5780">
          <cell r="B5780" t="str">
            <v>FG02440</v>
          </cell>
          <cell r="C5780" t="str">
            <v>PARACETAMOL 500MG B/10X10CES</v>
          </cell>
        </row>
        <row r="5781">
          <cell r="B5781" t="str">
            <v>FG02441</v>
          </cell>
          <cell r="C5781" t="str">
            <v>PARACETAMOL BIOGARAN 500MG B/16 CES</v>
          </cell>
        </row>
        <row r="5782">
          <cell r="B5782" t="str">
            <v>FG02442</v>
          </cell>
          <cell r="C5782" t="str">
            <v>PARACETAMOL SIROP (LOCAL)</v>
          </cell>
        </row>
        <row r="5783">
          <cell r="B5783" t="str">
            <v>FG02443</v>
          </cell>
          <cell r="C5783" t="str">
            <v>PARACETAMOL SP 100ML (PHATKIN)</v>
          </cell>
        </row>
        <row r="5784">
          <cell r="B5784" t="str">
            <v>FG02444</v>
          </cell>
          <cell r="C5784" t="str">
            <v>PARACETAMOL+VIT.C SIROP 100ML</v>
          </cell>
        </row>
        <row r="5785">
          <cell r="B5785" t="str">
            <v>FG02445</v>
          </cell>
          <cell r="C5785" t="str">
            <v>PARACO DENK 500/30 20CES</v>
          </cell>
        </row>
        <row r="5786">
          <cell r="B5786" t="str">
            <v>FG02446</v>
          </cell>
          <cell r="C5786" t="str">
            <v>PARACO-DENK 1000/60 B/10 SUPPO (F.R.)</v>
          </cell>
        </row>
        <row r="5787">
          <cell r="B5787" t="str">
            <v>FG02447</v>
          </cell>
          <cell r="C5787" t="str">
            <v>PARADEX INFUSION 1000MG/100ML</v>
          </cell>
        </row>
        <row r="5788">
          <cell r="B5788" t="str">
            <v>FG02448</v>
          </cell>
          <cell r="C5788" t="str">
            <v>PARAFLAM SP (IBU+PARA) SP 60ML</v>
          </cell>
        </row>
        <row r="5789">
          <cell r="B5789" t="str">
            <v>FG02449</v>
          </cell>
          <cell r="C5789" t="str">
            <v>PARAFUSION 1G (PARACETAMOL) IV 100ML</v>
          </cell>
        </row>
        <row r="5790">
          <cell r="B5790" t="str">
            <v>FG02450</v>
          </cell>
          <cell r="C5790" t="str">
            <v>PARAGESIC C ( PARA+VITAMIN C ) SP 100ML</v>
          </cell>
        </row>
        <row r="5791">
          <cell r="B5791" t="str">
            <v>FG02451</v>
          </cell>
          <cell r="C5791" t="str">
            <v>PARALGAN 1G EFF B/10CES</v>
          </cell>
        </row>
        <row r="5792">
          <cell r="B5792" t="str">
            <v>FG02452</v>
          </cell>
          <cell r="C5792" t="str">
            <v>PARALGAN 500MG EFF B/10CES</v>
          </cell>
        </row>
        <row r="5793">
          <cell r="B5793" t="str">
            <v>FG02453</v>
          </cell>
          <cell r="C5793" t="str">
            <v>PARALGAN IV 1000MG</v>
          </cell>
        </row>
        <row r="5794">
          <cell r="B5794" t="str">
            <v>FG02454</v>
          </cell>
          <cell r="C5794" t="str">
            <v>PARALGAN PED (PARACETAMOL) 120MG/5ML SP</v>
          </cell>
        </row>
        <row r="5795">
          <cell r="B5795" t="str">
            <v>FG02455</v>
          </cell>
          <cell r="C5795" t="str">
            <v>PARAVANT</v>
          </cell>
        </row>
        <row r="5796">
          <cell r="B5796" t="str">
            <v>FG02456</v>
          </cell>
          <cell r="C5796" t="str">
            <v>PARAVENT 3 PANNEAUX AVEC ROUES 1 PCS</v>
          </cell>
        </row>
        <row r="5797">
          <cell r="B5797" t="str">
            <v>FG02457</v>
          </cell>
          <cell r="C5797" t="str">
            <v>PARAVENT 4 PANNEAUX AVEC ROUES 1 PCS</v>
          </cell>
        </row>
        <row r="5798">
          <cell r="B5798" t="str">
            <v>FG02458</v>
          </cell>
          <cell r="C5798" t="str">
            <v>PARLODEL 2.5MG B/30CES (FR)</v>
          </cell>
        </row>
        <row r="5799">
          <cell r="B5799" t="str">
            <v>FG02459</v>
          </cell>
          <cell r="C5799" t="str">
            <v>PAROL 500MG CES B/30 (FR)</v>
          </cell>
        </row>
        <row r="5800">
          <cell r="B5800" t="str">
            <v>FG02460</v>
          </cell>
          <cell r="C5800" t="str">
            <v>PAROL PLUS (PARA) 250MG/ML 150ML SIROP</v>
          </cell>
        </row>
        <row r="5801">
          <cell r="B5801" t="str">
            <v>FG02461</v>
          </cell>
          <cell r="C5801" t="str">
            <v>PARTHER 150MG B/3AMP</v>
          </cell>
        </row>
        <row r="5802">
          <cell r="B5802" t="str">
            <v>FG02462</v>
          </cell>
          <cell r="C5802" t="str">
            <v>PARTHER 225MG B/3AMP</v>
          </cell>
        </row>
        <row r="5803">
          <cell r="B5803" t="str">
            <v>FG02463</v>
          </cell>
          <cell r="C5803" t="str">
            <v>PARTHER 75MG B/3AMP</v>
          </cell>
        </row>
        <row r="5804">
          <cell r="B5804" t="str">
            <v>FG02464</v>
          </cell>
          <cell r="C5804" t="str">
            <v>PASMEX B/10CES</v>
          </cell>
        </row>
        <row r="5805">
          <cell r="B5805" t="str">
            <v>FG02465</v>
          </cell>
          <cell r="C5805" t="str">
            <v>PASSEDYL EN/BB SP FL/125ML (FR)</v>
          </cell>
        </row>
        <row r="5806">
          <cell r="B5806" t="str">
            <v>FG02466</v>
          </cell>
          <cell r="C5806" t="str">
            <v>PASVERS PLUS SUSPENSION 10ML</v>
          </cell>
        </row>
        <row r="5807">
          <cell r="B5807" t="str">
            <v>FG02467</v>
          </cell>
          <cell r="C5807" t="str">
            <v>PATOUX PASTILLEES BT/80CES</v>
          </cell>
        </row>
        <row r="5808">
          <cell r="B5808" t="str">
            <v>FG02468</v>
          </cell>
          <cell r="C5808" t="str">
            <v>PATRIMOL PLUS 10CES</v>
          </cell>
        </row>
        <row r="5809">
          <cell r="B5809" t="str">
            <v>FG02469</v>
          </cell>
          <cell r="C5809" t="str">
            <v>PAYRAMAX 60/20MG ***3 SACHET</v>
          </cell>
        </row>
        <row r="5810">
          <cell r="B5810" t="str">
            <v>FG02470</v>
          </cell>
          <cell r="C5810" t="str">
            <v>PCLIN TZ INJ</v>
          </cell>
        </row>
        <row r="5811">
          <cell r="B5811" t="str">
            <v>FG02471</v>
          </cell>
          <cell r="C5811" t="str">
            <v>PEDIAVIT 100ML SIROP(FR)</v>
          </cell>
        </row>
        <row r="5812">
          <cell r="B5812" t="str">
            <v>FG02472</v>
          </cell>
          <cell r="C5812" t="str">
            <v>PEDIFEN B/30 (FR)</v>
          </cell>
        </row>
        <row r="5813">
          <cell r="B5813" t="str">
            <v>FG02473</v>
          </cell>
          <cell r="C5813" t="str">
            <v>PEDIFEN IBUPROFEN SP 100ML (FR)</v>
          </cell>
        </row>
        <row r="5814">
          <cell r="B5814" t="str">
            <v>FG02474</v>
          </cell>
          <cell r="C5814" t="str">
            <v>PEITEL CRÈME T/30GR</v>
          </cell>
        </row>
        <row r="5815">
          <cell r="B5815" t="str">
            <v>FG02475</v>
          </cell>
          <cell r="C5815" t="str">
            <v>PENIFLOT EXTRA LARGE (40MM) 1 PCS</v>
          </cell>
        </row>
        <row r="5816">
          <cell r="B5816" t="str">
            <v>FG02476</v>
          </cell>
          <cell r="C5816" t="str">
            <v>PENIFLOT LARGE (35MM) 1 PCS</v>
          </cell>
        </row>
        <row r="5817">
          <cell r="B5817" t="str">
            <v>FG02477</v>
          </cell>
          <cell r="C5817" t="str">
            <v>PENIFLOT MOYEN (30MM) 1 PCS</v>
          </cell>
        </row>
        <row r="5818">
          <cell r="B5818" t="str">
            <v>FG02478</v>
          </cell>
          <cell r="C5818" t="str">
            <v>PENIFLOT PETIT(25MM) 1 PCS</v>
          </cell>
        </row>
        <row r="5819">
          <cell r="B5819" t="str">
            <v>FG02479</v>
          </cell>
          <cell r="C5819" t="str">
            <v>PENTAZOCINE 30MG B/1AMP</v>
          </cell>
        </row>
        <row r="5820">
          <cell r="B5820" t="str">
            <v>FG02480</v>
          </cell>
          <cell r="C5820" t="str">
            <v>PENTINOX (ALBENDAZOL) 1CES A CROQUER</v>
          </cell>
        </row>
        <row r="5821">
          <cell r="B5821" t="str">
            <v>FG02481</v>
          </cell>
          <cell r="C5821" t="str">
            <v>PENTOKAR(PANTOPRAZOLE) 40MG B/1AMP</v>
          </cell>
        </row>
        <row r="5822">
          <cell r="B5822" t="str">
            <v>FG02482</v>
          </cell>
          <cell r="C5822" t="str">
            <v>PERACEF S (CEFO) 1.5MG B/1AMP</v>
          </cell>
        </row>
        <row r="5823">
          <cell r="B5823" t="str">
            <v>FG02483</v>
          </cell>
          <cell r="C5823" t="str">
            <v>PERACEF S (CEFO) 1G B/1AMP</v>
          </cell>
        </row>
        <row r="5824">
          <cell r="B5824" t="str">
            <v>FG02484</v>
          </cell>
          <cell r="C5824" t="str">
            <v>PERDOLAN 500MG B/30CES (EO)</v>
          </cell>
        </row>
        <row r="5825">
          <cell r="B5825" t="str">
            <v>FG02485</v>
          </cell>
          <cell r="C5825" t="str">
            <v>PERDOLAN AD B/12SUPPOS</v>
          </cell>
        </row>
        <row r="5826">
          <cell r="B5826" t="str">
            <v>FG02486</v>
          </cell>
          <cell r="C5826" t="str">
            <v>PERDOLAN BB B/12SUPPOS (FR)&amp;&amp;&amp;</v>
          </cell>
        </row>
        <row r="5827">
          <cell r="B5827" t="str">
            <v>FG02487</v>
          </cell>
          <cell r="C5827" t="str">
            <v>PERDOLAN ENF B/12SUPPOS (FR)</v>
          </cell>
        </row>
        <row r="5828">
          <cell r="B5828" t="str">
            <v>FG02488</v>
          </cell>
          <cell r="C5828" t="str">
            <v>PERFAC 100MG (PARACETAMOL) B/10 SUPPOS</v>
          </cell>
        </row>
        <row r="5829">
          <cell r="B5829" t="str">
            <v>FG02489</v>
          </cell>
          <cell r="C5829" t="str">
            <v>PERFAC 1G (PARACETAMOL) PERFUSION I.V.FL/100ML</v>
          </cell>
        </row>
        <row r="5830">
          <cell r="B5830" t="str">
            <v>FG02490</v>
          </cell>
          <cell r="C5830" t="str">
            <v>PERFAC 200MG (PARACETAMOL) B/10 SUPPOS</v>
          </cell>
        </row>
        <row r="5831">
          <cell r="B5831" t="str">
            <v>FG02491</v>
          </cell>
          <cell r="C5831" t="str">
            <v>PERFAC 300MG (PARACETAMOL) B/10 SUPPOS</v>
          </cell>
        </row>
        <row r="5832">
          <cell r="B5832" t="str">
            <v>FG02492</v>
          </cell>
          <cell r="C5832" t="str">
            <v>PERFAC-C (PARACETAMOL+VIT-C) SIROP 100ML</v>
          </cell>
        </row>
        <row r="5833">
          <cell r="B5833" t="str">
            <v>FG02493</v>
          </cell>
          <cell r="C5833" t="str">
            <v>PERFORATED SPARADRA 18CM X 5M (HOT MELT GLUE)</v>
          </cell>
        </row>
        <row r="5834">
          <cell r="B5834" t="str">
            <v>FG02494</v>
          </cell>
          <cell r="C5834" t="str">
            <v>PERFORATED SPARADRA 18CM X 5M (ZINC OXIDE)</v>
          </cell>
        </row>
        <row r="5835">
          <cell r="B5835" t="str">
            <v>FG02495</v>
          </cell>
          <cell r="C5835" t="str">
            <v>PERISPASM 80MG B/10CES(FR)</v>
          </cell>
        </row>
        <row r="5836">
          <cell r="B5836" t="str">
            <v>FG02496</v>
          </cell>
          <cell r="C5836" t="str">
            <v>PERMAGANATE 500MG B/100CES</v>
          </cell>
        </row>
        <row r="5837">
          <cell r="B5837" t="str">
            <v>FG02497</v>
          </cell>
          <cell r="C5837" t="str">
            <v>PERMIXON 160MG B/60 GELULES AFR</v>
          </cell>
        </row>
        <row r="5838">
          <cell r="B5838" t="str">
            <v>FG02498</v>
          </cell>
          <cell r="C5838" t="str">
            <v>PETAL DERMICIDE 50G</v>
          </cell>
        </row>
        <row r="5839">
          <cell r="B5839" t="str">
            <v>FG02499</v>
          </cell>
          <cell r="C5839" t="str">
            <v>PETAL LEMON TALC @ PM @ 50GM</v>
          </cell>
        </row>
        <row r="5840">
          <cell r="B5840" t="str">
            <v>FG02500</v>
          </cell>
          <cell r="C5840" t="str">
            <v>PETAL LEMON TALC @PP@ 25GM</v>
          </cell>
        </row>
        <row r="5841">
          <cell r="B5841" t="str">
            <v>FG02501</v>
          </cell>
          <cell r="C5841" t="str">
            <v>PETAL LEMON TALC GM 125</v>
          </cell>
        </row>
        <row r="5842">
          <cell r="B5842" t="str">
            <v>FG02502</v>
          </cell>
          <cell r="C5842" t="str">
            <v>PETAL POUDRE BEBE 125GM</v>
          </cell>
        </row>
        <row r="5843">
          <cell r="B5843" t="str">
            <v>FG02503</v>
          </cell>
          <cell r="C5843" t="str">
            <v>PETAL SAVON AU CITON 100GR</v>
          </cell>
        </row>
        <row r="5844">
          <cell r="B5844" t="str">
            <v>FG02504</v>
          </cell>
          <cell r="C5844" t="str">
            <v>PETAL SAVON BEBE 100GR</v>
          </cell>
        </row>
        <row r="5845">
          <cell r="B5845" t="str">
            <v>FG02505</v>
          </cell>
          <cell r="C5845" t="str">
            <v>PEVAGINE 150 MG OVULE B/3 (FR)</v>
          </cell>
        </row>
        <row r="5846">
          <cell r="B5846" t="str">
            <v>FG02506</v>
          </cell>
          <cell r="C5846" t="str">
            <v>PEVARYL CREME 30GR (FR)</v>
          </cell>
        </row>
        <row r="5847">
          <cell r="B5847" t="str">
            <v>FG02507</v>
          </cell>
          <cell r="C5847" t="str">
            <v>PHANTOM 8 TECNO</v>
          </cell>
        </row>
        <row r="5848">
          <cell r="B5848" t="str">
            <v>FG02508</v>
          </cell>
          <cell r="C5848" t="str">
            <v>PHATRIX (CEFTRIXON) USP 1GR IM / IV B/1AMP</v>
          </cell>
        </row>
        <row r="5849">
          <cell r="B5849" t="str">
            <v>FG02509</v>
          </cell>
          <cell r="C5849" t="str">
            <v>PHATRIX - FORTE (CEFTRI+SULBAC) IM/IV B/AMP</v>
          </cell>
        </row>
        <row r="5850">
          <cell r="B5850" t="str">
            <v>FG02510</v>
          </cell>
          <cell r="C5850" t="str">
            <v>PHATRIX - TZ (CEFTRI+TAZO) IM/IV B/1AMP</v>
          </cell>
        </row>
        <row r="5851">
          <cell r="B5851" t="str">
            <v>FG02511</v>
          </cell>
          <cell r="C5851" t="str">
            <v>PHENERGAN 0 1% SP FL/150ML (FR)</v>
          </cell>
        </row>
        <row r="5852">
          <cell r="B5852" t="str">
            <v>FG02512</v>
          </cell>
          <cell r="C5852" t="str">
            <v>PHENERGAN 2% CREME DER T/30G (FR)</v>
          </cell>
        </row>
        <row r="5853">
          <cell r="B5853" t="str">
            <v>FG02513</v>
          </cell>
          <cell r="C5853" t="str">
            <v>PHENERGAN 20CES 25MG (FR)</v>
          </cell>
        </row>
        <row r="5854">
          <cell r="B5854" t="str">
            <v>FG02514</v>
          </cell>
          <cell r="C5854" t="str">
            <v>PHENERGAN 50MG/2ML B/5AMP (FR)</v>
          </cell>
        </row>
        <row r="5855">
          <cell r="B5855" t="str">
            <v>FG02515</v>
          </cell>
          <cell r="C5855" t="str">
            <v>PHENOBARBITAL 10AMP</v>
          </cell>
        </row>
        <row r="5856">
          <cell r="B5856" t="str">
            <v>FG02516</v>
          </cell>
          <cell r="C5856" t="str">
            <v>PHENORBARBITON 100MG 10 X 10 CES</v>
          </cell>
        </row>
        <row r="5857">
          <cell r="B5857" t="str">
            <v>FG02517</v>
          </cell>
          <cell r="C5857" t="str">
            <v>PHENYTOIN 100MG 1000 CES</v>
          </cell>
        </row>
        <row r="5858">
          <cell r="B5858" t="str">
            <v>FG02518</v>
          </cell>
          <cell r="C5858" t="str">
            <v>PHLEBODIA 600MG 15CES DIOSMINE</v>
          </cell>
        </row>
        <row r="5859">
          <cell r="B5859" t="str">
            <v>FG02519</v>
          </cell>
          <cell r="C5859" t="str">
            <v>PHOSPHALUGEL 20MG SUSP. 2 SACHETS</v>
          </cell>
        </row>
        <row r="5860">
          <cell r="B5860" t="str">
            <v>FG02520</v>
          </cell>
          <cell r="C5860" t="str">
            <v>PHYSIODOSE+ B/15 UNIDOSE 5ML</v>
          </cell>
        </row>
        <row r="5861">
          <cell r="B5861" t="str">
            <v>FG02521</v>
          </cell>
          <cell r="C5861" t="str">
            <v>PHYSIODOSE+ B/30 UNIDOSE 5ML1</v>
          </cell>
        </row>
        <row r="5862">
          <cell r="B5862" t="str">
            <v>FG02522</v>
          </cell>
          <cell r="C5862" t="str">
            <v>PILO ISOPTO-CARPINE 4% 15ML (FR)</v>
          </cell>
        </row>
        <row r="5863">
          <cell r="B5863" t="str">
            <v>FG02523</v>
          </cell>
          <cell r="C5863" t="str">
            <v>PILOCARPINE 4% COLLYRE 10ML (GENERIQUE)</v>
          </cell>
        </row>
        <row r="5864">
          <cell r="B5864" t="str">
            <v>FG02524</v>
          </cell>
          <cell r="C5864" t="str">
            <v>PILULE-S (LEVONORGESTREL)1.5MG 1CES</v>
          </cell>
        </row>
        <row r="5865">
          <cell r="B5865" t="str">
            <v>FG02525</v>
          </cell>
          <cell r="C5865" t="str">
            <v>PINAX (DIHYDRO+PIPERA) 60ML</v>
          </cell>
        </row>
        <row r="5866">
          <cell r="B5866" t="str">
            <v>FG02526</v>
          </cell>
          <cell r="C5866" t="str">
            <v>PINAX (DIHYDROART+PIPERAQUINE) B/9CES</v>
          </cell>
        </row>
        <row r="5867">
          <cell r="B5867" t="str">
            <v>FG02527</v>
          </cell>
          <cell r="C5867" t="str">
            <v>PINCE DE KOCHER COURBE 1*2 DENTS 14 CM</v>
          </cell>
        </row>
        <row r="5868">
          <cell r="B5868" t="str">
            <v>FG02528</v>
          </cell>
          <cell r="C5868" t="str">
            <v>PIPETTE A VS</v>
          </cell>
        </row>
        <row r="5869">
          <cell r="B5869" t="str">
            <v>FG02529</v>
          </cell>
          <cell r="C5869" t="str">
            <v>PIPETTES GRADUEES</v>
          </cell>
        </row>
        <row r="5870">
          <cell r="B5870" t="str">
            <v>FG02530</v>
          </cell>
          <cell r="C5870" t="str">
            <v>PIPORTIL 25MG L4 3AMP (FR)</v>
          </cell>
        </row>
        <row r="5871">
          <cell r="B5871" t="str">
            <v>FG02531</v>
          </cell>
          <cell r="C5871" t="str">
            <v>PIPORTIL L4 100MG/4ML B/1AMP (FR)</v>
          </cell>
        </row>
        <row r="5872">
          <cell r="B5872" t="str">
            <v>FG02532</v>
          </cell>
          <cell r="C5872" t="str">
            <v>PIPOX 2.25G (PIPERA.+TAZOBAC.) INJ.B/1AMP</v>
          </cell>
        </row>
        <row r="5873">
          <cell r="B5873" t="str">
            <v>FG02533</v>
          </cell>
          <cell r="C5873" t="str">
            <v>PIPTAZ (PIPERACILLIN+TAZOBACTAM) I.V B/1AMP</v>
          </cell>
        </row>
        <row r="5874">
          <cell r="B5874" t="str">
            <v>FG02534</v>
          </cell>
          <cell r="C5874" t="str">
            <v>PISSETTE EN PLASTIQUE</v>
          </cell>
        </row>
        <row r="5875">
          <cell r="B5875" t="str">
            <v>FG02535</v>
          </cell>
          <cell r="C5875" t="str">
            <v>PITIMOL 5ML COLLYRE</v>
          </cell>
        </row>
        <row r="5876">
          <cell r="B5876" t="str">
            <v>FG02536</v>
          </cell>
          <cell r="C5876" t="str">
            <v>PIVIDOC (PARACETAMOL) 1.0% 100ML INFUSION</v>
          </cell>
        </row>
        <row r="5877">
          <cell r="B5877" t="str">
            <v>FG02537</v>
          </cell>
          <cell r="C5877" t="str">
            <v>PLAFONIYER</v>
          </cell>
        </row>
        <row r="5878">
          <cell r="B5878" t="str">
            <v>FG02538</v>
          </cell>
          <cell r="C5878" t="str">
            <v>PLANETO B/20CES</v>
          </cell>
        </row>
        <row r="5879">
          <cell r="B5879" t="str">
            <v>FG02539</v>
          </cell>
          <cell r="C5879" t="str">
            <v>PLANFAM (LEVONORGESTREL) BP 1.5MG B/1CES</v>
          </cell>
        </row>
        <row r="5880">
          <cell r="B5880" t="str">
            <v>FG02540</v>
          </cell>
          <cell r="C5880" t="str">
            <v>PLAQUENIL 200MG CES B/30</v>
          </cell>
        </row>
        <row r="5881">
          <cell r="B5881" t="str">
            <v>FG02542</v>
          </cell>
          <cell r="C5881" t="str">
            <v>PLAVIX 75MG 30CES(FR)</v>
          </cell>
        </row>
        <row r="5882">
          <cell r="B5882" t="str">
            <v>FG02543</v>
          </cell>
          <cell r="C5882" t="str">
            <v>PLAZI (AZITHROMYCINE 500MG) B/5 CES</v>
          </cell>
        </row>
        <row r="5883">
          <cell r="B5883" t="str">
            <v>FG02544</v>
          </cell>
          <cell r="C5883" t="str">
            <v>POCHE DE SANG 250CC. 1 SACHET</v>
          </cell>
        </row>
        <row r="5884">
          <cell r="B5884" t="str">
            <v>FG02545</v>
          </cell>
          <cell r="C5884" t="str">
            <v>POCHE DE SANG 450CC. 1 SACHET</v>
          </cell>
        </row>
        <row r="5885">
          <cell r="B5885" t="str">
            <v>FG02546</v>
          </cell>
          <cell r="C5885" t="str">
            <v>POCHE DE SANG DOUBLE 450CC PCS/1</v>
          </cell>
        </row>
        <row r="5886">
          <cell r="B5886" t="str">
            <v>FG02547</v>
          </cell>
          <cell r="C5886" t="str">
            <v>POCHE DE SANG QUADRUPLE 450CC PCS/1</v>
          </cell>
        </row>
        <row r="5887">
          <cell r="B5887" t="str">
            <v>FG02548</v>
          </cell>
          <cell r="C5887" t="str">
            <v>POCHE DE SANG TRIPLER 450CC PCS/1</v>
          </cell>
        </row>
        <row r="5888">
          <cell r="B5888" t="str">
            <v>FG02549</v>
          </cell>
          <cell r="C5888" t="str">
            <v>POIR BEBE 1 PCS</v>
          </cell>
        </row>
        <row r="5889">
          <cell r="B5889" t="str">
            <v>FG02550</v>
          </cell>
          <cell r="C5889" t="str">
            <v>POIRE NO.2...1PCS</v>
          </cell>
        </row>
        <row r="5890">
          <cell r="B5890" t="str">
            <v>FG02551</v>
          </cell>
          <cell r="C5890" t="str">
            <v>POIRE NO.4...1PCS</v>
          </cell>
        </row>
        <row r="5891">
          <cell r="B5891" t="str">
            <v>FG02552</v>
          </cell>
          <cell r="C5891" t="str">
            <v>POIRE NO.6...1PCS</v>
          </cell>
        </row>
        <row r="5892">
          <cell r="B5892" t="str">
            <v>FG02553</v>
          </cell>
          <cell r="C5892" t="str">
            <v>POIRE NO.8...1PCS</v>
          </cell>
        </row>
        <row r="5893">
          <cell r="B5893" t="str">
            <v>FG02554</v>
          </cell>
          <cell r="C5893" t="str">
            <v>POLYCAP B/4 X 7CAP</v>
          </cell>
        </row>
        <row r="5894">
          <cell r="B5894" t="str">
            <v>FG02555</v>
          </cell>
          <cell r="C5894" t="str">
            <v>POLYDEXA SOL AURIC FL 10ML (EO)</v>
          </cell>
        </row>
        <row r="5895">
          <cell r="B5895" t="str">
            <v>FG02556</v>
          </cell>
          <cell r="C5895" t="str">
            <v>POLYDEXACINE COLLYRE 5ML</v>
          </cell>
        </row>
        <row r="5896">
          <cell r="B5896" t="str">
            <v>FG02557</v>
          </cell>
          <cell r="C5896" t="str">
            <v>POLYFRESH COLLYRE 10ML (FR)</v>
          </cell>
        </row>
        <row r="5897">
          <cell r="B5897" t="str">
            <v>FG02558</v>
          </cell>
          <cell r="C5897" t="str">
            <v>POLYGEL (ANTIACIDE) B/10X10CES</v>
          </cell>
        </row>
        <row r="5898">
          <cell r="B5898" t="str">
            <v>FG02559</v>
          </cell>
          <cell r="C5898" t="str">
            <v>POLYGEL *** SUSP. ***. 200ML</v>
          </cell>
        </row>
        <row r="5899">
          <cell r="B5899" t="str">
            <v>FG02560</v>
          </cell>
          <cell r="C5899" t="str">
            <v>POLYGEL SUSP. MANGO 120 ML</v>
          </cell>
        </row>
        <row r="5900">
          <cell r="B5900" t="str">
            <v>FG02561</v>
          </cell>
          <cell r="C5900" t="str">
            <v>POLYGYNAX B/12 OVULES (FR)</v>
          </cell>
        </row>
        <row r="5901">
          <cell r="B5901" t="str">
            <v>FG02562</v>
          </cell>
          <cell r="C5901" t="str">
            <v>POLYGYNAX B/6 OVULES (FR)</v>
          </cell>
        </row>
        <row r="5902">
          <cell r="B5902" t="str">
            <v>FG02563</v>
          </cell>
          <cell r="C5902" t="str">
            <v>POLYSILANE 15GR GEL B/12 SACHETS</v>
          </cell>
        </row>
        <row r="5903">
          <cell r="B5903" t="str">
            <v>FG02564</v>
          </cell>
          <cell r="C5903" t="str">
            <v>POLYTOUX SP 100ML</v>
          </cell>
        </row>
        <row r="5904">
          <cell r="B5904" t="str">
            <v>FG02565</v>
          </cell>
          <cell r="C5904" t="str">
            <v>POMMADE ANTIGALE 50GR.</v>
          </cell>
        </row>
        <row r="5905">
          <cell r="B5905" t="str">
            <v>FG02566</v>
          </cell>
          <cell r="C5905" t="str">
            <v>POMMADE AU DITHRANOL 50GR.</v>
          </cell>
        </row>
        <row r="5906">
          <cell r="B5906" t="str">
            <v>FG02567</v>
          </cell>
          <cell r="C5906" t="str">
            <v>POMMADE CAMPHREE 10% 50GR</v>
          </cell>
        </row>
        <row r="5907">
          <cell r="B5907" t="str">
            <v>FG02568</v>
          </cell>
          <cell r="C5907" t="str">
            <v>POMMADE CHRYSOPHANIQUE 35 GM</v>
          </cell>
        </row>
        <row r="5908">
          <cell r="B5908" t="str">
            <v>FG02569</v>
          </cell>
          <cell r="C5908" t="str">
            <v>POMMADE DR.COLD 50GR</v>
          </cell>
        </row>
        <row r="5909">
          <cell r="B5909" t="str">
            <v>FG02570</v>
          </cell>
          <cell r="C5909" t="str">
            <v>POMMADE ICHOLEE 50GR.</v>
          </cell>
        </row>
        <row r="5910">
          <cell r="B5910" t="str">
            <v>FG02571</v>
          </cell>
          <cell r="C5910" t="str">
            <v>POMMADE SULPHAMIDE 50GR.</v>
          </cell>
        </row>
        <row r="5911">
          <cell r="B5911" t="str">
            <v>FG02572</v>
          </cell>
          <cell r="C5911" t="str">
            <v>POMMADE WAKSON 75GR</v>
          </cell>
        </row>
        <row r="5912">
          <cell r="B5912" t="str">
            <v>FG02573</v>
          </cell>
          <cell r="C5912" t="str">
            <v>POPCORN MACHIN 4005</v>
          </cell>
        </row>
        <row r="5913">
          <cell r="B5913" t="str">
            <v>FG02574</v>
          </cell>
          <cell r="C5913" t="str">
            <v>POPCORN MACHIN 6007</v>
          </cell>
        </row>
        <row r="5914">
          <cell r="B5914" t="str">
            <v>FG02575</v>
          </cell>
          <cell r="C5914" t="str">
            <v>PORTE-SERUM BASE INOX 2CROCHETS INOX FS514</v>
          </cell>
        </row>
        <row r="5915">
          <cell r="B5915" t="str">
            <v>FG02576</v>
          </cell>
          <cell r="C5915" t="str">
            <v>PORTIQUE TUBE</v>
          </cell>
        </row>
        <row r="5916">
          <cell r="B5916" t="str">
            <v>FG02577</v>
          </cell>
          <cell r="C5916" t="str">
            <v>POSITON CREME T/3OGR (FR)</v>
          </cell>
        </row>
        <row r="5917">
          <cell r="B5917" t="str">
            <v>FG02578</v>
          </cell>
          <cell r="C5917" t="str">
            <v>POT POUR ECHANTILLONS DE SELLES 60ML</v>
          </cell>
        </row>
        <row r="5918">
          <cell r="B5918" t="str">
            <v>FG02579</v>
          </cell>
          <cell r="C5918" t="str">
            <v>POUBELLES POUR AIGUILLES ET LAME</v>
          </cell>
        </row>
        <row r="5919">
          <cell r="B5919" t="str">
            <v>FG02580</v>
          </cell>
          <cell r="C5919" t="str">
            <v>POUCH 1 ZIPPER</v>
          </cell>
        </row>
        <row r="5920">
          <cell r="B5920" t="str">
            <v>FG02583</v>
          </cell>
          <cell r="C5920" t="str">
            <v>POUTOX POMMADE 50GR.</v>
          </cell>
        </row>
        <row r="5921">
          <cell r="B5921" t="str">
            <v>FG02584</v>
          </cell>
          <cell r="C5921" t="str">
            <v>POWER BANK</v>
          </cell>
        </row>
        <row r="5922">
          <cell r="B5922" t="str">
            <v>FG02585</v>
          </cell>
          <cell r="C5922" t="str">
            <v>POWER PLUS (ANTI DOULEUR) B/10CES</v>
          </cell>
        </row>
        <row r="5923">
          <cell r="B5923" t="str">
            <v>FG02586</v>
          </cell>
          <cell r="C5923" t="str">
            <v>POWER RUB T/25GR</v>
          </cell>
        </row>
        <row r="5924">
          <cell r="B5924" t="str">
            <v>FG02587</v>
          </cell>
          <cell r="C5924" t="str">
            <v>POWER RUB TUBE 10GM</v>
          </cell>
        </row>
        <row r="5925">
          <cell r="B5925" t="str">
            <v>FG02588</v>
          </cell>
          <cell r="C5925" t="str">
            <v>PRAZOLE (OMEPRAZOLE) B/10X10CES</v>
          </cell>
        </row>
        <row r="5926">
          <cell r="B5926" t="str">
            <v>FG02589</v>
          </cell>
          <cell r="C5926" t="str">
            <v>PRAZOLE 40MG B/1AMP</v>
          </cell>
        </row>
        <row r="5927">
          <cell r="B5927" t="str">
            <v>FG02590</v>
          </cell>
          <cell r="C5927" t="str">
            <v>PRAZOLE KIT (OM3+CLAR+TINI) B/ 7X6 CES</v>
          </cell>
        </row>
        <row r="5928">
          <cell r="B5928" t="str">
            <v>FG02591</v>
          </cell>
          <cell r="C5928" t="str">
            <v>PRAZOLE-D B/10 CAP</v>
          </cell>
        </row>
        <row r="5929">
          <cell r="B5929" t="str">
            <v>FG02593</v>
          </cell>
          <cell r="C5929" t="str">
            <v>PREDNISOLONE CY 15ML</v>
          </cell>
        </row>
        <row r="5930">
          <cell r="B5930" t="str">
            <v>FG02594</v>
          </cell>
          <cell r="C5930" t="str">
            <v>PREDNOL-VISION (PREDNISOLONE) COLLYRE 10ML</v>
          </cell>
        </row>
        <row r="5931">
          <cell r="B5931" t="str">
            <v>FG02595</v>
          </cell>
          <cell r="C5931" t="str">
            <v>PREGATAS-75 (PREGABALIN) B/30 CAPSULE</v>
          </cell>
        </row>
        <row r="5932">
          <cell r="B5932" t="str">
            <v>FG02596</v>
          </cell>
          <cell r="C5932" t="str">
            <v>PREGATAS-ME (PREGABALIN+MECOBALAMIN) B/30CAP</v>
          </cell>
        </row>
        <row r="5933">
          <cell r="B5933" t="str">
            <v>FG02597</v>
          </cell>
          <cell r="C5933" t="str">
            <v>PRENATAL DENK B/30 CES (FR)</v>
          </cell>
        </row>
        <row r="5934">
          <cell r="B5934" t="str">
            <v>FG02598</v>
          </cell>
          <cell r="C5934" t="str">
            <v>PRENATAL DENK DHA B/30 CES (EO)</v>
          </cell>
        </row>
        <row r="5935">
          <cell r="B5935" t="str">
            <v>FG02599</v>
          </cell>
          <cell r="C5935" t="str">
            <v>PRESERVATIF OK B/24X3</v>
          </cell>
        </row>
        <row r="5936">
          <cell r="B5936" t="str">
            <v>FG02600</v>
          </cell>
          <cell r="C5936" t="str">
            <v>OK (CHIK) PRESERVATIF</v>
          </cell>
        </row>
        <row r="5937">
          <cell r="B5937" t="str">
            <v>FG02601</v>
          </cell>
          <cell r="C5937" t="str">
            <v>PRESERVATIF OK CHOCOLAT B/24X3</v>
          </cell>
        </row>
        <row r="5938">
          <cell r="B5938" t="str">
            <v>FG02602</v>
          </cell>
          <cell r="C5938" t="str">
            <v>PRESERVATIF OK FRAISE B/24X3</v>
          </cell>
        </row>
        <row r="5939">
          <cell r="B5939" t="str">
            <v>FG02603</v>
          </cell>
          <cell r="C5939" t="str">
            <v>PRESERVATIF OK MENTHOLE B/24X3</v>
          </cell>
        </row>
        <row r="5940">
          <cell r="B5940" t="str">
            <v>FG02604</v>
          </cell>
          <cell r="C5940" t="str">
            <v>PRESERVATIF OK POINTILLES B/24X3</v>
          </cell>
        </row>
        <row r="5941">
          <cell r="B5941" t="str">
            <v>FG02605</v>
          </cell>
          <cell r="C5941" t="str">
            <v>PRESERVATIF OK RETARD B/24X3</v>
          </cell>
        </row>
        <row r="5942">
          <cell r="B5942" t="str">
            <v>FG02606</v>
          </cell>
          <cell r="C5942" t="str">
            <v>PRETGESTAN 100MG (PROGESTERONE) B/30 CAP ORALE</v>
          </cell>
        </row>
        <row r="5943">
          <cell r="B5943" t="str">
            <v>FG02607</v>
          </cell>
          <cell r="C5943" t="str">
            <v>PRETGESTAN 200MG (PROGESTERONE) B/15 CAP ORALE</v>
          </cell>
        </row>
        <row r="5944">
          <cell r="B5944" t="str">
            <v>FG02608</v>
          </cell>
          <cell r="C5944" t="str">
            <v>PREVOLITHAR 100ML SP</v>
          </cell>
        </row>
        <row r="5945">
          <cell r="B5945" t="str">
            <v>FG02609</v>
          </cell>
          <cell r="C5945" t="str">
            <v>PREZON (PREDNIZOLEN) 10ML COLLYRE</v>
          </cell>
        </row>
        <row r="5946">
          <cell r="B5946" t="str">
            <v>FG02610</v>
          </cell>
          <cell r="C5946" t="str">
            <v>PRIMACARD 1 TEST DE GROSSESSE</v>
          </cell>
        </row>
        <row r="5947">
          <cell r="B5947" t="str">
            <v>FG02611</v>
          </cell>
          <cell r="C5947" t="str">
            <v>PRIMALAN 14CES 10MG (EO)</v>
          </cell>
        </row>
        <row r="5948">
          <cell r="B5948" t="str">
            <v>FG02612</v>
          </cell>
          <cell r="C5948" t="str">
            <v>PRIMALAN 5MG 14CES (FR)</v>
          </cell>
        </row>
        <row r="5949">
          <cell r="B5949" t="str">
            <v>FG02613</v>
          </cell>
          <cell r="C5949" t="str">
            <v>PRIMALAN SP 60ML (FR)</v>
          </cell>
        </row>
        <row r="5950">
          <cell r="B5950" t="str">
            <v>FG02614</v>
          </cell>
          <cell r="C5950" t="str">
            <v>PRIMPERAN 10MG/2ML B/12AMP (FR)</v>
          </cell>
        </row>
        <row r="5951">
          <cell r="B5951" t="str">
            <v>FG02615</v>
          </cell>
          <cell r="C5951" t="str">
            <v>PRINCI-B FORT 30 CES (FR)</v>
          </cell>
        </row>
        <row r="5952">
          <cell r="B5952" t="str">
            <v>FG02616</v>
          </cell>
          <cell r="C5952" t="str">
            <v>PROCEDOL B/20CES EFF</v>
          </cell>
        </row>
        <row r="5953">
          <cell r="B5953" t="str">
            <v>FG02617</v>
          </cell>
          <cell r="C5953" t="str">
            <v>PROCEF 1000 MG INJ B/1AMP</v>
          </cell>
        </row>
        <row r="5954">
          <cell r="B5954" t="str">
            <v>FG02618</v>
          </cell>
          <cell r="C5954" t="str">
            <v>PROCOMIL 5MG 30CES (FR)</v>
          </cell>
        </row>
        <row r="5955">
          <cell r="B5955" t="str">
            <v>FG02619</v>
          </cell>
          <cell r="C5955" t="str">
            <v>PROCOMIL CREME 5GM</v>
          </cell>
        </row>
        <row r="5956">
          <cell r="B5956" t="str">
            <v>FG02620</v>
          </cell>
          <cell r="C5956" t="str">
            <v>PROCOMIL SPRAY 15 GR (EO)</v>
          </cell>
        </row>
        <row r="5957">
          <cell r="B5957" t="str">
            <v>FG02621</v>
          </cell>
          <cell r="C5957" t="str">
            <v>PRODOLAN 100MG BT/10SUPPOS BB</v>
          </cell>
        </row>
        <row r="5958">
          <cell r="B5958" t="str">
            <v>FG02622</v>
          </cell>
          <cell r="C5958" t="str">
            <v>PRODOXIL (CEFADROXIL) 500MG B\12 CAPS</v>
          </cell>
        </row>
        <row r="5959">
          <cell r="B5959" t="str">
            <v>FG02623</v>
          </cell>
          <cell r="C5959" t="str">
            <v>PRODOXIL (CEFADROXIL) SIROP</v>
          </cell>
        </row>
        <row r="5960">
          <cell r="B5960" t="str">
            <v>FG02624</v>
          </cell>
          <cell r="C5960" t="str">
            <v>PROFENID 100MG SUPPOS B/12 (FR)</v>
          </cell>
        </row>
        <row r="5961">
          <cell r="B5961" t="str">
            <v>FG02625</v>
          </cell>
          <cell r="C5961" t="str">
            <v>PROFENID INJ 100MG............6AMP (FR)</v>
          </cell>
        </row>
        <row r="5962">
          <cell r="B5962" t="str">
            <v>FG02626</v>
          </cell>
          <cell r="C5962" t="str">
            <v>PROFER - Z SIROP 200ML</v>
          </cell>
        </row>
        <row r="5963">
          <cell r="B5963" t="str">
            <v>FG02627</v>
          </cell>
          <cell r="C5963" t="str">
            <v>PROFERONE SP 100ML</v>
          </cell>
        </row>
        <row r="5964">
          <cell r="B5964" t="str">
            <v>FG02628</v>
          </cell>
          <cell r="C5964" t="str">
            <v>PROJECTOR</v>
          </cell>
        </row>
        <row r="5965">
          <cell r="B5965" t="str">
            <v>FG02629</v>
          </cell>
          <cell r="C5965" t="str">
            <v>PROLGYN DEPOT (ESTRADIOL) B\3AMP</v>
          </cell>
        </row>
        <row r="5966">
          <cell r="B5966" t="str">
            <v>FG02630</v>
          </cell>
          <cell r="C5966" t="str">
            <v>PROLOPA 125MG 100CES (EO)</v>
          </cell>
        </row>
        <row r="5967">
          <cell r="B5967" t="str">
            <v>FG02631</v>
          </cell>
          <cell r="C5967" t="str">
            <v>PROLOPA 250MG 100CES (EO)</v>
          </cell>
        </row>
        <row r="5968">
          <cell r="B5968" t="str">
            <v>FG02632</v>
          </cell>
          <cell r="C5968" t="str">
            <v>PROLUTON DEPO 3AMP INJ</v>
          </cell>
        </row>
        <row r="5969">
          <cell r="B5969" t="str">
            <v>FG02633</v>
          </cell>
          <cell r="C5969" t="str">
            <v>PROMAG (FLUXETINE) 20MG B/30CAPS</v>
          </cell>
        </row>
        <row r="5970">
          <cell r="B5970" t="str">
            <v>FG02634</v>
          </cell>
          <cell r="C5970" t="str">
            <v>PROMETHAZINE EXP SP 100 ML(PHATKIN)</v>
          </cell>
        </row>
        <row r="5971">
          <cell r="B5971" t="str">
            <v>FG02635</v>
          </cell>
          <cell r="C5971" t="str">
            <v>PROMETHAZINE SP EXP. 100ML</v>
          </cell>
        </row>
        <row r="5972">
          <cell r="B5972" t="str">
            <v>FG02636</v>
          </cell>
          <cell r="C5972" t="str">
            <v>PROPARA-VISION 0.5% (PROPARACAINE) COLLYRE 5ML</v>
          </cell>
        </row>
        <row r="5973">
          <cell r="B5973" t="str">
            <v>FG02637</v>
          </cell>
          <cell r="C5973" t="str">
            <v>PROPOMAX (PROPOFOL BP 10 MG/ML) EMULSION INJECTABLE – FLACON DE 20 ML</v>
          </cell>
        </row>
        <row r="5974">
          <cell r="B5974" t="str">
            <v>FG02638</v>
          </cell>
          <cell r="C5974" t="str">
            <v>PROPYLTHIOURACILE 60CES (FR)</v>
          </cell>
        </row>
        <row r="5975">
          <cell r="B5975" t="str">
            <v>FG02639</v>
          </cell>
          <cell r="C5975" t="str">
            <v>PROTEC PILL CP B/1</v>
          </cell>
        </row>
        <row r="5976">
          <cell r="B5976" t="str">
            <v>FG02640</v>
          </cell>
          <cell r="C5976" t="str">
            <v>PROTONIC SP 100ML</v>
          </cell>
        </row>
        <row r="5977">
          <cell r="B5977" t="str">
            <v>FG02641</v>
          </cell>
          <cell r="C5977" t="str">
            <v>PROTOQ 40MG (PANTOPRAZOLE) B/10 CES</v>
          </cell>
        </row>
        <row r="5978">
          <cell r="B5978" t="str">
            <v>FG02642</v>
          </cell>
          <cell r="C5978" t="str">
            <v>PROTOQ 40MG (PANTOPRAZOLE) INJ. B/1VIAL+ NACL 10ML</v>
          </cell>
        </row>
        <row r="5979">
          <cell r="B5979" t="str">
            <v>FG02643</v>
          </cell>
          <cell r="C5979" t="str">
            <v>PROVIDONE SOLUTION 100ML</v>
          </cell>
        </row>
        <row r="5980">
          <cell r="B5980" t="str">
            <v>FG02644</v>
          </cell>
          <cell r="C5980" t="str">
            <v>PROVIT SUSP 200ML</v>
          </cell>
        </row>
        <row r="5981">
          <cell r="B5981" t="str">
            <v>FG02645</v>
          </cell>
          <cell r="C5981" t="str">
            <v>PRUDENCE ***BANANE** B/12X2 PCS</v>
          </cell>
        </row>
        <row r="5982">
          <cell r="B5982" t="str">
            <v>FG02646</v>
          </cell>
          <cell r="C5982" t="str">
            <v>PRUDENCE ***CLASSIC** B/12X2 PCS</v>
          </cell>
        </row>
        <row r="5983">
          <cell r="B5983" t="str">
            <v>FG02647</v>
          </cell>
          <cell r="C5983" t="str">
            <v>PRUDENCE ***FRAISE** B/12X2 PCS</v>
          </cell>
        </row>
        <row r="5984">
          <cell r="B5984" t="str">
            <v>FG02648</v>
          </cell>
          <cell r="C5984" t="str">
            <v>PULMINE SP 100ML</v>
          </cell>
        </row>
        <row r="5985">
          <cell r="B5985" t="str">
            <v>FG02649</v>
          </cell>
          <cell r="C5985" t="str">
            <v>PULMINE SUPPOS BB</v>
          </cell>
        </row>
        <row r="5986">
          <cell r="B5986" t="str">
            <v>FG02650</v>
          </cell>
          <cell r="C5986" t="str">
            <v>PULMINE SUPPOS ENF</v>
          </cell>
        </row>
        <row r="5987">
          <cell r="B5987" t="str">
            <v>FG02651</v>
          </cell>
          <cell r="C5987" t="str">
            <v>PULMOCEF (CEFYROXIME) 500MG B/10CES</v>
          </cell>
        </row>
        <row r="5988">
          <cell r="B5988" t="str">
            <v>FG02652</v>
          </cell>
          <cell r="C5988" t="str">
            <v>PUR***12SACHETS</v>
          </cell>
        </row>
        <row r="5989">
          <cell r="B5989" t="str">
            <v>FG02653</v>
          </cell>
          <cell r="C5989" t="str">
            <v>PYARAMAX 180/60MG PL/10CES</v>
          </cell>
        </row>
        <row r="5990">
          <cell r="B5990" t="str">
            <v>FG02654</v>
          </cell>
          <cell r="C5990" t="str">
            <v>PYLORIMEX 7 KIT</v>
          </cell>
        </row>
        <row r="5991">
          <cell r="B5991" t="str">
            <v>FG02655</v>
          </cell>
          <cell r="C5991" t="str">
            <v>PYRAMEX 180/60MG B/90CES</v>
          </cell>
        </row>
        <row r="5992">
          <cell r="B5992" t="str">
            <v>FG02656</v>
          </cell>
          <cell r="C5992" t="str">
            <v>PYRANTEL 125MG PL/6CES</v>
          </cell>
        </row>
        <row r="5993">
          <cell r="B5993" t="str">
            <v>FG02657</v>
          </cell>
          <cell r="C5993" t="str">
            <v>PYRANTEL 250 MG 15ML SUSPENSION</v>
          </cell>
        </row>
        <row r="5994">
          <cell r="B5994" t="str">
            <v>FG02658</v>
          </cell>
          <cell r="C5994" t="str">
            <v>PYRANTOX 125MG PL DE 6CES</v>
          </cell>
        </row>
        <row r="5995">
          <cell r="B5995" t="str">
            <v>FG02659</v>
          </cell>
          <cell r="C5995" t="str">
            <v>PYRANTOX SUSP 30ML...P</v>
          </cell>
        </row>
        <row r="5996">
          <cell r="B5996" t="str">
            <v>FG02660</v>
          </cell>
          <cell r="C5996" t="str">
            <v>PYRAVER SP 30ML</v>
          </cell>
        </row>
        <row r="5997">
          <cell r="B5997" t="str">
            <v>FG02661</v>
          </cell>
          <cell r="C5997" t="str">
            <v>Q - CLAR 250MG (CLARITHROMYCIN) B/10 CES</v>
          </cell>
        </row>
        <row r="5998">
          <cell r="B5998" t="str">
            <v>FG02662</v>
          </cell>
          <cell r="C5998" t="str">
            <v>Q - CLAR 500MG (CLARITHROMYCIN) B / 10 CES</v>
          </cell>
        </row>
        <row r="5999">
          <cell r="B5999" t="str">
            <v>FG02663</v>
          </cell>
          <cell r="C5999" t="str">
            <v>QLINDA 150MG (CLINDAMYCINE) B/ 10 CAPS</v>
          </cell>
        </row>
        <row r="6000">
          <cell r="B6000" t="str">
            <v>FG02664</v>
          </cell>
          <cell r="C6000" t="str">
            <v>QLINDA 150MG INJ.(CLINDAMYCINE) B/1 AMP</v>
          </cell>
        </row>
        <row r="6001">
          <cell r="B6001" t="str">
            <v>FG02665</v>
          </cell>
          <cell r="C6001" t="str">
            <v>QLINDA 300MG (CLINDAMYCINE) B/ 10 CAPS</v>
          </cell>
        </row>
        <row r="6002">
          <cell r="B6002" t="str">
            <v>FG02666</v>
          </cell>
          <cell r="C6002" t="str">
            <v>QLINDA 300MG INJ.(CLINDAMYCINE) B/1 AMP</v>
          </cell>
        </row>
        <row r="6003">
          <cell r="B6003" t="str">
            <v>FG02667</v>
          </cell>
          <cell r="C6003" t="str">
            <v>QLINDA 600MG (CLINDAMYCINE) B/ 10 CAPS</v>
          </cell>
        </row>
        <row r="6004">
          <cell r="B6004" t="str">
            <v>FG02668</v>
          </cell>
          <cell r="C6004" t="str">
            <v>QLINDA 600MG INJ.(CLINDAMYCINE) B/1 AMP</v>
          </cell>
        </row>
        <row r="6005">
          <cell r="B6005" t="str">
            <v>FG02669</v>
          </cell>
          <cell r="C6005" t="str">
            <v>QLINDA GEL (CLINDAMYCINE) T/30G</v>
          </cell>
        </row>
        <row r="6006">
          <cell r="B6006" t="str">
            <v>FG02670</v>
          </cell>
          <cell r="C6006" t="str">
            <v>QUESTRAN 4MG SACHETS/ 1 PCS</v>
          </cell>
        </row>
        <row r="6007">
          <cell r="B6007" t="str">
            <v>FG02671</v>
          </cell>
          <cell r="C6007" t="str">
            <v>QUICK 120 (ARTESU) IM/IV B/1AMP</v>
          </cell>
        </row>
        <row r="6008">
          <cell r="B6008" t="str">
            <v>FG02672</v>
          </cell>
          <cell r="C6008" t="str">
            <v>QUICK 150 (ARTESU) IM/IV B/1AMP</v>
          </cell>
        </row>
        <row r="6009">
          <cell r="B6009" t="str">
            <v>FG02673</v>
          </cell>
          <cell r="C6009" t="str">
            <v>QUICK 180 (ARTESU) IM/IV B/1AMP</v>
          </cell>
        </row>
        <row r="6010">
          <cell r="B6010" t="str">
            <v>FG02674</v>
          </cell>
          <cell r="C6010" t="str">
            <v>QUICK 240 (ARTESU) IM/IV B/1AMP</v>
          </cell>
        </row>
        <row r="6011">
          <cell r="B6011" t="str">
            <v>FG02675</v>
          </cell>
          <cell r="C6011" t="str">
            <v>QUICK 30 (ARTESU) IM/IV B/1AMP</v>
          </cell>
        </row>
        <row r="6012">
          <cell r="B6012" t="str">
            <v>FG02676</v>
          </cell>
          <cell r="C6012" t="str">
            <v>QUICK 60 (ARTESU) IM/IV B/1AMP</v>
          </cell>
        </row>
        <row r="6013">
          <cell r="B6013" t="str">
            <v>FG02677</v>
          </cell>
          <cell r="C6013" t="str">
            <v>QUICK 90 (ARTESU) IM/IV B/1AMP</v>
          </cell>
        </row>
        <row r="6014">
          <cell r="B6014" t="str">
            <v>FG02678</v>
          </cell>
          <cell r="C6014" t="str">
            <v>QUICKSCAL DP</v>
          </cell>
        </row>
        <row r="6015">
          <cell r="B6015" t="str">
            <v>FG02679</v>
          </cell>
          <cell r="C6015" t="str">
            <v>QUINIMEX GOUTTE 10ML</v>
          </cell>
        </row>
        <row r="6016">
          <cell r="B6016" t="str">
            <v>FG02680</v>
          </cell>
          <cell r="C6016" t="str">
            <v>QUINIMEX SP 100ML</v>
          </cell>
        </row>
        <row r="6017">
          <cell r="B6017" t="str">
            <v>FG02681</v>
          </cell>
          <cell r="C6017" t="str">
            <v>QUININE 100MG B/10SUPPOS (GENERIQUE)</v>
          </cell>
        </row>
        <row r="6018">
          <cell r="B6018" t="str">
            <v>FG02682</v>
          </cell>
          <cell r="C6018" t="str">
            <v>QUININE 250MG 10CES PL (PK)</v>
          </cell>
        </row>
        <row r="6019">
          <cell r="B6019" t="str">
            <v>FG02683</v>
          </cell>
          <cell r="C6019" t="str">
            <v>QUININE 300MG 10CES PL (PK)</v>
          </cell>
        </row>
        <row r="6020">
          <cell r="B6020" t="str">
            <v>FG02684</v>
          </cell>
          <cell r="C6020" t="str">
            <v>QUININE 500MG 10AMP (PHARMAKINA)</v>
          </cell>
        </row>
        <row r="6021">
          <cell r="B6021" t="str">
            <v>FG02685</v>
          </cell>
          <cell r="C6021" t="str">
            <v>QUININE 500MG PL/10CES (PK)</v>
          </cell>
        </row>
        <row r="6022">
          <cell r="B6022" t="str">
            <v>FG02686</v>
          </cell>
          <cell r="C6022" t="str">
            <v>QUININE GOUTTES (LOCAL)</v>
          </cell>
        </row>
        <row r="6023">
          <cell r="B6023" t="str">
            <v>FG02687</v>
          </cell>
          <cell r="C6023" t="str">
            <v>QUININE SIROP ***LOCAL***</v>
          </cell>
        </row>
        <row r="6024">
          <cell r="B6024" t="str">
            <v>FG02688</v>
          </cell>
          <cell r="C6024" t="str">
            <v>QUININE SIROP 100ML (GENERIQUE)</v>
          </cell>
        </row>
        <row r="6025">
          <cell r="B6025" t="str">
            <v>FG02689</v>
          </cell>
          <cell r="C6025" t="str">
            <v>QUININE SOLUTION PEDIATRIQUE 15ML (P.K.)</v>
          </cell>
        </row>
        <row r="6026">
          <cell r="B6026" t="str">
            <v>FG02690</v>
          </cell>
          <cell r="C6026" t="str">
            <v>QUININE SP 100ML (PK)</v>
          </cell>
        </row>
        <row r="6027">
          <cell r="B6027" t="str">
            <v>FG02691</v>
          </cell>
          <cell r="C6027" t="str">
            <v>RABEKAR (RABEPRAZOLE) 20MG B/1AMP</v>
          </cell>
        </row>
        <row r="6028">
          <cell r="B6028" t="str">
            <v>FG02692</v>
          </cell>
          <cell r="C6028" t="str">
            <v>RABELOC (RABEPRAZOLE) 20MG 10CES</v>
          </cell>
        </row>
        <row r="6029">
          <cell r="B6029" t="str">
            <v>FG02693</v>
          </cell>
          <cell r="C6029" t="str">
            <v>RABELOCK (RABEPRAZOL) INJ AMP B/1</v>
          </cell>
        </row>
        <row r="6030">
          <cell r="B6030" t="str">
            <v>FG02694</v>
          </cell>
          <cell r="C6030" t="str">
            <v>RABEQUE 20MG (RABEPRAZOLE) B/ 10 CES</v>
          </cell>
        </row>
        <row r="6031">
          <cell r="B6031" t="str">
            <v>FG02695</v>
          </cell>
          <cell r="C6031" t="str">
            <v>RABEQUE 20MG (RABEPRAZOLE) INJ. B/1 VIAL+EAU</v>
          </cell>
        </row>
        <row r="6032">
          <cell r="B6032" t="str">
            <v>FG02696</v>
          </cell>
          <cell r="C6032" t="str">
            <v>RABEQUE-D (RABEPRAZOLE+DOMPERI.) B/ 10 GELULES</v>
          </cell>
        </row>
        <row r="6033">
          <cell r="B6033" t="str">
            <v>FG02697</v>
          </cell>
          <cell r="C6033" t="str">
            <v>RACIFINE B/5AMP</v>
          </cell>
        </row>
        <row r="6034">
          <cell r="B6034" t="str">
            <v>FG02698</v>
          </cell>
          <cell r="C6034" t="str">
            <v>RACINE 5% COLLYRE</v>
          </cell>
        </row>
        <row r="6035">
          <cell r="B6035" t="str">
            <v>FG02699</v>
          </cell>
          <cell r="C6035" t="str">
            <v>RADIO</v>
          </cell>
        </row>
        <row r="6036">
          <cell r="B6036" t="str">
            <v>FG02700</v>
          </cell>
          <cell r="C6036" t="str">
            <v>RAMITAS-2.5MG (RAMIPRIL) B/30 CAP</v>
          </cell>
        </row>
        <row r="6037">
          <cell r="B6037" t="str">
            <v>FG02701</v>
          </cell>
          <cell r="C6037" t="str">
            <v>RAMITAS-5MG (RAMIPRIL) B/30 CES</v>
          </cell>
        </row>
        <row r="6038">
          <cell r="B6038" t="str">
            <v>FG02702</v>
          </cell>
          <cell r="C6038" t="str">
            <v>RAMITAS-HT (RAMIPRIL+HCL) 5+12.5 MG B/30 CES</v>
          </cell>
        </row>
        <row r="6039">
          <cell r="B6039" t="str">
            <v>FG02703</v>
          </cell>
          <cell r="C6039" t="str">
            <v>RAMSHAL (RAMIPRIL) 10MG B\30CES</v>
          </cell>
        </row>
        <row r="6040">
          <cell r="B6040" t="str">
            <v>FG02704</v>
          </cell>
          <cell r="C6040" t="str">
            <v>RAMSHAL (RAMIPRIL) 2.5MG B\30CES</v>
          </cell>
        </row>
        <row r="6041">
          <cell r="B6041" t="str">
            <v>FG02705</v>
          </cell>
          <cell r="C6041" t="str">
            <v>RAMSHAL (RAMIPRIL) 5M B\30CES</v>
          </cell>
        </row>
        <row r="6042">
          <cell r="B6042" t="str">
            <v>FG02706</v>
          </cell>
          <cell r="C6042" t="str">
            <v>RAMSHAL (RAMIPRIL) 5MG/12.5MG M B\30CES</v>
          </cell>
        </row>
        <row r="6043">
          <cell r="B6043" t="str">
            <v>FG02707</v>
          </cell>
          <cell r="C6043" t="str">
            <v>RAMSHAL--H 10MG (RAMIPRIL) B\30CES</v>
          </cell>
        </row>
        <row r="6044">
          <cell r="B6044" t="str">
            <v>FG02708</v>
          </cell>
          <cell r="C6044" t="str">
            <v>RAMSHAL-H (RAMIPRIL)2.5MG/12.5MG NO 30/CES</v>
          </cell>
        </row>
        <row r="6045">
          <cell r="B6045" t="str">
            <v>FG02709</v>
          </cell>
          <cell r="C6045" t="str">
            <v>RAPIDOL 1GM IV 100ML</v>
          </cell>
        </row>
        <row r="6046">
          <cell r="B6046" t="str">
            <v>FG02710</v>
          </cell>
          <cell r="C6046" t="str">
            <v>RAPIDOL 300MG SUPPO B/10</v>
          </cell>
        </row>
        <row r="6047">
          <cell r="B6047" t="str">
            <v>FG02711</v>
          </cell>
          <cell r="C6047" t="str">
            <v>RAPIDOL FIZZ (PARACETAMOL) ** 500MG*** EFF B/8CES</v>
          </cell>
        </row>
        <row r="6048">
          <cell r="B6048" t="str">
            <v>FG02712</v>
          </cell>
          <cell r="C6048" t="str">
            <v>RAPIDOL FIZZ (PARACETAMOL) 1000MG EFF B/8CES</v>
          </cell>
        </row>
        <row r="6049">
          <cell r="B6049" t="str">
            <v>FG02713</v>
          </cell>
          <cell r="C6049" t="str">
            <v>RECHAU CUSSINER 4 PLQ</v>
          </cell>
        </row>
        <row r="6050">
          <cell r="B6050" t="str">
            <v>FG02714</v>
          </cell>
          <cell r="C6050" t="str">
            <v>RECHAU CUSSINER 6 PLQ</v>
          </cell>
        </row>
        <row r="6051">
          <cell r="B6051" t="str">
            <v>FG02715</v>
          </cell>
          <cell r="C6051" t="str">
            <v>RECHAUD 2 PLQ</v>
          </cell>
        </row>
        <row r="6052">
          <cell r="B6052" t="str">
            <v>FG02716</v>
          </cell>
          <cell r="C6052" t="str">
            <v>RECTAIDE CREAM 20GR</v>
          </cell>
        </row>
        <row r="6053">
          <cell r="B6053" t="str">
            <v>FG02717</v>
          </cell>
          <cell r="C6053" t="str">
            <v>RECTAIDE HC CREME 20GR</v>
          </cell>
        </row>
        <row r="6054">
          <cell r="B6054" t="str">
            <v>FG02718</v>
          </cell>
          <cell r="C6054" t="str">
            <v>RECTOSOL 10SUPPOS</v>
          </cell>
        </row>
        <row r="6055">
          <cell r="B6055" t="str">
            <v>FG02719</v>
          </cell>
          <cell r="C6055" t="str">
            <v>RECTOSOL HC 10SUPPOS</v>
          </cell>
        </row>
        <row r="6056">
          <cell r="B6056" t="str">
            <v>FG02720</v>
          </cell>
          <cell r="C6056" t="str">
            <v>RECTOSTOP HC SUPPO B/10</v>
          </cell>
        </row>
        <row r="6057">
          <cell r="B6057" t="str">
            <v>FG02721</v>
          </cell>
          <cell r="C6057" t="str">
            <v>RECTOSTOP SUPPO B/10 (CATO)</v>
          </cell>
        </row>
        <row r="6058">
          <cell r="B6058" t="str">
            <v>FG02722</v>
          </cell>
          <cell r="C6058" t="str">
            <v>REDIN PIN LIQUID 200ML</v>
          </cell>
        </row>
        <row r="6059">
          <cell r="B6059" t="str">
            <v>FG02723</v>
          </cell>
          <cell r="C6059" t="str">
            <v>RECTOSTOP HC SUPPO</v>
          </cell>
        </row>
        <row r="6060">
          <cell r="B6060" t="str">
            <v>FG02724</v>
          </cell>
          <cell r="C6060" t="str">
            <v>REGULATER 20A</v>
          </cell>
        </row>
        <row r="6061">
          <cell r="B6061" t="str">
            <v>FG02725</v>
          </cell>
          <cell r="C6061" t="str">
            <v>RELAX 5GM B/10SACHET</v>
          </cell>
        </row>
        <row r="6062">
          <cell r="B6062" t="str">
            <v>FG02726</v>
          </cell>
          <cell r="C6062" t="str">
            <v>RELCER GEL 180ML SP</v>
          </cell>
        </row>
        <row r="6063">
          <cell r="B6063" t="str">
            <v>FG02727</v>
          </cell>
          <cell r="C6063" t="str">
            <v>RELIEF LIQUED 3.5 G ROUGE</v>
          </cell>
        </row>
        <row r="6064">
          <cell r="B6064" t="str">
            <v>FG02728</v>
          </cell>
          <cell r="C6064" t="str">
            <v>RELIEF 10CES</v>
          </cell>
        </row>
        <row r="6065">
          <cell r="B6065" t="str">
            <v>FG02729</v>
          </cell>
          <cell r="C6065" t="str">
            <v>RELIEF ANIT MOSTIQUES LIQ</v>
          </cell>
        </row>
        <row r="6066">
          <cell r="B6066" t="str">
            <v>FG02730</v>
          </cell>
          <cell r="C6066" t="str">
            <v>RELIEF CREME 50GM</v>
          </cell>
        </row>
        <row r="6067">
          <cell r="B6067" t="str">
            <v>FG02731</v>
          </cell>
          <cell r="C6067" t="str">
            <v>RELIEF POMMADE 10G ROUGE</v>
          </cell>
        </row>
        <row r="6068">
          <cell r="B6068" t="str">
            <v>FG02732</v>
          </cell>
          <cell r="C6068" t="str">
            <v>RELIEF SPRAY</v>
          </cell>
        </row>
        <row r="6069">
          <cell r="B6069" t="str">
            <v>FG02733</v>
          </cell>
          <cell r="C6069" t="str">
            <v>RELIFLAM B/10 CES</v>
          </cell>
        </row>
        <row r="6070">
          <cell r="B6070" t="str">
            <v>FG02734</v>
          </cell>
          <cell r="C6070" t="str">
            <v>RENNIE SANS SUCRE 48CES</v>
          </cell>
        </row>
        <row r="6071">
          <cell r="B6071" t="str">
            <v>FG02735</v>
          </cell>
          <cell r="C6071" t="str">
            <v>REPHAPLAIE 5GR</v>
          </cell>
        </row>
        <row r="6072">
          <cell r="B6072" t="str">
            <v>FG02736</v>
          </cell>
          <cell r="C6072" t="str">
            <v>RESIFURAN SUSP ORAL 200ML</v>
          </cell>
        </row>
        <row r="6073">
          <cell r="B6073" t="str">
            <v>FG02737</v>
          </cell>
          <cell r="C6073" t="str">
            <v>RESO</v>
          </cell>
        </row>
        <row r="6074">
          <cell r="B6074" t="str">
            <v>FG02738</v>
          </cell>
          <cell r="C6074" t="str">
            <v>REVELATEUR POUDRE (22.5)</v>
          </cell>
        </row>
        <row r="6075">
          <cell r="B6075" t="str">
            <v>FG02739</v>
          </cell>
          <cell r="C6075" t="str">
            <v>REVITALOSE 20AMP BUV (FR)</v>
          </cell>
        </row>
        <row r="6076">
          <cell r="B6076" t="str">
            <v>FG02740</v>
          </cell>
          <cell r="C6076" t="str">
            <v>RHINALURT 5MG B/10CES</v>
          </cell>
        </row>
        <row r="6077">
          <cell r="B6077" t="str">
            <v>FG02741</v>
          </cell>
          <cell r="C6077" t="str">
            <v>RHINATHIOL PROMETH SP 125ML (FR)</v>
          </cell>
        </row>
        <row r="6078">
          <cell r="B6078" t="str">
            <v>FG02742</v>
          </cell>
          <cell r="C6078" t="str">
            <v>RHINOCRON 2% GOUTTES NASALES</v>
          </cell>
        </row>
        <row r="6079">
          <cell r="B6079" t="str">
            <v>FG02743</v>
          </cell>
          <cell r="C6079" t="str">
            <v>RHINOFENYL ADULTE GOUTTES NASALES 10ML</v>
          </cell>
        </row>
        <row r="6080">
          <cell r="B6080" t="str">
            <v>FG02744</v>
          </cell>
          <cell r="C6080" t="str">
            <v>RHINOFENYL ENFANT GOUTTES NASALES 10ML</v>
          </cell>
        </row>
        <row r="6081">
          <cell r="B6081" t="str">
            <v>FG02745</v>
          </cell>
          <cell r="C6081" t="str">
            <v>RHINOPAROL B/20CES</v>
          </cell>
        </row>
        <row r="6082">
          <cell r="B6082" t="str">
            <v>FG02746</v>
          </cell>
          <cell r="C6082" t="str">
            <v>RHINOSPRAY MICRODOSEUR (FR)</v>
          </cell>
        </row>
        <row r="6083">
          <cell r="B6083" t="str">
            <v>FG02747</v>
          </cell>
          <cell r="C6083" t="str">
            <v>RHUMALGAN (DICLOFENAC) COLLYRE 10ML</v>
          </cell>
        </row>
        <row r="6084">
          <cell r="B6084" t="str">
            <v>FG02748</v>
          </cell>
          <cell r="C6084" t="str">
            <v>RHUMALGAN 10 SUPPOS 100MG</v>
          </cell>
        </row>
        <row r="6085">
          <cell r="B6085" t="str">
            <v>FG02749</v>
          </cell>
          <cell r="C6085" t="str">
            <v>RHUMEX 0.5% 10ML</v>
          </cell>
        </row>
        <row r="6086">
          <cell r="B6086" t="str">
            <v>FG02750</v>
          </cell>
          <cell r="C6086" t="str">
            <v>RHUMEX 1% 10ML</v>
          </cell>
        </row>
        <row r="6087">
          <cell r="B6087" t="str">
            <v>FG02751</v>
          </cell>
          <cell r="C6087" t="str">
            <v>RHUMFIX 0.5% GOUTTE NAZAL</v>
          </cell>
        </row>
        <row r="6088">
          <cell r="B6088" t="str">
            <v>FG02752</v>
          </cell>
          <cell r="C6088" t="str">
            <v>RHUMFIX 1% GOUTTE NAZAL</v>
          </cell>
        </row>
        <row r="6089">
          <cell r="B6089" t="str">
            <v>FG02753</v>
          </cell>
          <cell r="C6089" t="str">
            <v>RHUMFIX BABY 5ML</v>
          </cell>
        </row>
        <row r="6090">
          <cell r="B6090" t="str">
            <v>FG02754</v>
          </cell>
          <cell r="C6090" t="str">
            <v>RHUMINE 0.5% 10ML</v>
          </cell>
        </row>
        <row r="6091">
          <cell r="B6091" t="str">
            <v>FG02755</v>
          </cell>
          <cell r="C6091" t="str">
            <v>RHUMINE 1.0% 10ML</v>
          </cell>
        </row>
        <row r="6092">
          <cell r="B6092" t="str">
            <v>FG02756</v>
          </cell>
          <cell r="C6092" t="str">
            <v>RIAXONE 1GR INJ B/1FLC</v>
          </cell>
        </row>
        <row r="6093">
          <cell r="B6093" t="str">
            <v>FG02757</v>
          </cell>
          <cell r="C6093" t="str">
            <v>RIAXONE-S 1500GR INJ B/1FLC</v>
          </cell>
        </row>
        <row r="6094">
          <cell r="B6094" t="str">
            <v>FG02758</v>
          </cell>
          <cell r="C6094" t="str">
            <v>RIAXONE-S 750GR INJ B/1FLC</v>
          </cell>
        </row>
        <row r="6095">
          <cell r="B6095" t="str">
            <v>FG02759</v>
          </cell>
          <cell r="C6095" t="str">
            <v>RICE MAKER</v>
          </cell>
        </row>
        <row r="6096">
          <cell r="B6096" t="str">
            <v>FG02760</v>
          </cell>
          <cell r="C6096" t="str">
            <v>RIFAMYCINE CHIBRET COLLYRE FL/10ML</v>
          </cell>
        </row>
        <row r="6097">
          <cell r="B6097" t="str">
            <v>FG02761</v>
          </cell>
          <cell r="C6097" t="str">
            <v>RIFAMYCINE CHIBRET POMD T/5G (FR)</v>
          </cell>
        </row>
        <row r="6098">
          <cell r="B6098" t="str">
            <v>FG02762</v>
          </cell>
          <cell r="C6098" t="str">
            <v>RIMETAR FORTE 225MG 3AMP</v>
          </cell>
        </row>
        <row r="6099">
          <cell r="B6099" t="str">
            <v>FG02763</v>
          </cell>
          <cell r="C6099" t="str">
            <v>RIMETHAR ADULT 150MG B/3 AMP</v>
          </cell>
        </row>
        <row r="6100">
          <cell r="B6100" t="str">
            <v>FG02764</v>
          </cell>
          <cell r="C6100" t="str">
            <v>RIMETHAR ENF. 75MG B/3 AMP</v>
          </cell>
        </row>
        <row r="6101">
          <cell r="B6101" t="str">
            <v>FG02765</v>
          </cell>
          <cell r="C6101" t="str">
            <v>RINGER LACTATE 1LTR1</v>
          </cell>
        </row>
        <row r="6102">
          <cell r="B6102" t="str">
            <v>FG02766</v>
          </cell>
          <cell r="C6102" t="str">
            <v>RINGER LACTATE 500ML ##</v>
          </cell>
        </row>
        <row r="6103">
          <cell r="B6103" t="str">
            <v>FG02767</v>
          </cell>
          <cell r="C6103" t="str">
            <v>RINOGRIP SACHET</v>
          </cell>
        </row>
        <row r="6104">
          <cell r="B6104" t="str">
            <v>FG02768</v>
          </cell>
          <cell r="C6104" t="str">
            <v>RINOGRIP SANS SUCRE</v>
          </cell>
        </row>
        <row r="6105">
          <cell r="B6105" t="str">
            <v>FG02769</v>
          </cell>
          <cell r="C6105" t="str">
            <v>RISPERDAL 60 CES 2 MG (FR0 $$</v>
          </cell>
        </row>
        <row r="6106">
          <cell r="B6106" t="str">
            <v>FG02770</v>
          </cell>
          <cell r="C6106" t="str">
            <v>RIVATAS 10MG (RIVAROXABAN) B/30 CES</v>
          </cell>
        </row>
        <row r="6107">
          <cell r="B6107" t="str">
            <v>FG02771</v>
          </cell>
          <cell r="C6107" t="str">
            <v>RIVATAS 15MG (RIVAROXABAN) B/30 CES</v>
          </cell>
        </row>
        <row r="6108">
          <cell r="B6108" t="str">
            <v>FG02772</v>
          </cell>
          <cell r="C6108" t="str">
            <v>RIVOTRIL 2MG 40CES (FR)</v>
          </cell>
        </row>
        <row r="6109">
          <cell r="B6109" t="str">
            <v>FG02773</v>
          </cell>
          <cell r="C6109" t="str">
            <v>ROACCUTANE 20MG B/30 CES (ROSHE)</v>
          </cell>
        </row>
        <row r="6110">
          <cell r="B6110" t="str">
            <v>FG02774</v>
          </cell>
          <cell r="C6110" t="str">
            <v>ROCEPHINE 1GR...IV...B/1AMP</v>
          </cell>
        </row>
        <row r="6111">
          <cell r="B6111" t="str">
            <v>FG02775</v>
          </cell>
          <cell r="C6111" t="str">
            <v>ROCMALINE 10ML BUV AMP BT/20 (FR)</v>
          </cell>
        </row>
        <row r="6112">
          <cell r="B6112" t="str">
            <v>FG02776</v>
          </cell>
          <cell r="C6112" t="str">
            <v>RODOGYL 250MG 20CES (FR)</v>
          </cell>
        </row>
        <row r="6113">
          <cell r="B6113" t="str">
            <v>FG02777</v>
          </cell>
          <cell r="C6113" t="str">
            <v>ROFUXIME (CEFUROXIME) 750MG IV/IM B\1AMP</v>
          </cell>
        </row>
        <row r="6114">
          <cell r="B6114" t="str">
            <v>FG02778</v>
          </cell>
          <cell r="C6114" t="str">
            <v>ROFUXIME-125 ( CEFUROXIME) 60ML SIROP</v>
          </cell>
        </row>
        <row r="6115">
          <cell r="B6115" t="str">
            <v>FG02779</v>
          </cell>
          <cell r="C6115" t="str">
            <v>ROFUXIME-250(CEFUROXIME) 250MG B\10CES</v>
          </cell>
        </row>
        <row r="6116">
          <cell r="B6116" t="str">
            <v>FG02780</v>
          </cell>
          <cell r="C6116" t="str">
            <v>ROSHAL (ROSUVASTATINE) 10MG B/30CES</v>
          </cell>
        </row>
        <row r="6117">
          <cell r="B6117" t="str">
            <v>FG02781</v>
          </cell>
          <cell r="C6117" t="str">
            <v>ROSHAL (ROSUVASTATINE) 20MG B/30CES</v>
          </cell>
        </row>
        <row r="6118">
          <cell r="B6118" t="str">
            <v>FG02782</v>
          </cell>
          <cell r="C6118" t="str">
            <v>ROSHAL (ROSUVASTATINE) 5MG B/30CES</v>
          </cell>
        </row>
        <row r="6119">
          <cell r="B6119" t="str">
            <v>FG02783</v>
          </cell>
          <cell r="C6119" t="str">
            <v>ROSTAT 10MG (ROSUVASTATINEA) B/30</v>
          </cell>
        </row>
        <row r="6120">
          <cell r="B6120" t="str">
            <v>FG02784</v>
          </cell>
          <cell r="C6120" t="str">
            <v>ROSTAT 20 MG (ROSUVASTATINEA) B/30</v>
          </cell>
        </row>
        <row r="6121">
          <cell r="B6121" t="str">
            <v>FG02785</v>
          </cell>
          <cell r="C6121" t="str">
            <v>ROSTAT 5 MG (ROSUVASTATINEA) B/30</v>
          </cell>
        </row>
        <row r="6122">
          <cell r="B6122" t="str">
            <v>FG02786</v>
          </cell>
          <cell r="C6122" t="str">
            <v>ROSUMEX 10 (ROSUVASTATINE10MG) B/30CES</v>
          </cell>
        </row>
        <row r="6123">
          <cell r="B6123" t="str">
            <v>FG02787</v>
          </cell>
          <cell r="C6123" t="str">
            <v>ROSUMEX 20 (ROSUVASTATINE20MG) B/30CES</v>
          </cell>
        </row>
        <row r="6124">
          <cell r="B6124" t="str">
            <v>FG02788</v>
          </cell>
          <cell r="C6124" t="str">
            <v>ROSUMEX F 200MG B/30CES</v>
          </cell>
        </row>
        <row r="6125">
          <cell r="B6125" t="str">
            <v>FG02789</v>
          </cell>
          <cell r="C6125" t="str">
            <v>ROSUVASTATIN DENK 10MG B\30CES</v>
          </cell>
        </row>
        <row r="6126">
          <cell r="B6126" t="str">
            <v>FG02790</v>
          </cell>
          <cell r="C6126" t="str">
            <v>ROSUVASTATIN DENK 20MG B\30CES</v>
          </cell>
        </row>
        <row r="6127">
          <cell r="B6127" t="str">
            <v>FG02791</v>
          </cell>
          <cell r="C6127" t="str">
            <v>ROSUVASTATIN DENK 5MG B\30CES</v>
          </cell>
        </row>
        <row r="6128">
          <cell r="B6128" t="str">
            <v>FG02792</v>
          </cell>
          <cell r="C6128" t="str">
            <v>ROVAMYCINE 1.5M UI CES B/16 &amp; 12 (EO)</v>
          </cell>
        </row>
        <row r="6129">
          <cell r="B6129" t="str">
            <v>FG02793</v>
          </cell>
          <cell r="C6129" t="str">
            <v>ROVAMYCINE 3MILLION CES B/10 (FR)</v>
          </cell>
        </row>
        <row r="6130">
          <cell r="B6130" t="str">
            <v>FG02794</v>
          </cell>
          <cell r="C6130" t="str">
            <v>ROVAS 10MG (ROSUVASTATIN) B/30 CES</v>
          </cell>
        </row>
        <row r="6131">
          <cell r="B6131" t="str">
            <v>FG02795</v>
          </cell>
          <cell r="C6131" t="str">
            <v>ROVAS 20MG (ROSUVASTATIN) B/30CES</v>
          </cell>
        </row>
        <row r="6132">
          <cell r="B6132" t="str">
            <v>FG02796</v>
          </cell>
          <cell r="C6132" t="str">
            <v>ROVAS 5MG (ROSUVASTATIN) B/30CES</v>
          </cell>
        </row>
        <row r="6133">
          <cell r="B6133" t="str">
            <v>FG02797</v>
          </cell>
          <cell r="C6133" t="str">
            <v>ROVIGON B-24 CAP (VITAMINE -A + E)</v>
          </cell>
        </row>
        <row r="6134">
          <cell r="B6134" t="str">
            <v>FG02798</v>
          </cell>
          <cell r="C6134" t="str">
            <v>ROVIGON B/30CES (BAYRE)</v>
          </cell>
        </row>
        <row r="6135">
          <cell r="B6135" t="str">
            <v>FG02799</v>
          </cell>
          <cell r="C6135" t="str">
            <v>ROVISTA 10MG 30 CES</v>
          </cell>
        </row>
        <row r="6136">
          <cell r="B6136" t="str">
            <v>FG02800</v>
          </cell>
          <cell r="C6136" t="str">
            <v>ROVISTA 20 MG B/30 CES</v>
          </cell>
        </row>
        <row r="6137">
          <cell r="B6137" t="str">
            <v>FG02801</v>
          </cell>
          <cell r="C6137" t="str">
            <v>ROVISTA 5 MG B/30 CES</v>
          </cell>
        </row>
        <row r="6138">
          <cell r="B6138" t="str">
            <v>FG02802</v>
          </cell>
          <cell r="C6138" t="str">
            <v>ROXYL 300MG COMP B/5</v>
          </cell>
        </row>
        <row r="6139">
          <cell r="B6139" t="str">
            <v>FG02803</v>
          </cell>
          <cell r="C6139" t="str">
            <v>ROZALIN B/7 VAG SUPPO</v>
          </cell>
        </row>
        <row r="6140">
          <cell r="B6140" t="str">
            <v>FG02804</v>
          </cell>
          <cell r="C6140" t="str">
            <v>RPR TEST KIT</v>
          </cell>
        </row>
        <row r="6141">
          <cell r="B6141" t="str">
            <v>FG02805</v>
          </cell>
          <cell r="C6141" t="str">
            <v>RUBILON 100MG (EPIRUBICIN) INJ. B/1 VIAL</v>
          </cell>
        </row>
        <row r="6142">
          <cell r="B6142" t="str">
            <v>FG02806</v>
          </cell>
          <cell r="C6142" t="str">
            <v>RUBILON 50MG (EPIRUBICIN) INJ. B/1 VIAL</v>
          </cell>
        </row>
        <row r="6143">
          <cell r="B6143" t="str">
            <v>FG02807</v>
          </cell>
          <cell r="C6143" t="str">
            <v>RUFEDOL BT/10X10CES</v>
          </cell>
        </row>
        <row r="6144">
          <cell r="B6144" t="str">
            <v>FG02808</v>
          </cell>
          <cell r="C6144" t="str">
            <v>RUFEDOL FORTE TABS 1X10T</v>
          </cell>
        </row>
        <row r="6145">
          <cell r="B6145" t="str">
            <v>FG02809</v>
          </cell>
          <cell r="C6145" t="str">
            <v>RUFEDOL PLUS 10 X 10 CES</v>
          </cell>
        </row>
        <row r="6146">
          <cell r="B6146" t="str">
            <v>FG02810</v>
          </cell>
          <cell r="C6146" t="str">
            <v>RUFENAC B/10X10 CES</v>
          </cell>
        </row>
        <row r="6147">
          <cell r="B6147" t="str">
            <v>FG02811</v>
          </cell>
          <cell r="C6147" t="str">
            <v>RUFENAC CREAM 30GR</v>
          </cell>
        </row>
        <row r="6148">
          <cell r="B6148" t="str">
            <v>FG02812</v>
          </cell>
          <cell r="C6148" t="str">
            <v>RUFENAC SPRAY 70ML</v>
          </cell>
        </row>
        <row r="6149">
          <cell r="B6149" t="str">
            <v>FG02813</v>
          </cell>
          <cell r="C6149" t="str">
            <v>RUNATE 60MG (ARTESUNATE) B/1 AMP</v>
          </cell>
        </row>
        <row r="6150">
          <cell r="B6150" t="str">
            <v>FG02814</v>
          </cell>
          <cell r="C6150" t="str">
            <v>RXPRIONE 2MG (RISPERIDONE) B/30CES</v>
          </cell>
        </row>
        <row r="6151">
          <cell r="B6151" t="str">
            <v>FG02815</v>
          </cell>
          <cell r="C6151" t="str">
            <v>RXPRIONE 4MG (RISPERIDONE) B/30CES</v>
          </cell>
        </row>
        <row r="6152">
          <cell r="B6152" t="str">
            <v>FG02816</v>
          </cell>
          <cell r="C6152" t="str">
            <v>RYTHMODAN 100MG 40CAPS</v>
          </cell>
        </row>
        <row r="6153">
          <cell r="B6153" t="str">
            <v>FG02817</v>
          </cell>
          <cell r="C6153" t="str">
            <v>SAC MEN &amp; WOMENS</v>
          </cell>
        </row>
        <row r="6154">
          <cell r="B6154" t="str">
            <v>FG02818</v>
          </cell>
          <cell r="C6154" t="str">
            <v>SAC UNIQUE</v>
          </cell>
        </row>
        <row r="6155">
          <cell r="B6155" t="str">
            <v>FG02819</v>
          </cell>
          <cell r="C6155" t="str">
            <v>SACHET PLASTIC POUR MEDICAMENT PKT/100PCS</v>
          </cell>
        </row>
        <row r="6156">
          <cell r="B6156" t="str">
            <v>FG02820</v>
          </cell>
          <cell r="C6156" t="str">
            <v>SACHT 1 SAC</v>
          </cell>
        </row>
        <row r="6157">
          <cell r="B6157" t="str">
            <v>FG02821</v>
          </cell>
          <cell r="C6157" t="str">
            <v>SAFIDERM BEBE SAVON 120GM</v>
          </cell>
        </row>
        <row r="6158">
          <cell r="B6158" t="str">
            <v>FG02822</v>
          </cell>
          <cell r="C6158" t="str">
            <v>SAFIDERM CREME BABY 100GR</v>
          </cell>
        </row>
        <row r="6159">
          <cell r="B6159" t="str">
            <v>FG02823</v>
          </cell>
          <cell r="C6159" t="str">
            <v>SAFIDERM CREME ECLAT 100GR</v>
          </cell>
        </row>
        <row r="6160">
          <cell r="B6160" t="str">
            <v>FG02824</v>
          </cell>
          <cell r="C6160" t="str">
            <v>SAFIDERM CREME MEDICAL 100G</v>
          </cell>
        </row>
        <row r="6161">
          <cell r="B6161" t="str">
            <v>FG02825</v>
          </cell>
          <cell r="C6161" t="str">
            <v>SAFIDERM CREME MEDICAL 100GR</v>
          </cell>
        </row>
        <row r="6162">
          <cell r="B6162" t="str">
            <v>FG02826</v>
          </cell>
          <cell r="C6162" t="str">
            <v>SAFIDERM CREME NEUTRAL 100GR</v>
          </cell>
        </row>
        <row r="6163">
          <cell r="B6163" t="str">
            <v>FG02827</v>
          </cell>
          <cell r="C6163" t="str">
            <v>SAFIDERM ECLAT DE BEAUTE LOTION 250ML</v>
          </cell>
        </row>
        <row r="6164">
          <cell r="B6164" t="str">
            <v>FG02828</v>
          </cell>
          <cell r="C6164" t="str">
            <v>SAFIDERM LOTION BABY 250ML</v>
          </cell>
        </row>
        <row r="6165">
          <cell r="B6165" t="str">
            <v>FG02829</v>
          </cell>
          <cell r="C6165" t="str">
            <v>SAFIDERM LOTION BEBE</v>
          </cell>
        </row>
        <row r="6166">
          <cell r="B6166" t="str">
            <v>FG02830</v>
          </cell>
          <cell r="C6166" t="str">
            <v>SAFIDERM LOTION ECLAT 250ML</v>
          </cell>
        </row>
        <row r="6167">
          <cell r="B6167" t="str">
            <v>FG02831</v>
          </cell>
          <cell r="C6167" t="str">
            <v>SAFIDERM LOTION MEDICAL 250ML</v>
          </cell>
        </row>
        <row r="6168">
          <cell r="B6168" t="str">
            <v>FG02832</v>
          </cell>
          <cell r="C6168" t="str">
            <v>SAFIDERM LOTION NEUTRAL 250ML</v>
          </cell>
        </row>
        <row r="6169">
          <cell r="B6169" t="str">
            <v>FG02833</v>
          </cell>
          <cell r="C6169" t="str">
            <v>SAFIDERM MEDICAL LAIT CORPOREL LOTION</v>
          </cell>
        </row>
        <row r="6170">
          <cell r="B6170" t="str">
            <v>FG02834</v>
          </cell>
          <cell r="C6170" t="str">
            <v>SAFIDERM NEUTRAL LOTION 250ML</v>
          </cell>
        </row>
        <row r="6171">
          <cell r="B6171" t="str">
            <v>FG02835</v>
          </cell>
          <cell r="C6171" t="str">
            <v>SAFIDERM POMADE NUTRAL 100GR</v>
          </cell>
        </row>
        <row r="6172">
          <cell r="B6172" t="str">
            <v>FG02836</v>
          </cell>
          <cell r="C6172" t="str">
            <v>SAFIDERM POMMADE BABY 100G</v>
          </cell>
        </row>
        <row r="6173">
          <cell r="B6173" t="str">
            <v>FG02837</v>
          </cell>
          <cell r="C6173" t="str">
            <v>SAFIDERM POMMADE BEBE 100GR</v>
          </cell>
        </row>
        <row r="6174">
          <cell r="B6174" t="str">
            <v>FG02838</v>
          </cell>
          <cell r="C6174" t="str">
            <v>SAFIDERM POMMADE EUCLATE</v>
          </cell>
        </row>
        <row r="6175">
          <cell r="B6175" t="str">
            <v>FG02839</v>
          </cell>
          <cell r="C6175" t="str">
            <v>SAFIDERM POUDRE BABY 100G</v>
          </cell>
        </row>
        <row r="6176">
          <cell r="B6176" t="str">
            <v>FG02840</v>
          </cell>
          <cell r="C6176" t="str">
            <v>SAFIDERM POUDRE MEDICAL 100G</v>
          </cell>
        </row>
        <row r="6177">
          <cell r="B6177" t="str">
            <v>FG02841</v>
          </cell>
          <cell r="C6177" t="str">
            <v>SAFIDERM SAVON BABY 90G</v>
          </cell>
        </row>
        <row r="6178">
          <cell r="B6178" t="str">
            <v>FG02842</v>
          </cell>
          <cell r="C6178" t="str">
            <v>SAFIDERM SAVON ECLAT 90G</v>
          </cell>
        </row>
        <row r="6179">
          <cell r="B6179" t="str">
            <v>FG02843</v>
          </cell>
          <cell r="C6179" t="str">
            <v>SAFIDERM SAVON MEDICAL 90G</v>
          </cell>
        </row>
        <row r="6180">
          <cell r="B6180" t="str">
            <v>FG02844</v>
          </cell>
          <cell r="C6180" t="str">
            <v>SAFIDERM SAVON NEUTRAL 90G</v>
          </cell>
        </row>
        <row r="6181">
          <cell r="B6181" t="str">
            <v>FG02845</v>
          </cell>
          <cell r="C6181" t="str">
            <v>SAFIDERM TUBE ECLAT 50G</v>
          </cell>
        </row>
        <row r="6182">
          <cell r="B6182" t="str">
            <v>FG02846</v>
          </cell>
          <cell r="C6182" t="str">
            <v>SAFIDERM TUBE MEDICAL</v>
          </cell>
        </row>
        <row r="6183">
          <cell r="B6183" t="str">
            <v>FG02847</v>
          </cell>
          <cell r="C6183" t="str">
            <v>SAFIDERM TUBE MEDICAL 50G</v>
          </cell>
        </row>
        <row r="6184">
          <cell r="B6184" t="str">
            <v>FG02848</v>
          </cell>
          <cell r="C6184" t="str">
            <v>SALBUMOL INJ. 6AMP. 5ML (EO)</v>
          </cell>
        </row>
        <row r="6185">
          <cell r="B6185" t="str">
            <v>FG02849</v>
          </cell>
          <cell r="C6185" t="str">
            <v>SALBUTAMOL 2MG B/10 X 10 CES *</v>
          </cell>
        </row>
        <row r="6186">
          <cell r="B6186" t="str">
            <v>FG02850</v>
          </cell>
          <cell r="C6186" t="str">
            <v>SALBUTAMOL 4MG B/10X10CES</v>
          </cell>
        </row>
        <row r="6187">
          <cell r="B6187" t="str">
            <v>FG02851</v>
          </cell>
          <cell r="C6187" t="str">
            <v>SALBUTAMOL 6 SUPOO ( |LOCAL)</v>
          </cell>
        </row>
        <row r="6188">
          <cell r="B6188" t="str">
            <v>FG02852</v>
          </cell>
          <cell r="C6188" t="str">
            <v>SALBUTAMOL SP 100ML (PHATKIN)</v>
          </cell>
        </row>
        <row r="6189">
          <cell r="B6189" t="str">
            <v>FG02853</v>
          </cell>
          <cell r="C6189" t="str">
            <v>SALBUTAMOL SP 100ML GENERIQUE</v>
          </cell>
        </row>
        <row r="6190">
          <cell r="B6190" t="str">
            <v>FG02854</v>
          </cell>
          <cell r="C6190" t="str">
            <v>SALTER ELECTRONIC WEIGHING SCALE 20 KG</v>
          </cell>
        </row>
        <row r="6191">
          <cell r="B6191" t="str">
            <v>FG02855</v>
          </cell>
          <cell r="C6191" t="str">
            <v>SALTER MEDIWEIGH SCALE 130 KG</v>
          </cell>
        </row>
        <row r="6192">
          <cell r="B6192" t="str">
            <v>FG02856</v>
          </cell>
          <cell r="C6192" t="str">
            <v>SALTER SUPER SAMSON SCALE</v>
          </cell>
        </row>
        <row r="6193">
          <cell r="B6193" t="str">
            <v>FG02857</v>
          </cell>
          <cell r="C6193" t="str">
            <v>SALTER WEIGHING SCALE WITH TROUSER</v>
          </cell>
        </row>
        <row r="6194">
          <cell r="B6194" t="str">
            <v>FG02858</v>
          </cell>
          <cell r="C6194" t="str">
            <v>SALTRA INHALER 25/125MG FL</v>
          </cell>
        </row>
        <row r="6195">
          <cell r="B6195" t="str">
            <v>FG02859</v>
          </cell>
          <cell r="C6195" t="str">
            <v>SALTRA INHALER 25MG+250MCG 1 FL</v>
          </cell>
        </row>
        <row r="6196">
          <cell r="B6196" t="str">
            <v>FG02860</v>
          </cell>
          <cell r="C6196" t="str">
            <v>SAMSUNG A60</v>
          </cell>
        </row>
        <row r="6197">
          <cell r="B6197" t="str">
            <v>FG02861</v>
          </cell>
          <cell r="C6197" t="str">
            <v>SAMSUNG J1 MOBILE</v>
          </cell>
        </row>
        <row r="6198">
          <cell r="B6198" t="str">
            <v>FG02862</v>
          </cell>
          <cell r="C6198" t="str">
            <v>SAMSUNG J110</v>
          </cell>
        </row>
        <row r="6199">
          <cell r="B6199" t="str">
            <v>FG02863</v>
          </cell>
          <cell r="C6199" t="str">
            <v>SAMSUNG J3 MOBILE</v>
          </cell>
        </row>
        <row r="6200">
          <cell r="B6200" t="str">
            <v>FG02864</v>
          </cell>
          <cell r="C6200" t="str">
            <v>SAMSUNG TAB</v>
          </cell>
        </row>
        <row r="6201">
          <cell r="B6201" t="str">
            <v>FG02865</v>
          </cell>
          <cell r="C6201" t="str">
            <v>SAMSUNG TAB A 515</v>
          </cell>
        </row>
        <row r="6202">
          <cell r="B6202" t="str">
            <v>FG02866</v>
          </cell>
          <cell r="C6202" t="str">
            <v>SANDWICH MAKER</v>
          </cell>
        </row>
        <row r="6203">
          <cell r="B6203" t="str">
            <v>FG02867</v>
          </cell>
          <cell r="C6203" t="str">
            <v>SANFOTAX (CEFOTAXIME) 1000MG IV/IM B/1 AMP</v>
          </cell>
        </row>
        <row r="6204">
          <cell r="B6204" t="str">
            <v>FG02868</v>
          </cell>
          <cell r="C6204" t="str">
            <v>SANTRIAX ( CEFTRI+TAZO) T-1000MG IV/IM B/1 AMP</v>
          </cell>
        </row>
        <row r="6205">
          <cell r="B6205" t="str">
            <v>FG02869</v>
          </cell>
          <cell r="C6205" t="str">
            <v>SANTRIAX (CEFTRIAXONE) 1000MG B/ AMP</v>
          </cell>
        </row>
        <row r="6206">
          <cell r="B6206" t="str">
            <v>FG02870</v>
          </cell>
          <cell r="C6206" t="str">
            <v>SAPHNATE (ARTESUNAYE ) 120MG B/1 AMP</v>
          </cell>
        </row>
        <row r="6207">
          <cell r="B6207" t="str">
            <v>FG02871</v>
          </cell>
          <cell r="C6207" t="str">
            <v>SAPHNATE (ARTESUNAYE ) 30MG B/1 AMP</v>
          </cell>
        </row>
        <row r="6208">
          <cell r="B6208" t="str">
            <v>FG02872</v>
          </cell>
          <cell r="C6208" t="str">
            <v>SATUROMETRE DE POUILS</v>
          </cell>
        </row>
        <row r="6209">
          <cell r="B6209" t="str">
            <v>FG02873</v>
          </cell>
          <cell r="C6209" t="str">
            <v>SAVON LIQUIDE A MAIN 1 PCS</v>
          </cell>
        </row>
        <row r="6210">
          <cell r="B6210" t="str">
            <v>FG02874</v>
          </cell>
          <cell r="C6210" t="str">
            <v>SAVON PETIT MARS 300G</v>
          </cell>
        </row>
        <row r="6211">
          <cell r="B6211" t="str">
            <v>FG02875</v>
          </cell>
          <cell r="C6211" t="str">
            <v>SCABOMA LOTION 100ML</v>
          </cell>
        </row>
        <row r="6212">
          <cell r="B6212" t="str">
            <v>FG02876</v>
          </cell>
          <cell r="C6212" t="str">
            <v>SCHERIPROCT POMMADE 30GR(FR)</v>
          </cell>
        </row>
        <row r="6213">
          <cell r="B6213" t="str">
            <v>FG02877</v>
          </cell>
          <cell r="C6213" t="str">
            <v>SEACLAVIN (AMOXICILLINE+CLAVU) 457 SUSPENSION 70ML</v>
          </cell>
        </row>
        <row r="6214">
          <cell r="B6214" t="str">
            <v>FG02878</v>
          </cell>
          <cell r="C6214" t="str">
            <v>SEDASPIR 20MG 20CES (FR)</v>
          </cell>
        </row>
        <row r="6215">
          <cell r="B6215" t="str">
            <v>FG02879</v>
          </cell>
          <cell r="C6215" t="str">
            <v>SEDATOUX SP 100ML</v>
          </cell>
        </row>
        <row r="6216">
          <cell r="B6216" t="str">
            <v>FG02880</v>
          </cell>
          <cell r="C6216" t="str">
            <v>SEDORRHOIDE 8 SUPPO (FR)</v>
          </cell>
        </row>
        <row r="6217">
          <cell r="B6217" t="str">
            <v>FG02881</v>
          </cell>
          <cell r="C6217" t="str">
            <v>SEDORRHOIDE CREME (FR)</v>
          </cell>
        </row>
        <row r="6218">
          <cell r="B6218" t="str">
            <v>FG02882</v>
          </cell>
          <cell r="C6218" t="str">
            <v>SEKISAN SIROP 120ML (FR)</v>
          </cell>
        </row>
        <row r="6219">
          <cell r="B6219" t="str">
            <v>FG02883</v>
          </cell>
          <cell r="C6219" t="str">
            <v>SEKROL AD 30MG 150ML (FR)</v>
          </cell>
        </row>
        <row r="6220">
          <cell r="B6220" t="str">
            <v>FG02884</v>
          </cell>
          <cell r="C6220" t="str">
            <v>SEKROL PEDIATRIQUE 15GM 100ML (FR)</v>
          </cell>
        </row>
        <row r="6221">
          <cell r="B6221" t="str">
            <v>FG02885</v>
          </cell>
          <cell r="C6221" t="str">
            <v>SEL ANGLAIE 50GR.</v>
          </cell>
        </row>
        <row r="6222">
          <cell r="B6222" t="str">
            <v>FG02886</v>
          </cell>
          <cell r="C6222" t="str">
            <v>SENSODYNE DENTIFRICE RAPIDE(FR)</v>
          </cell>
        </row>
        <row r="6223">
          <cell r="B6223" t="str">
            <v>FG02887</v>
          </cell>
          <cell r="C6223" t="str">
            <v>SENSODYNE FRESH MINT DENTIFRICE 75ML</v>
          </cell>
        </row>
        <row r="6224">
          <cell r="B6224" t="str">
            <v>FG02888</v>
          </cell>
          <cell r="C6224" t="str">
            <v>SENSURE LOTION 50ML</v>
          </cell>
        </row>
        <row r="6225">
          <cell r="B6225" t="str">
            <v>FG02889</v>
          </cell>
          <cell r="C6225" t="str">
            <v>SENSURE REB TUBE 15GR.</v>
          </cell>
        </row>
        <row r="6226">
          <cell r="B6226" t="str">
            <v>FG02890</v>
          </cell>
          <cell r="C6226" t="str">
            <v>SENSURE RUB TUBE 30GR</v>
          </cell>
        </row>
        <row r="6227">
          <cell r="B6227" t="str">
            <v>FG02891</v>
          </cell>
          <cell r="C6227" t="str">
            <v>SEPGERM 50ML</v>
          </cell>
        </row>
        <row r="6228">
          <cell r="B6228" t="str">
            <v>FG02892</v>
          </cell>
          <cell r="C6228" t="str">
            <v>SEPGERM GEL 100ML</v>
          </cell>
        </row>
        <row r="6229">
          <cell r="B6229" t="str">
            <v>FG02893</v>
          </cell>
          <cell r="C6229" t="str">
            <v>SEPTOGYNE OVULES</v>
          </cell>
        </row>
        <row r="6230">
          <cell r="B6230" t="str">
            <v>FG02894</v>
          </cell>
          <cell r="C6230" t="str">
            <v>SERENG WATTER ELECTRIC</v>
          </cell>
        </row>
        <row r="6231">
          <cell r="B6231" t="str">
            <v>FG02895</v>
          </cell>
          <cell r="C6231" t="str">
            <v>SERENG WTTER MANUAL</v>
          </cell>
        </row>
        <row r="6232">
          <cell r="B6232" t="str">
            <v>FG02896</v>
          </cell>
          <cell r="C6232" t="str">
            <v>SERETIDE 100/50 MG 60 DOSES (FR)</v>
          </cell>
        </row>
        <row r="6233">
          <cell r="B6233" t="str">
            <v>FG02897</v>
          </cell>
          <cell r="C6233" t="str">
            <v>SERETIDE 250/50MCG 60DOSE (EO)</v>
          </cell>
        </row>
        <row r="6234">
          <cell r="B6234" t="str">
            <v>FG02898</v>
          </cell>
          <cell r="C6234" t="str">
            <v>SERINGE 60CC 1PCS(LONG)</v>
          </cell>
        </row>
        <row r="6235">
          <cell r="B6235" t="str">
            <v>FG02899</v>
          </cell>
          <cell r="C6235" t="str">
            <v>SERINGUE 10CC..1PCS (UNIQUE)</v>
          </cell>
        </row>
        <row r="6236">
          <cell r="B6236" t="str">
            <v>FG02900</v>
          </cell>
          <cell r="C6236" t="str">
            <v>SERINGUE 10ML AUTO - DISABLE 21G PCS/1</v>
          </cell>
        </row>
        <row r="6237">
          <cell r="B6237" t="str">
            <v>FG02901</v>
          </cell>
          <cell r="C6237" t="str">
            <v>SERINGUE 20CC AVEC AIG. 1 PCS (UNIQUE)</v>
          </cell>
        </row>
        <row r="6238">
          <cell r="B6238" t="str">
            <v>FG02902</v>
          </cell>
          <cell r="C6238" t="str">
            <v>SERINGUE 2CC...1PCS (UNIQUE)</v>
          </cell>
        </row>
        <row r="6239">
          <cell r="B6239" t="str">
            <v>FG02903</v>
          </cell>
          <cell r="C6239" t="str">
            <v>SERINGUE 2ML AUTO - DISABLE 23G PCS/1</v>
          </cell>
        </row>
        <row r="6240">
          <cell r="B6240" t="str">
            <v>FG02904</v>
          </cell>
          <cell r="C6240" t="str">
            <v>SERINGUE 50CC AVEC AIGUILLE PCS/1 (UNIQUE)</v>
          </cell>
        </row>
        <row r="6241">
          <cell r="B6241" t="str">
            <v>FG02905</v>
          </cell>
          <cell r="C6241" t="str">
            <v>SERINGUE 5CC B/1PCS (UNIQUE)</v>
          </cell>
        </row>
        <row r="6242">
          <cell r="B6242" t="str">
            <v>FG02906</v>
          </cell>
          <cell r="C6242" t="str">
            <v>SERINGUE 5ML AUTO - DISABLE 22G PCS/1</v>
          </cell>
        </row>
        <row r="6243">
          <cell r="B6243" t="str">
            <v>FG02907</v>
          </cell>
          <cell r="C6243" t="str">
            <v>SERINGUE INSULINE 1ML***100UI*** 1 PCS (UNIQUE)</v>
          </cell>
        </row>
        <row r="6244">
          <cell r="B6244" t="str">
            <v>FG02908</v>
          </cell>
          <cell r="C6244" t="str">
            <v>SERINGUE INSULINE 40 UI PCS/1 (UNIQUE)</v>
          </cell>
        </row>
        <row r="6245">
          <cell r="B6245" t="str">
            <v>FG02909</v>
          </cell>
          <cell r="C6245" t="str">
            <v>SERONAC (ACECLO+PARA+SERRAT) B10 CES</v>
          </cell>
        </row>
        <row r="6246">
          <cell r="B6246" t="str">
            <v>FG02910</v>
          </cell>
          <cell r="C6246" t="str">
            <v>SERUM GLUCOSE 10% 1LTR1</v>
          </cell>
        </row>
        <row r="6247">
          <cell r="B6247" t="str">
            <v>FG02911</v>
          </cell>
          <cell r="C6247" t="str">
            <v>SERUM GLUCOSE 5% 1LTR1</v>
          </cell>
        </row>
        <row r="6248">
          <cell r="B6248" t="str">
            <v>FG02912</v>
          </cell>
          <cell r="C6248" t="str">
            <v>SERUM GLUCOSE 5%...500ML ###1</v>
          </cell>
        </row>
        <row r="6249">
          <cell r="B6249" t="str">
            <v>FG02913</v>
          </cell>
          <cell r="C6249" t="str">
            <v>SERUM MIXTE 1LTR1</v>
          </cell>
        </row>
        <row r="6250">
          <cell r="B6250" t="str">
            <v>FG02914</v>
          </cell>
          <cell r="C6250" t="str">
            <v>SERUM MIXTE 500ML ##</v>
          </cell>
        </row>
        <row r="6251">
          <cell r="B6251" t="str">
            <v>FG02915</v>
          </cell>
          <cell r="C6251" t="str">
            <v>SERUM PHYSIO 1LTR1</v>
          </cell>
        </row>
        <row r="6252">
          <cell r="B6252" t="str">
            <v>FG02916</v>
          </cell>
          <cell r="C6252" t="str">
            <v>SERUM PHYSIO...500ML ##</v>
          </cell>
        </row>
        <row r="6253">
          <cell r="B6253" t="str">
            <v>FG02917</v>
          </cell>
          <cell r="C6253" t="str">
            <v>SERUM VERGETURES 45ML</v>
          </cell>
        </row>
        <row r="6254">
          <cell r="B6254" t="str">
            <v>FG02918</v>
          </cell>
          <cell r="C6254" t="str">
            <v>SETRON INJ B/1AMP</v>
          </cell>
        </row>
        <row r="6255">
          <cell r="B6255" t="str">
            <v>FG02919</v>
          </cell>
          <cell r="C6255" t="str">
            <v>SETRON (ONDANSETRON) 30ML SP</v>
          </cell>
        </row>
        <row r="6256">
          <cell r="B6256" t="str">
            <v>FG02920</v>
          </cell>
          <cell r="C6256" t="str">
            <v>SETRON 4MG SUPPO B\5PC</v>
          </cell>
        </row>
        <row r="6257">
          <cell r="B6257" t="str">
            <v>FG02921</v>
          </cell>
          <cell r="C6257" t="str">
            <v>SETRON-MD B/4 CES</v>
          </cell>
        </row>
        <row r="6258">
          <cell r="B6258" t="str">
            <v>FG02922</v>
          </cell>
          <cell r="C6258" t="str">
            <v>SEVOFLURANE (SOJOURN) ANESTHESIQUE A INHALER 250ML</v>
          </cell>
        </row>
        <row r="6259">
          <cell r="B6259" t="str">
            <v>FG02923</v>
          </cell>
          <cell r="C6259" t="str">
            <v>SHAKFORMINE(METFORMINE) G500MG B/30CES</v>
          </cell>
        </row>
        <row r="6260">
          <cell r="B6260" t="str">
            <v>FG02924</v>
          </cell>
          <cell r="C6260" t="str">
            <v>SHALBACTAM 1G INJ</v>
          </cell>
        </row>
        <row r="6261">
          <cell r="B6261" t="str">
            <v>FG02925</v>
          </cell>
          <cell r="C6261" t="str">
            <v>SHALBACTAM TZ INJ</v>
          </cell>
        </row>
        <row r="6262">
          <cell r="B6262" t="str">
            <v>FG02926</v>
          </cell>
          <cell r="C6262" t="str">
            <v>SHALCIP 100ML INJ (SAN TROUSSE)</v>
          </cell>
        </row>
        <row r="6263">
          <cell r="B6263" t="str">
            <v>FG02927</v>
          </cell>
          <cell r="C6263" t="str">
            <v>SHALCIP 500MG B/10CES</v>
          </cell>
        </row>
        <row r="6264">
          <cell r="B6264" t="str">
            <v>FG02928</v>
          </cell>
          <cell r="C6264" t="str">
            <v>SHALCIP TZ BT/10CES</v>
          </cell>
        </row>
        <row r="6265">
          <cell r="B6265" t="str">
            <v>FG02929</v>
          </cell>
          <cell r="C6265" t="str">
            <v>SHALDEX COLLYRE 10ML</v>
          </cell>
        </row>
        <row r="6266">
          <cell r="B6266" t="str">
            <v>FG02930</v>
          </cell>
          <cell r="C6266" t="str">
            <v>SHALFLOX B/10CES PL</v>
          </cell>
        </row>
        <row r="6267">
          <cell r="B6267" t="str">
            <v>FG02931</v>
          </cell>
          <cell r="C6267" t="str">
            <v>SHALFORMIN (METFORMINE) 500MG B/30CES</v>
          </cell>
        </row>
        <row r="6268">
          <cell r="B6268" t="str">
            <v>FG02932</v>
          </cell>
          <cell r="C6268" t="str">
            <v>SHALFORMIN-G B/30CES</v>
          </cell>
        </row>
        <row r="6269">
          <cell r="B6269" t="str">
            <v>FG02933</v>
          </cell>
          <cell r="C6269" t="str">
            <v>SHALSPIRIN CV (ASPIRINE) 75MG B/30CES</v>
          </cell>
        </row>
        <row r="6270">
          <cell r="B6270" t="str">
            <v>FG02934</v>
          </cell>
          <cell r="C6270" t="str">
            <v>SHALTOUX EXP. SP 125ML</v>
          </cell>
        </row>
        <row r="6271">
          <cell r="B6271" t="str">
            <v>FG02935</v>
          </cell>
          <cell r="C6271" t="str">
            <v>SHALTOUX HERBAL COUGH SYRP 100ML</v>
          </cell>
        </row>
        <row r="6272">
          <cell r="B6272" t="str">
            <v>FG02936</v>
          </cell>
          <cell r="C6272" t="str">
            <v>SHALTOUX RAPIDE 100ML</v>
          </cell>
        </row>
        <row r="6273">
          <cell r="B6273" t="str">
            <v>FG02937</v>
          </cell>
          <cell r="C6273" t="str">
            <v>SHALTOUX RHUME &amp; TOUX CESML</v>
          </cell>
        </row>
        <row r="6274">
          <cell r="B6274" t="str">
            <v>FG02938</v>
          </cell>
          <cell r="C6274" t="str">
            <v>SHALTOX ORNGE LOZENGE</v>
          </cell>
        </row>
        <row r="6275">
          <cell r="B6275" t="str">
            <v>FG02939</v>
          </cell>
          <cell r="C6275" t="str">
            <v>SHALVIT B/1000CES</v>
          </cell>
        </row>
        <row r="6276">
          <cell r="B6276" t="str">
            <v>FG02940</v>
          </cell>
          <cell r="C6276" t="str">
            <v>SHALVIT FRUIT SIROP 120ML</v>
          </cell>
        </row>
        <row r="6277">
          <cell r="B6277" t="str">
            <v>FG02941</v>
          </cell>
          <cell r="C6277" t="str">
            <v>SHIRT</v>
          </cell>
        </row>
        <row r="6278">
          <cell r="B6278" t="str">
            <v>FG02942</v>
          </cell>
          <cell r="C6278" t="str">
            <v>SHOES COVER B/50 PAIR</v>
          </cell>
        </row>
        <row r="6279">
          <cell r="B6279" t="str">
            <v>FG02943</v>
          </cell>
          <cell r="C6279" t="str">
            <v>SIBELIUM 10MG 30CES(FR)</v>
          </cell>
        </row>
        <row r="6280">
          <cell r="B6280" t="str">
            <v>FG02944</v>
          </cell>
          <cell r="C6280" t="str">
            <v>SICOMBILIC POUDRE (LOCAL)</v>
          </cell>
        </row>
        <row r="6281">
          <cell r="B6281" t="str">
            <v>FG02945</v>
          </cell>
          <cell r="C6281" t="str">
            <v>SILYBON ( SILYMARIN 140MG ) B/30 CES</v>
          </cell>
        </row>
        <row r="6282">
          <cell r="B6282" t="str">
            <v>FG02946</v>
          </cell>
          <cell r="C6282" t="str">
            <v>SILYBON 140MG 10CES</v>
          </cell>
        </row>
        <row r="6283">
          <cell r="B6283" t="str">
            <v>FG02947</v>
          </cell>
          <cell r="C6283" t="str">
            <v>SIMANOL (TIMOLOL) SML COLLYRE</v>
          </cell>
        </row>
        <row r="6284">
          <cell r="B6284" t="str">
            <v>FG02948</v>
          </cell>
          <cell r="C6284" t="str">
            <v>SIMBA KOF 200 PASTILLES</v>
          </cell>
        </row>
        <row r="6285">
          <cell r="B6285" t="str">
            <v>FG02949</v>
          </cell>
          <cell r="C6285" t="str">
            <v>SIMBA KOF SIROP 100ML ANTI-TUSSIF</v>
          </cell>
        </row>
        <row r="6286">
          <cell r="B6286" t="str">
            <v>FG02950</v>
          </cell>
          <cell r="C6286" t="str">
            <v>SIMDEX (DEXAMETHASONE) COLLYRE</v>
          </cell>
        </row>
        <row r="6287">
          <cell r="B6287" t="str">
            <v>FG02951</v>
          </cell>
          <cell r="C6287" t="str">
            <v>SIMDX (DEXAMETHASONE) COLLYRE</v>
          </cell>
        </row>
        <row r="6288">
          <cell r="B6288" t="str">
            <v>FG02952</v>
          </cell>
          <cell r="C6288" t="str">
            <v>SIMULATEUR ACCOUCHEMENT</v>
          </cell>
        </row>
        <row r="6289">
          <cell r="B6289" t="str">
            <v>FG02953</v>
          </cell>
          <cell r="C6289" t="str">
            <v>SIMULATEUR REANIMATION NOUVEAU-NE</v>
          </cell>
        </row>
        <row r="6290">
          <cell r="B6290" t="str">
            <v>FG02954</v>
          </cell>
          <cell r="C6290" t="str">
            <v>SIMVA DENK 20MG 30CES (FR)</v>
          </cell>
        </row>
        <row r="6291">
          <cell r="B6291" t="str">
            <v>FG02955</v>
          </cell>
          <cell r="C6291" t="str">
            <v>SIMVA DENK 40MG B/30CES (FR)</v>
          </cell>
        </row>
        <row r="6292">
          <cell r="B6292" t="str">
            <v>FG02956</v>
          </cell>
          <cell r="C6292" t="str">
            <v>SINTRON 4MG 30CES (FR)</v>
          </cell>
        </row>
        <row r="6293">
          <cell r="B6293" t="str">
            <v>FG02957</v>
          </cell>
          <cell r="C6293" t="str">
            <v>SINUTAB 500/30MG B/15CES (FR)</v>
          </cell>
        </row>
        <row r="6294">
          <cell r="B6294" t="str">
            <v>FG02958</v>
          </cell>
          <cell r="C6294" t="str">
            <v>SINUTAB FORTE 20CES (FR)</v>
          </cell>
        </row>
        <row r="6295">
          <cell r="B6295" t="str">
            <v>FG02959</v>
          </cell>
          <cell r="C6295" t="str">
            <v>SIOMETRE AVEC BRASSARD PEDIATRIQUE</v>
          </cell>
        </row>
        <row r="6296">
          <cell r="B6296" t="str">
            <v>FG02960</v>
          </cell>
          <cell r="C6296" t="str">
            <v>SIROP DE FER 100ML</v>
          </cell>
        </row>
        <row r="6297">
          <cell r="B6297" t="str">
            <v>FG02961</v>
          </cell>
          <cell r="C6297" t="str">
            <v>SIROP DE FER 100ML (PHATKIN)</v>
          </cell>
        </row>
        <row r="6298">
          <cell r="B6298" t="str">
            <v>FG02962</v>
          </cell>
          <cell r="C6298" t="str">
            <v>SKYCOLD B/80CES</v>
          </cell>
        </row>
        <row r="6299">
          <cell r="B6299" t="str">
            <v>FG02963</v>
          </cell>
          <cell r="C6299" t="str">
            <v>SKYCOLD SYRUP 100ML</v>
          </cell>
        </row>
        <row r="6300">
          <cell r="B6300" t="str">
            <v>FG02964</v>
          </cell>
          <cell r="C6300" t="str">
            <v>SMECTA B/30 SACHET*****</v>
          </cell>
        </row>
        <row r="6301">
          <cell r="B6301" t="str">
            <v>FG02965</v>
          </cell>
          <cell r="C6301" t="str">
            <v>SOCOMOL GEL 30G</v>
          </cell>
        </row>
        <row r="6302">
          <cell r="B6302" t="str">
            <v>FG02966</v>
          </cell>
          <cell r="C6302" t="str">
            <v>SOCOMOL (PARA-DICLO-CAFE) B/10 CES</v>
          </cell>
        </row>
        <row r="6303">
          <cell r="B6303" t="str">
            <v>FG02967</v>
          </cell>
          <cell r="C6303" t="str">
            <v>SOCOMOL 1GM (PARACETAMOL) EFF B/8 CES</v>
          </cell>
        </row>
        <row r="6304">
          <cell r="B6304" t="str">
            <v>FG02968</v>
          </cell>
          <cell r="C6304" t="str">
            <v>SOCOMOL 500MG (PARACETAMOL) EFF B/16 CES</v>
          </cell>
        </row>
        <row r="6305">
          <cell r="B6305" t="str">
            <v>FG02969</v>
          </cell>
          <cell r="C6305" t="str">
            <v>SOCOMOL PLUS B/10 CES</v>
          </cell>
        </row>
        <row r="6306">
          <cell r="B6306" t="str">
            <v>FG02970</v>
          </cell>
          <cell r="C6306" t="str">
            <v>SOCOMOL SPRAY 100ML</v>
          </cell>
        </row>
        <row r="6307">
          <cell r="B6307" t="str">
            <v>FG02971</v>
          </cell>
          <cell r="C6307" t="str">
            <v>SOCOMOL SUSPENSION 100ML</v>
          </cell>
        </row>
        <row r="6308">
          <cell r="B6308" t="str">
            <v>FG02972</v>
          </cell>
          <cell r="C6308" t="str">
            <v>SOIE NO.0...PCS/1 (UNIQUE)</v>
          </cell>
        </row>
        <row r="6309">
          <cell r="B6309" t="str">
            <v>FG02973</v>
          </cell>
          <cell r="C6309" t="str">
            <v>SOIE NO.1...PCS/1 (UNIQUE)</v>
          </cell>
        </row>
        <row r="6310">
          <cell r="B6310" t="str">
            <v>FG02974</v>
          </cell>
          <cell r="C6310" t="str">
            <v>SOIE NO.2...PCS/1 (UNIQUE)</v>
          </cell>
        </row>
        <row r="6311">
          <cell r="B6311" t="str">
            <v>FG02975</v>
          </cell>
          <cell r="C6311" t="str">
            <v>SOIE NO.2/0...PCS/1 (UNIQUE)</v>
          </cell>
        </row>
        <row r="6312">
          <cell r="B6312" t="str">
            <v>FG02976</v>
          </cell>
          <cell r="C6312" t="str">
            <v>SOIE NO.3...PCS/1 (UNIQUE)</v>
          </cell>
        </row>
        <row r="6313">
          <cell r="B6313" t="str">
            <v>FG02977</v>
          </cell>
          <cell r="C6313" t="str">
            <v>SOIE NO.3/0...PCS/1 (UNIQUE)</v>
          </cell>
        </row>
        <row r="6314">
          <cell r="B6314" t="str">
            <v>FG02978</v>
          </cell>
          <cell r="C6314" t="str">
            <v>SOLIFEN 5 MG B/10 CES</v>
          </cell>
        </row>
        <row r="6315">
          <cell r="B6315" t="str">
            <v>FG02979</v>
          </cell>
          <cell r="C6315" t="str">
            <v>SOLOTONE (MULTIVITAMINE) B/30 CES</v>
          </cell>
        </row>
        <row r="6316">
          <cell r="B6316" t="str">
            <v>FG02980</v>
          </cell>
          <cell r="C6316" t="str">
            <v>SOLU MEDROL 120MG MIX V 2ML (FR)</v>
          </cell>
        </row>
        <row r="6317">
          <cell r="B6317" t="str">
            <v>FG02981</v>
          </cell>
          <cell r="C6317" t="str">
            <v>SOLU-KORTIF 100MG (HYDROCORTISONE) INJ. B/1 VIAL</v>
          </cell>
        </row>
        <row r="6318">
          <cell r="B6318" t="str">
            <v>FG02982</v>
          </cell>
          <cell r="C6318" t="str">
            <v>SOLU-MEDROL 40MG INJ AMP B/1 (FR)</v>
          </cell>
        </row>
        <row r="6319">
          <cell r="B6319" t="str">
            <v>FG02983</v>
          </cell>
          <cell r="C6319" t="str">
            <v>SOLUDENT (BAIN DE BOUCHE) 100ML</v>
          </cell>
        </row>
        <row r="6320">
          <cell r="B6320" t="str">
            <v>FG02984</v>
          </cell>
          <cell r="C6320" t="str">
            <v>SOLUTION DAKIN 60ML</v>
          </cell>
        </row>
        <row r="6321">
          <cell r="B6321" t="str">
            <v>FG02985</v>
          </cell>
          <cell r="C6321" t="str">
            <v>SOLUTION DE CITRATE DE SOUDE 3.8 %1KG</v>
          </cell>
        </row>
        <row r="6322">
          <cell r="B6322" t="str">
            <v>FG02986</v>
          </cell>
          <cell r="C6322" t="str">
            <v>SOLUTION DE TURK 1LTR</v>
          </cell>
        </row>
        <row r="6323">
          <cell r="B6323" t="str">
            <v>FG02987</v>
          </cell>
          <cell r="C6323" t="str">
            <v>SOLUTION ESBACH</v>
          </cell>
        </row>
        <row r="6324">
          <cell r="B6324" t="str">
            <v>FG02988</v>
          </cell>
          <cell r="C6324" t="str">
            <v>SOLUTION PHYSIO 15ML</v>
          </cell>
        </row>
        <row r="6325">
          <cell r="B6325" t="str">
            <v>FG02989</v>
          </cell>
          <cell r="C6325" t="str">
            <v>SOLUTION PHYSIOLOGIQUE 1LTR</v>
          </cell>
        </row>
        <row r="6326">
          <cell r="B6326" t="str">
            <v>FG02990</v>
          </cell>
          <cell r="C6326" t="str">
            <v>SOMAZINA 1GR INJ B/5AMP (FR)</v>
          </cell>
        </row>
        <row r="6327">
          <cell r="B6327" t="str">
            <v>FG02991</v>
          </cell>
          <cell r="C6327" t="str">
            <v>SOMAZINA 30ML SOLU.VOIE ORAL (CITICOLIN)</v>
          </cell>
        </row>
        <row r="6328">
          <cell r="B6328" t="str">
            <v>FG02992</v>
          </cell>
          <cell r="C6328" t="str">
            <v>SOMAZINA SACHET B/6(FR)</v>
          </cell>
        </row>
        <row r="6329">
          <cell r="B6329" t="str">
            <v>FG02993</v>
          </cell>
          <cell r="C6329" t="str">
            <v>SONADERM CREME 10GR</v>
          </cell>
        </row>
        <row r="6330">
          <cell r="B6330" t="str">
            <v>FG02994</v>
          </cell>
          <cell r="C6330" t="str">
            <v>SONDE ASPIRATION NO-10 1 PCS</v>
          </cell>
        </row>
        <row r="6331">
          <cell r="B6331" t="str">
            <v>FG02995</v>
          </cell>
          <cell r="C6331" t="str">
            <v>SONDE ASPIRATION NO-12 1 PCS</v>
          </cell>
        </row>
        <row r="6332">
          <cell r="B6332" t="str">
            <v>FG02996</v>
          </cell>
          <cell r="C6332" t="str">
            <v>SONDE ASPIRATION NO-14 1 PCS</v>
          </cell>
        </row>
        <row r="6333">
          <cell r="B6333" t="str">
            <v>FG02997</v>
          </cell>
          <cell r="C6333" t="str">
            <v>SONDE ASPIRATION NO-16 1 PCS</v>
          </cell>
        </row>
        <row r="6334">
          <cell r="B6334" t="str">
            <v>FG02998</v>
          </cell>
          <cell r="C6334" t="str">
            <v>SONDE ASPIRATION NO-18 1 PCS</v>
          </cell>
        </row>
        <row r="6335">
          <cell r="B6335" t="str">
            <v>FG02999</v>
          </cell>
          <cell r="C6335" t="str">
            <v>SONDE ASPIRATION NO-20 1 PCS</v>
          </cell>
        </row>
        <row r="6336">
          <cell r="B6336" t="str">
            <v>FG03000</v>
          </cell>
          <cell r="C6336" t="str">
            <v>SONDE ASPIRATION NO-6 1 PCS</v>
          </cell>
        </row>
        <row r="6337">
          <cell r="B6337" t="str">
            <v>FG03001</v>
          </cell>
          <cell r="C6337" t="str">
            <v>SONDE ASPIRATION NO-8 1 PCS</v>
          </cell>
        </row>
        <row r="6338">
          <cell r="B6338" t="str">
            <v>FG03002</v>
          </cell>
          <cell r="C6338" t="str">
            <v>SONDE DRAINAGE-T NO. 10 FR (16 X 38CM)</v>
          </cell>
        </row>
        <row r="6339">
          <cell r="B6339" t="str">
            <v>FG03003</v>
          </cell>
          <cell r="C6339" t="str">
            <v>SONDE DRAINAGE-T NO. 12 FR (16 X 38CM)</v>
          </cell>
        </row>
        <row r="6340">
          <cell r="B6340" t="str">
            <v>FG03004</v>
          </cell>
          <cell r="C6340" t="str">
            <v>SONDE DRAINAGE-T NO. 14 FR (16 X 38CM)</v>
          </cell>
        </row>
        <row r="6341">
          <cell r="B6341" t="str">
            <v>FG03005</v>
          </cell>
          <cell r="C6341" t="str">
            <v>SONDE DRAINAGE-T NO. 16 FR (16 X 38CM)</v>
          </cell>
        </row>
        <row r="6342">
          <cell r="B6342" t="str">
            <v>FG03006</v>
          </cell>
          <cell r="C6342" t="str">
            <v>SONDE DRAINAGE-T NO. 18 FR (16 X 38CM)</v>
          </cell>
        </row>
        <row r="6343">
          <cell r="B6343" t="str">
            <v>FG03007</v>
          </cell>
          <cell r="C6343" t="str">
            <v>SONDE NASO GASTRIL NO-10 1 PCS</v>
          </cell>
        </row>
        <row r="6344">
          <cell r="B6344" t="str">
            <v>FG03008</v>
          </cell>
          <cell r="C6344" t="str">
            <v>SONDE NASO GASTRIL NO-12 1 PCS</v>
          </cell>
        </row>
        <row r="6345">
          <cell r="B6345" t="str">
            <v>FG03009</v>
          </cell>
          <cell r="C6345" t="str">
            <v>SONDE NASO GASTRIL NO-14 1 PCS</v>
          </cell>
        </row>
        <row r="6346">
          <cell r="B6346" t="str">
            <v>FG03010</v>
          </cell>
          <cell r="C6346" t="str">
            <v>SONDE NASO GASTRIL NO-16 1 PCS</v>
          </cell>
        </row>
        <row r="6347">
          <cell r="B6347" t="str">
            <v>FG03011</v>
          </cell>
          <cell r="C6347" t="str">
            <v>SONDE NASO GASTRIL NO-18 1 PCS</v>
          </cell>
        </row>
        <row r="6348">
          <cell r="B6348" t="str">
            <v>FG03012</v>
          </cell>
          <cell r="C6348" t="str">
            <v>SONDE NASO GASTRIL NO-20 1 PCS</v>
          </cell>
        </row>
        <row r="6349">
          <cell r="B6349" t="str">
            <v>FG03013</v>
          </cell>
          <cell r="C6349" t="str">
            <v>SONDE NASO GASTRIL NO-5 1 PCS</v>
          </cell>
        </row>
        <row r="6350">
          <cell r="B6350" t="str">
            <v>FG03014</v>
          </cell>
          <cell r="C6350" t="str">
            <v>SONDE NASO GASTRIL NO-6 1 PCS</v>
          </cell>
        </row>
        <row r="6351">
          <cell r="B6351" t="str">
            <v>FG03015</v>
          </cell>
          <cell r="C6351" t="str">
            <v>SONDE NASO GASTRIL NO-8 1 PCS</v>
          </cell>
        </row>
        <row r="6352">
          <cell r="B6352" t="str">
            <v>FG03016</v>
          </cell>
          <cell r="C6352" t="str">
            <v>SONDE NELATON NO-10 1 PCS</v>
          </cell>
        </row>
        <row r="6353">
          <cell r="B6353" t="str">
            <v>FG03017</v>
          </cell>
          <cell r="C6353" t="str">
            <v>SONDE NELATON NO-12 1 PCS</v>
          </cell>
        </row>
        <row r="6354">
          <cell r="B6354" t="str">
            <v>FG03018</v>
          </cell>
          <cell r="C6354" t="str">
            <v>SONDE NELATON NO-14 1 PCS</v>
          </cell>
        </row>
        <row r="6355">
          <cell r="B6355" t="str">
            <v>FG03019</v>
          </cell>
          <cell r="C6355" t="str">
            <v>SONDE NELATON NO-16 1 PCS</v>
          </cell>
        </row>
        <row r="6356">
          <cell r="B6356" t="str">
            <v>FG03020</v>
          </cell>
          <cell r="C6356" t="str">
            <v>SONDE NELATON NO-18 1 PCS</v>
          </cell>
        </row>
        <row r="6357">
          <cell r="B6357" t="str">
            <v>FG03021</v>
          </cell>
          <cell r="C6357" t="str">
            <v>SONDE NELATON NO-20 1 PCS</v>
          </cell>
        </row>
        <row r="6358">
          <cell r="B6358" t="str">
            <v>FG03022</v>
          </cell>
          <cell r="C6358" t="str">
            <v>SONDE NELATON NO-8 1 PCS</v>
          </cell>
        </row>
        <row r="6359">
          <cell r="B6359" t="str">
            <v>FG03023</v>
          </cell>
          <cell r="C6359" t="str">
            <v>SONDE RECTAL 40CM NO-20 1 PCS</v>
          </cell>
        </row>
        <row r="6360">
          <cell r="B6360" t="str">
            <v>FG03024</v>
          </cell>
          <cell r="C6360" t="str">
            <v>SONDE RECTAL 40CM NO-22 1 PCS</v>
          </cell>
        </row>
        <row r="6361">
          <cell r="B6361" t="str">
            <v>FG03025</v>
          </cell>
          <cell r="C6361" t="str">
            <v>SONDE RECTAL 40CM NO-24 1 PCS</v>
          </cell>
        </row>
        <row r="6362">
          <cell r="B6362" t="str">
            <v>FG03026</v>
          </cell>
          <cell r="C6362" t="str">
            <v>SONDE RECTAL 40CM NO-26 1 PCS</v>
          </cell>
        </row>
        <row r="6363">
          <cell r="B6363" t="str">
            <v>FG03027</v>
          </cell>
          <cell r="C6363" t="str">
            <v>SONDE RECTAL 40CM NO-28 1 PCS</v>
          </cell>
        </row>
        <row r="6364">
          <cell r="B6364" t="str">
            <v>FG03028</v>
          </cell>
          <cell r="C6364" t="str">
            <v>SONDE RECTAL 40CM NO-30 1 PCS</v>
          </cell>
        </row>
        <row r="6365">
          <cell r="B6365" t="str">
            <v>FG03029</v>
          </cell>
          <cell r="C6365" t="str">
            <v>SONDE URINAIRE 3VOIES NO-16 1 PCS</v>
          </cell>
        </row>
        <row r="6366">
          <cell r="B6366" t="str">
            <v>FG03030</v>
          </cell>
          <cell r="C6366" t="str">
            <v>SONDE URINAIRE 3VOIES NO-18 1 PCS</v>
          </cell>
        </row>
        <row r="6367">
          <cell r="B6367" t="str">
            <v>FG03031</v>
          </cell>
          <cell r="C6367" t="str">
            <v>SONDE URINAIRE 3VOIES NO-20 1 PCS</v>
          </cell>
        </row>
        <row r="6368">
          <cell r="B6368" t="str">
            <v>FG03032</v>
          </cell>
          <cell r="C6368" t="str">
            <v>SONDE URINAIRE 3VOIES NO-22 1 PCS</v>
          </cell>
        </row>
        <row r="6369">
          <cell r="B6369" t="str">
            <v>FG03033</v>
          </cell>
          <cell r="C6369" t="str">
            <v>SONDE URINAIRE 3VOIES NO-24 1 PCS</v>
          </cell>
        </row>
        <row r="6370">
          <cell r="B6370" t="str">
            <v>FG03034</v>
          </cell>
          <cell r="C6370" t="str">
            <v>SONDE URINAIRE NO-10 2VOIES PCS/1</v>
          </cell>
        </row>
        <row r="6371">
          <cell r="B6371" t="str">
            <v>FG03035</v>
          </cell>
          <cell r="C6371" t="str">
            <v>SONDE URINAIRE NO-12 2VOIES PCS/1</v>
          </cell>
        </row>
        <row r="6372">
          <cell r="B6372" t="str">
            <v>FG03036</v>
          </cell>
          <cell r="C6372" t="str">
            <v>SONDE URINAIRE NO-14 2VOIES PCS/1</v>
          </cell>
        </row>
        <row r="6373">
          <cell r="B6373" t="str">
            <v>FG03037</v>
          </cell>
          <cell r="C6373" t="str">
            <v>SONDE URINAIRE NO-16 2VOIES PCS/1</v>
          </cell>
        </row>
        <row r="6374">
          <cell r="B6374" t="str">
            <v>FG03038</v>
          </cell>
          <cell r="C6374" t="str">
            <v>SONDE URINAIRE NO-18 2VOIES PCS/1</v>
          </cell>
        </row>
        <row r="6375">
          <cell r="B6375" t="str">
            <v>FG03039</v>
          </cell>
          <cell r="C6375" t="str">
            <v>SONDE URINAIRE NO-22 2VOIES PCS/1</v>
          </cell>
        </row>
        <row r="6376">
          <cell r="B6376" t="str">
            <v>FG03040</v>
          </cell>
          <cell r="C6376" t="str">
            <v>SONDE URINAIRE NO. 6 2VOIES PCS/1</v>
          </cell>
        </row>
        <row r="6377">
          <cell r="B6377" t="str">
            <v>FG03041</v>
          </cell>
          <cell r="C6377" t="str">
            <v>SONDE URINAIRE NO. 8 2VOIES PCS/1</v>
          </cell>
        </row>
        <row r="6378">
          <cell r="B6378" t="str">
            <v>FG03042</v>
          </cell>
          <cell r="C6378" t="str">
            <v>SONDE URINAIRE NO.20 2VOIES PCS/1</v>
          </cell>
        </row>
        <row r="6379">
          <cell r="B6379" t="str">
            <v>FG03043</v>
          </cell>
          <cell r="C6379" t="str">
            <v>SONDE URINAIRE...NO-24 2VOIES PCS/1</v>
          </cell>
        </row>
        <row r="6380">
          <cell r="B6380" t="str">
            <v>FG03044</v>
          </cell>
          <cell r="C6380" t="str">
            <v>SONDES ENDOTRACHEALES AVEC BALLONNET NO 6.5</v>
          </cell>
        </row>
        <row r="6381">
          <cell r="B6381" t="str">
            <v>FG03045</v>
          </cell>
          <cell r="C6381" t="str">
            <v>SONDES ENDOTRACHEALES AVEC BALLONNET NO. 5.5</v>
          </cell>
        </row>
        <row r="6382">
          <cell r="B6382" t="str">
            <v>FG03046</v>
          </cell>
          <cell r="C6382" t="str">
            <v>SONDES ENDOTRACHEALES AVEC BALLONNET NO.3</v>
          </cell>
        </row>
        <row r="6383">
          <cell r="B6383" t="str">
            <v>FG03047</v>
          </cell>
          <cell r="C6383" t="str">
            <v>SONDES ENDOTRACHEALES AVEC BALLONNET NO.3.5</v>
          </cell>
        </row>
        <row r="6384">
          <cell r="B6384" t="str">
            <v>FG03048</v>
          </cell>
          <cell r="C6384" t="str">
            <v>SONDES ENDOTRACHEALES AVEC BALLONNET NO.4</v>
          </cell>
        </row>
        <row r="6385">
          <cell r="B6385" t="str">
            <v>FG03049</v>
          </cell>
          <cell r="C6385" t="str">
            <v>SONDES ENDOTRACHEALES AVEC BALLONNET NO.4.5</v>
          </cell>
        </row>
        <row r="6386">
          <cell r="B6386" t="str">
            <v>FG03050</v>
          </cell>
          <cell r="C6386" t="str">
            <v>SONDES ENDOTRACHEALES AVEC BALLONNET NO.5</v>
          </cell>
        </row>
        <row r="6387">
          <cell r="B6387" t="str">
            <v>FG03051</v>
          </cell>
          <cell r="C6387" t="str">
            <v>SONDES ENDOTRACHEALES AVEC BALLONNET NO.6</v>
          </cell>
        </row>
        <row r="6388">
          <cell r="B6388" t="str">
            <v>FG03052</v>
          </cell>
          <cell r="C6388" t="str">
            <v>SONDES ENDOTRACHEALES AVEC BALLONNET NO.7</v>
          </cell>
        </row>
        <row r="6389">
          <cell r="B6389" t="str">
            <v>FG03053</v>
          </cell>
          <cell r="C6389" t="str">
            <v>SONDES ENDOTRACHEALES AVEC BALLONNET NO.7.5</v>
          </cell>
        </row>
        <row r="6390">
          <cell r="B6390" t="str">
            <v>FG03054</v>
          </cell>
          <cell r="C6390" t="str">
            <v>SONDES ENDOTRACHEALES AVEC BALLONNET NO.8</v>
          </cell>
        </row>
        <row r="6391">
          <cell r="B6391" t="str">
            <v>FG03055</v>
          </cell>
          <cell r="C6391" t="str">
            <v>SONDES ENDOTRACHEALES AVEC BALLONNET NO.8.5</v>
          </cell>
        </row>
        <row r="6392">
          <cell r="B6392" t="str">
            <v>FG03056</v>
          </cell>
          <cell r="C6392" t="str">
            <v>SPARADRA 2.5CM X 5CM PCS/1</v>
          </cell>
        </row>
        <row r="6393">
          <cell r="B6393" t="str">
            <v>FG03057</v>
          </cell>
          <cell r="C6393" t="str">
            <v>SPARADRA-MEDIFIX 10CM X 10M PCS/1</v>
          </cell>
        </row>
        <row r="6394">
          <cell r="B6394" t="str">
            <v>FG03058</v>
          </cell>
          <cell r="C6394" t="str">
            <v>SPARADRA-MEDIFIX 15CM X 10M PCS/1</v>
          </cell>
        </row>
        <row r="6395">
          <cell r="B6395" t="str">
            <v>FG03059</v>
          </cell>
          <cell r="C6395" t="str">
            <v>SPARADRA-MEDIFIX 20CM X 10M PCS/1</v>
          </cell>
        </row>
        <row r="6396">
          <cell r="B6396" t="str">
            <v>FG03060</v>
          </cell>
          <cell r="C6396" t="str">
            <v>SPARADRA-MEDIFIX 5CM X 10M PCS/1</v>
          </cell>
        </row>
        <row r="6397">
          <cell r="B6397" t="str">
            <v>FG03061</v>
          </cell>
          <cell r="C6397" t="str">
            <v>SPARADRA-SILK 2.5CM X 5Y PCS/1</v>
          </cell>
        </row>
        <row r="6398">
          <cell r="B6398" t="str">
            <v>FG03062</v>
          </cell>
          <cell r="C6398" t="str">
            <v>SPARADRA-SILK 5CM X 5Y PCS/1</v>
          </cell>
        </row>
        <row r="6399">
          <cell r="B6399" t="str">
            <v>FG03063</v>
          </cell>
          <cell r="C6399" t="str">
            <v>SPARADRAP 10CMX5M PCS(UNIQUE)</v>
          </cell>
        </row>
        <row r="6400">
          <cell r="B6400" t="str">
            <v>FG03064</v>
          </cell>
          <cell r="C6400" t="str">
            <v>SPARADRAP 5CMX5M PCS(UNIQUE)</v>
          </cell>
        </row>
        <row r="6401">
          <cell r="B6401" t="str">
            <v>FG03065</v>
          </cell>
          <cell r="C6401" t="str">
            <v>SPARADRAP 7.5CMX5M PCS(UNIQUE)</v>
          </cell>
        </row>
        <row r="6402">
          <cell r="B6402" t="str">
            <v>FG03066</v>
          </cell>
          <cell r="C6402" t="str">
            <v>SPARADRAP HYPOALLERGENIC @@ 10 CM @@X 5M (UNIUQE)</v>
          </cell>
        </row>
        <row r="6403">
          <cell r="B6403" t="str">
            <v>FG03067</v>
          </cell>
          <cell r="C6403" t="str">
            <v>SPARADRAP HYPOALLERGENIC # 5 CM ## X 5M (UNIUQE )</v>
          </cell>
        </row>
        <row r="6404">
          <cell r="B6404" t="str">
            <v>FG03068</v>
          </cell>
          <cell r="C6404" t="str">
            <v>SPARADRAP HYPOALLERGENIC 2.5CM (UNIQUE)</v>
          </cell>
        </row>
        <row r="6405">
          <cell r="B6405" t="str">
            <v>FG03069</v>
          </cell>
          <cell r="C6405" t="str">
            <v>SPARET (DICYCLOVERINE+SIMETICONE) GOUTTES 15ML</v>
          </cell>
        </row>
        <row r="6406">
          <cell r="B6406" t="str">
            <v>FG03070</v>
          </cell>
          <cell r="C6406" t="str">
            <v>SPARET (MEFENAMIQUE + DICYCLOVIRINE) B/10CES</v>
          </cell>
        </row>
        <row r="6407">
          <cell r="B6407" t="str">
            <v>FG03071</v>
          </cell>
          <cell r="C6407" t="str">
            <v>SPARET FORTE (MEFENAMIQUE+PARACETAMOL) B/10CES</v>
          </cell>
        </row>
        <row r="6408">
          <cell r="B6408" t="str">
            <v>FG03072</v>
          </cell>
          <cell r="C6408" t="str">
            <v>SPASFON INJ. B/6AMP (FR)</v>
          </cell>
        </row>
        <row r="6409">
          <cell r="B6409" t="str">
            <v>FG03073</v>
          </cell>
          <cell r="C6409" t="str">
            <v>SPASFON LYOC ****** 160MG B/5CES****** (FR)</v>
          </cell>
        </row>
        <row r="6410">
          <cell r="B6410" t="str">
            <v>FG03074</v>
          </cell>
          <cell r="C6410" t="str">
            <v>SPASMINE B/10 CES</v>
          </cell>
        </row>
        <row r="6411">
          <cell r="B6411" t="str">
            <v>FG03075</v>
          </cell>
          <cell r="C6411" t="str">
            <v>SPASMOMEN 40MG 30CES</v>
          </cell>
        </row>
        <row r="6412">
          <cell r="B6412" t="str">
            <v>FG03076</v>
          </cell>
          <cell r="C6412" t="str">
            <v>SPASTA -10 ( DICYLOMINE ) B / 1 X 10 CES</v>
          </cell>
        </row>
        <row r="6413">
          <cell r="B6413" t="str">
            <v>FG03077</v>
          </cell>
          <cell r="C6413" t="str">
            <v>SPASTA SIROP 100ML</v>
          </cell>
        </row>
        <row r="6414">
          <cell r="B6414" t="str">
            <v>FG03078</v>
          </cell>
          <cell r="C6414" t="str">
            <v>SPASTA-20 (DICYCLOMINE ) B\ 1 X 10 CES</v>
          </cell>
        </row>
        <row r="6415">
          <cell r="B6415" t="str">
            <v>FG03079</v>
          </cell>
          <cell r="C6415" t="str">
            <v>SPEAKER</v>
          </cell>
        </row>
        <row r="6416">
          <cell r="B6416" t="str">
            <v>FG03080</v>
          </cell>
          <cell r="C6416" t="str">
            <v>SPECIA PATE GINGIVALE 75 ML</v>
          </cell>
        </row>
        <row r="6417">
          <cell r="B6417" t="str">
            <v>FG03081</v>
          </cell>
          <cell r="C6417" t="str">
            <v>SPILANTHOL A.H.T B/10SUPPOS</v>
          </cell>
        </row>
        <row r="6418">
          <cell r="B6418" t="str">
            <v>FG03082</v>
          </cell>
          <cell r="C6418" t="str">
            <v>STABILIZER 2000WL</v>
          </cell>
        </row>
        <row r="6419">
          <cell r="B6419" t="str">
            <v>FG03083</v>
          </cell>
          <cell r="C6419" t="str">
            <v>STAMP MINI</v>
          </cell>
        </row>
        <row r="6420">
          <cell r="B6420" t="str">
            <v>FG03084</v>
          </cell>
          <cell r="C6420" t="str">
            <v>STARDEX COLLYRE 10ML</v>
          </cell>
        </row>
        <row r="6421">
          <cell r="B6421" t="str">
            <v>FG03085</v>
          </cell>
          <cell r="C6421" t="str">
            <v>START-120MG (ARTESUNATE) INJECTABLE B/ 1 KIT</v>
          </cell>
        </row>
        <row r="6422">
          <cell r="B6422" t="str">
            <v>FG03086</v>
          </cell>
          <cell r="C6422" t="str">
            <v>START-150MG (ARTESUNATE) INJECTABLE B/ 1 KIT</v>
          </cell>
        </row>
        <row r="6423">
          <cell r="B6423" t="str">
            <v>FG03087</v>
          </cell>
          <cell r="C6423" t="str">
            <v>START-180MG (ARTESUNATE) INJECTABLE B/ 1 KIT</v>
          </cell>
        </row>
        <row r="6424">
          <cell r="B6424" t="str">
            <v>FG03088</v>
          </cell>
          <cell r="C6424" t="str">
            <v>START-210MG (ARTESUNATE) INJECTABLE B/ 1 KIT</v>
          </cell>
        </row>
        <row r="6425">
          <cell r="B6425" t="str">
            <v>FG03089</v>
          </cell>
          <cell r="C6425" t="str">
            <v>START-240MG (ARTESUNATE) INJECTABLE B/ 1 KIT</v>
          </cell>
        </row>
        <row r="6426">
          <cell r="B6426" t="str">
            <v>FG03090</v>
          </cell>
          <cell r="C6426" t="str">
            <v>START-30MG (ARTESUNATE) INJECTABLE B/ 1 KIT</v>
          </cell>
        </row>
        <row r="6427">
          <cell r="B6427" t="str">
            <v>FG03091</v>
          </cell>
          <cell r="C6427" t="str">
            <v>START-60MG (ARTESUNATE) INJECTABLE B/ 1 KIT</v>
          </cell>
        </row>
        <row r="6428">
          <cell r="B6428" t="str">
            <v>FG03092</v>
          </cell>
          <cell r="C6428" t="str">
            <v>START-90MG (ARTESUNATE) INJECTABLE B/ 1 KIT</v>
          </cell>
        </row>
        <row r="6429">
          <cell r="B6429" t="str">
            <v>FG03093</v>
          </cell>
          <cell r="C6429" t="str">
            <v>STEBILASR 1000W</v>
          </cell>
        </row>
        <row r="6430">
          <cell r="B6430" t="str">
            <v>FG03094</v>
          </cell>
          <cell r="C6430" t="str">
            <v>STERIMAR BEBE SOL NASAL 50ML(FR)</v>
          </cell>
        </row>
        <row r="6431">
          <cell r="B6431" t="str">
            <v>FG03095</v>
          </cell>
          <cell r="C6431" t="str">
            <v>STERIPLAIE 5GR. POUDRE</v>
          </cell>
        </row>
        <row r="6432">
          <cell r="B6432" t="str">
            <v>FG03096</v>
          </cell>
          <cell r="C6432" t="str">
            <v>STERIZONE (CEFTRIAXONE 1G) IM IV B/1AMP</v>
          </cell>
        </row>
        <row r="6433">
          <cell r="B6433" t="str">
            <v>FG03097</v>
          </cell>
          <cell r="C6433" t="str">
            <v>STERIZONE S 1500 B/A 1AMP</v>
          </cell>
        </row>
        <row r="6434">
          <cell r="B6434" t="str">
            <v>FG03098</v>
          </cell>
          <cell r="C6434" t="str">
            <v>STERIZONE T 1125 B/1AMP</v>
          </cell>
        </row>
        <row r="6435">
          <cell r="B6435" t="str">
            <v>FG03099</v>
          </cell>
          <cell r="C6435" t="str">
            <v>STEROVIT SIROP 100ML</v>
          </cell>
        </row>
        <row r="6436">
          <cell r="B6436" t="str">
            <v>FG03100</v>
          </cell>
          <cell r="C6436" t="str">
            <v>STETHOSCOPE DOUBLE (UNIQUE)</v>
          </cell>
        </row>
        <row r="6437">
          <cell r="B6437" t="str">
            <v>FG03101</v>
          </cell>
          <cell r="C6437" t="str">
            <v>STETHOSCOPE DOUBLE DELUXE (UNIQUE)</v>
          </cell>
        </row>
        <row r="6438">
          <cell r="B6438" t="str">
            <v>FG03102</v>
          </cell>
          <cell r="C6438" t="str">
            <v>STETHOSCOPE SIMPLE (UNIQUE)</v>
          </cell>
        </row>
        <row r="6439">
          <cell r="B6439" t="str">
            <v>FG03103</v>
          </cell>
          <cell r="C6439" t="str">
            <v>STIMUFORT SP 100ML</v>
          </cell>
        </row>
        <row r="6440">
          <cell r="B6440" t="str">
            <v>FG03104</v>
          </cell>
          <cell r="C6440" t="str">
            <v>STIMULEX B/10CAPS</v>
          </cell>
        </row>
        <row r="6441">
          <cell r="B6441" t="str">
            <v>FG03105</v>
          </cell>
          <cell r="C6441" t="str">
            <v>STIMULEX-TONIQUE 100ML SP</v>
          </cell>
        </row>
        <row r="6442">
          <cell r="B6442" t="str">
            <v>FG03106</v>
          </cell>
          <cell r="C6442" t="str">
            <v>STREPSIL MIEL CITRON 24 PASTILLES</v>
          </cell>
        </row>
        <row r="6443">
          <cell r="B6443" t="str">
            <v>FG03107</v>
          </cell>
          <cell r="C6443" t="str">
            <v>STREPSILS LIDOCAINE ....SPRAY 20ML</v>
          </cell>
        </row>
        <row r="6444">
          <cell r="B6444" t="str">
            <v>FG03108</v>
          </cell>
          <cell r="C6444" t="str">
            <v>STREPSILS SANS SUCRE CITRON 16 PASTILLES</v>
          </cell>
        </row>
        <row r="6445">
          <cell r="B6445" t="str">
            <v>FG03109</v>
          </cell>
          <cell r="C6445" t="str">
            <v>STREPSILS SANS SUCRE CITRON 36PASTILLES</v>
          </cell>
        </row>
        <row r="6446">
          <cell r="B6446" t="str">
            <v>FG03110</v>
          </cell>
          <cell r="C6446" t="str">
            <v>STRIALEXIN $ 500 MG (CEFALEXIN) B/20CPS</v>
          </cell>
        </row>
        <row r="6447">
          <cell r="B6447" t="str">
            <v>FG03111</v>
          </cell>
          <cell r="C6447" t="str">
            <v>STRIALEXIN 125MG (CEFALEXIN) SIROP</v>
          </cell>
        </row>
        <row r="6448">
          <cell r="B6448" t="str">
            <v>FG03112</v>
          </cell>
          <cell r="C6448" t="str">
            <v>STRIALEXIN @ 250 MG (CEFALEXIN) SIROP</v>
          </cell>
        </row>
        <row r="6449">
          <cell r="B6449" t="str">
            <v>FG03114</v>
          </cell>
          <cell r="C6449" t="str">
            <v>SUCRAFIL O GEL SUSP 100ML</v>
          </cell>
        </row>
        <row r="6450">
          <cell r="B6450" t="str">
            <v>FG03115</v>
          </cell>
          <cell r="C6450" t="str">
            <v>SUDROX 100MG (CEFADROXYL) SUSP. GOUTTE 10ML</v>
          </cell>
        </row>
        <row r="6451">
          <cell r="B6451" t="str">
            <v>FG03116</v>
          </cell>
          <cell r="C6451" t="str">
            <v>SUDROX 250MG (CEFADROXYL) POUDRE POUR SUSP. 100ML</v>
          </cell>
        </row>
        <row r="6452">
          <cell r="B6452" t="str">
            <v>FG03117</v>
          </cell>
          <cell r="C6452" t="str">
            <v>SUDROX-1000MG (CEFADROXYL) DISP. B/10 CES SEC</v>
          </cell>
        </row>
        <row r="6453">
          <cell r="B6453" t="str">
            <v>FG03118</v>
          </cell>
          <cell r="C6453" t="str">
            <v>SUDROX-500MG (CEFADROXYL) B/12CAPS</v>
          </cell>
        </row>
        <row r="6454">
          <cell r="B6454" t="str">
            <v>FG03119</v>
          </cell>
          <cell r="C6454" t="str">
            <v>SULFA DE FER 10X10 CES</v>
          </cell>
        </row>
        <row r="6455">
          <cell r="B6455" t="str">
            <v>FG03120</v>
          </cell>
          <cell r="C6455" t="str">
            <v>SULFADOX PL 3CES</v>
          </cell>
        </row>
        <row r="6456">
          <cell r="B6456" t="str">
            <v>FG03121</v>
          </cell>
          <cell r="C6456" t="str">
            <v>SULFAT DE FER+ACID FOLIC B/10X10CES</v>
          </cell>
        </row>
        <row r="6457">
          <cell r="B6457" t="str">
            <v>FG03122</v>
          </cell>
          <cell r="C6457" t="str">
            <v>SULFATE DE FER B/1000CES</v>
          </cell>
        </row>
        <row r="6458">
          <cell r="B6458" t="str">
            <v>FG03123</v>
          </cell>
          <cell r="C6458" t="str">
            <v>SULFATE DE MAGNESIUM 1GM B/1AMP (STEROP)</v>
          </cell>
        </row>
        <row r="6459">
          <cell r="B6459" t="str">
            <v>FG03124</v>
          </cell>
          <cell r="C6459" t="str">
            <v>SULFATE DE MAGNESIUM 2.5MG B\1AMP (STEROP)</v>
          </cell>
        </row>
        <row r="6460">
          <cell r="B6460" t="str">
            <v>FG03125</v>
          </cell>
          <cell r="C6460" t="str">
            <v>SULFATRIM 480MG B/10CES X 25PL</v>
          </cell>
        </row>
        <row r="6461">
          <cell r="B6461" t="str">
            <v>FG03126</v>
          </cell>
          <cell r="C6461" t="str">
            <v>SULFATRIM FORTE B/10CES</v>
          </cell>
        </row>
        <row r="6462">
          <cell r="B6462" t="str">
            <v>FG03127</v>
          </cell>
          <cell r="C6462" t="str">
            <v>SULFATRIM SP 100ML</v>
          </cell>
        </row>
        <row r="6463">
          <cell r="B6463" t="str">
            <v>FG03128</v>
          </cell>
          <cell r="C6463" t="str">
            <v>SULFAZINE COOLYRE 10ML</v>
          </cell>
        </row>
        <row r="6464">
          <cell r="B6464" t="str">
            <v>FG03129</v>
          </cell>
          <cell r="C6464" t="str">
            <v>SULFENYL COLLYRE 5ML</v>
          </cell>
        </row>
        <row r="6465">
          <cell r="B6465" t="str">
            <v>FG03130</v>
          </cell>
          <cell r="C6465" t="str">
            <v>SULFOBACTIN (THIAMPHENICOL) 500MG B/20CES</v>
          </cell>
        </row>
        <row r="6466">
          <cell r="B6466" t="str">
            <v>FG03131</v>
          </cell>
          <cell r="C6466" t="str">
            <v>SUN 120 (ARTESUNATE 120MG) B/1AMP</v>
          </cell>
        </row>
        <row r="6467">
          <cell r="B6467" t="str">
            <v>FG03132</v>
          </cell>
          <cell r="C6467" t="str">
            <v>SUN 30 (ARTESUNATE 30MG) B/1AMP</v>
          </cell>
        </row>
        <row r="6468">
          <cell r="B6468" t="str">
            <v>FG03133</v>
          </cell>
          <cell r="C6468" t="str">
            <v>SUN 60 (ARTESUNATE 60MG) B/1AMP</v>
          </cell>
        </row>
        <row r="6469">
          <cell r="B6469" t="str">
            <v>FG03134</v>
          </cell>
          <cell r="C6469" t="str">
            <v>SUN GLASS</v>
          </cell>
        </row>
        <row r="6470">
          <cell r="B6470" t="str">
            <v>FG03135</v>
          </cell>
          <cell r="C6470" t="str">
            <v>SUNAT 60MG INJ. B/1AMP</v>
          </cell>
        </row>
        <row r="6471">
          <cell r="B6471" t="str">
            <v>FG03136</v>
          </cell>
          <cell r="C6471" t="str">
            <v>SUNAT A FORTE BT/6CES</v>
          </cell>
        </row>
        <row r="6472">
          <cell r="B6472" t="str">
            <v>FG03137</v>
          </cell>
          <cell r="C6472" t="str">
            <v>SUNAT INJ 120MG COMBI PACK</v>
          </cell>
        </row>
        <row r="6473">
          <cell r="B6473" t="str">
            <v>FG03138</v>
          </cell>
          <cell r="C6473" t="str">
            <v>SUNAT INJ 180MG COMBI PACK</v>
          </cell>
        </row>
        <row r="6474">
          <cell r="B6474" t="str">
            <v>FG03139</v>
          </cell>
          <cell r="C6474" t="str">
            <v>SUNAT INJ 30MG COMBI PACK</v>
          </cell>
        </row>
        <row r="6475">
          <cell r="B6475" t="str">
            <v>FG03140</v>
          </cell>
          <cell r="C6475" t="str">
            <v>SUNAT-A KIT (ARTESU.+AMODIAQ.) 6CES</v>
          </cell>
        </row>
        <row r="6476">
          <cell r="B6476" t="str">
            <v>FG03141</v>
          </cell>
          <cell r="C6476" t="str">
            <v>SUPER APETI B/20CES</v>
          </cell>
        </row>
        <row r="6477">
          <cell r="B6477" t="str">
            <v>FG03142</v>
          </cell>
          <cell r="C6477" t="str">
            <v>SUPER APETI PLUS 20CES</v>
          </cell>
        </row>
        <row r="6478">
          <cell r="B6478" t="str">
            <v>FG03143</v>
          </cell>
          <cell r="C6478" t="str">
            <v>SUPER APETI PLUS SP 200ML</v>
          </cell>
        </row>
        <row r="6479">
          <cell r="B6479" t="str">
            <v>FG03144</v>
          </cell>
          <cell r="C6479" t="str">
            <v>SUPRADYN B/10CES EFF. (FR)</v>
          </cell>
        </row>
        <row r="6480">
          <cell r="B6480" t="str">
            <v>FG03145</v>
          </cell>
          <cell r="C6480" t="str">
            <v>SUPRADYN ENERGY 30CES SANS SUCRE (FR)</v>
          </cell>
        </row>
        <row r="6481">
          <cell r="B6481" t="str">
            <v>FG03146</v>
          </cell>
          <cell r="C6481" t="str">
            <v>SUPRADYN ENERGY B/30CES EFF.</v>
          </cell>
        </row>
        <row r="6482">
          <cell r="B6482" t="str">
            <v>FG03147</v>
          </cell>
          <cell r="C6482" t="str">
            <v>SURAPPETIT 100ML SP</v>
          </cell>
        </row>
        <row r="6483">
          <cell r="B6483" t="str">
            <v>FG03148</v>
          </cell>
          <cell r="C6483" t="str">
            <v>SURGAM 200MG 20CES (FR)</v>
          </cell>
        </row>
        <row r="6484">
          <cell r="B6484" t="str">
            <v>FG03149</v>
          </cell>
          <cell r="C6484" t="str">
            <v>SURGICAL KIT</v>
          </cell>
        </row>
        <row r="6485">
          <cell r="B6485" t="str">
            <v>FG03150</v>
          </cell>
          <cell r="C6485" t="str">
            <v>SURMENALIT 200MG B/30CES (FR)</v>
          </cell>
        </row>
        <row r="6486">
          <cell r="B6486" t="str">
            <v>FG03151</v>
          </cell>
          <cell r="C6486" t="str">
            <v>SURQUINA 250MG B/18CES (FR)</v>
          </cell>
        </row>
        <row r="6487">
          <cell r="B6487" t="str">
            <v>FG03152</v>
          </cell>
          <cell r="C6487" t="str">
            <v>SWISS CLAV 457MG SIROP</v>
          </cell>
        </row>
        <row r="6488">
          <cell r="B6488" t="str">
            <v>FG03153</v>
          </cell>
          <cell r="C6488" t="str">
            <v>SYMOSPAZ 30CES</v>
          </cell>
        </row>
        <row r="6489">
          <cell r="B6489" t="str">
            <v>FG03154</v>
          </cell>
          <cell r="C6489" t="str">
            <v>SYMOSPAZ 6AMP</v>
          </cell>
        </row>
        <row r="6490">
          <cell r="B6490" t="str">
            <v>FG03155</v>
          </cell>
          <cell r="C6490" t="str">
            <v>SYMPATHYL 40CES (FR)</v>
          </cell>
        </row>
        <row r="6491">
          <cell r="B6491" t="str">
            <v>FG03156</v>
          </cell>
          <cell r="C6491" t="str">
            <v>SYNZOPIP (PIPERACILINE &amp; TAZO) 4.5 G INJECTION USP</v>
          </cell>
        </row>
        <row r="6492">
          <cell r="B6492" t="str">
            <v>FG03157</v>
          </cell>
          <cell r="C6492" t="str">
            <v>SYSCHOL 500MG 1 PCS</v>
          </cell>
        </row>
        <row r="6493">
          <cell r="B6493" t="str">
            <v>FG03158</v>
          </cell>
          <cell r="C6493" t="str">
            <v>SYSURIXAL (CITRATE DE SOD) 120ML</v>
          </cell>
        </row>
        <row r="6494">
          <cell r="B6494" t="str">
            <v>FG03159</v>
          </cell>
          <cell r="C6494" t="str">
            <v>T SHIT</v>
          </cell>
        </row>
        <row r="6495">
          <cell r="B6495" t="str">
            <v>FG03160</v>
          </cell>
          <cell r="C6495" t="str">
            <v>T V 50</v>
          </cell>
        </row>
        <row r="6496">
          <cell r="B6496" t="str">
            <v>FG03161</v>
          </cell>
          <cell r="C6496" t="str">
            <v>T-SUN 240MG INJ</v>
          </cell>
        </row>
        <row r="6497">
          <cell r="B6497" t="str">
            <v>FG03162</v>
          </cell>
          <cell r="C6497" t="str">
            <v>TABLE BAR</v>
          </cell>
        </row>
        <row r="6498">
          <cell r="B6498" t="str">
            <v>FG03163</v>
          </cell>
          <cell r="C6498" t="str">
            <v>TABLE DE CHEVETS</v>
          </cell>
        </row>
        <row r="6499">
          <cell r="B6499" t="str">
            <v>FG03164</v>
          </cell>
          <cell r="C6499" t="str">
            <v>TABLIERS MATERNITE</v>
          </cell>
        </row>
        <row r="6500">
          <cell r="B6500" t="str">
            <v>FG03165</v>
          </cell>
          <cell r="C6500" t="str">
            <v>TACEF (CEFTRIAXONE+TAZOBACTAM) IV/IM INJ</v>
          </cell>
        </row>
        <row r="6501">
          <cell r="B6501" t="str">
            <v>FG03166</v>
          </cell>
          <cell r="C6501" t="str">
            <v>TACEF POWDER SOLUTION 1G B/1AMP</v>
          </cell>
        </row>
        <row r="6502">
          <cell r="B6502" t="str">
            <v>FG03167</v>
          </cell>
          <cell r="C6502" t="str">
            <v>TAHOR 10MG B/28CES (ATORVASTATINE)</v>
          </cell>
        </row>
        <row r="6503">
          <cell r="B6503" t="str">
            <v>FG03168</v>
          </cell>
          <cell r="C6503" t="str">
            <v>TAHOR 20MG B/28CES (ATORVASTTINE)</v>
          </cell>
        </row>
        <row r="6504">
          <cell r="B6504" t="str">
            <v>FG03169</v>
          </cell>
          <cell r="C6504" t="str">
            <v>TAMBAC (CEFPODOXIME) 50 DRY SYRUP</v>
          </cell>
        </row>
        <row r="6505">
          <cell r="B6505" t="str">
            <v>FG03170</v>
          </cell>
          <cell r="C6505" t="str">
            <v>TAMOXILON 10MG (TAMOXIFEN) PLT DE 10CES</v>
          </cell>
        </row>
        <row r="6506">
          <cell r="B6506" t="str">
            <v>FG03171</v>
          </cell>
          <cell r="C6506" t="str">
            <v>TAMOXILON 20MG (TAMOXIFEN ) PLS DE 10CES</v>
          </cell>
        </row>
        <row r="6507">
          <cell r="B6507" t="str">
            <v>FG03172</v>
          </cell>
          <cell r="C6507" t="str">
            <v>TAMOZ 5% 5ML COLLYRE</v>
          </cell>
        </row>
        <row r="6508">
          <cell r="B6508" t="str">
            <v>FG03173</v>
          </cell>
          <cell r="C6508" t="str">
            <v>TANZOL B/20CES</v>
          </cell>
        </row>
        <row r="6509">
          <cell r="B6509" t="str">
            <v>FG03174</v>
          </cell>
          <cell r="C6509" t="str">
            <v>TANZOL SUSP. 10ML</v>
          </cell>
        </row>
        <row r="6510">
          <cell r="B6510" t="str">
            <v>FG03175</v>
          </cell>
          <cell r="C6510" t="str">
            <v>TAPOXIA 100 (TAPENTADOL 100 MG ) B/10CES</v>
          </cell>
        </row>
        <row r="6511">
          <cell r="B6511" t="str">
            <v>FG03176</v>
          </cell>
          <cell r="C6511" t="str">
            <v>TAPOXIA 50 (TAPENTADOL 50 MG ) B/10CES</v>
          </cell>
        </row>
        <row r="6512">
          <cell r="B6512" t="str">
            <v>FG03177</v>
          </cell>
          <cell r="C6512" t="str">
            <v>TAPOXIA 75 (TAPENTADOL 75 MG ) B/10CES</v>
          </cell>
        </row>
        <row r="6513">
          <cell r="B6513" t="str">
            <v>FG03178</v>
          </cell>
          <cell r="C6513" t="str">
            <v>TARA IV (LEVOFLOXACINE) 500MG 100ML</v>
          </cell>
        </row>
        <row r="6514">
          <cell r="B6514" t="str">
            <v>FG03179</v>
          </cell>
          <cell r="C6514" t="str">
            <v>TARA-500 (LEVOFLOX.) BT/10CES</v>
          </cell>
        </row>
        <row r="6515">
          <cell r="B6515" t="str">
            <v>FG03180</v>
          </cell>
          <cell r="C6515" t="str">
            <v>TARDYFERON B 9 30 CES (EO)</v>
          </cell>
        </row>
        <row r="6516">
          <cell r="B6516" t="str">
            <v>FG03181</v>
          </cell>
          <cell r="C6516" t="str">
            <v>TAREG 160MG B/28CES (FR)</v>
          </cell>
        </row>
        <row r="6517">
          <cell r="B6517" t="str">
            <v>FG03182</v>
          </cell>
          <cell r="C6517" t="str">
            <v>TASCURE 30GM CREME</v>
          </cell>
        </row>
        <row r="6518">
          <cell r="B6518" t="str">
            <v>FG03183</v>
          </cell>
          <cell r="C6518" t="str">
            <v>TAXIM -1 (CEFOTAXIME) 1GM B/1AMP</v>
          </cell>
        </row>
        <row r="6519">
          <cell r="B6519" t="str">
            <v>FG03184</v>
          </cell>
          <cell r="C6519" t="str">
            <v>TAXIM-FS (CEFOTAXIME) 1.5MG IM/IV B/1AMP</v>
          </cell>
        </row>
        <row r="6520">
          <cell r="B6520" t="str">
            <v>FG03185</v>
          </cell>
          <cell r="C6520" t="str">
            <v>TAZEX 1125MG INJ</v>
          </cell>
        </row>
        <row r="6521">
          <cell r="B6521" t="str">
            <v>FG03186</v>
          </cell>
          <cell r="C6521" t="str">
            <v>TAZOCEF INJ B/1AMP</v>
          </cell>
        </row>
        <row r="6522">
          <cell r="B6522" t="str">
            <v>FG03187</v>
          </cell>
          <cell r="C6522" t="str">
            <v>TECHNOCID SP (ANTIACID) SP 100ML</v>
          </cell>
        </row>
        <row r="6523">
          <cell r="B6523" t="str">
            <v>FG03188</v>
          </cell>
          <cell r="C6523" t="str">
            <v>TEEN DERM ALPHA PURE CREA 30ML</v>
          </cell>
        </row>
        <row r="6524">
          <cell r="B6524" t="str">
            <v>FG03189</v>
          </cell>
          <cell r="C6524" t="str">
            <v>TEEN DERM AQUA 200ML (FR)</v>
          </cell>
        </row>
        <row r="6525">
          <cell r="B6525" t="str">
            <v>FG03190</v>
          </cell>
          <cell r="C6525" t="str">
            <v>TEEN DERM GEL 150 ML</v>
          </cell>
        </row>
        <row r="6526">
          <cell r="B6526" t="str">
            <v>FG03191</v>
          </cell>
          <cell r="C6526" t="str">
            <v>TEEN DERM K CONCENTRATE NUIT 30ML</v>
          </cell>
        </row>
        <row r="6527">
          <cell r="B6527" t="str">
            <v>FG03192</v>
          </cell>
          <cell r="C6527" t="str">
            <v>TEEN DERM K GEL-CREAN 30ML</v>
          </cell>
        </row>
        <row r="6528">
          <cell r="B6528" t="str">
            <v>FG03193</v>
          </cell>
          <cell r="C6528" t="str">
            <v>TEGREPINE (CARBAMAZEPINE) UPS 200MG B/30CES</v>
          </cell>
        </row>
        <row r="6529">
          <cell r="B6529" t="str">
            <v>FG03194</v>
          </cell>
          <cell r="C6529" t="str">
            <v>TEGRETOL SUSP. BUV. 150 ML (FR)</v>
          </cell>
        </row>
        <row r="6530">
          <cell r="B6530" t="str">
            <v>FG03195</v>
          </cell>
          <cell r="C6530" t="str">
            <v>TEINTURE DE BELLADON</v>
          </cell>
        </row>
        <row r="6531">
          <cell r="B6531" t="str">
            <v>FG03196</v>
          </cell>
          <cell r="C6531" t="str">
            <v>TELEBREX 35 INJ 50ML (FR)</v>
          </cell>
        </row>
        <row r="6532">
          <cell r="B6532" t="str">
            <v>FG03197</v>
          </cell>
          <cell r="C6532" t="str">
            <v>TELESHAL (TELMISARTAN) 20MG B\30CES</v>
          </cell>
        </row>
        <row r="6533">
          <cell r="B6533" t="str">
            <v>FG03198</v>
          </cell>
          <cell r="C6533" t="str">
            <v>TELESHAL (TELMISARTAN) 80MG B\30CES</v>
          </cell>
        </row>
        <row r="6534">
          <cell r="B6534" t="str">
            <v>FG03199</v>
          </cell>
          <cell r="C6534" t="str">
            <v>TELESHAL (TELMISARTAN)40MG B/30CES</v>
          </cell>
        </row>
        <row r="6535">
          <cell r="B6535" t="str">
            <v>FG03200</v>
          </cell>
          <cell r="C6535" t="str">
            <v>TELESHAL-H (TELMISARTAN) 40MG/12.5MG B/30CES</v>
          </cell>
        </row>
        <row r="6536">
          <cell r="B6536" t="str">
            <v>FG03201</v>
          </cell>
          <cell r="C6536" t="str">
            <v>TELESHAL-H (TELMISARTAN) 80MG/12.5MG B/30CES</v>
          </cell>
        </row>
        <row r="6537">
          <cell r="B6537" t="str">
            <v>FG03202</v>
          </cell>
          <cell r="C6537" t="str">
            <v>TELESHAL-H(TELMISARTAN) 80MG/25MG B/30 CES</v>
          </cell>
        </row>
        <row r="6538">
          <cell r="B6538" t="str">
            <v>FG03203</v>
          </cell>
          <cell r="C6538" t="str">
            <v>TELI 40H (TELMISA+HYDROCHLO) B/10CES</v>
          </cell>
        </row>
        <row r="6539">
          <cell r="B6539" t="str">
            <v>FG03204</v>
          </cell>
          <cell r="C6539" t="str">
            <v>TELI 40MG (TELMISARTAN) B/10CES</v>
          </cell>
        </row>
        <row r="6540">
          <cell r="B6540" t="str">
            <v>FG03205</v>
          </cell>
          <cell r="C6540" t="str">
            <v>TELI 80MG (TELMISARTAN) B/10CES</v>
          </cell>
        </row>
        <row r="6541">
          <cell r="B6541" t="str">
            <v>FG03206</v>
          </cell>
          <cell r="C6541" t="str">
            <v>TELMI-H (TELMI 40MG &amp; HYDRO 12.5MG) B30CES</v>
          </cell>
        </row>
        <row r="6542">
          <cell r="B6542" t="str">
            <v>FG03207</v>
          </cell>
          <cell r="C6542" t="str">
            <v>TELMINDOC -20 (TELMISATAN) 20MG B/30 CES</v>
          </cell>
        </row>
        <row r="6543">
          <cell r="B6543" t="str">
            <v>FG03208</v>
          </cell>
          <cell r="C6543" t="str">
            <v>TELMINDOC -40 (TELMISATAN) 40MG B/30 CES</v>
          </cell>
        </row>
        <row r="6544">
          <cell r="B6544" t="str">
            <v>FG03209</v>
          </cell>
          <cell r="C6544" t="str">
            <v>TELTAS 40 AH (TELMISARTAN+AMLO+ HCL) B/30CES</v>
          </cell>
        </row>
        <row r="6545">
          <cell r="B6545" t="str">
            <v>FG03210</v>
          </cell>
          <cell r="C6545" t="str">
            <v>TELTAS 40H (TELMISARTAN + HCL) 40MG+12.5MG B/30CES</v>
          </cell>
        </row>
        <row r="6546">
          <cell r="B6546" t="str">
            <v>FG03211</v>
          </cell>
          <cell r="C6546" t="str">
            <v>TELTAS 40MG (TELMISARTAN) B/30CES</v>
          </cell>
        </row>
        <row r="6547">
          <cell r="B6547" t="str">
            <v>FG03212</v>
          </cell>
          <cell r="C6547" t="str">
            <v>TELTAS 80 AH (TELMISARTAN +AMLO+ HCL) B/30CES</v>
          </cell>
        </row>
        <row r="6548">
          <cell r="B6548" t="str">
            <v>FG03213</v>
          </cell>
          <cell r="C6548" t="str">
            <v>TELTAS 80 LH (TELMISARTAN+HCT.) B/30CES</v>
          </cell>
        </row>
        <row r="6549">
          <cell r="B6549" t="str">
            <v>FG03214</v>
          </cell>
          <cell r="C6549" t="str">
            <v>TELTAS 80H (TELMISARTAN + HCL) 80MG+25MG B/30CES</v>
          </cell>
        </row>
        <row r="6550">
          <cell r="B6550" t="str">
            <v>FG03215</v>
          </cell>
          <cell r="C6550" t="str">
            <v>TELTAS 80MG (TELMISARTAN) B/30CES</v>
          </cell>
        </row>
        <row r="6551">
          <cell r="B6551" t="str">
            <v>FG03216</v>
          </cell>
          <cell r="C6551" t="str">
            <v>TEMERIT 5MG 30CES</v>
          </cell>
        </row>
        <row r="6552">
          <cell r="B6552" t="str">
            <v>FG03217</v>
          </cell>
          <cell r="C6552" t="str">
            <v>TEMERIT DUO (NEBIVOLO/HYDRO) 5/12.5MG B/30CES</v>
          </cell>
        </row>
        <row r="6553">
          <cell r="B6553" t="str">
            <v>FG03218</v>
          </cell>
          <cell r="C6553" t="str">
            <v>TEMERIT DUO (NEBIVOLO/HYDRO)**5/25MG** B/30CES</v>
          </cell>
        </row>
        <row r="6554">
          <cell r="B6554" t="str">
            <v>FG03219</v>
          </cell>
          <cell r="C6554" t="str">
            <v>TEMESTA 1MG B/20&amp;30CES (FR)</v>
          </cell>
        </row>
        <row r="6555">
          <cell r="B6555" t="str">
            <v>FG03220</v>
          </cell>
          <cell r="C6555" t="str">
            <v>TEMPAR (PARACETAMOL 750MG) B/5AMP</v>
          </cell>
        </row>
        <row r="6556">
          <cell r="B6556" t="str">
            <v>FG03221</v>
          </cell>
          <cell r="C6556" t="str">
            <v>TEMPAR B/4CES</v>
          </cell>
        </row>
        <row r="6557">
          <cell r="B6557" t="str">
            <v>FG03222</v>
          </cell>
          <cell r="C6557" t="str">
            <v>TEMPERINE (PARA.300MG)I.M/2ML B/5AMP PED</v>
          </cell>
        </row>
        <row r="6558">
          <cell r="B6558" t="str">
            <v>FG03223</v>
          </cell>
          <cell r="C6558" t="str">
            <v>TEMPERINE (PARA.750MG)I.M/5ML B/5AMP</v>
          </cell>
        </row>
        <row r="6559">
          <cell r="B6559" t="str">
            <v>FG03224</v>
          </cell>
          <cell r="C6559" t="str">
            <v>TEMPERINE C SIROP (PARA.+VIT C) FL 100ML</v>
          </cell>
        </row>
        <row r="6560">
          <cell r="B6560" t="str">
            <v>FG03225</v>
          </cell>
          <cell r="C6560" t="str">
            <v>TEMPERINE GOUTTE 15ML.(ACETAMINOPHEN)</v>
          </cell>
        </row>
        <row r="6561">
          <cell r="B6561" t="str">
            <v>FG03226</v>
          </cell>
          <cell r="C6561" t="str">
            <v>TEMPERINE PLUS POCH/4CES</v>
          </cell>
        </row>
        <row r="6562">
          <cell r="B6562" t="str">
            <v>FG03227</v>
          </cell>
          <cell r="C6562" t="str">
            <v>TENOFOVIR 300MG B/30CES</v>
          </cell>
        </row>
        <row r="6563">
          <cell r="B6563" t="str">
            <v>FG03228</v>
          </cell>
          <cell r="C6563" t="str">
            <v>TENOFOVIR RITONAVIR 100/25MG B/60CES</v>
          </cell>
        </row>
        <row r="6564">
          <cell r="B6564" t="str">
            <v>FG03229</v>
          </cell>
          <cell r="C6564" t="str">
            <v>TENOFOVIRILAMIVUDINE 300/150MG B/30CES</v>
          </cell>
        </row>
        <row r="6565">
          <cell r="B6565" t="str">
            <v>FG03230</v>
          </cell>
          <cell r="C6565" t="str">
            <v>TENORMIN MITIS 50MG 30COMP.</v>
          </cell>
        </row>
        <row r="6566">
          <cell r="B6566" t="str">
            <v>FG03231</v>
          </cell>
          <cell r="C6566" t="str">
            <v>TENORMIN MITIS 56CES 50MG</v>
          </cell>
        </row>
        <row r="6567">
          <cell r="B6567" t="str">
            <v>FG03232</v>
          </cell>
          <cell r="C6567" t="str">
            <v>TENORMINE 100MG B/30CES (FR)</v>
          </cell>
        </row>
        <row r="6568">
          <cell r="B6568" t="str">
            <v>FG03233</v>
          </cell>
          <cell r="C6568" t="str">
            <v>TENORMINE 50MG 30CES(FR)</v>
          </cell>
        </row>
        <row r="6569">
          <cell r="B6569" t="str">
            <v>FG03234</v>
          </cell>
          <cell r="C6569" t="str">
            <v>TENSIOMETRE ANEROIDE + STETHOSCOPE 1PCS (UNIQUE)</v>
          </cell>
        </row>
        <row r="6570">
          <cell r="B6570" t="str">
            <v>FG03235</v>
          </cell>
          <cell r="C6570" t="str">
            <v>TENSIOMETRE DIGITAL B/1PCS..G.F...(UNIQUE)</v>
          </cell>
        </row>
        <row r="6571">
          <cell r="B6571" t="str">
            <v>FG03236</v>
          </cell>
          <cell r="C6571" t="str">
            <v>TENSIOMETRE DIGITEL B/1PCS...P.M...(UNIQUE)</v>
          </cell>
        </row>
        <row r="6572">
          <cell r="B6572" t="str">
            <v>FG03237</v>
          </cell>
          <cell r="C6572" t="str">
            <v>TENSIOMETRE SANS STHETOSCOP B/1PCS (UNIQUE)</v>
          </cell>
        </row>
        <row r="6573">
          <cell r="B6573" t="str">
            <v>FG03238</v>
          </cell>
          <cell r="C6573" t="str">
            <v>TERBINOL 1/100 15GR CREM (FR)</v>
          </cell>
        </row>
        <row r="6574">
          <cell r="B6574" t="str">
            <v>FG03239</v>
          </cell>
          <cell r="C6574" t="str">
            <v>TERBINOL 250MG B/14CES (FR)</v>
          </cell>
        </row>
        <row r="6575">
          <cell r="B6575" t="str">
            <v>FG03240</v>
          </cell>
          <cell r="C6575" t="str">
            <v>TERCOTEX ADULTE SIROP ANTI-TUSSIF 100ML</v>
          </cell>
        </row>
        <row r="6576">
          <cell r="B6576" t="str">
            <v>FG03241</v>
          </cell>
          <cell r="C6576" t="str">
            <v>TERCOTEX ENF SIROP ANTI-TUSSIF 100ML</v>
          </cell>
        </row>
        <row r="6577">
          <cell r="B6577" t="str">
            <v>FG03242</v>
          </cell>
          <cell r="C6577" t="str">
            <v>TERGYNAN VAGINAL B/10 (FR)</v>
          </cell>
        </row>
        <row r="6578">
          <cell r="B6578" t="str">
            <v>FG03243</v>
          </cell>
          <cell r="C6578" t="str">
            <v>TERLOMEXIN 3CES GYNECO 200MG</v>
          </cell>
        </row>
        <row r="6579">
          <cell r="B6579" t="str">
            <v>FG03244</v>
          </cell>
          <cell r="C6579" t="str">
            <v>TERPINE CODEINE PLS DE 10CES</v>
          </cell>
        </row>
        <row r="6580">
          <cell r="B6580" t="str">
            <v>FG03245</v>
          </cell>
          <cell r="C6580" t="str">
            <v>TERPONE SIROP ADULTES FL/180ML (FR)</v>
          </cell>
        </row>
        <row r="6581">
          <cell r="B6581" t="str">
            <v>FG03246</v>
          </cell>
          <cell r="C6581" t="str">
            <v>TERPONE SIROP ENFANTS FL/180ML FR//</v>
          </cell>
        </row>
        <row r="6582">
          <cell r="B6582" t="str">
            <v>FG03247</v>
          </cell>
          <cell r="C6582" t="str">
            <v>TERRA-CORTRIL SUSP OPHT &amp; OTI.5ML (FR)</v>
          </cell>
        </row>
        <row r="6583">
          <cell r="B6583" t="str">
            <v>FG03248</v>
          </cell>
          <cell r="C6583" t="str">
            <v>TEST DE GROSSESSE 1 PCS</v>
          </cell>
        </row>
        <row r="6584">
          <cell r="B6584" t="str">
            <v>FG03249</v>
          </cell>
          <cell r="C6584" t="str">
            <v>TEST H PYLORI</v>
          </cell>
        </row>
        <row r="6585">
          <cell r="B6585" t="str">
            <v>FG03250</v>
          </cell>
          <cell r="C6585" t="str">
            <v>TEST HEPATITE B AGHBS B/50</v>
          </cell>
        </row>
        <row r="6586">
          <cell r="B6586" t="str">
            <v>FG03251</v>
          </cell>
          <cell r="C6586" t="str">
            <v>TEST MALARIA</v>
          </cell>
        </row>
        <row r="6587">
          <cell r="B6587" t="str">
            <v>FG03252</v>
          </cell>
          <cell r="C6587" t="str">
            <v>TEST URNINE 1 BANDAL B/10</v>
          </cell>
        </row>
        <row r="6588">
          <cell r="B6588" t="str">
            <v>FG03253</v>
          </cell>
          <cell r="C6588" t="str">
            <v>TESTOVIRON DEPO 250MG B/3AMP (LOCAL)</v>
          </cell>
        </row>
        <row r="6589">
          <cell r="B6589" t="str">
            <v>FG03254</v>
          </cell>
          <cell r="C6589" t="str">
            <v>TETS NEW</v>
          </cell>
        </row>
        <row r="6590">
          <cell r="B6590" t="str">
            <v>FG03255</v>
          </cell>
          <cell r="C6590" t="str">
            <v>THERADROX (CEFADROXIL) 250MG/5ML SUSP.</v>
          </cell>
        </row>
        <row r="6591">
          <cell r="B6591" t="str">
            <v>FG03256</v>
          </cell>
          <cell r="C6591" t="str">
            <v>THERADROX (CEFADROXIL) 500MG B\12CAP</v>
          </cell>
        </row>
        <row r="6592">
          <cell r="B6592" t="str">
            <v>FG03257</v>
          </cell>
          <cell r="C6592" t="str">
            <v>THERASIL 2X12 CES</v>
          </cell>
        </row>
        <row r="6593">
          <cell r="B6593" t="str">
            <v>FG03258</v>
          </cell>
          <cell r="C6593" t="str">
            <v>THERASIL PASTILLE ****B/250PCS****</v>
          </cell>
        </row>
        <row r="6594">
          <cell r="B6594" t="str">
            <v>FG03259</v>
          </cell>
          <cell r="C6594" t="str">
            <v>THERMOMETHE MEDICAL MERCURY PCS/1</v>
          </cell>
        </row>
        <row r="6595">
          <cell r="B6595" t="str">
            <v>FG03260</v>
          </cell>
          <cell r="C6595" t="str">
            <v>THERMOMETRE DIGITAL MEDICAL 1PCS (UNIQUE)</v>
          </cell>
        </row>
        <row r="6596">
          <cell r="B6596" t="str">
            <v>FG03261</v>
          </cell>
          <cell r="C6596" t="str">
            <v>THERMOMETRE FRIGO</v>
          </cell>
        </row>
        <row r="6597">
          <cell r="B6597" t="str">
            <v>FG03262</v>
          </cell>
          <cell r="C6597" t="str">
            <v>THERMOMETRE INFRAROUGE 1 PCS</v>
          </cell>
        </row>
        <row r="6598">
          <cell r="B6598" t="str">
            <v>FG03263</v>
          </cell>
          <cell r="C6598" t="str">
            <v>THROMBAAS (ASPIRANE) 8MG B/30CES</v>
          </cell>
        </row>
        <row r="6599">
          <cell r="B6599" t="str">
            <v>FG03264</v>
          </cell>
          <cell r="C6599" t="str">
            <v>TIAPRIDAL 20CES (EO)</v>
          </cell>
        </row>
        <row r="6600">
          <cell r="B6600" t="str">
            <v>FG03265</v>
          </cell>
          <cell r="C6600" t="str">
            <v>TILCOTIL 15CES 20MG (FR)</v>
          </cell>
        </row>
        <row r="6601">
          <cell r="B6601" t="str">
            <v>FG03266</v>
          </cell>
          <cell r="C6601" t="str">
            <v>TILCOTIL 20MG B/30CES (FR)</v>
          </cell>
        </row>
        <row r="6602">
          <cell r="B6602" t="str">
            <v>FG03267</v>
          </cell>
          <cell r="C6602" t="str">
            <v>TIMOLOL 0.5% COLLYRE 10ML (GENERIQUE)</v>
          </cell>
        </row>
        <row r="6603">
          <cell r="B6603" t="str">
            <v>FG03268</v>
          </cell>
          <cell r="C6603" t="str">
            <v>TIMOP COLLYRE 0.5% 5ML</v>
          </cell>
        </row>
        <row r="6604">
          <cell r="B6604" t="str">
            <v>FG03269</v>
          </cell>
          <cell r="C6604" t="str">
            <v>TIMOPTIN (TIMOLOL) 0.5% COLLYRE 5ML</v>
          </cell>
        </row>
        <row r="6605">
          <cell r="B6605" t="str">
            <v>FG03270</v>
          </cell>
          <cell r="C6605" t="str">
            <v>TIMOPTOL 0.25% COLLYRE 3ML (FR)</v>
          </cell>
        </row>
        <row r="6606">
          <cell r="B6606" t="str">
            <v>FG03271</v>
          </cell>
          <cell r="C6606" t="str">
            <v>TINIZOLE 500MG B/4CES</v>
          </cell>
        </row>
        <row r="6607">
          <cell r="B6607" t="str">
            <v>FG03272</v>
          </cell>
          <cell r="C6607" t="str">
            <v>TINOFLOX 60ML ORAL SUSP</v>
          </cell>
        </row>
        <row r="6608">
          <cell r="B6608" t="str">
            <v>FG03273</v>
          </cell>
          <cell r="C6608" t="str">
            <v>TINOFLOX B/10CES</v>
          </cell>
        </row>
        <row r="6609">
          <cell r="B6609" t="str">
            <v>FG03274</v>
          </cell>
          <cell r="C6609" t="str">
            <v>TINOFLOX ORAL SUSP 30ML</v>
          </cell>
        </row>
        <row r="6610">
          <cell r="B6610" t="str">
            <v>FG03275</v>
          </cell>
          <cell r="C6610" t="str">
            <v>TITANORINE + LIDOCAINE CREME ( FR )</v>
          </cell>
        </row>
        <row r="6611">
          <cell r="B6611" t="str">
            <v>FG03276</v>
          </cell>
          <cell r="C6611" t="str">
            <v>TNA - PERI 1000ML</v>
          </cell>
        </row>
        <row r="6612">
          <cell r="B6612" t="str">
            <v>FG03277</v>
          </cell>
          <cell r="C6612" t="str">
            <v>TOBRA-VISION 0.3% (TOBRAMYCINE) COLLYRE 10ML</v>
          </cell>
        </row>
        <row r="6613">
          <cell r="B6613" t="str">
            <v>FG03278</v>
          </cell>
          <cell r="C6613" t="str">
            <v>TOBRADEX POMMADE 3.5GR (FR)</v>
          </cell>
        </row>
        <row r="6614">
          <cell r="B6614" t="str">
            <v>FG03279</v>
          </cell>
          <cell r="C6614" t="str">
            <v>TOBRASON-VISION (TOBRA.+DEXA.) CY 10ML</v>
          </cell>
        </row>
        <row r="6615">
          <cell r="B6615" t="str">
            <v>FG03280</v>
          </cell>
          <cell r="C6615" t="str">
            <v>TONER 5A</v>
          </cell>
        </row>
        <row r="6616">
          <cell r="B6616" t="str">
            <v>FG03281</v>
          </cell>
          <cell r="C6616" t="str">
            <v>TONER 83A</v>
          </cell>
        </row>
        <row r="6617">
          <cell r="B6617" t="str">
            <v>FG03282</v>
          </cell>
          <cell r="C6617" t="str">
            <v>TONNER 83A</v>
          </cell>
        </row>
        <row r="6618">
          <cell r="B6618" t="str">
            <v>FG03283</v>
          </cell>
          <cell r="C6618" t="str">
            <v>TONNER 85A</v>
          </cell>
        </row>
        <row r="6619">
          <cell r="B6619" t="str">
            <v>FG03284</v>
          </cell>
          <cell r="C6619" t="str">
            <v>TOPICIDAL ANTISEPTIQUE 175ML SOLUTION</v>
          </cell>
        </row>
        <row r="6620">
          <cell r="B6620" t="str">
            <v>FG03285</v>
          </cell>
          <cell r="C6620" t="str">
            <v>TOPICREM UH CORPS UH CREME MAINS 50ML</v>
          </cell>
        </row>
        <row r="6621">
          <cell r="B6621" t="str">
            <v>FG03286</v>
          </cell>
          <cell r="C6621" t="str">
            <v>TOPICREM UH CREME VISAGE RICHE 40ML</v>
          </cell>
        </row>
        <row r="6622">
          <cell r="B6622" t="str">
            <v>FG03287</v>
          </cell>
          <cell r="C6622" t="str">
            <v>TOPICREM UP-10CR PIEDS ANTI - CALLOSITES</v>
          </cell>
        </row>
        <row r="6623">
          <cell r="B6623" t="str">
            <v>FG03288</v>
          </cell>
          <cell r="C6623" t="str">
            <v>TOPLEXIL SP 150ML (FR)</v>
          </cell>
        </row>
        <row r="6624">
          <cell r="B6624" t="str">
            <v>FG03289</v>
          </cell>
          <cell r="C6624" t="str">
            <v>TORAS DENK 10MG B/30CES(FR)</v>
          </cell>
        </row>
        <row r="6625">
          <cell r="B6625" t="str">
            <v>FG03290</v>
          </cell>
          <cell r="C6625" t="str">
            <v>TORINE 5ML COLLYRE</v>
          </cell>
        </row>
        <row r="6626">
          <cell r="B6626" t="str">
            <v>FG03291</v>
          </cell>
          <cell r="C6626" t="str">
            <v>TORTAS 10MG (TORSAMIDE) B/30CES</v>
          </cell>
        </row>
        <row r="6627">
          <cell r="B6627" t="str">
            <v>FG03292</v>
          </cell>
          <cell r="C6627" t="str">
            <v>TORTAS 20MG (TORSAMIDE) B/30CES</v>
          </cell>
        </row>
        <row r="6628">
          <cell r="B6628" t="str">
            <v>FG03293</v>
          </cell>
          <cell r="C6628" t="str">
            <v>TOSSIL (EXPECTO.) 100ML</v>
          </cell>
        </row>
        <row r="6629">
          <cell r="B6629" t="str">
            <v>FG03294</v>
          </cell>
          <cell r="C6629" t="str">
            <v>TOU CALM SIROP 100ML</v>
          </cell>
        </row>
        <row r="6630">
          <cell r="B6630" t="str">
            <v>FG03295</v>
          </cell>
          <cell r="C6630" t="str">
            <v>TOUX CONQUER SIROP 100ML</v>
          </cell>
        </row>
        <row r="6631">
          <cell r="B6631" t="str">
            <v>FG03296</v>
          </cell>
          <cell r="C6631" t="str">
            <v>TOUXIL 100ML SP</v>
          </cell>
        </row>
        <row r="6632">
          <cell r="B6632" t="str">
            <v>FG03297</v>
          </cell>
          <cell r="C6632" t="str">
            <v>TOUXIL BOMBO B/80 CES (GINGER)</v>
          </cell>
        </row>
        <row r="6633">
          <cell r="B6633" t="str">
            <v>FG03298</v>
          </cell>
          <cell r="C6633" t="str">
            <v>TOUXIL BOMBO B/80CES (ORANGE)</v>
          </cell>
        </row>
        <row r="6634">
          <cell r="B6634" t="str">
            <v>FG03299</v>
          </cell>
          <cell r="C6634" t="str">
            <v>TRACEDOL (TRAMADOL) B/16 CES EFF</v>
          </cell>
        </row>
        <row r="6635">
          <cell r="B6635" t="str">
            <v>FG03300</v>
          </cell>
          <cell r="C6635" t="str">
            <v>TRAMADOL 50MG (AVEC AMBAL.) B/10CAP</v>
          </cell>
        </row>
        <row r="6636">
          <cell r="B6636" t="str">
            <v>FG03301</v>
          </cell>
          <cell r="C6636" t="str">
            <v>TRAMADOL B/5AMP</v>
          </cell>
        </row>
        <row r="6637">
          <cell r="B6637" t="str">
            <v>FG03302</v>
          </cell>
          <cell r="C6637" t="str">
            <v>TRAMADOL DENK 50MG B/10 CES EFF</v>
          </cell>
        </row>
        <row r="6638">
          <cell r="B6638" t="str">
            <v>FG03303</v>
          </cell>
          <cell r="C6638" t="str">
            <v>TRAMADOL-DENK 100MG ING 2ML</v>
          </cell>
        </row>
        <row r="6639">
          <cell r="B6639" t="str">
            <v>FG03304</v>
          </cell>
          <cell r="C6639" t="str">
            <v>TRAMAPA 37.5 MG / 325MG B/20 CES</v>
          </cell>
        </row>
        <row r="6640">
          <cell r="B6640" t="str">
            <v>FG03305</v>
          </cell>
          <cell r="C6640" t="str">
            <v>TRANGEL ULTRA 20G CREME</v>
          </cell>
        </row>
        <row r="6641">
          <cell r="B6641" t="str">
            <v>FG03306</v>
          </cell>
          <cell r="C6641" t="str">
            <v>TRANSPERANT VERRE ECHELLE DE PESEE PCS/1</v>
          </cell>
        </row>
        <row r="6642">
          <cell r="B6642" t="str">
            <v>FG03307</v>
          </cell>
          <cell r="C6642" t="str">
            <v>TRANXENE 5MG 30 GELULES (FR)</v>
          </cell>
        </row>
        <row r="6643">
          <cell r="B6643" t="str">
            <v>FG03308</v>
          </cell>
          <cell r="C6643" t="str">
            <v>TRANZMOL B/10CES</v>
          </cell>
        </row>
        <row r="6644">
          <cell r="B6644" t="str">
            <v>FG03309</v>
          </cell>
          <cell r="C6644" t="str">
            <v>TRAUSAN GOUTTES 50ML (E.O.)</v>
          </cell>
        </row>
        <row r="6645">
          <cell r="B6645" t="str">
            <v>FG03310</v>
          </cell>
          <cell r="C6645" t="str">
            <v>TRAVISIL 16CES</v>
          </cell>
        </row>
        <row r="6646">
          <cell r="B6646" t="str">
            <v>FG03311</v>
          </cell>
          <cell r="C6646" t="str">
            <v>TRAVISIL SYROP 100ML</v>
          </cell>
        </row>
        <row r="6647">
          <cell r="B6647" t="str">
            <v>FG03312</v>
          </cell>
          <cell r="C6647" t="str">
            <v>TREFORCE PLUS 100NG TAB</v>
          </cell>
        </row>
        <row r="6648">
          <cell r="B6648" t="str">
            <v>FG03313</v>
          </cell>
          <cell r="C6648" t="str">
            <v>TREFORCE(SILDENAFIL 50MG) B/2CES</v>
          </cell>
        </row>
        <row r="6649">
          <cell r="B6649" t="str">
            <v>FG03314</v>
          </cell>
          <cell r="C6649" t="str">
            <v>TRES ORIX FORT 100ML SIROP (FR)</v>
          </cell>
        </row>
        <row r="6650">
          <cell r="B6650" t="str">
            <v>FG03315</v>
          </cell>
          <cell r="C6650" t="str">
            <v>TRES ORIX FORTE B/20CAP (FR)</v>
          </cell>
        </row>
        <row r="6651">
          <cell r="B6651" t="str">
            <v>FG03316</v>
          </cell>
          <cell r="C6651" t="str">
            <v>TREVIA 100MG B/5X7 CES</v>
          </cell>
        </row>
        <row r="6652">
          <cell r="B6652" t="str">
            <v>FG03317</v>
          </cell>
          <cell r="C6652" t="str">
            <v>TREVIA 50MG B/5X7 CES</v>
          </cell>
        </row>
        <row r="6653">
          <cell r="B6653" t="str">
            <v>FG03318</v>
          </cell>
          <cell r="C6653" t="str">
            <v>TREVIAMET 50MG+100MG B/5X7</v>
          </cell>
        </row>
        <row r="6654">
          <cell r="B6654" t="str">
            <v>FG03319</v>
          </cell>
          <cell r="C6654" t="str">
            <v>TREVIAMET 50MG+500MG B/5X7 CES</v>
          </cell>
        </row>
        <row r="6655">
          <cell r="B6655" t="str">
            <v>FG03320</v>
          </cell>
          <cell r="C6655" t="str">
            <v>TRIALGIC 24GELULES(FR)</v>
          </cell>
        </row>
        <row r="6656">
          <cell r="B6656" t="str">
            <v>FG03321</v>
          </cell>
          <cell r="C6656" t="str">
            <v>TRIAM DENK 40 INJ B/1 AMP</v>
          </cell>
        </row>
        <row r="6657">
          <cell r="B6657" t="str">
            <v>FG03322</v>
          </cell>
          <cell r="C6657" t="str">
            <v>TRIATEC 10MG B/30CES (FR)</v>
          </cell>
        </row>
        <row r="6658">
          <cell r="B6658" t="str">
            <v>FG03323</v>
          </cell>
          <cell r="C6658" t="str">
            <v>TRIATEC 2.5MG B/30 GELULES (FR)</v>
          </cell>
        </row>
        <row r="6659">
          <cell r="B6659" t="str">
            <v>FG03324</v>
          </cell>
          <cell r="C6659" t="str">
            <v>TRIATEC 5MG 30CES (FR)</v>
          </cell>
        </row>
        <row r="6660">
          <cell r="B6660" t="str">
            <v>FG03325</v>
          </cell>
          <cell r="C6660" t="str">
            <v>TRIAX-1 ( CEFTRIAXON ) 1GR 1 FLC</v>
          </cell>
        </row>
        <row r="6661">
          <cell r="B6661" t="str">
            <v>FG03326</v>
          </cell>
          <cell r="C6661" t="str">
            <v>TRIAX-FS 750GM @@ 1 FL</v>
          </cell>
        </row>
        <row r="6662">
          <cell r="B6662" t="str">
            <v>FG03327</v>
          </cell>
          <cell r="C6662" t="str">
            <v>TRIAX-FS INJ</v>
          </cell>
        </row>
        <row r="6663">
          <cell r="B6663" t="str">
            <v>FG03328</v>
          </cell>
          <cell r="C6663" t="str">
            <v>TRIBEX FORTE (B1B6B12) B/5AMP 3ML</v>
          </cell>
        </row>
        <row r="6664">
          <cell r="B6664" t="str">
            <v>FG03329</v>
          </cell>
          <cell r="C6664" t="str">
            <v>TRIBEX FORTE (VIT.B1 B6 B12) SIROP 100ML</v>
          </cell>
        </row>
        <row r="6665">
          <cell r="B6665" t="str">
            <v>FG03330</v>
          </cell>
          <cell r="C6665" t="str">
            <v>TRIBEX FORTE B/30CES</v>
          </cell>
        </row>
        <row r="6666">
          <cell r="B6666" t="str">
            <v>FG03331</v>
          </cell>
          <cell r="C6666" t="str">
            <v>TRIBUTINE 0.787% SP F/250ML (FR)</v>
          </cell>
        </row>
        <row r="6667">
          <cell r="B6667" t="str">
            <v>FG03332</v>
          </cell>
          <cell r="C6667" t="str">
            <v>TRIBUTINE 150 MG B/20 SACH (FR)</v>
          </cell>
        </row>
        <row r="6668">
          <cell r="B6668" t="str">
            <v>FG03333</v>
          </cell>
          <cell r="C6668" t="str">
            <v>TRIBUTINE 150MG B/20 GEL (FR)</v>
          </cell>
        </row>
        <row r="6669">
          <cell r="B6669" t="str">
            <v>FG03334</v>
          </cell>
          <cell r="C6669" t="str">
            <v>TRIDEX 5ML COLLYRE</v>
          </cell>
        </row>
        <row r="6670">
          <cell r="B6670" t="str">
            <v>FG03335</v>
          </cell>
          <cell r="C6670" t="str">
            <v>TRIFORT (VIT B1.B6.B12) SIROP 100ML</v>
          </cell>
        </row>
        <row r="6671">
          <cell r="B6671" t="str">
            <v>FG03336</v>
          </cell>
          <cell r="C6671" t="str">
            <v>TRIFORT 50MG B/30CES (NUROVIT)</v>
          </cell>
        </row>
        <row r="6672">
          <cell r="B6672" t="str">
            <v>FG03337</v>
          </cell>
          <cell r="C6672" t="str">
            <v>TRIMEX SIROP 100ML</v>
          </cell>
        </row>
        <row r="6673">
          <cell r="B6673" t="str">
            <v>FG03338</v>
          </cell>
          <cell r="C6673" t="str">
            <v>TRIOKIT (AZITHRO.+FLUCO.+SECNI.) KIT DE 4 CES</v>
          </cell>
        </row>
        <row r="6674">
          <cell r="B6674" t="str">
            <v>FG03339</v>
          </cell>
          <cell r="C6674" t="str">
            <v>TRIOMEGA 30CAPS(FR)</v>
          </cell>
        </row>
        <row r="6675">
          <cell r="B6675" t="str">
            <v>FG03340</v>
          </cell>
          <cell r="C6675" t="str">
            <v>TRIPI-VISION 1% (TROPICAMIDE) COLLYRE 10ML</v>
          </cell>
        </row>
        <row r="6676">
          <cell r="B6676" t="str">
            <v>FG03341</v>
          </cell>
          <cell r="C6676" t="str">
            <v>TRIPLIXAM 10/1.25/10MG B/30CES (FR)</v>
          </cell>
        </row>
        <row r="6677">
          <cell r="B6677" t="str">
            <v>FG03342</v>
          </cell>
          <cell r="C6677" t="str">
            <v>TRIPLIXAM 10/2.5/10 MG B/30 CES (FR )</v>
          </cell>
        </row>
        <row r="6678">
          <cell r="B6678" t="str">
            <v>FG03343</v>
          </cell>
          <cell r="C6678" t="str">
            <v>TRIPLIXAM 10/2.5/5MG B/30 CES (FR )</v>
          </cell>
        </row>
        <row r="6679">
          <cell r="B6679" t="str">
            <v>FG03344</v>
          </cell>
          <cell r="C6679" t="str">
            <v>TRIPLIXAM 5/1.25/ 5MG B/30CES (FR)</v>
          </cell>
        </row>
        <row r="6680">
          <cell r="B6680" t="str">
            <v>FG03345</v>
          </cell>
          <cell r="C6680" t="str">
            <v>TRIPLIXAM 5/1.25/10MG B/30CES (FR)</v>
          </cell>
        </row>
        <row r="6681">
          <cell r="B6681" t="str">
            <v>FG03346</v>
          </cell>
          <cell r="C6681" t="str">
            <v>TRISHAL B/30CES</v>
          </cell>
        </row>
        <row r="6682">
          <cell r="B6682" t="str">
            <v>FG03347</v>
          </cell>
          <cell r="C6682" t="str">
            <v>TRISPORIN 300MG B/10CES</v>
          </cell>
        </row>
        <row r="6683">
          <cell r="B6683" t="str">
            <v>FG03348</v>
          </cell>
          <cell r="C6683" t="str">
            <v>TRISPORIN SUSP ORAL 125MG/5ML 100ML</v>
          </cell>
        </row>
        <row r="6684">
          <cell r="B6684" t="str">
            <v>FG03349</v>
          </cell>
          <cell r="C6684" t="str">
            <v>TRITAZIDE 5/25MG ....28CES (FR)</v>
          </cell>
        </row>
        <row r="6685">
          <cell r="B6685" t="str">
            <v>FG03350</v>
          </cell>
          <cell r="C6685" t="str">
            <v>TRIXON-1G (CEFTRIAXONE) INJ. B/1 VIAL+EAU DIST.</v>
          </cell>
        </row>
        <row r="6686">
          <cell r="B6686" t="str">
            <v>FG03351</v>
          </cell>
          <cell r="C6686" t="str">
            <v>TRIXON-2G (CEFTRIAXONE) INJ. B/1 VIAL</v>
          </cell>
        </row>
        <row r="6687">
          <cell r="B6687" t="str">
            <v>FG03352</v>
          </cell>
          <cell r="C6687" t="str">
            <v>TRIXON-S-1500 MG (CEFTRI.+SULBAC) INJ. B/1 VIAL</v>
          </cell>
        </row>
        <row r="6688">
          <cell r="B6688" t="str">
            <v>FG03353</v>
          </cell>
          <cell r="C6688" t="str">
            <v>TRIXON-S-750MG (CEFTRI.+SULBAC.) INJ.B/1 VIAL</v>
          </cell>
        </row>
        <row r="6689">
          <cell r="B6689" t="str">
            <v>FG03354</v>
          </cell>
          <cell r="C6689" t="str">
            <v>TRIXON-T-1125 MG (CEFTRI.+TAZO.) INJ. B/1 VIAL</v>
          </cell>
        </row>
        <row r="6690">
          <cell r="B6690" t="str">
            <v>FG03355</v>
          </cell>
          <cell r="C6690" t="str">
            <v>TRIXON-T-562.5 MG (CEFTRI.+TAZO) INJ. B/1 VIAL</v>
          </cell>
        </row>
        <row r="6691">
          <cell r="B6691" t="str">
            <v>FG03356</v>
          </cell>
          <cell r="C6691" t="str">
            <v>TROBICINE (SPECTINOMYCINE) 2GR. B/1 AMP (GENREQUE)</v>
          </cell>
        </row>
        <row r="6692">
          <cell r="B6692" t="str">
            <v>FG03357</v>
          </cell>
          <cell r="C6692" t="str">
            <v>TROUSSE DE PERIFUSION PCS (NORMALE)</v>
          </cell>
        </row>
        <row r="6693">
          <cell r="B6693" t="str">
            <v>FG03358</v>
          </cell>
          <cell r="C6693" t="str">
            <v>TROUSSE DE TRANSFUSION PCS/1</v>
          </cell>
        </row>
        <row r="6694">
          <cell r="B6694" t="str">
            <v>FG03359</v>
          </cell>
          <cell r="C6694" t="str">
            <v>TRUSOPT COLLYRE</v>
          </cell>
        </row>
        <row r="6695">
          <cell r="B6695" t="str">
            <v>FG03360</v>
          </cell>
          <cell r="C6695" t="str">
            <v>TUBE A HEMOLYSE B/100</v>
          </cell>
        </row>
        <row r="6696">
          <cell r="B6696" t="str">
            <v>FG03361</v>
          </cell>
          <cell r="C6696" t="str">
            <v>TUBE A VS UNITE</v>
          </cell>
        </row>
        <row r="6697">
          <cell r="B6697" t="str">
            <v>FG03362</v>
          </cell>
          <cell r="C6697" t="str">
            <v>TUBE DE PRÉLÈVEMENT SANGUIN ( JAUNE) B/100PCS</v>
          </cell>
        </row>
        <row r="6698">
          <cell r="B6698" t="str">
            <v>FG03363</v>
          </cell>
          <cell r="C6698" t="str">
            <v>TUBE DE PRÉLÈVEMENT SANGUIN ( NOIR ) B/100PCS</v>
          </cell>
        </row>
        <row r="6699">
          <cell r="B6699" t="str">
            <v>FG03364</v>
          </cell>
          <cell r="C6699" t="str">
            <v>TUBE DE PRÉLÈVEMENT SANGUIN ( ORANGE) B/100 PCS</v>
          </cell>
        </row>
        <row r="6700">
          <cell r="B6700" t="str">
            <v>FG03365</v>
          </cell>
          <cell r="C6700" t="str">
            <v>TUBE DE PRÉLÈVEMENT SANGUIN ( ROUGE) B/100PCS</v>
          </cell>
        </row>
        <row r="6701">
          <cell r="B6701" t="str">
            <v>FG03366</v>
          </cell>
          <cell r="C6701" t="str">
            <v>TUBE DE PRÉLÈVEMENT SANGUIN (GRIS) B/100PCS</v>
          </cell>
        </row>
        <row r="6702">
          <cell r="B6702" t="str">
            <v>FG03367</v>
          </cell>
          <cell r="C6702" t="str">
            <v>TUBE DE PRÉLÈVEMENT SANGUIN (VERT) SODIUM B/100PCS</v>
          </cell>
        </row>
        <row r="6703">
          <cell r="B6703" t="str">
            <v>FG03368</v>
          </cell>
          <cell r="C6703" t="str">
            <v>TUBE DE PRÉLÈVEMENT SANGUIN (VERT)LITHIUMB/100PCS</v>
          </cell>
        </row>
        <row r="6704">
          <cell r="B6704" t="str">
            <v>FG03369</v>
          </cell>
          <cell r="C6704" t="str">
            <v>TUBE DE PRÉLÈVEMENT SANGUIN (VIOLET ) B/100 PCS</v>
          </cell>
        </row>
        <row r="6705">
          <cell r="B6705" t="str">
            <v>FG03370</v>
          </cell>
          <cell r="C6705" t="str">
            <v>TUBE DE PRÉLÈVEMENT CITRATE(HEMOSTASE) B/100 PCS</v>
          </cell>
        </row>
        <row r="6706">
          <cell r="B6706" t="str">
            <v>FG03371</v>
          </cell>
          <cell r="C6706" t="str">
            <v>TUBE DE PRÉLÈVEMENT SEC AVEC GEL B/100 PCS</v>
          </cell>
        </row>
        <row r="6707">
          <cell r="B6707" t="str">
            <v>FG03372</v>
          </cell>
          <cell r="C6707" t="str">
            <v>TUBE PROLONGATEUR 150CM 1 PCS</v>
          </cell>
        </row>
        <row r="6708">
          <cell r="B6708" t="str">
            <v>FG03373</v>
          </cell>
          <cell r="C6708" t="str">
            <v>TUBE PROLONGATEUR 190CM 1 PCS</v>
          </cell>
        </row>
        <row r="6709">
          <cell r="B6709" t="str">
            <v>FG03374</v>
          </cell>
          <cell r="C6709" t="str">
            <v>TUBE VISSEES</v>
          </cell>
        </row>
        <row r="6710">
          <cell r="B6710" t="str">
            <v>FG03375</v>
          </cell>
          <cell r="C6710" t="str">
            <v>TUBLE HOPITAL G F</v>
          </cell>
        </row>
        <row r="6711">
          <cell r="B6711" t="str">
            <v>FG03376</v>
          </cell>
          <cell r="C6711" t="str">
            <v>TUGEREME POMMADE ANTISEPTIQUE 15GR</v>
          </cell>
        </row>
        <row r="6712">
          <cell r="B6712" t="str">
            <v>FG03377</v>
          </cell>
          <cell r="C6712" t="str">
            <v>TULL GRASS 10CM X 10CM B/10PCS</v>
          </cell>
        </row>
        <row r="6713">
          <cell r="B6713" t="str">
            <v>FG03378</v>
          </cell>
          <cell r="C6713" t="str">
            <v>TURBOVAS 10 (ROSUVASTATINE) B/3 X 10CES</v>
          </cell>
        </row>
        <row r="6714">
          <cell r="B6714" t="str">
            <v>FG03379</v>
          </cell>
          <cell r="C6714" t="str">
            <v>TURBOVAS 20 (ROSUVASTATINE) B/30CES</v>
          </cell>
        </row>
        <row r="6715">
          <cell r="B6715" t="str">
            <v>FG03380</v>
          </cell>
          <cell r="C6715" t="str">
            <v>TUSQ-DX B/20CES</v>
          </cell>
        </row>
        <row r="6716">
          <cell r="B6716" t="str">
            <v>FG03381</v>
          </cell>
          <cell r="C6716" t="str">
            <v>TUSQ-DX EXP SP 100ML</v>
          </cell>
        </row>
        <row r="6717">
          <cell r="B6717" t="str">
            <v>FG03382</v>
          </cell>
          <cell r="C6717" t="str">
            <v>TUSQ-X EXP SP 100ML</v>
          </cell>
        </row>
        <row r="6718">
          <cell r="B6718" t="str">
            <v>FG03383</v>
          </cell>
          <cell r="C6718" t="str">
            <v>TUSSAREXIL 10ML SP</v>
          </cell>
        </row>
        <row r="6719">
          <cell r="B6719" t="str">
            <v>FG03384</v>
          </cell>
          <cell r="C6719" t="str">
            <v>TUSSINE SIROP 100ML (ANTI-TUSSIF)</v>
          </cell>
        </row>
        <row r="6720">
          <cell r="B6720" t="str">
            <v>FG03385</v>
          </cell>
          <cell r="C6720" t="str">
            <v>TUSSIPLEX SP 100ML</v>
          </cell>
        </row>
        <row r="6721">
          <cell r="B6721" t="str">
            <v>FG03386</v>
          </cell>
          <cell r="C6721" t="str">
            <v>TWINZOL COLLYRE 5 ML(FR)</v>
          </cell>
        </row>
        <row r="6722">
          <cell r="B6722" t="str">
            <v>FG03387</v>
          </cell>
          <cell r="C6722" t="str">
            <v>TYPHIM VACCIN B/1 SERINGUE</v>
          </cell>
        </row>
        <row r="6723">
          <cell r="B6723" t="str">
            <v>FG03388</v>
          </cell>
          <cell r="C6723" t="str">
            <v>U C J ELECTROD</v>
          </cell>
        </row>
        <row r="6724">
          <cell r="B6724" t="str">
            <v>FG03389</v>
          </cell>
          <cell r="C6724" t="str">
            <v>UCOX 90MG (ETORICOXIB) B/10 CES</v>
          </cell>
        </row>
        <row r="6725">
          <cell r="B6725" t="str">
            <v>FG03390</v>
          </cell>
          <cell r="C6725" t="str">
            <v>ULGICID (ANTIACID) SUSP 200ML</v>
          </cell>
        </row>
        <row r="6726">
          <cell r="B6726" t="str">
            <v>FG03391</v>
          </cell>
          <cell r="C6726" t="str">
            <v>ULTRA DOZEM (PARA+TRAMADOL) B \10 CES</v>
          </cell>
        </row>
        <row r="6727">
          <cell r="B6727" t="str">
            <v>FG03392</v>
          </cell>
          <cell r="C6727" t="str">
            <v>ULTRA LEVURE 250 SACH B/10 (FR)</v>
          </cell>
        </row>
        <row r="6728">
          <cell r="B6728" t="str">
            <v>FG03393</v>
          </cell>
          <cell r="C6728" t="str">
            <v>ULTRACEF (CEFTRIAXONE1G) B/1AMP</v>
          </cell>
        </row>
        <row r="6729">
          <cell r="B6729" t="str">
            <v>FG03394</v>
          </cell>
          <cell r="C6729" t="str">
            <v>ULTRAPIM INJECTION 1G B/1AMP</v>
          </cell>
        </row>
        <row r="6730">
          <cell r="B6730" t="str">
            <v>FG03395</v>
          </cell>
          <cell r="C6730" t="str">
            <v>ULTRASOUND TRANSMISSION GEL 250ML</v>
          </cell>
        </row>
        <row r="6731">
          <cell r="B6731" t="str">
            <v>FG03396</v>
          </cell>
          <cell r="C6731" t="str">
            <v>UNICAINE 2% GEL (LIDOCAINE) T/30G</v>
          </cell>
        </row>
        <row r="6732">
          <cell r="B6732" t="str">
            <v>FG03397</v>
          </cell>
          <cell r="C6732" t="str">
            <v>UNICLAV 1.2G (AMOXICLAV) INJ. B/1 VIAL+EAU.</v>
          </cell>
        </row>
        <row r="6733">
          <cell r="B6733" t="str">
            <v>FG03398</v>
          </cell>
          <cell r="C6733" t="str">
            <v>UNICLAV 112.5MG BEBE (AMOXICLAV) GOUTTES 10ML+EAU</v>
          </cell>
        </row>
        <row r="6734">
          <cell r="B6734" t="str">
            <v>FG03399</v>
          </cell>
          <cell r="C6734" t="str">
            <v>UNICLAV 1125MG AD (AMOXICLAV) B/12 SACHETS ORALE</v>
          </cell>
        </row>
        <row r="6735">
          <cell r="B6735" t="str">
            <v>FG03400</v>
          </cell>
          <cell r="C6735" t="str">
            <v>UNICLAV 562.5MG (AMOXICLAV) B/12 SACHETS ORALE</v>
          </cell>
        </row>
        <row r="6736">
          <cell r="B6736" t="str">
            <v>FG03401</v>
          </cell>
          <cell r="C6736" t="str">
            <v>UNICLAV 600MG (AMOXICLAV) INJ. B/1 VIAL+EAU.</v>
          </cell>
        </row>
        <row r="6737">
          <cell r="B6737" t="str">
            <v>FG03402</v>
          </cell>
          <cell r="C6737" t="str">
            <v>UNICLAV DUO 1125MG (AMOXICLAV) B/16 CES</v>
          </cell>
        </row>
        <row r="6738">
          <cell r="B6738" t="str">
            <v>FG03403</v>
          </cell>
          <cell r="C6738" t="str">
            <v>UNICLAV DUO 562.5MG (AMOXICLAV) B/16 CES</v>
          </cell>
        </row>
        <row r="6739">
          <cell r="B6739" t="str">
            <v>FG03404</v>
          </cell>
          <cell r="C6739" t="str">
            <v>UNICLAV ENFANT 562.5MG (AMOXICLAV) SUSP.60ML</v>
          </cell>
        </row>
        <row r="6740">
          <cell r="B6740" t="str">
            <v>FG03405</v>
          </cell>
          <cell r="C6740" t="str">
            <v>UNICLAV NORRISSON 281.25MG (AMOXICLAV) SUSP.60ML</v>
          </cell>
        </row>
        <row r="6741">
          <cell r="B6741" t="str">
            <v>FG03406</v>
          </cell>
          <cell r="C6741" t="str">
            <v>UNIDERM @@ 30MG @@ CREAM</v>
          </cell>
        </row>
        <row r="6742">
          <cell r="B6742" t="str">
            <v>FG03407</v>
          </cell>
          <cell r="C6742" t="str">
            <v>UNIDERM CREME 15GR</v>
          </cell>
        </row>
        <row r="6743">
          <cell r="B6743" t="str">
            <v>FG03408</v>
          </cell>
          <cell r="C6743" t="str">
            <v>UNIDINE (POVIDONE IODEE) 10% SOLUTION 125 ML</v>
          </cell>
        </row>
        <row r="6744">
          <cell r="B6744" t="str">
            <v>FG03409</v>
          </cell>
          <cell r="C6744" t="str">
            <v>UNIDINE (POVIDONE-IODEE) 5% POMMADE 20G</v>
          </cell>
        </row>
        <row r="6745">
          <cell r="B6745" t="str">
            <v>FG03410</v>
          </cell>
          <cell r="C6745" t="str">
            <v>UNIDINE-M (POVIDONE IODE+ METRO) POMMDE 30G</v>
          </cell>
        </row>
        <row r="6746">
          <cell r="B6746" t="str">
            <v>FG03411</v>
          </cell>
          <cell r="C6746" t="str">
            <v>UNIKOF (REMEDE COMPLET DE LA TOUX) SIROP 100ML</v>
          </cell>
        </row>
        <row r="6747">
          <cell r="B6747" t="str">
            <v>FG03412</v>
          </cell>
          <cell r="C6747" t="str">
            <v>UNISPA 10MG (BUSCOPAN) B/ 6 SUPPO</v>
          </cell>
        </row>
        <row r="6748">
          <cell r="B6748" t="str">
            <v>FG03413</v>
          </cell>
          <cell r="C6748" t="str">
            <v>UPRADONE 30/40MG B/30 CES</v>
          </cell>
        </row>
        <row r="6749">
          <cell r="B6749" t="str">
            <v>FG03414</v>
          </cell>
          <cell r="C6749" t="str">
            <v>UPS 1500</v>
          </cell>
        </row>
        <row r="6750">
          <cell r="B6750" t="str">
            <v>FG03415</v>
          </cell>
          <cell r="C6750" t="str">
            <v>UPS 650</v>
          </cell>
        </row>
        <row r="6751">
          <cell r="B6751" t="str">
            <v>FG03416</v>
          </cell>
          <cell r="C6751" t="str">
            <v>UPSA C 1GR. 10CES EFF.</v>
          </cell>
        </row>
        <row r="6752">
          <cell r="B6752" t="str">
            <v>FG03417</v>
          </cell>
          <cell r="C6752" t="str">
            <v>URELLA GEL 200 ML</v>
          </cell>
        </row>
        <row r="6753">
          <cell r="B6753" t="str">
            <v>FG03418</v>
          </cell>
          <cell r="C6753" t="str">
            <v>URINE CULTURE BOUTEILLE ( PACK INDIVIDUEL ) 1 PCS</v>
          </cell>
        </row>
        <row r="6754">
          <cell r="B6754" t="str">
            <v>FG03419</v>
          </cell>
          <cell r="C6754" t="str">
            <v>URINE CULTURE BOUTEILLE 60ML ( PACK BULK ) 1 PCS</v>
          </cell>
        </row>
        <row r="6755">
          <cell r="B6755" t="str">
            <v>FG03420</v>
          </cell>
          <cell r="C6755" t="str">
            <v>UROPIRINE 30CES</v>
          </cell>
        </row>
        <row r="6756">
          <cell r="B6756" t="str">
            <v>FG03421</v>
          </cell>
          <cell r="C6756" t="str">
            <v>UTROGESTAN 100MG 30CES (EO)</v>
          </cell>
        </row>
        <row r="6757">
          <cell r="B6757" t="str">
            <v>FG03422</v>
          </cell>
          <cell r="C6757" t="str">
            <v>UTROGESTAN 200MG 15CES (FR)</v>
          </cell>
        </row>
        <row r="6758">
          <cell r="B6758" t="str">
            <v>FG03423</v>
          </cell>
          <cell r="C6758" t="str">
            <v>V-FORCE 100MG B/1CAP</v>
          </cell>
        </row>
        <row r="6759">
          <cell r="B6759" t="str">
            <v>FG03424</v>
          </cell>
          <cell r="C6759" t="str">
            <v>V-FORCE 50MG B/1CAPS</v>
          </cell>
        </row>
        <row r="6760">
          <cell r="B6760" t="str">
            <v>FG03425</v>
          </cell>
          <cell r="C6760" t="str">
            <v>V-LAVAGE (ACIDE LACTIQUE) LIQUIDE DE LAVAGE 100ML</v>
          </cell>
        </row>
        <row r="6761">
          <cell r="B6761" t="str">
            <v>FG03426</v>
          </cell>
          <cell r="C6761" t="str">
            <v>VAGI-CLAIR (CLOTRIMAZOLE) CREAM 30GM</v>
          </cell>
        </row>
        <row r="6762">
          <cell r="B6762" t="str">
            <v>FG03427</v>
          </cell>
          <cell r="C6762" t="str">
            <v>VAGID-CL OVULES</v>
          </cell>
        </row>
        <row r="6763">
          <cell r="B6763" t="str">
            <v>FG03428</v>
          </cell>
          <cell r="C6763" t="str">
            <v>VAGIKLIN (CLINDA.+CLOTRI.) B/ 3 OVULES</v>
          </cell>
        </row>
        <row r="6764">
          <cell r="B6764" t="str">
            <v>FG03429</v>
          </cell>
          <cell r="C6764" t="str">
            <v>VAGIKLIN FORTE (CLINDA.+CLOTRI.+METRO.) B/7 OVULES</v>
          </cell>
        </row>
        <row r="6765">
          <cell r="B6765" t="str">
            <v>FG03430</v>
          </cell>
          <cell r="C6765" t="str">
            <v>VAGYNAX 6 OVULES</v>
          </cell>
        </row>
        <row r="6766">
          <cell r="B6766" t="str">
            <v>FG03431</v>
          </cell>
          <cell r="C6766" t="str">
            <v>VALSAR DENK 80MG B/28CES (FR)</v>
          </cell>
        </row>
        <row r="6767">
          <cell r="B6767" t="str">
            <v>FG03432</v>
          </cell>
          <cell r="C6767" t="str">
            <v>VANCOLITE -1000MG (VANCOMYCIN) INJ. B/1 VIAL</v>
          </cell>
        </row>
        <row r="6768">
          <cell r="B6768" t="str">
            <v>FG03433</v>
          </cell>
          <cell r="C6768" t="str">
            <v>VANCOLITE -500MG (VANCOMYCIN) INJ. B/1 VIAL</v>
          </cell>
        </row>
        <row r="6769">
          <cell r="B6769" t="str">
            <v>FG03434</v>
          </cell>
          <cell r="C6769" t="str">
            <v>VASELINE BLANCHE</v>
          </cell>
        </row>
        <row r="6770">
          <cell r="B6770" t="str">
            <v>FG03435</v>
          </cell>
          <cell r="C6770" t="str">
            <v>VASELINE SALICYLEE 10%</v>
          </cell>
        </row>
        <row r="6771">
          <cell r="B6771" t="str">
            <v>FG03436</v>
          </cell>
          <cell r="C6771" t="str">
            <v>VASELINE SALICYLEE 15% 50G</v>
          </cell>
        </row>
        <row r="6772">
          <cell r="B6772" t="str">
            <v>FG03437</v>
          </cell>
          <cell r="C6772" t="str">
            <v>VASELINE SALICYLEE 20% 50G</v>
          </cell>
        </row>
        <row r="6773">
          <cell r="B6773" t="str">
            <v>FG03438</v>
          </cell>
          <cell r="C6773" t="str">
            <v>VASELINE SALICYLEE 5% 50G</v>
          </cell>
        </row>
        <row r="6774">
          <cell r="B6774" t="str">
            <v>FG03439</v>
          </cell>
          <cell r="C6774" t="str">
            <v>VASOCAR - TH B/30CES</v>
          </cell>
        </row>
        <row r="6775">
          <cell r="B6775" t="str">
            <v>FG03440</v>
          </cell>
          <cell r="C6775" t="str">
            <v>VASOCAR -10 ( AMLODIPINE ) 10MG B\ 1 X 14 CES</v>
          </cell>
        </row>
        <row r="6776">
          <cell r="B6776" t="str">
            <v>FG03441</v>
          </cell>
          <cell r="C6776" t="str">
            <v>VASOCAR -5 (AMLODIPINE ) 5 MG B \ 1 X 14 CES</v>
          </cell>
        </row>
        <row r="6777">
          <cell r="B6777" t="str">
            <v>FG03442</v>
          </cell>
          <cell r="C6777" t="str">
            <v>VASOCAR-T (AMLODIPINE) B\T1 X 14 CES</v>
          </cell>
        </row>
        <row r="6778">
          <cell r="B6778" t="str">
            <v>FG03443</v>
          </cell>
          <cell r="C6778" t="str">
            <v>VASTAREL LM 35MG 60CES (FR)</v>
          </cell>
        </row>
        <row r="6779">
          <cell r="B6779" t="str">
            <v>FG03444</v>
          </cell>
          <cell r="C6779" t="str">
            <v>VEGEBOM BAUME 45 GR BEBE</v>
          </cell>
        </row>
        <row r="6780">
          <cell r="B6780" t="str">
            <v>FG03445</v>
          </cell>
          <cell r="C6780" t="str">
            <v>VEGEBOM DR MIOT BAUME 45GR (EO)</v>
          </cell>
        </row>
        <row r="6781">
          <cell r="B6781" t="str">
            <v>FG03446</v>
          </cell>
          <cell r="C6781" t="str">
            <v>VEINTONEX (DIOSMINE 450MG) B/30 CES</v>
          </cell>
        </row>
        <row r="6782">
          <cell r="B6782" t="str">
            <v>FG03447</v>
          </cell>
          <cell r="C6782" t="str">
            <v>VELTAM 0.4MG (TAMSULOSIN) B/3X10 CES</v>
          </cell>
        </row>
        <row r="6783">
          <cell r="B6783" t="str">
            <v>FG03448</v>
          </cell>
          <cell r="C6783" t="str">
            <v>VENILATEUR</v>
          </cell>
        </row>
        <row r="6784">
          <cell r="B6784" t="str">
            <v>FG03449</v>
          </cell>
          <cell r="C6784" t="str">
            <v>VENOSMIL 200MG B/20GELULES (FR)</v>
          </cell>
        </row>
        <row r="6785">
          <cell r="B6785" t="str">
            <v>FG03450</v>
          </cell>
          <cell r="C6785" t="str">
            <v>VENTOLINE AER. 100UG 200 DOSES (EO) (SPARY)</v>
          </cell>
        </row>
        <row r="6786">
          <cell r="B6786" t="str">
            <v>FG03451</v>
          </cell>
          <cell r="C6786" t="str">
            <v>VERMOX 100MG B/6CES(EO)</v>
          </cell>
        </row>
        <row r="6787">
          <cell r="B6787" t="str">
            <v>FG03452</v>
          </cell>
          <cell r="C6787" t="str">
            <v>VERMOX 2% SUSP BUVABLE FL 30ML (EO)</v>
          </cell>
        </row>
        <row r="6788">
          <cell r="B6788" t="str">
            <v>FG03453</v>
          </cell>
          <cell r="C6788" t="str">
            <v>VERMOX 500MG B/1CES(EO)</v>
          </cell>
        </row>
        <row r="6789">
          <cell r="B6789" t="str">
            <v>FG03454</v>
          </cell>
          <cell r="C6789" t="str">
            <v>VERRUMAL SOL POUR 100GR 0.5 GR (E0)</v>
          </cell>
        </row>
        <row r="6790">
          <cell r="B6790" t="str">
            <v>FG03455</v>
          </cell>
          <cell r="C6790" t="str">
            <v>VERVE (ARTE+LUMEFA) B/6CES</v>
          </cell>
        </row>
        <row r="6791">
          <cell r="B6791" t="str">
            <v>FG03456</v>
          </cell>
          <cell r="C6791" t="str">
            <v>VI GEL CREME 25GR.</v>
          </cell>
        </row>
        <row r="6792">
          <cell r="B6792" t="str">
            <v>FG03457</v>
          </cell>
          <cell r="C6792" t="str">
            <v>VIANDINE Z SIROP 200ML</v>
          </cell>
        </row>
        <row r="6793">
          <cell r="B6793" t="str">
            <v>FG03458</v>
          </cell>
          <cell r="C6793" t="str">
            <v>VIBROCIL GOUTTE NASAL 15ML (FR)</v>
          </cell>
        </row>
        <row r="6794">
          <cell r="B6794" t="str">
            <v>FG03459</v>
          </cell>
          <cell r="C6794" t="str">
            <v>VICKS LEOPARD DZ</v>
          </cell>
        </row>
        <row r="6795">
          <cell r="B6795" t="str">
            <v>FG03460</v>
          </cell>
          <cell r="C6795" t="str">
            <v>VICKS VAPORUB 100G</v>
          </cell>
        </row>
        <row r="6796">
          <cell r="B6796" t="str">
            <v>FG03461</v>
          </cell>
          <cell r="C6796" t="str">
            <v>VICRYL NO-3/0 PCS/1</v>
          </cell>
        </row>
        <row r="6797">
          <cell r="B6797" t="str">
            <v>FG03462</v>
          </cell>
          <cell r="C6797" t="str">
            <v>VICRYL NO-0 PCS/1</v>
          </cell>
        </row>
        <row r="6798">
          <cell r="B6798" t="str">
            <v>FG03463</v>
          </cell>
          <cell r="C6798" t="str">
            <v>VICRYL NO-1 PCS/1</v>
          </cell>
        </row>
        <row r="6799">
          <cell r="B6799" t="str">
            <v>FG03464</v>
          </cell>
          <cell r="C6799" t="str">
            <v>VICRYL NO-1/0 PCS/1</v>
          </cell>
        </row>
        <row r="6800">
          <cell r="B6800" t="str">
            <v>FG03465</v>
          </cell>
          <cell r="C6800" t="str">
            <v>VICRYL NO-2 PCS/1</v>
          </cell>
        </row>
        <row r="6801">
          <cell r="B6801" t="str">
            <v>FG03466</v>
          </cell>
          <cell r="C6801" t="str">
            <v>VICRYL NO-2/0 PCS/1</v>
          </cell>
        </row>
        <row r="6802">
          <cell r="B6802" t="str">
            <v>FG03467</v>
          </cell>
          <cell r="C6802" t="str">
            <v>VICRYL NO-4/0 1 PCS</v>
          </cell>
        </row>
        <row r="6803">
          <cell r="B6803" t="str">
            <v>FG03468</v>
          </cell>
          <cell r="C6803" t="str">
            <v>VIFEX (ANTITOUX) SP 100ML SALBUTAMOL</v>
          </cell>
        </row>
        <row r="6804">
          <cell r="B6804" t="str">
            <v>FG03469</v>
          </cell>
          <cell r="C6804" t="str">
            <v>VIFEX PASTILLES****B/200PCS***</v>
          </cell>
        </row>
        <row r="6805">
          <cell r="B6805" t="str">
            <v>FG03470</v>
          </cell>
          <cell r="C6805" t="str">
            <v>VIGORAL FOD (SILDENFIL 50MG)1 FOD</v>
          </cell>
        </row>
        <row r="6806">
          <cell r="B6806" t="str">
            <v>FG03471</v>
          </cell>
          <cell r="C6806" t="str">
            <v>VIGORAL RAPIDE 1 CES</v>
          </cell>
        </row>
        <row r="6807">
          <cell r="B6807" t="str">
            <v>FG03472</v>
          </cell>
          <cell r="C6807" t="str">
            <v>VIGORAL-50 (SILDENAFIL-50MG) 2CES</v>
          </cell>
        </row>
        <row r="6808">
          <cell r="B6808" t="str">
            <v>FG03473</v>
          </cell>
          <cell r="C6808" t="str">
            <v>VIGORAL100MG ***FORT*** CES</v>
          </cell>
        </row>
        <row r="6809">
          <cell r="B6809" t="str">
            <v>FG03474</v>
          </cell>
          <cell r="C6809" t="str">
            <v>VILONG (TADAKAFIL 20MG + DAPOXETINE 60MG ) B/2CES</v>
          </cell>
        </row>
        <row r="6810">
          <cell r="B6810" t="str">
            <v>FG03475</v>
          </cell>
          <cell r="C6810" t="str">
            <v>VINLON 1MG (VINCRISTINE) INJ B/1 VIAL</v>
          </cell>
        </row>
        <row r="6811">
          <cell r="B6811" t="str">
            <v>FG03476</v>
          </cell>
          <cell r="C6811" t="str">
            <v>VIOLET DE GENTIANE 5...1LTR</v>
          </cell>
        </row>
        <row r="6812">
          <cell r="B6812" t="str">
            <v>FG03477</v>
          </cell>
          <cell r="C6812" t="str">
            <v>VIT B DENK 10CES PL (EO)</v>
          </cell>
        </row>
        <row r="6813">
          <cell r="B6813" t="str">
            <v>FG03478</v>
          </cell>
          <cell r="C6813" t="str">
            <v>VIT B DENK B/20CES</v>
          </cell>
        </row>
        <row r="6814">
          <cell r="B6814" t="str">
            <v>FG03479</v>
          </cell>
          <cell r="C6814" t="str">
            <v>VIT E FORT 400MG B/30CES (FR)</v>
          </cell>
        </row>
        <row r="6815">
          <cell r="B6815" t="str">
            <v>FG03480</v>
          </cell>
          <cell r="C6815" t="str">
            <v>VITACEE EFF B/20XES</v>
          </cell>
        </row>
        <row r="6816">
          <cell r="B6816" t="str">
            <v>FG03481</v>
          </cell>
          <cell r="C6816" t="str">
            <v>VITACOLIR 0.05% (VIT B12) COLLYRE</v>
          </cell>
        </row>
        <row r="6817">
          <cell r="B6817" t="str">
            <v>FG03482</v>
          </cell>
          <cell r="C6817" t="str">
            <v>VITADOC ( MULTI GUT) 15ML</v>
          </cell>
        </row>
        <row r="6818">
          <cell r="B6818" t="str">
            <v>FG03483</v>
          </cell>
          <cell r="C6818" t="str">
            <v>VITADOC (MULTIVITAMINS) SIROP 100ML</v>
          </cell>
        </row>
        <row r="6819">
          <cell r="B6819" t="str">
            <v>FG03484</v>
          </cell>
          <cell r="C6819" t="str">
            <v>VITADOC B/30CAP</v>
          </cell>
        </row>
        <row r="6820">
          <cell r="B6820" t="str">
            <v>FG03485</v>
          </cell>
          <cell r="C6820" t="str">
            <v>VITAL (MULTIVITAMIN) SIROP 100ML</v>
          </cell>
        </row>
        <row r="6821">
          <cell r="B6821" t="str">
            <v>FG03486</v>
          </cell>
          <cell r="C6821" t="str">
            <v>VITAMAX SP 100ML (MULTIVITAMINES)</v>
          </cell>
        </row>
        <row r="6822">
          <cell r="B6822" t="str">
            <v>FG03487</v>
          </cell>
          <cell r="C6822" t="str">
            <v>VITAMINE B COMPLEX B/10X10CES</v>
          </cell>
        </row>
        <row r="6823">
          <cell r="B6823" t="str">
            <v>FG03488</v>
          </cell>
          <cell r="C6823" t="str">
            <v>VITAMINE B COMPLEX SP (PHATKIN)</v>
          </cell>
        </row>
        <row r="6824">
          <cell r="B6824" t="str">
            <v>FG03489</v>
          </cell>
          <cell r="C6824" t="str">
            <v>VITAMINE B COMPLEXE SIROP 100ML</v>
          </cell>
        </row>
        <row r="6825">
          <cell r="B6825" t="str">
            <v>FG03490</v>
          </cell>
          <cell r="C6825" t="str">
            <v>VITAMINE B6 50MG B/10X10CES</v>
          </cell>
        </row>
        <row r="6826">
          <cell r="B6826" t="str">
            <v>FG03491</v>
          </cell>
          <cell r="C6826" t="str">
            <v>VITAMINE C SP 100ML</v>
          </cell>
        </row>
        <row r="6827">
          <cell r="B6827" t="str">
            <v>FG03492</v>
          </cell>
          <cell r="C6827" t="str">
            <v>VITAMINE C SP 100ML (PHATKIN)</v>
          </cell>
        </row>
        <row r="6828">
          <cell r="B6828" t="str">
            <v>FG03493</v>
          </cell>
          <cell r="C6828" t="str">
            <v>VITAMINO SP 200ML</v>
          </cell>
        </row>
        <row r="6829">
          <cell r="B6829" t="str">
            <v>FG03494</v>
          </cell>
          <cell r="C6829" t="str">
            <v>VITATONE B/30CES</v>
          </cell>
        </row>
        <row r="6830">
          <cell r="B6830" t="str">
            <v>FG03495</v>
          </cell>
          <cell r="C6830" t="str">
            <v>VITAXIN SOL BUV FL 200ML B/1</v>
          </cell>
        </row>
        <row r="6831">
          <cell r="B6831" t="str">
            <v>FG03496</v>
          </cell>
          <cell r="C6831" t="str">
            <v>VITAZINK SIROP 200ML</v>
          </cell>
        </row>
        <row r="6832">
          <cell r="B6832" t="str">
            <v>FG03497</v>
          </cell>
          <cell r="C6832" t="str">
            <v>VITOSSAMIN D3 (60000 INJ) 4 GEL</v>
          </cell>
        </row>
        <row r="6833">
          <cell r="B6833" t="str">
            <v>FG03498</v>
          </cell>
          <cell r="C6833" t="str">
            <v>VITRON-Z 3X10CES</v>
          </cell>
        </row>
        <row r="6834">
          <cell r="B6834" t="str">
            <v>FG03499</v>
          </cell>
          <cell r="C6834" t="str">
            <v>VITRON-Z GOUTTE FL/30ML</v>
          </cell>
        </row>
        <row r="6835">
          <cell r="B6835" t="str">
            <v>FG03500</v>
          </cell>
          <cell r="C6835" t="str">
            <v>VITRON-Z SIROP FL/150ML</v>
          </cell>
        </row>
        <row r="6836">
          <cell r="B6836" t="str">
            <v>FG03501</v>
          </cell>
          <cell r="C6836" t="str">
            <v>VOGALENE 15MG CAPS B/20 (FR)</v>
          </cell>
        </row>
        <row r="6837">
          <cell r="B6837" t="str">
            <v>FG03502</v>
          </cell>
          <cell r="C6837" t="str">
            <v>VOGALENE INJ 1ML B/10ML (FR)</v>
          </cell>
        </row>
        <row r="6838">
          <cell r="B6838" t="str">
            <v>FG03503</v>
          </cell>
          <cell r="C6838" t="str">
            <v>VOLPA (DICLO.+PARA.) BT/10X10CES</v>
          </cell>
        </row>
        <row r="6839">
          <cell r="B6839" t="str">
            <v>FG03504</v>
          </cell>
          <cell r="C6839" t="str">
            <v>VOLT FAST 50MG SACHETS B/9 (FR)</v>
          </cell>
        </row>
        <row r="6840">
          <cell r="B6840" t="str">
            <v>FG03505</v>
          </cell>
          <cell r="C6840" t="str">
            <v>VOLTAREN 25MG BT/30CES (FR)</v>
          </cell>
        </row>
        <row r="6841">
          <cell r="B6841" t="str">
            <v>FG03506</v>
          </cell>
          <cell r="C6841" t="str">
            <v>VOLTAREN 50MG B/30CES (FR)</v>
          </cell>
        </row>
        <row r="6842">
          <cell r="B6842" t="str">
            <v>FG03507</v>
          </cell>
          <cell r="C6842" t="str">
            <v>VOLTAREN LP 100MG 15CES (FR)</v>
          </cell>
        </row>
        <row r="6843">
          <cell r="B6843" t="str">
            <v>FG03508</v>
          </cell>
          <cell r="C6843" t="str">
            <v>VOLTARENE EMUGEL TB 50GR (FR)</v>
          </cell>
        </row>
        <row r="6844">
          <cell r="B6844" t="str">
            <v>FG03509</v>
          </cell>
          <cell r="C6844" t="str">
            <v>VOLTARENE LP 75MG 20CES (FR)</v>
          </cell>
        </row>
        <row r="6845">
          <cell r="B6845" t="str">
            <v>FG03510</v>
          </cell>
          <cell r="C6845" t="str">
            <v>VOMARET (ONDANSETRON) 30ML SIROP</v>
          </cell>
        </row>
        <row r="6846">
          <cell r="B6846" t="str">
            <v>FG03511</v>
          </cell>
          <cell r="C6846" t="str">
            <v>VOMARET (ONDANSETRON) 4MG/2ML INJ</v>
          </cell>
        </row>
        <row r="6847">
          <cell r="B6847" t="str">
            <v>FG03512</v>
          </cell>
          <cell r="C6847" t="str">
            <v>WALL CLOCK</v>
          </cell>
        </row>
        <row r="6848">
          <cell r="B6848" t="str">
            <v>FG03513</v>
          </cell>
          <cell r="C6848" t="str">
            <v>WARFARINE 5MG B/30 CES</v>
          </cell>
        </row>
        <row r="6849">
          <cell r="B6849" t="str">
            <v>FG03514</v>
          </cell>
          <cell r="C6849" t="str">
            <v>WASHING MACHINE</v>
          </cell>
        </row>
        <row r="6850">
          <cell r="B6850" t="str">
            <v>FG03515</v>
          </cell>
          <cell r="C6850" t="str">
            <v>WATCH ALL</v>
          </cell>
        </row>
        <row r="6851">
          <cell r="B6851" t="str">
            <v>FG03516</v>
          </cell>
          <cell r="C6851" t="str">
            <v>WATER BOTTLE</v>
          </cell>
        </row>
        <row r="6852">
          <cell r="B6852" t="str">
            <v>FG03517</v>
          </cell>
          <cell r="C6852" t="str">
            <v>WATER DISPENSER</v>
          </cell>
        </row>
        <row r="6853">
          <cell r="B6853" t="str">
            <v>FG03518</v>
          </cell>
          <cell r="C6853" t="str">
            <v>WAXORT (BICARBONATE) 5% GOUTTE OTIQUE 10ML</v>
          </cell>
        </row>
        <row r="6854">
          <cell r="B6854" t="str">
            <v>FG03519</v>
          </cell>
          <cell r="C6854" t="str">
            <v>WOMIBAN (ALBENDAZOLE) B/1CES</v>
          </cell>
        </row>
        <row r="6855">
          <cell r="B6855" t="str">
            <v>FG03520</v>
          </cell>
          <cell r="C6855" t="str">
            <v>WORMEX 100MG BOITE DE 25X6CES</v>
          </cell>
        </row>
        <row r="6856">
          <cell r="B6856" t="str">
            <v>FG03521</v>
          </cell>
          <cell r="C6856" t="str">
            <v>WORMEX 500MG BT/1CES</v>
          </cell>
        </row>
        <row r="6857">
          <cell r="B6857" t="str">
            <v>FG03522</v>
          </cell>
          <cell r="C6857" t="str">
            <v>WORMEX SP 30ML</v>
          </cell>
        </row>
        <row r="6858">
          <cell r="B6858" t="str">
            <v>FG03523</v>
          </cell>
          <cell r="C6858" t="str">
            <v>WORMINIX PLUS (ALBENDAZOLE+IVERMECTIN) B\1 CES</v>
          </cell>
        </row>
        <row r="6859">
          <cell r="B6859" t="str">
            <v>FG03524</v>
          </cell>
          <cell r="C6859" t="str">
            <v>X-1 ( TADALAFIL ) 20MG B/2 CAP</v>
          </cell>
        </row>
        <row r="6860">
          <cell r="B6860" t="str">
            <v>FG03525</v>
          </cell>
          <cell r="C6860" t="str">
            <v>XAL SEL DE REGIME (FR)</v>
          </cell>
        </row>
        <row r="6861">
          <cell r="B6861" t="str">
            <v>FG03526</v>
          </cell>
          <cell r="C6861" t="str">
            <v>XALACOM OPTH. 2.5MLX1 (FR)</v>
          </cell>
        </row>
        <row r="6862">
          <cell r="B6862" t="str">
            <v>FG03527</v>
          </cell>
          <cell r="C6862" t="str">
            <v>XATRAL LP 10MG 30CES (EO)</v>
          </cell>
        </row>
        <row r="6863">
          <cell r="B6863" t="str">
            <v>FG03528</v>
          </cell>
          <cell r="C6863" t="str">
            <v>XELOCEL-500MG (CAPECITABINE) PLT DE 10CES</v>
          </cell>
        </row>
        <row r="6864">
          <cell r="B6864" t="str">
            <v>FG03529</v>
          </cell>
          <cell r="C6864" t="str">
            <v>XENTOL ANTIBACTERIEN 100ML</v>
          </cell>
        </row>
        <row r="6865">
          <cell r="B6865" t="str">
            <v>FG03530</v>
          </cell>
          <cell r="C6865" t="str">
            <v>XENTOL CREAM 15G</v>
          </cell>
        </row>
        <row r="6866">
          <cell r="B6866" t="str">
            <v>FG03531</v>
          </cell>
          <cell r="C6866" t="str">
            <v>XENTOL POUDRE 50GM</v>
          </cell>
        </row>
        <row r="6867">
          <cell r="B6867" t="str">
            <v>FG03532</v>
          </cell>
          <cell r="C6867" t="str">
            <v>XENTOL SAVON 75GR</v>
          </cell>
        </row>
        <row r="6868">
          <cell r="B6868" t="str">
            <v>FG03533</v>
          </cell>
          <cell r="C6868" t="str">
            <v>XTRAFORCE-10MG 1GELULE</v>
          </cell>
        </row>
        <row r="6869">
          <cell r="B6869" t="str">
            <v>FG03534</v>
          </cell>
          <cell r="C6869" t="str">
            <v>XTRAFORCE-20MG 1GELULE</v>
          </cell>
        </row>
        <row r="6870">
          <cell r="B6870" t="str">
            <v>FG03535</v>
          </cell>
          <cell r="C6870" t="str">
            <v>XYLOCAINE GEL 2% 30GR (FR)</v>
          </cell>
        </row>
        <row r="6871">
          <cell r="B6871" t="str">
            <v>FG03536</v>
          </cell>
          <cell r="C6871" t="str">
            <v>XYZALL 5MG 14 CES (FR)</v>
          </cell>
        </row>
        <row r="6872">
          <cell r="B6872" t="str">
            <v>FG03537</v>
          </cell>
          <cell r="C6872" t="str">
            <v>YOMESAN 4CES 500MG (FR)</v>
          </cell>
        </row>
        <row r="6873">
          <cell r="B6873" t="str">
            <v>FG03538</v>
          </cell>
          <cell r="C6873" t="str">
            <v>ZADYCINE (AZITHROMYCINE) 500MG B/3CES</v>
          </cell>
        </row>
        <row r="6874">
          <cell r="B6874" t="str">
            <v>FG03539</v>
          </cell>
          <cell r="C6874" t="str">
            <v>ZADYCINE DUPRNSION BUV 100MG/5ML</v>
          </cell>
        </row>
        <row r="6875">
          <cell r="B6875" t="str">
            <v>FG03540</v>
          </cell>
          <cell r="C6875" t="str">
            <v>ZALAIN (SERTACONAZOL NITRATO ) B/1 OVULE</v>
          </cell>
        </row>
        <row r="6876">
          <cell r="B6876" t="str">
            <v>FG03541</v>
          </cell>
          <cell r="C6876" t="str">
            <v>ZAPAIN 10CES PL</v>
          </cell>
        </row>
        <row r="6877">
          <cell r="B6877" t="str">
            <v>FG03542</v>
          </cell>
          <cell r="C6877" t="str">
            <v>ZAPHITOUX SP 100ML</v>
          </cell>
        </row>
        <row r="6878">
          <cell r="B6878" t="str">
            <v>FG03543</v>
          </cell>
          <cell r="C6878" t="str">
            <v>ZEBU B/ 10 X10 CES</v>
          </cell>
        </row>
        <row r="6879">
          <cell r="B6879" t="str">
            <v>FG03544</v>
          </cell>
          <cell r="C6879" t="str">
            <v>ZEBU-1000MG (PARACETAMOL) B/12 CES</v>
          </cell>
        </row>
        <row r="6880">
          <cell r="B6880" t="str">
            <v>FG03545</v>
          </cell>
          <cell r="C6880" t="str">
            <v>ZEBU-500MG (PARACETAMOL) B/16 CES</v>
          </cell>
        </row>
        <row r="6881">
          <cell r="B6881" t="str">
            <v>FG03546</v>
          </cell>
          <cell r="C6881" t="str">
            <v>ZELITREX 500MG 10CES (FR)</v>
          </cell>
        </row>
        <row r="6882">
          <cell r="B6882" t="str">
            <v>FG03547</v>
          </cell>
          <cell r="C6882" t="str">
            <v>ZEMA 30G CREAM</v>
          </cell>
        </row>
        <row r="6883">
          <cell r="B6883" t="str">
            <v>FG03548</v>
          </cell>
          <cell r="C6883" t="str">
            <v>ZENAPETI SUPER SP 100ML</v>
          </cell>
        </row>
        <row r="6884">
          <cell r="B6884" t="str">
            <v>FG03549</v>
          </cell>
          <cell r="C6884" t="str">
            <v>ZENAPETIT SUPER BT 10 X10 CES (CYPROHEPTADINE)</v>
          </cell>
        </row>
        <row r="6885">
          <cell r="B6885" t="str">
            <v>FG03550</v>
          </cell>
          <cell r="C6885" t="str">
            <v>ZENDEX B\55 X 2CES</v>
          </cell>
        </row>
        <row r="6886">
          <cell r="B6886" t="str">
            <v>FG03551</v>
          </cell>
          <cell r="C6886" t="str">
            <v>ZENERGY EFF B/20 CES</v>
          </cell>
        </row>
        <row r="6887">
          <cell r="B6887" t="str">
            <v>FG03552</v>
          </cell>
          <cell r="C6887" t="str">
            <v>ZENKOF 55 X 2</v>
          </cell>
        </row>
        <row r="6888">
          <cell r="B6888" t="str">
            <v>FG03553</v>
          </cell>
          <cell r="C6888" t="str">
            <v>ZENKOF SP 100ML</v>
          </cell>
        </row>
        <row r="6889">
          <cell r="B6889" t="str">
            <v>FG03554</v>
          </cell>
          <cell r="C6889" t="str">
            <v>ZENTEL 400MG B/1CES (FR)</v>
          </cell>
        </row>
        <row r="6890">
          <cell r="B6890" t="str">
            <v>FG03555</v>
          </cell>
          <cell r="C6890" t="str">
            <v>ZEROBACT CREAM 15GM</v>
          </cell>
        </row>
        <row r="6891">
          <cell r="B6891" t="str">
            <v>FG03556</v>
          </cell>
          <cell r="C6891" t="str">
            <v>ZEROBACT CREAM 30GM</v>
          </cell>
        </row>
        <row r="6892">
          <cell r="B6892" t="str">
            <v>FG03557</v>
          </cell>
          <cell r="C6892" t="str">
            <v>ZEROBACT SAVON 75GM</v>
          </cell>
        </row>
        <row r="6893">
          <cell r="B6893" t="str">
            <v>FG03558</v>
          </cell>
          <cell r="C6893" t="str">
            <v>ZESTRIL BT/28 CES 5 MG</v>
          </cell>
        </row>
        <row r="6894">
          <cell r="B6894" t="str">
            <v>FG03559</v>
          </cell>
          <cell r="C6894" t="str">
            <v>ZIDOVUDINE 100MG B/30 CES</v>
          </cell>
        </row>
        <row r="6895">
          <cell r="B6895" t="str">
            <v>FG03560</v>
          </cell>
          <cell r="C6895" t="str">
            <v>ZINC SULFATE (ZINCOS) 20MG B/10 X10 CES</v>
          </cell>
        </row>
        <row r="6896">
          <cell r="B6896" t="str">
            <v>FG03561</v>
          </cell>
          <cell r="C6896" t="str">
            <v>ZINGINALIS (ANTI-HEMORROIDAIRE) 30CES</v>
          </cell>
        </row>
        <row r="6897">
          <cell r="B6897" t="str">
            <v>FG03562</v>
          </cell>
          <cell r="C6897" t="str">
            <v>ZINGINALIS (ANTI-HEMORROIDAIRE) 500MG B/10 SUPPO</v>
          </cell>
        </row>
        <row r="6898">
          <cell r="B6898" t="str">
            <v>FG03563</v>
          </cell>
          <cell r="C6898" t="str">
            <v>ZINKASOL (SULFATE DE ZINC) SIROP 60ML</v>
          </cell>
        </row>
        <row r="6899">
          <cell r="B6899" t="str">
            <v>FG03564</v>
          </cell>
          <cell r="C6899" t="str">
            <v>ZINNAT 500MG 10CES (FR)</v>
          </cell>
        </row>
        <row r="6900">
          <cell r="B6900" t="str">
            <v>FG03565</v>
          </cell>
          <cell r="C6900" t="str">
            <v>ZINNAT INJ. 750MG 1FL I.V/I.M (FR)</v>
          </cell>
        </row>
        <row r="6901">
          <cell r="B6901" t="str">
            <v>FG03566</v>
          </cell>
          <cell r="C6901" t="str">
            <v>ZINQUE (GLUCONATE DE ZINC) SIROP 60ML</v>
          </cell>
        </row>
        <row r="6902">
          <cell r="B6902" t="str">
            <v>FG03567</v>
          </cell>
          <cell r="C6902" t="str">
            <v>ZINQUE - DT 20MG (SULFATE DE ZINC ) B/10 CES</v>
          </cell>
        </row>
        <row r="6903">
          <cell r="B6903" t="str">
            <v>FG03568</v>
          </cell>
          <cell r="C6903" t="str">
            <v>ZITHRO-PLUS 200MG/5ML (AZITHROMYCINE) ORAL SUSP. 30ML</v>
          </cell>
        </row>
        <row r="6904">
          <cell r="B6904" t="str">
            <v>FG03569</v>
          </cell>
          <cell r="C6904" t="str">
            <v>ZITHRO-PLUS 250MG (AZITHROMYCINE) B/6CES</v>
          </cell>
        </row>
        <row r="6905">
          <cell r="B6905" t="str">
            <v>FG03570</v>
          </cell>
          <cell r="C6905" t="str">
            <v>ZITHRO-PLUS 500MG (AZITHROMYCINE) B/3CES</v>
          </cell>
        </row>
        <row r="6906">
          <cell r="B6906" t="str">
            <v>FG03571</v>
          </cell>
          <cell r="C6906" t="str">
            <v>ZITHROMAX 200GM 22.5ML SUSP(FR)</v>
          </cell>
        </row>
        <row r="6907">
          <cell r="B6907" t="str">
            <v>FG03572</v>
          </cell>
          <cell r="C6907" t="str">
            <v>ZITHROMAX 500MG BT/3CES (FR)</v>
          </cell>
        </row>
        <row r="6908">
          <cell r="B6908" t="str">
            <v>FG03573</v>
          </cell>
          <cell r="C6908" t="str">
            <v>ZOFLOX 750MG 10CES (EO)</v>
          </cell>
        </row>
        <row r="6909">
          <cell r="B6909" t="str">
            <v>FG03574</v>
          </cell>
          <cell r="C6909" t="str">
            <v>ZOIDE - PLUS (ADENOSINE+ASTAXANTHINE)B/1SACHET</v>
          </cell>
        </row>
        <row r="6910">
          <cell r="B6910" t="str">
            <v>FG03575</v>
          </cell>
          <cell r="C6910" t="str">
            <v>ZOLIN 0.1% COLLYRE</v>
          </cell>
        </row>
        <row r="6911">
          <cell r="B6911" t="str">
            <v>FG03576</v>
          </cell>
          <cell r="C6911" t="str">
            <v>ZOLON 4MG (ZOLEDRONIC) INJ B/1 VIAL</v>
          </cell>
        </row>
        <row r="6912">
          <cell r="B6912" t="str">
            <v>FG03577</v>
          </cell>
          <cell r="C6912" t="str">
            <v>ZOPEX - F B/10CES</v>
          </cell>
        </row>
        <row r="6913">
          <cell r="B6913" t="str">
            <v>FG03578</v>
          </cell>
          <cell r="C6913" t="str">
            <v>ZOPEX 10 MG (MONTELUKAST) B/10CES</v>
          </cell>
        </row>
        <row r="6914">
          <cell r="B6914" t="str">
            <v>FG03579</v>
          </cell>
          <cell r="C6914" t="str">
            <v>ZOPEX 5MG (MONTELUKAST) B/10CES</v>
          </cell>
        </row>
        <row r="6915">
          <cell r="B6915" t="str">
            <v>FG03580</v>
          </cell>
          <cell r="C6915" t="str">
            <v>ZORA IV (RABEPRAZOLE 20MG) B/1 FLC</v>
          </cell>
        </row>
        <row r="6916">
          <cell r="B6916" t="str">
            <v>FG03581</v>
          </cell>
          <cell r="C6916" t="str">
            <v>ZORYL 1MG (GLIMIPRIDE) B/30CES</v>
          </cell>
        </row>
        <row r="6917">
          <cell r="B6917" t="str">
            <v>FG03582</v>
          </cell>
          <cell r="C6917" t="str">
            <v>ZORYL 2MG (GLIMIPRIDE) B/30CES</v>
          </cell>
        </row>
        <row r="6918">
          <cell r="B6918" t="str">
            <v>FG03583</v>
          </cell>
          <cell r="C6918" t="str">
            <v>ZORYL 4 (GLIMEPRIDE) B/30CES</v>
          </cell>
        </row>
        <row r="6919">
          <cell r="B6919" t="str">
            <v>FG03584</v>
          </cell>
          <cell r="C6919" t="str">
            <v>ZORYL M1 (GLIMIPRIDE 1MG/METFORMINE 500MG) B/30CES</v>
          </cell>
        </row>
        <row r="6920">
          <cell r="B6920" t="str">
            <v>FG03585</v>
          </cell>
          <cell r="C6920" t="str">
            <v>ZORYL M2 (GLIMIPRIDE 2MG/METFORMINE 500MG) B/30CES</v>
          </cell>
        </row>
        <row r="6921">
          <cell r="B6921" t="str">
            <v>FG03586</v>
          </cell>
          <cell r="C6921" t="str">
            <v>ZOSEC 20MG CES</v>
          </cell>
        </row>
        <row r="6922">
          <cell r="B6922" t="str">
            <v>FG03587</v>
          </cell>
          <cell r="C6922" t="str">
            <v>ZOVIRAX 25CES 200MG (FR)</v>
          </cell>
        </row>
        <row r="6923">
          <cell r="B6923" t="str">
            <v>FG03588</v>
          </cell>
          <cell r="C6923" t="str">
            <v>ZOVIRAX 200MG B/25CES... (GR)</v>
          </cell>
        </row>
        <row r="6924">
          <cell r="B6924" t="str">
            <v>FG03589</v>
          </cell>
          <cell r="C6924" t="str">
            <v>ZUVADYL 10 MG (ROSUVASTATINE) B/3 X10CES</v>
          </cell>
        </row>
        <row r="6925">
          <cell r="B6925" t="str">
            <v>FG03590</v>
          </cell>
          <cell r="C6925" t="str">
            <v>ZUVADYL 20MG (ROSUVASTATINE) B/3 X10CES</v>
          </cell>
        </row>
        <row r="6926">
          <cell r="B6926" t="str">
            <v>FG03591</v>
          </cell>
          <cell r="C6926" t="str">
            <v>ZUVADYL 5 MG (ROSUVASTATINE) B/3 X10CES</v>
          </cell>
        </row>
        <row r="6927">
          <cell r="B6927" t="str">
            <v>FG03592</v>
          </cell>
          <cell r="C6927" t="str">
            <v>ZWITSAL LOTION CORPORELLE 200ML</v>
          </cell>
        </row>
        <row r="6928">
          <cell r="B6928" t="str">
            <v>FG03593</v>
          </cell>
          <cell r="C6928" t="str">
            <v>ZWITSAL LOTION CORPORELLE 400ML</v>
          </cell>
        </row>
        <row r="6929">
          <cell r="B6929" t="str">
            <v>FG03594</v>
          </cell>
          <cell r="C6929" t="str">
            <v>ZWITSAL POUDRE 100GR BIOTE</v>
          </cell>
        </row>
        <row r="6930">
          <cell r="B6930" t="str">
            <v>FG03595</v>
          </cell>
          <cell r="C6930" t="str">
            <v>ZWITSAL SAVON 2X90GR</v>
          </cell>
        </row>
        <row r="6931">
          <cell r="B6931" t="str">
            <v>FG03596</v>
          </cell>
          <cell r="C6931" t="str">
            <v>ZYLORIC 200MG CES B/28 (FR)</v>
          </cell>
        </row>
        <row r="6932">
          <cell r="B6932" t="str">
            <v>FG03597</v>
          </cell>
          <cell r="C6932" t="str">
            <v>ZYLORIC 28CES 100MG (FR)</v>
          </cell>
        </row>
        <row r="6933">
          <cell r="B6933" t="str">
            <v>FG03598</v>
          </cell>
          <cell r="C6933" t="str">
            <v>ZYLORIC 300MG B/28CES (FR)</v>
          </cell>
        </row>
        <row r="6934">
          <cell r="B6934" t="str">
            <v>FG03599</v>
          </cell>
          <cell r="C6934" t="str">
            <v>ZYLPREX SUSP FL 30ML</v>
          </cell>
        </row>
        <row r="6935">
          <cell r="B6935" t="str">
            <v>FG03600</v>
          </cell>
          <cell r="C6935" t="str">
            <v>ZYPREX COMP PELL B/10</v>
          </cell>
        </row>
        <row r="6936">
          <cell r="B6936" t="str">
            <v>FG03601</v>
          </cell>
          <cell r="C6936" t="str">
            <v>ZYRTEC SIROP 200ML</v>
          </cell>
        </row>
        <row r="6937">
          <cell r="B6937" t="str">
            <v>FG06842</v>
          </cell>
          <cell r="C6937" t="str">
            <v>DIPIFER GOUTTES 15 ML</v>
          </cell>
        </row>
        <row r="6938">
          <cell r="B6938" t="str">
            <v>FG06848</v>
          </cell>
          <cell r="C6938" t="str">
            <v>IMI-LUX (IMIPE.500MG + CILAS. 500MG) B/1 INJ</v>
          </cell>
        </row>
        <row r="6939">
          <cell r="B6939" t="str">
            <v>FG06849</v>
          </cell>
          <cell r="C6939" t="str">
            <v>PARA-LUX (PARACETAMOL 1000MG/100ML) 100ML INFUSION</v>
          </cell>
        </row>
        <row r="6940">
          <cell r="B6940" t="str">
            <v>FG06850</v>
          </cell>
          <cell r="C6940" t="str">
            <v>AMOCLAV 1.2 (CO-AMOXICLAV 1.2G) B/1 INJ</v>
          </cell>
        </row>
        <row r="6941">
          <cell r="B6941" t="str">
            <v>FG06851</v>
          </cell>
          <cell r="C6941" t="str">
            <v>CEFTRI-LUX (CEFTRIAXONE 1000MG) B/1</v>
          </cell>
        </row>
        <row r="6942">
          <cell r="B6942" t="str">
            <v>FG06853</v>
          </cell>
          <cell r="C6942" t="str">
            <v>AROBACTER 125 ML SOLUTION CLOSE</v>
          </cell>
        </row>
        <row r="6943">
          <cell r="B6943" t="str">
            <v>FG06864</v>
          </cell>
          <cell r="C6943" t="str">
            <v>MICRO OVEN</v>
          </cell>
        </row>
        <row r="6944">
          <cell r="B6944" t="str">
            <v>FG06879</v>
          </cell>
          <cell r="C6944" t="str">
            <v>ETHOMER 500MG (2X10 CAP)</v>
          </cell>
        </row>
        <row r="6945">
          <cell r="B6945" t="str">
            <v>FG06880</v>
          </cell>
          <cell r="C6945" t="str">
            <v>FUCANOL GELLULE 500MG</v>
          </cell>
        </row>
        <row r="6946">
          <cell r="B6946" t="str">
            <v>FG06881</v>
          </cell>
          <cell r="C6946" t="str">
            <v>CHLOROMBYL GEL 22G</v>
          </cell>
        </row>
        <row r="6947">
          <cell r="B6947" t="str">
            <v>FG06884</v>
          </cell>
          <cell r="C6947" t="str">
            <v>ZEBU 30MG GEL</v>
          </cell>
        </row>
        <row r="6948">
          <cell r="B6948" t="str">
            <v>FG06885</v>
          </cell>
          <cell r="C6948" t="str">
            <v>DIOVAN 160 MG 28 CES</v>
          </cell>
        </row>
        <row r="6949">
          <cell r="B6949" t="str">
            <v>FG06886</v>
          </cell>
          <cell r="C6949" t="str">
            <v>DIOVAN 80 MG 28 CES</v>
          </cell>
        </row>
        <row r="6950">
          <cell r="B6950" t="str">
            <v>FG06887</v>
          </cell>
          <cell r="C6950" t="str">
            <v>KEPRA 1000 MG 50 TAB</v>
          </cell>
        </row>
        <row r="6951">
          <cell r="B6951" t="str">
            <v>FG06892</v>
          </cell>
          <cell r="C6951" t="str">
            <v>@DENK FERTILO FORTE CAPS B/60</v>
          </cell>
        </row>
        <row r="6952">
          <cell r="B6952" t="str">
            <v>FG06901</v>
          </cell>
          <cell r="C6952" t="str">
            <v>BILOR B/10 CES</v>
          </cell>
        </row>
        <row r="6953">
          <cell r="B6953" t="str">
            <v>FG06902</v>
          </cell>
          <cell r="C6953" t="str">
            <v>ESTROFEM 2 MG 28 TAB</v>
          </cell>
        </row>
        <row r="6954">
          <cell r="B6954" t="str">
            <v>FG06903</v>
          </cell>
          <cell r="C6954" t="str">
            <v>TUBE A ESSAI COINQUES GRADUES PP 50ML Ø 30*15MM ESTERIL - SACHET/25 PC</v>
          </cell>
        </row>
        <row r="6955">
          <cell r="B6955" t="str">
            <v>FG06904</v>
          </cell>
          <cell r="C6955" t="str">
            <v>HYDREA 500MG 20 CAPSULES (FR)</v>
          </cell>
        </row>
        <row r="6956">
          <cell r="B6956" t="str">
            <v>FG06905</v>
          </cell>
          <cell r="C6956" t="str">
            <v>LAMOX-CV 1.2 INJ</v>
          </cell>
        </row>
        <row r="6957">
          <cell r="B6957" t="str">
            <v>FG06909</v>
          </cell>
          <cell r="C6957" t="str">
            <v>ALCOOL IODE 1 LTR</v>
          </cell>
        </row>
        <row r="6958">
          <cell r="B6958" t="str">
            <v>FG06927</v>
          </cell>
          <cell r="C6958" t="str">
            <v>GROUP 2 KVA</v>
          </cell>
        </row>
        <row r="6959">
          <cell r="B6959" t="str">
            <v>FG06928</v>
          </cell>
          <cell r="C6959" t="str">
            <v>GROUP 3 KVA</v>
          </cell>
        </row>
        <row r="6960">
          <cell r="B6960" t="str">
            <v>FG06929</v>
          </cell>
          <cell r="C6960" t="str">
            <v>GROUP 4 KVA</v>
          </cell>
        </row>
        <row r="6961">
          <cell r="B6961" t="str">
            <v>FG06930</v>
          </cell>
          <cell r="C6961" t="str">
            <v>GROUP 5.5 KVA</v>
          </cell>
        </row>
        <row r="6962">
          <cell r="B6962" t="str">
            <v>FG06931</v>
          </cell>
          <cell r="C6962" t="str">
            <v>FRIGO 90 LTR</v>
          </cell>
        </row>
        <row r="6963">
          <cell r="B6963" t="str">
            <v>FG06932</v>
          </cell>
          <cell r="C6963" t="str">
            <v>CONGILATEUR 200 LTR</v>
          </cell>
        </row>
        <row r="6964">
          <cell r="B6964" t="str">
            <v>FG06933</v>
          </cell>
          <cell r="C6964" t="str">
            <v>CONGILATEUR 600 LTR</v>
          </cell>
        </row>
        <row r="6965">
          <cell r="B6965" t="str">
            <v>FG06934</v>
          </cell>
          <cell r="C6965" t="str">
            <v>T V 50 INCH</v>
          </cell>
        </row>
        <row r="6966">
          <cell r="B6966" t="str">
            <v>FG06935</v>
          </cell>
          <cell r="C6966" t="str">
            <v>FRIGO 150 LTR 2 DOOR</v>
          </cell>
        </row>
        <row r="6967">
          <cell r="B6967" t="str">
            <v>FG06936</v>
          </cell>
          <cell r="C6967" t="str">
            <v>FRIGO 200 LTR 2 DOOR</v>
          </cell>
        </row>
        <row r="6968">
          <cell r="B6968" t="str">
            <v>FG06937</v>
          </cell>
          <cell r="C6968" t="str">
            <v>CONFLATER 160LT</v>
          </cell>
        </row>
        <row r="6969">
          <cell r="B6969" t="str">
            <v>FG06938</v>
          </cell>
          <cell r="C6969" t="str">
            <v>FRIGO 350 LTR 2 DOOR</v>
          </cell>
        </row>
        <row r="6970">
          <cell r="B6970" t="str">
            <v>FG06939</v>
          </cell>
          <cell r="C6970" t="str">
            <v>RADIO+BLOOTOOTH</v>
          </cell>
        </row>
        <row r="6971">
          <cell r="B6971" t="str">
            <v>FG06940</v>
          </cell>
          <cell r="C6971" t="str">
            <v>FRIGO 300 LTR 2 DOOR</v>
          </cell>
        </row>
        <row r="6972">
          <cell r="B6972" t="str">
            <v>FG06946</v>
          </cell>
          <cell r="C6972" t="str">
            <v>DIAZEP 10MG (DIAZEPAM) 25X10CES</v>
          </cell>
        </row>
        <row r="6973">
          <cell r="B6973" t="str">
            <v>FG06947</v>
          </cell>
          <cell r="C6973" t="str">
            <v>SPASMOSYL SUPPO B/10</v>
          </cell>
        </row>
        <row r="6974">
          <cell r="B6974" t="str">
            <v>FG06948</v>
          </cell>
          <cell r="C6974" t="str">
            <v>BAUME DE RELIEF 50GR</v>
          </cell>
        </row>
        <row r="6975">
          <cell r="B6975" t="str">
            <v>FG06949</v>
          </cell>
          <cell r="C6975" t="str">
            <v>BED</v>
          </cell>
        </row>
        <row r="6976">
          <cell r="B6976" t="str">
            <v>FG07013</v>
          </cell>
          <cell r="C6976" t="str">
            <v>ALDACTONE 50CES 100MG(FR)</v>
          </cell>
        </row>
        <row r="6977">
          <cell r="B6977" t="str">
            <v>FG07031</v>
          </cell>
          <cell r="C6977" t="str">
            <v>NAOMI TRIPLE ACTION 50G CREAM</v>
          </cell>
        </row>
        <row r="6978">
          <cell r="B6978" t="str">
            <v>FG07161</v>
          </cell>
          <cell r="C6978" t="str">
            <v>JANUMET 50/1000MG B/56CES (FR)</v>
          </cell>
        </row>
        <row r="6979">
          <cell r="B6979" t="str">
            <v>FG07162</v>
          </cell>
          <cell r="C6979" t="str">
            <v>LORAZEPAM 2 MG 20 CES</v>
          </cell>
        </row>
        <row r="6980">
          <cell r="B6980" t="str">
            <v>FG07227</v>
          </cell>
          <cell r="C6980" t="str">
            <v>ZADITEN 1 MG 30 TB</v>
          </cell>
        </row>
        <row r="6981">
          <cell r="B6981" t="str">
            <v>FG07253</v>
          </cell>
          <cell r="C6981" t="str">
            <v>MIXER GRINDER</v>
          </cell>
        </row>
        <row r="6982">
          <cell r="B6982" t="str">
            <v>FG07254</v>
          </cell>
          <cell r="C6982" t="str">
            <v>DIPROSPAN 1 ML 1 AMP</v>
          </cell>
        </row>
        <row r="6983">
          <cell r="B6983" t="str">
            <v>FG07255</v>
          </cell>
          <cell r="C6983" t="str">
            <v>KEEPRA LEVETAM 500 MG/5 ML INJ</v>
          </cell>
        </row>
        <row r="6984">
          <cell r="B6984" t="str">
            <v>FG07265</v>
          </cell>
          <cell r="C6984" t="str">
            <v>AMVA DENK 10/160MG B/28CES</v>
          </cell>
        </row>
        <row r="6985">
          <cell r="B6985" t="str">
            <v>FG07370</v>
          </cell>
          <cell r="C6985" t="str">
            <v>PIPET PASTER</v>
          </cell>
        </row>
        <row r="6986">
          <cell r="B6986" t="str">
            <v>FG07782</v>
          </cell>
          <cell r="C6986" t="str">
            <v>COLOUR 20 LTR</v>
          </cell>
        </row>
        <row r="6987">
          <cell r="B6987" t="str">
            <v>FG07785</v>
          </cell>
          <cell r="C6987" t="str">
            <v>DAVIGRA CONDOMS CLASSIC B/3</v>
          </cell>
        </row>
        <row r="6988">
          <cell r="B6988" t="str">
            <v>FG07786</v>
          </cell>
          <cell r="C6988" t="str">
            <v>CORTAIR PILMICORT 0.25MG 2ML 20 UNIDOSES</v>
          </cell>
        </row>
        <row r="6989">
          <cell r="B6989" t="str">
            <v>FG07787</v>
          </cell>
          <cell r="C6989" t="str">
            <v>URSOFALK 250MG 20CAPS</v>
          </cell>
        </row>
        <row r="6990">
          <cell r="B6990" t="str">
            <v>FG08126</v>
          </cell>
          <cell r="C6990" t="str">
            <v>PLATO</v>
          </cell>
        </row>
        <row r="6991">
          <cell r="B6991" t="str">
            <v>FG08127</v>
          </cell>
          <cell r="C6991" t="str">
            <v>PLATO MAKASI</v>
          </cell>
        </row>
        <row r="6992">
          <cell r="B6992" t="str">
            <v>FG08148</v>
          </cell>
          <cell r="C6992" t="str">
            <v>GALVUS 50 MG B/56 CES</v>
          </cell>
        </row>
        <row r="6993">
          <cell r="B6993" t="str">
            <v>FG08149</v>
          </cell>
          <cell r="C6993" t="str">
            <v>SCHERIPROCT POMMADE 30 GR (FR)</v>
          </cell>
        </row>
        <row r="6994">
          <cell r="B6994" t="str">
            <v>FG08150</v>
          </cell>
          <cell r="C6994" t="str">
            <v>SEDIPROCT CREME 20 GM</v>
          </cell>
        </row>
        <row r="6995">
          <cell r="B6995" t="str">
            <v>FG08151</v>
          </cell>
          <cell r="C6995" t="str">
            <v>TONER 19A</v>
          </cell>
        </row>
        <row r="6996">
          <cell r="B6996" t="str">
            <v>FG08152</v>
          </cell>
          <cell r="C6996" t="str">
            <v>JANUMET 100MG B/28 CES</v>
          </cell>
        </row>
        <row r="6997">
          <cell r="B6997" t="str">
            <v>FG08160</v>
          </cell>
          <cell r="C6997" t="str">
            <v>VENTOLINE 2.5MG/2.5ML B/20 UNIDOSES</v>
          </cell>
        </row>
        <row r="6998">
          <cell r="B6998" t="str">
            <v>FG08249</v>
          </cell>
          <cell r="C6998" t="str">
            <v>ELASTIC</v>
          </cell>
        </row>
        <row r="6999">
          <cell r="B6999" t="str">
            <v>FG08255</v>
          </cell>
          <cell r="C6999" t="str">
            <v>PINCE POZZI</v>
          </cell>
        </row>
        <row r="7000">
          <cell r="B7000" t="str">
            <v>FG08256</v>
          </cell>
          <cell r="C7000" t="str">
            <v>HYSTEROMETRE</v>
          </cell>
        </row>
        <row r="7001">
          <cell r="B7001" t="str">
            <v>FG08257</v>
          </cell>
          <cell r="C7001" t="str">
            <v>LAVE MAIN</v>
          </cell>
        </row>
        <row r="7002">
          <cell r="B7002" t="str">
            <v>FG08278</v>
          </cell>
          <cell r="C7002" t="str">
            <v>SEAU AVEC ROBINET+PETIT BASSIN</v>
          </cell>
        </row>
        <row r="7003">
          <cell r="B7003" t="str">
            <v>FG08287</v>
          </cell>
          <cell r="C7003" t="str">
            <v>CARTE DE RENDUS DE RESULATS</v>
          </cell>
        </row>
        <row r="7004">
          <cell r="B7004" t="str">
            <v>FG08288</v>
          </cell>
          <cell r="C7004" t="str">
            <v>CARTE DE RENDEZ VOUS INDIVIDUAL</v>
          </cell>
        </row>
        <row r="7005">
          <cell r="B7005" t="str">
            <v>FG08301</v>
          </cell>
          <cell r="C7005" t="str">
            <v>FLAMINGO - AIR CAST CAM BOOT LONG XL</v>
          </cell>
        </row>
        <row r="7006">
          <cell r="B7006" t="str">
            <v>FG08302</v>
          </cell>
          <cell r="C7006" t="str">
            <v>FLAMINGO - AIR CAST CAM BOOT LONG L</v>
          </cell>
        </row>
        <row r="7007">
          <cell r="B7007" t="str">
            <v>FG08670</v>
          </cell>
          <cell r="C7007" t="str">
            <v>FIL A CORDON</v>
          </cell>
        </row>
        <row r="7008">
          <cell r="B7008" t="str">
            <v>FG08671</v>
          </cell>
          <cell r="C7008" t="str">
            <v>LUNETTES POUR OXYGÈNE ADULT</v>
          </cell>
        </row>
        <row r="7009">
          <cell r="B7009" t="str">
            <v>FG08672</v>
          </cell>
          <cell r="C7009" t="str">
            <v>LUNETTES POUR OXYGÈNE PAEDIATRIC</v>
          </cell>
        </row>
        <row r="7010">
          <cell r="B7010" t="str">
            <v>FG08755</v>
          </cell>
          <cell r="C7010" t="str">
            <v>AMIDOL 1G 100ML IV</v>
          </cell>
        </row>
        <row r="7011">
          <cell r="B7011" t="str">
            <v>FG08756</v>
          </cell>
          <cell r="C7011" t="str">
            <v>ALPRAZOLAM 0.5MG 10X10 CES</v>
          </cell>
        </row>
        <row r="7012">
          <cell r="B7012" t="str">
            <v>FG08758</v>
          </cell>
          <cell r="C7012" t="str">
            <v>DIPROSON INJECTABLE 1 ML 1 AMP</v>
          </cell>
        </row>
        <row r="7013">
          <cell r="B7013" t="str">
            <v>FG08759</v>
          </cell>
          <cell r="C7013" t="str">
            <v>LOCASALANE POMMADE 30GR (FR)</v>
          </cell>
        </row>
        <row r="7014">
          <cell r="B7014" t="str">
            <v>FG08760</v>
          </cell>
          <cell r="C7014" t="str">
            <v>NOVONORM 2MG 30CES (FR)</v>
          </cell>
        </row>
        <row r="7015">
          <cell r="B7015" t="str">
            <v>FG08761</v>
          </cell>
          <cell r="C7015" t="str">
            <v>ZESTRIL 20MG CES B/10</v>
          </cell>
        </row>
        <row r="7016">
          <cell r="B7016" t="str">
            <v>FG06975</v>
          </cell>
          <cell r="C7016" t="str">
            <v>MC - GELOSE L'ETHYLE-VIOLET AZIDE DEXTROSE 500G</v>
          </cell>
        </row>
        <row r="7017">
          <cell r="B7017" t="str">
            <v>FG06976</v>
          </cell>
          <cell r="C7017" t="str">
            <v>MC - GELOSE INFUSION COEUR-CERVEAU 500G</v>
          </cell>
        </row>
        <row r="7018">
          <cell r="B7018" t="str">
            <v>FG06977</v>
          </cell>
          <cell r="C7018" t="str">
            <v>MC - BHI AVEC 0,1% GELOSE INFUSION COEUR-CERVEAU AVEC 0,1% AGA 500G</v>
          </cell>
        </row>
        <row r="7019">
          <cell r="B7019" t="str">
            <v>FG06978</v>
          </cell>
          <cell r="C7019" t="str">
            <v>MC - AGAR AGAR TYPE-I 500G</v>
          </cell>
        </row>
        <row r="7020">
          <cell r="B7020" t="str">
            <v>FG06979</v>
          </cell>
          <cell r="C7020" t="str">
            <v>MC - GELOSE ENTERIQUE HEKTOEN 500G</v>
          </cell>
        </row>
        <row r="7021">
          <cell r="B7021" t="str">
            <v>FG06981</v>
          </cell>
          <cell r="C7021" t="str">
            <v>MC - GELOSE EMB, LEVINE (GELOSE LEVINE-EOSINE- BLEU DE METHYLENE) 500G</v>
          </cell>
        </row>
        <row r="7022">
          <cell r="B7022" t="str">
            <v>FG06982</v>
          </cell>
          <cell r="C7022" t="str">
            <v>MC - GELOSE EMB 500G</v>
          </cell>
        </row>
        <row r="7023">
          <cell r="B7023" t="str">
            <v>FG06984</v>
          </cell>
          <cell r="C7023" t="str">
            <v>MC - GELOSE NUTRIMENTAIRE (AVEC 1 % DE PEPTONE) 500G</v>
          </cell>
        </row>
        <row r="7024">
          <cell r="B7024" t="str">
            <v>FG06985</v>
          </cell>
          <cell r="C7024" t="str">
            <v>MC - GELOSE NUTRIMENTAIRE 500G</v>
          </cell>
        </row>
        <row r="7025">
          <cell r="B7025" t="str">
            <v>FG06986</v>
          </cell>
          <cell r="C7025" t="str">
            <v>MC - GELOSE VOGEL-JOHNSON (SELON USP) 500G</v>
          </cell>
        </row>
        <row r="7026">
          <cell r="B7026" t="str">
            <v>FG06987</v>
          </cell>
          <cell r="C7026" t="str">
            <v>MC - MILIEU DE DIGESTION DE CASÉINE DE SOJA (BOUILLON TRYPTONE SOJA) 500G</v>
          </cell>
        </row>
        <row r="7027">
          <cell r="B7027" t="str">
            <v>FG06988</v>
          </cell>
          <cell r="C7027" t="str">
            <v>MC - EAU PEPTONE 500G</v>
          </cell>
        </row>
        <row r="7028">
          <cell r="B7028" t="str">
            <v>FG06989</v>
          </cell>
          <cell r="C7028" t="str">
            <v>MC - EAU PEPTONE ALCALINE (PH 8,6) (ISO) 500G</v>
          </cell>
        </row>
        <row r="7029">
          <cell r="B7029" t="str">
            <v>FG06990</v>
          </cell>
          <cell r="C7029" t="str">
            <v>MC - ASPERGILLUS DIFFÉRENCIATION BASE MOYENNE 500G</v>
          </cell>
        </row>
        <row r="7030">
          <cell r="B7030" t="str">
            <v>FG06991</v>
          </cell>
          <cell r="C7030" t="str">
            <v>MC - BASE DE BOUILLON MIDDLEBROOK 7H9 500G</v>
          </cell>
        </row>
        <row r="7031">
          <cell r="B7031" t="str">
            <v>FG06992</v>
          </cell>
          <cell r="C7031" t="str">
            <v>MC - PEPTONE-TBL 500G</v>
          </cell>
        </row>
        <row r="7032">
          <cell r="B7032" t="str">
            <v>FG06993</v>
          </cell>
          <cell r="C7032" t="str">
            <v>MC - FUCHSINE BASIQUE 100G</v>
          </cell>
        </row>
        <row r="7033">
          <cell r="B7033" t="str">
            <v>FG06994</v>
          </cell>
          <cell r="C7033" t="str">
            <v>MC - CHLORURE DE SODIUM, EXTRA PURE 500G</v>
          </cell>
        </row>
        <row r="7034">
          <cell r="B7034" t="str">
            <v>FG06995</v>
          </cell>
          <cell r="C7034" t="str">
            <v>MC - DIHYDRATE DE TRISODIUM CITRATE (AR) 500G</v>
          </cell>
        </row>
        <row r="7035">
          <cell r="B7035" t="str">
            <v>FG06997</v>
          </cell>
          <cell r="C7035" t="str">
            <v>MC - COTON LACTOPHENOL BLEU 500G</v>
          </cell>
        </row>
        <row r="7036">
          <cell r="B7036" t="str">
            <v>FG06998</v>
          </cell>
          <cell r="C7036" t="str">
            <v>KIT DE COLORATION DE GRAM 4*125ML</v>
          </cell>
        </row>
        <row r="7037">
          <cell r="B7037" t="str">
            <v>FG07003</v>
          </cell>
          <cell r="C7037" t="str">
            <v>DISQUES ANTIBIOGRAMMES - CEFIXIME BT/50</v>
          </cell>
        </row>
        <row r="7038">
          <cell r="B7038" t="str">
            <v>FG07004</v>
          </cell>
          <cell r="C7038" t="str">
            <v>TDR SICKLE CELL - CASSETTE -ST, B/25 TEST</v>
          </cell>
        </row>
        <row r="7039">
          <cell r="B7039" t="str">
            <v>FG07016</v>
          </cell>
          <cell r="C7039" t="str">
            <v>MEDICAL ULTRASOUND GEL 2.5LTR</v>
          </cell>
        </row>
        <row r="7040">
          <cell r="B7040" t="str">
            <v>FG07017</v>
          </cell>
          <cell r="C7040" t="str">
            <v>MEDICAL ULTRASOUND GEL 5LTR</v>
          </cell>
        </row>
        <row r="7041">
          <cell r="B7041" t="str">
            <v>FG07018</v>
          </cell>
          <cell r="C7041" t="str">
            <v>EXTENSION TUBE 150CM</v>
          </cell>
        </row>
        <row r="7042">
          <cell r="B7042" t="str">
            <v>FG07019</v>
          </cell>
          <cell r="C7042" t="str">
            <v>EXTENSION TUBE 190CM</v>
          </cell>
        </row>
        <row r="7043">
          <cell r="B7043" t="str">
            <v>FG07020</v>
          </cell>
          <cell r="C7043" t="str">
            <v>MALE EXTERNAL CATHETER (EXTRA LARGE) 40MM</v>
          </cell>
        </row>
        <row r="7044">
          <cell r="B7044" t="str">
            <v>FG07021</v>
          </cell>
          <cell r="C7044" t="str">
            <v>MALE EXTERNAL CATHETER (EXTRA LARGE) 35MM</v>
          </cell>
        </row>
        <row r="7045">
          <cell r="B7045" t="str">
            <v>FG07022</v>
          </cell>
          <cell r="C7045" t="str">
            <v>MALE EXTERNAL CATHETER (EXTRA LARGE) 30MM</v>
          </cell>
        </row>
        <row r="7046">
          <cell r="B7046" t="str">
            <v>FG07023</v>
          </cell>
          <cell r="C7046" t="str">
            <v>ROLLED BANDAGE 10CM X 4YRD</v>
          </cell>
        </row>
        <row r="7047">
          <cell r="B7047" t="str">
            <v>FG07024</v>
          </cell>
          <cell r="C7047" t="str">
            <v>ROLLED BANDAGE 15CM X 4YRD</v>
          </cell>
        </row>
        <row r="7048">
          <cell r="B7048" t="str">
            <v>FG07025</v>
          </cell>
          <cell r="C7048" t="str">
            <v>PARACETAMOL 500MG B/10CES X 25PL (UNIQUE) B/10CESX25PL</v>
          </cell>
        </row>
        <row r="7049">
          <cell r="B7049" t="str">
            <v>FG07026</v>
          </cell>
          <cell r="C7049" t="str">
            <v>TOPGYL 250MG (METRONIDAZOLE) B/10CES X 25PL</v>
          </cell>
        </row>
        <row r="7050">
          <cell r="B7050" t="str">
            <v>FG07027</v>
          </cell>
          <cell r="C7050" t="str">
            <v>DERMACIDAL (CHLORHEXIDINE 7.1%) GEL TUBE/20G</v>
          </cell>
        </row>
        <row r="7051">
          <cell r="B7051" t="str">
            <v>FG07028</v>
          </cell>
          <cell r="C7051" t="str">
            <v>UNIPURE 67MG (PURIFICATION DE L'EAU) PLS 8 CES</v>
          </cell>
        </row>
        <row r="7052">
          <cell r="B7052" t="str">
            <v>FG07029</v>
          </cell>
          <cell r="C7052" t="str">
            <v>RIVELTOX PRESCRIPTION PADS</v>
          </cell>
        </row>
        <row r="7053">
          <cell r="B7053" t="str">
            <v>FG07030</v>
          </cell>
          <cell r="C7053" t="str">
            <v>TACLIS PRESCRIPTION PADS</v>
          </cell>
        </row>
        <row r="7054">
          <cell r="B7054" t="str">
            <v>FG07032</v>
          </cell>
          <cell r="C7054" t="str">
            <v>U-CEE (VITAMINE C) 100MG/5ML SIROP 100ML</v>
          </cell>
        </row>
        <row r="7055">
          <cell r="B7055" t="str">
            <v>FG07033</v>
          </cell>
          <cell r="C7055" t="str">
            <v>MEF-PA (MEF+PARA) SUSP 100ML</v>
          </cell>
        </row>
        <row r="7056">
          <cell r="B7056" t="str">
            <v>FG07034</v>
          </cell>
          <cell r="C7056" t="str">
            <v>BROMOVAN-PLUS (BROM.+SAL.+GUA.+MEN.) SIROP 100ML</v>
          </cell>
        </row>
        <row r="7057">
          <cell r="B7057" t="str">
            <v>FG07035</v>
          </cell>
          <cell r="C7057" t="str">
            <v>KAONIQUE (KAOLIN) SIROP 100ML</v>
          </cell>
        </row>
        <row r="7058">
          <cell r="B7058" t="str">
            <v>FG07036</v>
          </cell>
          <cell r="C7058" t="str">
            <v>PYRANIQUE (PYRANTEL PAMOATE) SUSP.15ML</v>
          </cell>
        </row>
        <row r="7059">
          <cell r="B7059" t="str">
            <v>FG07037</v>
          </cell>
          <cell r="C7059" t="str">
            <v>NOCIGEL-0 (ANTIACIDE+OXETACAINE) SUSP.200ML</v>
          </cell>
        </row>
        <row r="7060">
          <cell r="B7060" t="str">
            <v>FG07038</v>
          </cell>
          <cell r="C7060" t="str">
            <v>VALNA (SODIUM VALPROATE) 200MG/5ML SOLUTION 150ML</v>
          </cell>
        </row>
        <row r="7061">
          <cell r="B7061" t="str">
            <v>FG07039</v>
          </cell>
          <cell r="C7061" t="str">
            <v>CYPROPLEX-PLUS (CYPROHEP.+TRICHOLINE) SIROP 100ML</v>
          </cell>
        </row>
        <row r="7062">
          <cell r="B7062" t="str">
            <v>FG07040</v>
          </cell>
          <cell r="C7062" t="str">
            <v>FORTOMEGA (HUILE DE FOIE DE MORUE) SOL.BUV. 100ML</v>
          </cell>
        </row>
        <row r="7063">
          <cell r="B7063" t="str">
            <v>FG07041</v>
          </cell>
          <cell r="C7063" t="str">
            <v>Q-ENZY (DIASTASE FONGIQUE PEPSINE) SIROP 200ML</v>
          </cell>
        </row>
        <row r="7064">
          <cell r="B7064" t="str">
            <v>FG07042</v>
          </cell>
          <cell r="C7064" t="str">
            <v>STOP-LITHIASE (P.CITRATE.+MAG.+VIT.B6) ORALE SOLUTION 200ML</v>
          </cell>
        </row>
        <row r="7065">
          <cell r="B7065" t="str">
            <v>FG07043</v>
          </cell>
          <cell r="C7065" t="str">
            <v>PH-ALKA (S.CITRATE + CITRIC) ORALE SOLUTION 120ML</v>
          </cell>
        </row>
        <row r="7066">
          <cell r="B7066" t="str">
            <v>FG07044</v>
          </cell>
          <cell r="C7066" t="str">
            <v>SORTOUX ( LEVODROPROPIZINE) 30MG/5ML SIROP 120ML</v>
          </cell>
        </row>
        <row r="7067">
          <cell r="B7067" t="str">
            <v>FG07045</v>
          </cell>
          <cell r="C7067" t="str">
            <v>NOCIGEL (ANTIACIDE) ORAL SUSP. 1X15ML SACHETS</v>
          </cell>
        </row>
        <row r="7068">
          <cell r="B7068" t="str">
            <v>FG07046</v>
          </cell>
          <cell r="C7068" t="str">
            <v>LOOZE 10MG (LACTULOSE) ORALE SOLUTION 1X15ML SACHETS</v>
          </cell>
        </row>
        <row r="7069">
          <cell r="B7069" t="str">
            <v>FG07047</v>
          </cell>
          <cell r="C7069" t="str">
            <v>Q-AMINO ( ACIDE AMINO+VITAMINS) SIROP 200ML</v>
          </cell>
        </row>
        <row r="7070">
          <cell r="B7070" t="str">
            <v>FG07048</v>
          </cell>
          <cell r="C7070" t="str">
            <v>APS ( ACECLO.+PARA.+SERRATIOPEPTIDASE) B/10 CES</v>
          </cell>
        </row>
        <row r="7071">
          <cell r="B7071" t="str">
            <v>FG07049</v>
          </cell>
          <cell r="C7071" t="str">
            <v>S.O.S (MIFEPRISTONE 200MG + MISOPROSTOL 200MCG) KIT DE 5 CES</v>
          </cell>
        </row>
        <row r="7072">
          <cell r="B7072" t="str">
            <v>FG07050</v>
          </cell>
          <cell r="C7072" t="str">
            <v>NOTROFIT (PIRACETAM) 400MG B/60CES</v>
          </cell>
        </row>
        <row r="7073">
          <cell r="B7073" t="str">
            <v>FG07051</v>
          </cell>
          <cell r="C7073" t="str">
            <v>NOTROFIT (PIRACETAM) 800MG B/60CES</v>
          </cell>
        </row>
        <row r="7074">
          <cell r="B7074" t="str">
            <v>FG07053</v>
          </cell>
          <cell r="C7074" t="str">
            <v>MON-LC (MONTE.+LEVOCET.) SIROP 100ML</v>
          </cell>
        </row>
        <row r="7075">
          <cell r="B7075" t="str">
            <v>FG07054</v>
          </cell>
          <cell r="C7075" t="str">
            <v>DELABACT CREME A TRIPLE ACTION TUBE/15G***</v>
          </cell>
        </row>
        <row r="7076">
          <cell r="B7076" t="str">
            <v>FG07055</v>
          </cell>
          <cell r="C7076" t="str">
            <v>DELABACT CREME A TRIPLE ACTION TUBE/30G</v>
          </cell>
        </row>
        <row r="7077">
          <cell r="B7077" t="str">
            <v>FG07056</v>
          </cell>
          <cell r="C7077" t="str">
            <v>BICARBONATE DE SODIUM 8,4%/10ML SOLUTION INJECTABLE B/5 AMP</v>
          </cell>
        </row>
        <row r="7078">
          <cell r="B7078" t="str">
            <v>FG07057</v>
          </cell>
          <cell r="C7078" t="str">
            <v>CHLORURE DE POTASSIUM (KCL) 1G/10ML B/ 5 AMP</v>
          </cell>
        </row>
        <row r="7079">
          <cell r="B7079" t="str">
            <v>FG07058</v>
          </cell>
          <cell r="C7079" t="str">
            <v>CHLORURE DE SODIUM 1G/10ML (NACL) B/5 AMP</v>
          </cell>
        </row>
        <row r="7080">
          <cell r="B7080" t="str">
            <v>FG07059</v>
          </cell>
          <cell r="C7080" t="str">
            <v>VELTAM-PLUS (TAM.0.4MG+DUTA.0.5MG) B/3X10 CAPS.</v>
          </cell>
        </row>
        <row r="7081">
          <cell r="B7081" t="str">
            <v>FG07060</v>
          </cell>
          <cell r="C7081" t="str">
            <v>PSYGEST-3.4GM (PSYLLIUM HUSK) POUDRE POUR SUSP. BUV. B/10 SACHETS</v>
          </cell>
        </row>
        <row r="7082">
          <cell r="B7082" t="str">
            <v>FG07061</v>
          </cell>
          <cell r="C7082" t="str">
            <v>UNIMOL (PARA.+DIC.+CAF.) EFF. B/3X4 CES</v>
          </cell>
        </row>
        <row r="7083">
          <cell r="B7083" t="str">
            <v>FG07062</v>
          </cell>
          <cell r="C7083" t="str">
            <v>NO COLD (PARA.+VIT.C+CAF.+PHENYLEPH..+PHENIRA.) EFF. B/4 CES</v>
          </cell>
        </row>
        <row r="7084">
          <cell r="B7084" t="str">
            <v>FG07063</v>
          </cell>
          <cell r="C7084" t="str">
            <v>Q-ENZY (PAPAÏNE + ALPHA-AMYLASE + SIMÉTHICONE) EFF. B/4X4 CES</v>
          </cell>
        </row>
        <row r="7085">
          <cell r="B7085" t="str">
            <v>FG07064</v>
          </cell>
          <cell r="C7085" t="str">
            <v>ENO B/10SACHET(UNO-CID )</v>
          </cell>
        </row>
        <row r="7086">
          <cell r="B7086" t="str">
            <v>FG07065</v>
          </cell>
          <cell r="C7086" t="str">
            <v>A TO Z -ENFANT (MULTIVITAMINE) EFF.B/10CES</v>
          </cell>
        </row>
        <row r="7087">
          <cell r="B7087" t="str">
            <v>FG07066</v>
          </cell>
          <cell r="C7087" t="str">
            <v>BONNE NUIT (SILDENAFILE 100MG) EFF. B/4 CES</v>
          </cell>
        </row>
        <row r="7088">
          <cell r="B7088" t="str">
            <v>FG07067</v>
          </cell>
          <cell r="C7088" t="str">
            <v>BONNE NUIT-PLUS (SILDENAFIL 50MG+GINSENG 10MG) EFF. B/4 CES</v>
          </cell>
        </row>
        <row r="7089">
          <cell r="B7089" t="str">
            <v>FG07068</v>
          </cell>
          <cell r="C7089" t="str">
            <v>CALCIDOS (CAL.1000MG + VIT D3 880IU) EFF. B/10 CES</v>
          </cell>
        </row>
        <row r="7090">
          <cell r="B7090" t="str">
            <v>FG07069</v>
          </cell>
          <cell r="C7090" t="str">
            <v>A TO Z-ENERGY (ENERGY DRINK) EFF.B/10 CES</v>
          </cell>
        </row>
        <row r="7091">
          <cell r="B7091" t="str">
            <v>FG07070</v>
          </cell>
          <cell r="C7091" t="str">
            <v>DIASTOP (DIOSMECITE) 3G PDR POUR ORAL SUSP. B/10 SACHETS</v>
          </cell>
        </row>
        <row r="7092">
          <cell r="B7092" t="str">
            <v>FG07071</v>
          </cell>
          <cell r="C7092" t="str">
            <v>CHARIOT À ROULETTES MONITEUR DE SURVEILLANCE</v>
          </cell>
        </row>
        <row r="7093">
          <cell r="B7093" t="str">
            <v>FG07072</v>
          </cell>
          <cell r="C7093" t="str">
            <v>CHARIOT BRANCARD POUR AMBULANCES</v>
          </cell>
        </row>
        <row r="7094">
          <cell r="B7094" t="str">
            <v>FG07073</v>
          </cell>
          <cell r="C7094" t="str">
            <v>COLONNE DE LAPAROSCOPIE ET ENDOSCOPIE - SANS APPAREIL</v>
          </cell>
        </row>
        <row r="7095">
          <cell r="B7095" t="str">
            <v>FG07074</v>
          </cell>
          <cell r="C7095" t="str">
            <v>TABLE DE MASSAGE - PHYSIOTHÉRAPIE</v>
          </cell>
        </row>
        <row r="7096">
          <cell r="B7096" t="str">
            <v>FG07075</v>
          </cell>
          <cell r="C7096" t="str">
            <v>THERMOMÈTRE FRONTAL CONTEC TP500</v>
          </cell>
        </row>
        <row r="7097">
          <cell r="B7097" t="str">
            <v>FG07076</v>
          </cell>
          <cell r="C7097" t="str">
            <v>THERMO-HYGROMETRE NUMERIQUE INTERIEUR-EXTERIEUR PC</v>
          </cell>
        </row>
        <row r="7098">
          <cell r="B7098" t="str">
            <v>FG07077</v>
          </cell>
          <cell r="C7098" t="str">
            <v>COMPTEUR D'EAU - TDS/EC/PH/SALINITÉ/TEM 5 EN 1</v>
          </cell>
        </row>
        <row r="7099">
          <cell r="B7099" t="str">
            <v>FG07078</v>
          </cell>
          <cell r="C7099" t="str">
            <v>SALTER TYPE HANGING WEIGHING SCALE ML-D2002 BABY SALTER WITH 2 BAGS</v>
          </cell>
        </row>
        <row r="7100">
          <cell r="B7100" t="str">
            <v>FG07079</v>
          </cell>
          <cell r="C7100" t="str">
            <v>APPAREIL ELECTROSTIMULATION MUSCULAIRE</v>
          </cell>
        </row>
        <row r="7101">
          <cell r="B7101" t="str">
            <v>FG07080</v>
          </cell>
          <cell r="C7101" t="str">
            <v>MINUTERIE - MECANIQUE 60 MINUTES</v>
          </cell>
        </row>
        <row r="7102">
          <cell r="B7102" t="str">
            <v>FG07081</v>
          </cell>
          <cell r="C7102" t="str">
            <v>TENS EMS 5*5CM 2MM PLUG</v>
          </cell>
        </row>
        <row r="7103">
          <cell r="B7103" t="str">
            <v>FG07082</v>
          </cell>
          <cell r="C7103" t="str">
            <v>APPAREIL DE MASSAGE PC</v>
          </cell>
        </row>
        <row r="7104">
          <cell r="B7104" t="str">
            <v>FG07083</v>
          </cell>
          <cell r="C7104" t="str">
            <v>CATHÉTER DE DRAINAGE PLEURAL-POITRINE - 10F</v>
          </cell>
        </row>
        <row r="7105">
          <cell r="B7105" t="str">
            <v>FG07084</v>
          </cell>
          <cell r="C7105" t="str">
            <v>CATHÉTER DE DRAINAGE PLEURAL-POITRINE - 12F</v>
          </cell>
        </row>
        <row r="7106">
          <cell r="B7106" t="str">
            <v>FG07085</v>
          </cell>
          <cell r="C7106" t="str">
            <v>CATHÉTER DE DRAINAGE PLEURAL-POITRINE - 14F</v>
          </cell>
        </row>
        <row r="7107">
          <cell r="B7107" t="str">
            <v>FG07086</v>
          </cell>
          <cell r="C7107" t="str">
            <v>CATHÉTER DE DRAINAGE PLEURAL-POITRINE - 16F</v>
          </cell>
        </row>
        <row r="7108">
          <cell r="B7108" t="str">
            <v>FG07087</v>
          </cell>
          <cell r="C7108" t="str">
            <v>CATHÉTER DE DRAINAGE PLEURAL-POITRINE - 20F</v>
          </cell>
        </row>
        <row r="7109">
          <cell r="B7109" t="str">
            <v>FG07088</v>
          </cell>
          <cell r="C7109" t="str">
            <v>CATHÉTER DE DRAINAGE PLEURAL-POITRINE - 24F</v>
          </cell>
        </row>
        <row r="7110">
          <cell r="B7110" t="str">
            <v>FG07089</v>
          </cell>
          <cell r="C7110" t="str">
            <v>CATHÉTER DE DRAINAGE PLEURAL-POITRINE - 28F</v>
          </cell>
        </row>
        <row r="7111">
          <cell r="B7111" t="str">
            <v>FG07090</v>
          </cell>
          <cell r="C7111" t="str">
            <v>CATHÉTER DE DRAINAGE PLEURAL-POITRINE - 32F</v>
          </cell>
        </row>
        <row r="7112">
          <cell r="B7112" t="str">
            <v>FG07091</v>
          </cell>
          <cell r="C7112" t="str">
            <v>CATHÉTER DE DRAINAGE PLEURAL-POITRINE - 36F</v>
          </cell>
        </row>
        <row r="7113">
          <cell r="B7113" t="str">
            <v>FG07092</v>
          </cell>
          <cell r="C7113" t="str">
            <v>BEC BUNSEN</v>
          </cell>
        </row>
        <row r="7114">
          <cell r="B7114" t="str">
            <v>FG07093</v>
          </cell>
          <cell r="C7114" t="str">
            <v>TABLEAU LUMINEUX MURAL POUR ILLETRES "E" - 5M UNITE</v>
          </cell>
        </row>
        <row r="7115">
          <cell r="B7115" t="str">
            <v>FG07094</v>
          </cell>
          <cell r="C7115" t="str">
            <v>PORTOIRS TUBES WESTERGREEN 10 PLACES PC</v>
          </cell>
        </row>
        <row r="7116">
          <cell r="B7116" t="str">
            <v>FG07095</v>
          </cell>
          <cell r="C7116" t="str">
            <v>BOITE PETRI VERRE BOROSILICATE 3.3 50X17MM Ø90 MM</v>
          </cell>
        </row>
        <row r="7117">
          <cell r="B7117" t="str">
            <v>FG07096</v>
          </cell>
          <cell r="C7117" t="str">
            <v>CELLULES DE NUMERATION, MALASSEZ PC</v>
          </cell>
        </row>
        <row r="7118">
          <cell r="B7118" t="str">
            <v>FG07097</v>
          </cell>
          <cell r="C7118" t="str">
            <v>HEMOCYTOMETER, MALASSEZ - KIT</v>
          </cell>
        </row>
        <row r="7119">
          <cell r="B7119" t="str">
            <v>FG07098</v>
          </cell>
          <cell r="C7119" t="str">
            <v>RADIO - DÉVELOPPEUR, POUDRE</v>
          </cell>
        </row>
        <row r="7120">
          <cell r="B7120" t="str">
            <v>FG07099</v>
          </cell>
          <cell r="C7120" t="str">
            <v>RADIO - FIXATEUR, POUDRE</v>
          </cell>
        </row>
        <row r="7121">
          <cell r="B7121" t="str">
            <v>FG07100</v>
          </cell>
          <cell r="C7121" t="str">
            <v>RADIO - FILM, BLEU, 35*43CM, B/100</v>
          </cell>
        </row>
        <row r="7122">
          <cell r="B7122" t="str">
            <v>FG07101</v>
          </cell>
          <cell r="C7122" t="str">
            <v>RADIO - FILM, BLEU, 35*35CM, B/100</v>
          </cell>
        </row>
        <row r="7123">
          <cell r="B7123" t="str">
            <v>FG07102</v>
          </cell>
          <cell r="C7123" t="str">
            <v>RADIO - FILM, BLEU, 30*40CM, B/100</v>
          </cell>
        </row>
        <row r="7124">
          <cell r="B7124" t="str">
            <v>FG07103</v>
          </cell>
          <cell r="C7124" t="str">
            <v>RADIO - FILM, BLEU, 24*30CM, B/100</v>
          </cell>
        </row>
        <row r="7125">
          <cell r="B7125" t="str">
            <v>FG07104</v>
          </cell>
          <cell r="C7125" t="str">
            <v>RADIO - FILM, BLEU, 18*24CM, B/100</v>
          </cell>
        </row>
        <row r="7126">
          <cell r="B7126" t="str">
            <v>FG07105</v>
          </cell>
          <cell r="C7126" t="str">
            <v>LAMPE SCIALYTIQUE DOUBLE COUPOLE</v>
          </cell>
        </row>
        <row r="7127">
          <cell r="B7127" t="str">
            <v>FG07106</v>
          </cell>
          <cell r="C7127" t="str">
            <v>TABLE D'ACCOUCHEMENT OBSTÉTRICALE MULTIFONCTIONNELLE</v>
          </cell>
        </row>
        <row r="7128">
          <cell r="B7128" t="str">
            <v>FG07107</v>
          </cell>
          <cell r="C7128" t="str">
            <v>AUTOCLAVE HORIZONTALE 200 LITRES</v>
          </cell>
        </row>
        <row r="7129">
          <cell r="B7129" t="str">
            <v>FG07108</v>
          </cell>
          <cell r="C7129" t="str">
            <v>SUPER MANGER PLUS (CYPROHEPTADINE+MULTIVITAMIN) B/3X10 CAPLETS</v>
          </cell>
        </row>
        <row r="7130">
          <cell r="B7130" t="str">
            <v>FG07109</v>
          </cell>
          <cell r="C7130" t="str">
            <v>SUPER MANGER (CYPROHEPTADINE) 2MG/5ML SIROP 100ML</v>
          </cell>
        </row>
        <row r="7131">
          <cell r="B7131" t="str">
            <v>FG07110</v>
          </cell>
          <cell r="C7131" t="str">
            <v>SUPER MANGER (CYPROHEPTADINE) 4MG B/2X10 CES</v>
          </cell>
        </row>
        <row r="7132">
          <cell r="B7132" t="str">
            <v>FG07111</v>
          </cell>
          <cell r="C7132" t="str">
            <v>SUPER MANGER (CYPROHEPTADINE) 4MG B/10X10 CES***</v>
          </cell>
        </row>
        <row r="7133">
          <cell r="B7133" t="str">
            <v>FG07112</v>
          </cell>
          <cell r="C7133" t="str">
            <v>PABU (PARA.+DIC.+CAF.) B/1X10 CES</v>
          </cell>
        </row>
        <row r="7134">
          <cell r="B7134" t="str">
            <v>FG07113</v>
          </cell>
          <cell r="C7134" t="str">
            <v>PABU GEL (POUR SOULAGER LA DOULEUR) TUBE DE 30G</v>
          </cell>
        </row>
        <row r="7135">
          <cell r="B7135" t="str">
            <v>FG07114</v>
          </cell>
          <cell r="C7135" t="str">
            <v>DICQUE-100 (DICLOFENAC) B/1X10 CES</v>
          </cell>
        </row>
        <row r="7136">
          <cell r="B7136" t="str">
            <v>FG07115</v>
          </cell>
          <cell r="C7136" t="str">
            <v>CYPROPLEX PLUS (CYPROHEPTADINE+MULTIVITAMINE +LYSINE) SIROP DE 200ML</v>
          </cell>
        </row>
        <row r="7137">
          <cell r="B7137" t="str">
            <v>FG07116</v>
          </cell>
          <cell r="C7137" t="str">
            <v>UNIZEMA (TRIPLE ACTION) TUBE DE 30G</v>
          </cell>
        </row>
        <row r="7138">
          <cell r="B7138" t="str">
            <v>FG07117</v>
          </cell>
          <cell r="C7138" t="str">
            <v>CLIQUE -55 ( PARA.500MG+CAF.30MG) B/2X12 CES</v>
          </cell>
        </row>
        <row r="7139">
          <cell r="B7139" t="str">
            <v>FG07118</v>
          </cell>
          <cell r="C7139" t="str">
            <v>DICQUEFEN FORTE ( DICLOFENAC 75MG + PARA.325MG) B/2X10 CES</v>
          </cell>
        </row>
        <row r="7140">
          <cell r="B7140" t="str">
            <v>FG07119</v>
          </cell>
          <cell r="C7140" t="str">
            <v>UD3 (CHOLECALCIFEROL) 600000 IU (15MG/ML) 5ML B/5 AMP.</v>
          </cell>
        </row>
        <row r="7141">
          <cell r="B7141" t="str">
            <v>FG07120</v>
          </cell>
          <cell r="C7141" t="str">
            <v>DOXYNIC 100MG (DOXYCILINE) INJECTABLE B/ 1 VIAL</v>
          </cell>
        </row>
        <row r="7142">
          <cell r="B7142" t="str">
            <v>FG07121</v>
          </cell>
          <cell r="C7142" t="str">
            <v>MONNAD (NADIFLO.MICO.+MOMEN.) CREAM DE 30G</v>
          </cell>
        </row>
        <row r="7143">
          <cell r="B7143" t="str">
            <v>FG07122</v>
          </cell>
          <cell r="C7143" t="str">
            <v>MINO 2 (MINOXIDIL + AMINEXIL) TROPICAL SOLUTION 60ML</v>
          </cell>
        </row>
        <row r="7144">
          <cell r="B7144" t="str">
            <v>FG07123</v>
          </cell>
          <cell r="C7144" t="str">
            <v>MINO 5 (MINOXIDIL + AMINEXIL) TROPICAL SOLUTION 60ML</v>
          </cell>
        </row>
        <row r="7145">
          <cell r="B7145" t="str">
            <v>FG07124</v>
          </cell>
          <cell r="C7145" t="str">
            <v>ARH 480MG (ARTE.+LUMEFAN.) B/6 CAPSULE MOLLE</v>
          </cell>
        </row>
        <row r="7146">
          <cell r="B7146" t="str">
            <v>FG07125</v>
          </cell>
          <cell r="C7146" t="str">
            <v>MON-KID (MONTELUKAST 4MG) B/1X10 CES CROQUER</v>
          </cell>
        </row>
        <row r="7147">
          <cell r="B7147" t="str">
            <v>FG07126</v>
          </cell>
          <cell r="C7147" t="str">
            <v>MON-5 (MONTELUKAST) B/1X10 CES CROQUER</v>
          </cell>
        </row>
        <row r="7148">
          <cell r="B7148" t="str">
            <v>FG07127</v>
          </cell>
          <cell r="C7148" t="str">
            <v>MON-10 (MONTELUKAST) B/1X10 CES</v>
          </cell>
        </row>
        <row r="7149">
          <cell r="B7149" t="str">
            <v>FG07128</v>
          </cell>
          <cell r="C7149" t="str">
            <v>MON-LC FORTE (MONTE. 10MG+LEVOCETRI. 5MG) B/1X10 CES DISPERSIBLE</v>
          </cell>
        </row>
        <row r="7150">
          <cell r="B7150" t="str">
            <v>FG07129</v>
          </cell>
          <cell r="C7150" t="str">
            <v>MON-LC (MONTE. 5MG+LEVOCETRI. 2.5MG) B/1X10 CES DISPERSIBLE</v>
          </cell>
        </row>
        <row r="7151">
          <cell r="B7151" t="str">
            <v>FG07130</v>
          </cell>
          <cell r="C7151" t="str">
            <v>APPAREIL DE MASSAGE PROFESSIONNEL - 20 VITESSES, 6 OPTIONS PC</v>
          </cell>
        </row>
        <row r="7152">
          <cell r="B7152" t="str">
            <v>FG07131</v>
          </cell>
          <cell r="C7152" t="str">
            <v>SALTER TYPE HANGING WEIGHING SCALE BABY SALTER WITH 1 BAGS</v>
          </cell>
        </row>
        <row r="7153">
          <cell r="B7153" t="str">
            <v>FG07132</v>
          </cell>
          <cell r="C7153" t="str">
            <v>DOZEM-50 (TRAMADOL 50MG) EFF. B/4X4 CES</v>
          </cell>
        </row>
        <row r="7154">
          <cell r="B7154" t="str">
            <v>FG07133</v>
          </cell>
          <cell r="C7154" t="str">
            <v>DOZEM-100 (TRAMADOL 100MG) EFF. B/4X4 CES</v>
          </cell>
        </row>
        <row r="7155">
          <cell r="B7155" t="str">
            <v>FG07134</v>
          </cell>
          <cell r="C7155" t="str">
            <v>DOZEM-100*** (TRAMADOL) B/10CAPS</v>
          </cell>
        </row>
        <row r="7156">
          <cell r="B7156" t="str">
            <v>FG07135</v>
          </cell>
          <cell r="C7156" t="str">
            <v>DOZEM-200 (TRAMADOL) B/10CAPS***</v>
          </cell>
        </row>
        <row r="7157">
          <cell r="B7157" t="str">
            <v>FG07136</v>
          </cell>
          <cell r="C7157" t="str">
            <v>ANDROBOOST (TESTOSTERONE 40MG) B/3X10 CAPS. MOLLES</v>
          </cell>
        </row>
        <row r="7158">
          <cell r="B7158" t="str">
            <v>FG07137</v>
          </cell>
          <cell r="C7158" t="str">
            <v>V-LAVAGE (ACIDE LACTIQUE + GLYCOGENE) B/7 OVULE.</v>
          </cell>
        </row>
        <row r="7159">
          <cell r="B7159" t="str">
            <v>FG07140</v>
          </cell>
          <cell r="C7159" t="str">
            <v>BLEOTRIX (BLECOMYCIN SULFATE INJ.) B/1VIAL</v>
          </cell>
        </row>
        <row r="7160">
          <cell r="B7160" t="str">
            <v>FG07141</v>
          </cell>
          <cell r="C7160" t="str">
            <v>DAKTACORT CREME 30GR. (FR)</v>
          </cell>
        </row>
        <row r="7161">
          <cell r="B7161" t="str">
            <v>FG07144</v>
          </cell>
          <cell r="C7161" t="str">
            <v>LABEL (INSERT)</v>
          </cell>
        </row>
        <row r="7162">
          <cell r="B7162" t="str">
            <v>FG07145</v>
          </cell>
          <cell r="C7162" t="str">
            <v>LABEL</v>
          </cell>
        </row>
        <row r="7163">
          <cell r="B7163" t="str">
            <v>FG07146</v>
          </cell>
          <cell r="C7163" t="str">
            <v>ERYFLUID LOTION (ERYTHROMYCINE BASE ) ****100ML*** (FR)</v>
          </cell>
        </row>
        <row r="7164">
          <cell r="B7164" t="str">
            <v>FG07150</v>
          </cell>
          <cell r="C7164" t="str">
            <v>DORA DIALYZER‐1.6 (SKU: DOR‐DIA‐1.6)</v>
          </cell>
        </row>
        <row r="7165">
          <cell r="B7165" t="str">
            <v>FG07151</v>
          </cell>
          <cell r="C7165" t="str">
            <v>DORA DIALYZER‐1.8 (SKU: DOR‐DIA‐1.8)</v>
          </cell>
        </row>
        <row r="7166">
          <cell r="B7166" t="str">
            <v>FG07152</v>
          </cell>
          <cell r="C7166" t="str">
            <v>SHORT TERM D.L HEMO CATHETER KIT (12X16)</v>
          </cell>
        </row>
        <row r="7167">
          <cell r="B7167" t="str">
            <v>FG07153</v>
          </cell>
          <cell r="C7167" t="str">
            <v>SHORT TERM D.L.HEMO CATHETER KIT (12X20)</v>
          </cell>
        </row>
        <row r="7168">
          <cell r="B7168" t="str">
            <v>FG07154</v>
          </cell>
          <cell r="C7168" t="str">
            <v>DIALYSIS ON OFF KIT(1 X1)</v>
          </cell>
        </row>
        <row r="7169">
          <cell r="B7169" t="str">
            <v>FG07155</v>
          </cell>
          <cell r="C7169" t="str">
            <v>HAEMODI.BICARB.CARTRIDGE(BI BAG)900GM</v>
          </cell>
        </row>
        <row r="7170">
          <cell r="B7170" t="str">
            <v>FG07156</v>
          </cell>
          <cell r="C7170" t="str">
            <v>HOT DISINFECTANT HEMODIALYSIS MACHINE</v>
          </cell>
        </row>
        <row r="7171">
          <cell r="B7171" t="str">
            <v>FG07157</v>
          </cell>
          <cell r="C7171" t="str">
            <v>BIO CARD FLUID 10 LTR. PACK‐CD</v>
          </cell>
        </row>
        <row r="7172">
          <cell r="B7172" t="str">
            <v>FG07158</v>
          </cell>
          <cell r="C7172" t="str">
            <v>HEMOBICARB PART B (820 GM)</v>
          </cell>
        </row>
        <row r="7173">
          <cell r="B7173" t="str">
            <v>FG07159</v>
          </cell>
          <cell r="C7173" t="str">
            <v>CARTID.FILTERS(MICR.FILT.NO=2)20INCH‐CD</v>
          </cell>
        </row>
        <row r="7174">
          <cell r="B7174" t="str">
            <v>FG07160</v>
          </cell>
          <cell r="C7174" t="str">
            <v>NALIGYL SUSP. 30ML***</v>
          </cell>
        </row>
        <row r="7175">
          <cell r="B7175" t="str">
            <v>FG07163</v>
          </cell>
          <cell r="C7175" t="str">
            <v>CALENDAR WALL ALL PRODUCTS</v>
          </cell>
        </row>
        <row r="7176">
          <cell r="B7176" t="str">
            <v>FG07164</v>
          </cell>
          <cell r="C7176" t="str">
            <v>LEAFLETS</v>
          </cell>
        </row>
        <row r="7177">
          <cell r="B7177" t="str">
            <v>FG07166</v>
          </cell>
          <cell r="C7177" t="str">
            <v>TDR HPV DOT IGG - CASSETTE - SERUM, B/20 TEST</v>
          </cell>
        </row>
        <row r="7178">
          <cell r="B7178" t="str">
            <v>FG07167</v>
          </cell>
          <cell r="C7178" t="str">
            <v>TDR HPV DOT IGM - CASSETTE - SERUM, B/20 TEST</v>
          </cell>
        </row>
        <row r="7179">
          <cell r="B7179" t="str">
            <v>FG07168</v>
          </cell>
          <cell r="C7179" t="str">
            <v>TDR PANNEAU TORCH IGM/IGG 10 EN 1 - CASSETTE - S/P, B/20 TEST</v>
          </cell>
        </row>
        <row r="7180">
          <cell r="B7180" t="str">
            <v>FG07169</v>
          </cell>
          <cell r="C7180" t="str">
            <v>MONITEUR DE SURVEILLANCE MEDICALE MH8 AVEC CO2 CAPNOMETRE 1 UNITE HWATIME H8</v>
          </cell>
        </row>
        <row r="7181">
          <cell r="B7181" t="str">
            <v>FG07170</v>
          </cell>
          <cell r="C7181" t="str">
            <v>APPAREIL RESPIRATOIRE AUTO CPAP 1 UNITE BEYOND C20A</v>
          </cell>
        </row>
        <row r="7182">
          <cell r="B7182" t="str">
            <v>FG07171</v>
          </cell>
          <cell r="C7182" t="str">
            <v>KIT MÉDICAL DE CRICOTHYROÏDOTOMIE ADULTE VBM</v>
          </cell>
        </row>
        <row r="7183">
          <cell r="B7183" t="str">
            <v>FG07172</v>
          </cell>
          <cell r="C7183" t="str">
            <v>KIT MÉDICAL DE CRICOTHYROÏDOTOMIE ENFANT VBM</v>
          </cell>
        </row>
        <row r="7184">
          <cell r="B7184" t="str">
            <v>FG07173</v>
          </cell>
          <cell r="C7184" t="str">
            <v>APPAREIL EEG 32 CANAUX 1 UNITE CONTEC KT88</v>
          </cell>
        </row>
        <row r="7185">
          <cell r="B7185" t="str">
            <v>FG07174</v>
          </cell>
          <cell r="C7185" t="str">
            <v>APPAREIL SPIROMETRE DE TABLE 1 UNITE CONTEC SP100</v>
          </cell>
        </row>
        <row r="7186">
          <cell r="B7186" t="str">
            <v>FG07175</v>
          </cell>
          <cell r="C7186" t="str">
            <v>APPAREIL CAPNOGRAPHIE PORTABLE/DE POCHE SPO2 COMPLET 1 UNITE CONTEC CA105</v>
          </cell>
        </row>
        <row r="7187">
          <cell r="B7187" t="str">
            <v>FG07176</v>
          </cell>
          <cell r="C7187" t="str">
            <v>HOLTER TENSIONNEL CONTEC ABPM50</v>
          </cell>
        </row>
        <row r="7188">
          <cell r="B7188" t="str">
            <v>FG07177</v>
          </cell>
          <cell r="C7188" t="str">
            <v>EXTRACTEUR MANUEL DE PLASMA 1 UNITE BIOBASE BJPX-FJ</v>
          </cell>
        </row>
        <row r="7189">
          <cell r="B7189" t="str">
            <v>FG07178</v>
          </cell>
          <cell r="C7189" t="str">
            <v>DEFIBRILLATEUR AED 200 PROMED AED-200</v>
          </cell>
        </row>
        <row r="7190">
          <cell r="B7190" t="str">
            <v>FG07179</v>
          </cell>
          <cell r="C7190" t="str">
            <v>RADIO - FILM AGFA, BLEU, 20*25CM, B/100</v>
          </cell>
        </row>
        <row r="7191">
          <cell r="B7191" t="str">
            <v>FG07180</v>
          </cell>
          <cell r="C7191" t="str">
            <v>RADIO - FILM AGFA, BLEU, 25*30CM, B/100</v>
          </cell>
        </row>
        <row r="7192">
          <cell r="B7192" t="str">
            <v>FG07181</v>
          </cell>
          <cell r="C7192" t="str">
            <v>RADIO - FILM AGFA, BLEU, 28*35CM, B/100</v>
          </cell>
        </row>
        <row r="7193">
          <cell r="B7193" t="str">
            <v>FG07182</v>
          </cell>
          <cell r="C7193" t="str">
            <v>RADIO - FILM AGFA, BLEU, 35*43CM, B/100</v>
          </cell>
        </row>
        <row r="7194">
          <cell r="B7194" t="str">
            <v>FG07183</v>
          </cell>
          <cell r="C7194" t="str">
            <v>RADIO - FILM FUJIFILM, BLEU, 20*25CM, B/150</v>
          </cell>
        </row>
        <row r="7195">
          <cell r="B7195" t="str">
            <v>FG07184</v>
          </cell>
          <cell r="C7195" t="str">
            <v>RADIO - FILM FUJIFILM, BLEU, 25*30CM, B/150</v>
          </cell>
        </row>
        <row r="7196">
          <cell r="B7196" t="str">
            <v>FG07185</v>
          </cell>
          <cell r="C7196" t="str">
            <v>RADIO - FILM FUJIFILM, BLEU, 26*36CM, B/100</v>
          </cell>
        </row>
        <row r="7197">
          <cell r="B7197" t="str">
            <v>FG07186</v>
          </cell>
          <cell r="C7197" t="str">
            <v>RADIO - FILM FUJIFILM, BLEU, 35*43CM, B/100</v>
          </cell>
        </row>
        <row r="7198">
          <cell r="B7198" t="str">
            <v>FG07187</v>
          </cell>
          <cell r="C7198" t="str">
            <v>ECHOGRAPHIE PORTABLE - ECO 6 CARDIO</v>
          </cell>
        </row>
        <row r="7199">
          <cell r="B7199" t="str">
            <v>FG07191</v>
          </cell>
          <cell r="C7199" t="str">
            <v>FLUCIREQ ENF. 2% (CARBOCYSTEINE) SIROP 100ML</v>
          </cell>
        </row>
        <row r="7200">
          <cell r="B7200" t="str">
            <v>FG07192</v>
          </cell>
          <cell r="C7200" t="str">
            <v>FLUCIREQ AD 5% (CARBOCYSTEINE) SIROP 100ML</v>
          </cell>
        </row>
        <row r="7201">
          <cell r="B7201" t="str">
            <v>FG07193</v>
          </cell>
          <cell r="C7201" t="str">
            <v>LETROVIE 2.5MG (LETROZOLE) B/3X10 CES</v>
          </cell>
        </row>
        <row r="7202">
          <cell r="B7202" t="str">
            <v>FG07194</v>
          </cell>
          <cell r="C7202" t="str">
            <v>CLOMIQUE 50MG (CLOMIFENE) B/10 CES</v>
          </cell>
        </row>
        <row r="7203">
          <cell r="B7203" t="str">
            <v>FG07195</v>
          </cell>
          <cell r="C7203" t="str">
            <v>UNIGEL-PLUS (MAGNESIUM + ALUMINIUM) B/10X10 CES</v>
          </cell>
        </row>
        <row r="7204">
          <cell r="B7204" t="str">
            <v>FG07196</v>
          </cell>
          <cell r="C7204" t="str">
            <v>WERMOQUE 500MG (MEBENDAZOLE) B/1 CES</v>
          </cell>
        </row>
        <row r="7205">
          <cell r="B7205" t="str">
            <v>FG07197</v>
          </cell>
          <cell r="C7205" t="str">
            <v>CITRO‐H(HOT STERI.SKU:HIS‐DIA‐HOT‐STE‐CD</v>
          </cell>
        </row>
        <row r="7206">
          <cell r="B7206" t="str">
            <v>FG07198</v>
          </cell>
          <cell r="C7206" t="str">
            <v>ROCK SALT</v>
          </cell>
        </row>
        <row r="7207">
          <cell r="B7207" t="str">
            <v>FG07199</v>
          </cell>
          <cell r="C7207" t="str">
            <v>DORA DIASAFE PLUS FILTER</v>
          </cell>
        </row>
        <row r="7208">
          <cell r="B7208" t="str">
            <v>FG07201</v>
          </cell>
          <cell r="C7208" t="str">
            <v>RABEQUE (RABEPRAZOLE 20MG) PDR SUSP. B/10 SACHETS</v>
          </cell>
        </row>
        <row r="7209">
          <cell r="B7209" t="str">
            <v>FG07202</v>
          </cell>
          <cell r="C7209" t="str">
            <v>PROTOQ 40MG (PANTOPRAZOLE) B/10 SACHETS DE 0.5G</v>
          </cell>
        </row>
        <row r="7210">
          <cell r="B7210" t="str">
            <v>FG07203</v>
          </cell>
          <cell r="C7210" t="str">
            <v>PERFAC-C (ANTI-GRIPPAUX) B/10 SACHETS</v>
          </cell>
        </row>
        <row r="7211">
          <cell r="B7211" t="str">
            <v>FG07208</v>
          </cell>
          <cell r="C7211" t="str">
            <v>H-NAT (EMULSION GRASSE/AMINO) 1250ML</v>
          </cell>
        </row>
        <row r="7212">
          <cell r="B7212" t="str">
            <v>FG07209</v>
          </cell>
          <cell r="C7212" t="str">
            <v>BIOCHIMIE - HDL-C R1:30ML×2, R2:10 ML×2, PC</v>
          </cell>
        </row>
        <row r="7213">
          <cell r="B7213" t="str">
            <v>FG07210</v>
          </cell>
          <cell r="C7213" t="str">
            <v>BIOCHIMIE - LDL-C R1:30ML×2, R2:10 ML×2, PC</v>
          </cell>
        </row>
        <row r="7214">
          <cell r="B7214" t="str">
            <v>FG07211</v>
          </cell>
          <cell r="C7214" t="str">
            <v>BIOCHIMIE - CHOLESTEROL TOTAL R1:28ML×2, R2:7ML×2, PC</v>
          </cell>
        </row>
        <row r="7215">
          <cell r="B7215" t="str">
            <v>FG07212</v>
          </cell>
          <cell r="C7215" t="str">
            <v>BIOCHIMIE - TRIGLYCERIDES R1:28ML×2, R2:7ML×2, PC</v>
          </cell>
        </row>
        <row r="7216">
          <cell r="B7216" t="str">
            <v>FG07213</v>
          </cell>
          <cell r="C7216" t="str">
            <v>BIOCHIMIE - BILIRUBINE TOTALE R1:28ML×2, R2:7ML×2, PC</v>
          </cell>
        </row>
        <row r="7217">
          <cell r="B7217" t="str">
            <v>FG07214</v>
          </cell>
          <cell r="C7217" t="str">
            <v>BIOCHIMIE - BILIRUBINE DIRECTE R1:28ML×2, R2:7ML×2, PC</v>
          </cell>
        </row>
        <row r="7218">
          <cell r="B7218" t="str">
            <v>FG07215</v>
          </cell>
          <cell r="C7218" t="str">
            <v>BIOCHIMIE - PROTEINES TOTALES R:30MLX2, PC</v>
          </cell>
        </row>
        <row r="7219">
          <cell r="B7219" t="str">
            <v>FG07216</v>
          </cell>
          <cell r="C7219" t="str">
            <v>BIOCHIMIE - ALBUMINE R:30MLX2, PC</v>
          </cell>
        </row>
        <row r="7220">
          <cell r="B7220" t="str">
            <v>FG07217</v>
          </cell>
          <cell r="C7220" t="str">
            <v>BIOCHIMIE - CREATININE R1:30ML×2, R2:10ML×2, PC</v>
          </cell>
        </row>
        <row r="7221">
          <cell r="B7221" t="str">
            <v>FG07218</v>
          </cell>
          <cell r="C7221" t="str">
            <v>BIOCHIMIE - ACIDE URIQUE R1:28ML×2, R2:7ML×2, PC</v>
          </cell>
        </row>
        <row r="7222">
          <cell r="B7222" t="str">
            <v>FG07219</v>
          </cell>
          <cell r="C7222" t="str">
            <v>BIOCHIMIE - UREE R1:28ML×2, R2:7ML×2, PC</v>
          </cell>
        </row>
        <row r="7223">
          <cell r="B7223" t="str">
            <v>FG07220</v>
          </cell>
          <cell r="C7223" t="str">
            <v>BIOCHIMIE - LDH R1:28ML×2, R2:7ML×2, PC</v>
          </cell>
        </row>
        <row r="7224">
          <cell r="B7224" t="str">
            <v>FG07221</v>
          </cell>
          <cell r="C7224" t="str">
            <v>BIOCHIMIE - ALKALINE WASH 2000G, PC</v>
          </cell>
        </row>
        <row r="7225">
          <cell r="B7225" t="str">
            <v>FG07222</v>
          </cell>
          <cell r="C7225" t="str">
            <v>BIOCHIMIE - ACID WASH 500G, PC</v>
          </cell>
        </row>
        <row r="7226">
          <cell r="B7226" t="str">
            <v>FG07223</v>
          </cell>
          <cell r="C7226" t="str">
            <v>BIOCHIMIE - HITERGENT 500G, PC</v>
          </cell>
        </row>
        <row r="7227">
          <cell r="B7227" t="str">
            <v>FG07224</v>
          </cell>
          <cell r="C7227" t="str">
            <v>BIOCHIMIE - ISE-CLEANER 20MLX1, PC</v>
          </cell>
        </row>
        <row r="7228">
          <cell r="B7228" t="str">
            <v>FG07225</v>
          </cell>
          <cell r="C7228" t="str">
            <v>BIOCHIMIE - ISE-REAGENT PACK, CA:1600ML, CB:500ML, QC:10ML, PCK</v>
          </cell>
        </row>
        <row r="7229">
          <cell r="B7229" t="str">
            <v>FG07226</v>
          </cell>
          <cell r="C7229" t="str">
            <v>BIOCHIMIE - C01 LEVEL 2：1×5ML, PC</v>
          </cell>
        </row>
        <row r="7230">
          <cell r="B7230" t="str">
            <v>FG07228</v>
          </cell>
          <cell r="C7230" t="str">
            <v>TDR HBCAB, BANDELETTE, ST/S/P, B/50 TEST</v>
          </cell>
        </row>
        <row r="7231">
          <cell r="B7231" t="str">
            <v>FG07229</v>
          </cell>
          <cell r="C7231" t="str">
            <v>TDR MALARIA PF/PAN, CASSETTE, ST, B/20 TEST</v>
          </cell>
        </row>
        <row r="7232">
          <cell r="B7232" t="str">
            <v>FG07230</v>
          </cell>
          <cell r="C7232" t="str">
            <v>TDR OVULATION LH - BANDELETTE - URINE, ****B/50**** TEST</v>
          </cell>
        </row>
        <row r="7233">
          <cell r="B7233" t="str">
            <v>FG07231</v>
          </cell>
          <cell r="C7233" t="str">
            <v>ANALYSEUR D'URINE 500 - UNITE</v>
          </cell>
        </row>
        <row r="7234">
          <cell r="B7234" t="str">
            <v>FG07234</v>
          </cell>
          <cell r="C7234" t="str">
            <v>FLAMINGO QUADRIPOD-METAL HIGH BASE</v>
          </cell>
        </row>
        <row r="7235">
          <cell r="B7235" t="str">
            <v>FG07235</v>
          </cell>
          <cell r="C7235" t="str">
            <v>FLAMINGO DIABETIC SOCKS ANTI SKID - GREY</v>
          </cell>
        </row>
        <row r="7236">
          <cell r="B7236" t="str">
            <v>FG07236</v>
          </cell>
          <cell r="C7236" t="str">
            <v>FLAMINGO FOOT DROP SPLINT LEFT (SMALL)</v>
          </cell>
        </row>
        <row r="7237">
          <cell r="B7237" t="str">
            <v>FG07237</v>
          </cell>
          <cell r="C7237" t="str">
            <v>FLAMINGO FOOT DROP SPLINT RIGHT (SMALL)</v>
          </cell>
        </row>
        <row r="7238">
          <cell r="B7238" t="str">
            <v>FG07238</v>
          </cell>
          <cell r="C7238" t="str">
            <v>FLAMINGO ANTI EMBOLISM MONO STOCKINGS LEFT (MEDIUM)</v>
          </cell>
        </row>
        <row r="7239">
          <cell r="B7239" t="str">
            <v>FG07239</v>
          </cell>
          <cell r="C7239" t="str">
            <v>FLAMINGO ANTI EMBOLISM MONO STOCKINGS LEFT (LARGE)</v>
          </cell>
        </row>
        <row r="7240">
          <cell r="B7240" t="str">
            <v>FG07240</v>
          </cell>
          <cell r="C7240" t="str">
            <v>FLAMINGO ANTI EMBOLISM MONO STOCKINGS LEFT (XL)</v>
          </cell>
        </row>
        <row r="7241">
          <cell r="B7241" t="str">
            <v>FG07241</v>
          </cell>
          <cell r="C7241" t="str">
            <v>FLAMINGO ANTI EMBOLISM MONO STOCKINGS LEFT (XXL)</v>
          </cell>
        </row>
        <row r="7242">
          <cell r="B7242" t="str">
            <v>FG07242</v>
          </cell>
          <cell r="C7242" t="str">
            <v>FLAMINGO ANTI EMBOLISM MONO STOCKINGS RIGHT (MEDIUM)</v>
          </cell>
        </row>
        <row r="7243">
          <cell r="B7243" t="str">
            <v>FG07243</v>
          </cell>
          <cell r="C7243" t="str">
            <v>FLAMINGO ANTI EMBOLISM MONO STOCKINGS RIGHT (LARGE)</v>
          </cell>
        </row>
        <row r="7244">
          <cell r="B7244" t="str">
            <v>FG07244</v>
          </cell>
          <cell r="C7244" t="str">
            <v>FLAMINGO ANTI EMBOLISM MONO STOCKINGS RIGHT (XL)</v>
          </cell>
        </row>
        <row r="7245">
          <cell r="B7245" t="str">
            <v>FG07245</v>
          </cell>
          <cell r="C7245" t="str">
            <v>FLAMINGO ANTI EMBOLISM MONO STOCKINGS RIGHT (XXL)</v>
          </cell>
        </row>
        <row r="7246">
          <cell r="B7246" t="str">
            <v>FG07246</v>
          </cell>
          <cell r="C7246" t="str">
            <v>FLAMINGO CLASSIC ELBOW STICK OPEN LOOP (U)</v>
          </cell>
        </row>
        <row r="7247">
          <cell r="B7247" t="str">
            <v>FG07247</v>
          </cell>
          <cell r="C7247" t="str">
            <v>FLAMINGO ELASTICATED TUBULAR BANDAGE 10CM 4X1 MTR</v>
          </cell>
        </row>
        <row r="7248">
          <cell r="B7248" t="str">
            <v>FG07248</v>
          </cell>
          <cell r="C7248" t="str">
            <v>FLAMINGO ELASTICATED TUBULAR BANDAGE 10CM ***4X10*** MTR</v>
          </cell>
        </row>
        <row r="7249">
          <cell r="B7249" t="str">
            <v>FG07249</v>
          </cell>
          <cell r="C7249" t="str">
            <v>FLAMINGO CALF SUPPORT (EXTRA LARGE)</v>
          </cell>
        </row>
        <row r="7250">
          <cell r="B7250" t="str">
            <v>FG07250</v>
          </cell>
          <cell r="C7250" t="str">
            <v>FLAMINGO CALF SUPPORT (XXL)</v>
          </cell>
        </row>
        <row r="7251">
          <cell r="B7251" t="str">
            <v>FG07256</v>
          </cell>
          <cell r="C7251" t="str">
            <v>MC - GELOSE COMPTAGE SUR PLAQUE STANDARD 500G</v>
          </cell>
        </row>
        <row r="7252">
          <cell r="B7252" t="str">
            <v>FG07257</v>
          </cell>
          <cell r="C7252" t="str">
            <v>MC - GELOSE THIOGLYCOLATE 500G</v>
          </cell>
        </row>
        <row r="7253">
          <cell r="B7253" t="str">
            <v>FG07258</v>
          </cell>
          <cell r="C7253" t="str">
            <v>MC- BASE DE GELOSE VERT BRILLANT, MODIFIEE 500G</v>
          </cell>
        </row>
        <row r="7254">
          <cell r="B7254" t="str">
            <v>FG07259</v>
          </cell>
          <cell r="C7254" t="str">
            <v>MC - MILIEU LIQUIDE THIOGLYCOLATE (USP) 500G</v>
          </cell>
        </row>
        <row r="7255">
          <cell r="B7255" t="str">
            <v>FG07260</v>
          </cell>
          <cell r="C7255" t="str">
            <v>MC - BOUILLON VERT M-BRILLIANT 500G</v>
          </cell>
        </row>
        <row r="7256">
          <cell r="B7256" t="str">
            <v>FG07261</v>
          </cell>
          <cell r="C7256" t="str">
            <v>MC - BOUILLON VERT BRILLANT BILE 2% 500G</v>
          </cell>
        </row>
        <row r="7257">
          <cell r="B7257" t="str">
            <v>FG07262</v>
          </cell>
          <cell r="C7257" t="str">
            <v>MC - MILIEU THIOGLYCOLLATE AVEC GÉLO K 500G</v>
          </cell>
        </row>
        <row r="7258">
          <cell r="B7258" t="str">
            <v>FG07263</v>
          </cell>
          <cell r="C7258" t="str">
            <v>DISQUES ANTIBIOGRAMMES - CEFUROXIME BT/50</v>
          </cell>
        </row>
        <row r="7259">
          <cell r="B7259" t="str">
            <v>FG07266</v>
          </cell>
          <cell r="C7259" t="str">
            <v>CPAP - TUBE</v>
          </cell>
        </row>
        <row r="7260">
          <cell r="B7260" t="str">
            <v>FG07267</v>
          </cell>
          <cell r="C7260" t="str">
            <v>CPAP - MASQUE ADULTE (M)</v>
          </cell>
        </row>
        <row r="7261">
          <cell r="B7261" t="str">
            <v>FG07268</v>
          </cell>
          <cell r="C7261" t="str">
            <v>CPAP - MASQUE ADULTE (L)</v>
          </cell>
        </row>
        <row r="7262">
          <cell r="B7262" t="str">
            <v>FG07269</v>
          </cell>
          <cell r="C7262" t="str">
            <v>CPAP - MASQUE ENFANT (L)</v>
          </cell>
        </row>
        <row r="7263">
          <cell r="B7263" t="str">
            <v>FG07270</v>
          </cell>
          <cell r="C7263" t="str">
            <v>CPAP - MASQUE ENFANT (M)</v>
          </cell>
        </row>
        <row r="7264">
          <cell r="B7264" t="str">
            <v>FG07271</v>
          </cell>
          <cell r="C7264" t="str">
            <v>CONGELATEUR DE -86˚ CELCIUS</v>
          </cell>
        </row>
        <row r="7265">
          <cell r="B7265" t="str">
            <v>FG07272</v>
          </cell>
          <cell r="C7265" t="str">
            <v>CONGELATEUR DE (-15˚-25˚) CELCIUS</v>
          </cell>
        </row>
        <row r="7266">
          <cell r="B7266" t="str">
            <v>FG07273</v>
          </cell>
          <cell r="C7266" t="str">
            <v>CONGELATEUR DE (-15˚-40˚) CELCIUS</v>
          </cell>
        </row>
        <row r="7267">
          <cell r="B7267" t="str">
            <v>FG07274</v>
          </cell>
          <cell r="C7267" t="str">
            <v>REFRIGERATEUR DE VOITURE 0 À 65 DEGRES - 18L</v>
          </cell>
        </row>
        <row r="7268">
          <cell r="B7268" t="str">
            <v>FG07275</v>
          </cell>
          <cell r="C7268" t="str">
            <v>LAMPE INFRAROUGE CHAUFFANTE SUPPORT DE SOL 250W</v>
          </cell>
        </row>
        <row r="7269">
          <cell r="B7269" t="str">
            <v>FG07276</v>
          </cell>
          <cell r="C7269" t="str">
            <v>LAMPE INFRAROUGE CHAUFFANTE SUPPORT DE SOL 150W LY609C</v>
          </cell>
        </row>
        <row r="7270">
          <cell r="B7270" t="str">
            <v>FG07277</v>
          </cell>
          <cell r="C7270" t="str">
            <v>LAMPE INFRAROUGE CHAUFFANTE SUPPORT DE SOL 150W LY609E</v>
          </cell>
        </row>
        <row r="7271">
          <cell r="B7271" t="str">
            <v>FG07278</v>
          </cell>
          <cell r="C7271" t="str">
            <v>LAMPE INFRAROUGE CHAUFFANTE SUPPORT DE TABLE 100W</v>
          </cell>
        </row>
        <row r="7272">
          <cell r="B7272" t="str">
            <v>FG07279</v>
          </cell>
          <cell r="C7272" t="str">
            <v>MARTEAU A REFLEXE, UNITE</v>
          </cell>
        </row>
        <row r="7273">
          <cell r="B7273" t="str">
            <v>FG07280</v>
          </cell>
          <cell r="C7273" t="str">
            <v>PAPIER INDICATEUR PH (5.5-9.0) 3*5M, PC</v>
          </cell>
        </row>
        <row r="7274">
          <cell r="B7274" t="str">
            <v>FG07281</v>
          </cell>
          <cell r="C7274" t="str">
            <v>BOITE PETRI POLYSTYRENE STERILIN Ø100 MM, B/10</v>
          </cell>
        </row>
        <row r="7275">
          <cell r="B7275" t="str">
            <v>FG07282</v>
          </cell>
          <cell r="C7275" t="str">
            <v>EPANDEUR DE CELLULES 60*238MM, PC</v>
          </cell>
        </row>
        <row r="7276">
          <cell r="B7276" t="str">
            <v>FG07283</v>
          </cell>
          <cell r="C7276" t="str">
            <v>TUBE A ESSAI, VERRE, 1.5CM*10CM, B/100</v>
          </cell>
        </row>
        <row r="7277">
          <cell r="B7277" t="str">
            <v>FG07284</v>
          </cell>
          <cell r="C7277" t="str">
            <v>FIOLE JAUGEE 100 ML, PC</v>
          </cell>
        </row>
        <row r="7278">
          <cell r="B7278" t="str">
            <v>FG07285</v>
          </cell>
          <cell r="C7278" t="str">
            <v>FIOLE JAUGEE 250 ML, PC</v>
          </cell>
        </row>
        <row r="7279">
          <cell r="B7279" t="str">
            <v>FG07286</v>
          </cell>
          <cell r="C7279" t="str">
            <v>FIOLE JAUGEE 500 ML, PC</v>
          </cell>
        </row>
        <row r="7280">
          <cell r="B7280" t="str">
            <v>FG07287</v>
          </cell>
          <cell r="C7280" t="str">
            <v>FIOLE JAUGEE 1000 ML, PC</v>
          </cell>
        </row>
        <row r="7281">
          <cell r="B7281" t="str">
            <v>FG07288</v>
          </cell>
          <cell r="C7281" t="str">
            <v>EPROUVETTE GRADUEE VERRE BORO - 10ML, PC</v>
          </cell>
        </row>
        <row r="7282">
          <cell r="B7282" t="str">
            <v>FG07289</v>
          </cell>
          <cell r="C7282" t="str">
            <v>EPROUVETTE GRADUEE VERRE BORO - 25ML, PC</v>
          </cell>
        </row>
        <row r="7283">
          <cell r="B7283" t="str">
            <v>FG07290</v>
          </cell>
          <cell r="C7283" t="str">
            <v>EPROUVETTE GRADUEE VERRE BORO - 100ML, PC</v>
          </cell>
        </row>
        <row r="7284">
          <cell r="B7284" t="str">
            <v>FG07291</v>
          </cell>
          <cell r="C7284" t="str">
            <v>EPROUVETTE GRADUEE VERRE BORO - 500ML, PC</v>
          </cell>
        </row>
        <row r="7285">
          <cell r="B7285" t="str">
            <v>FG07292</v>
          </cell>
          <cell r="C7285" t="str">
            <v>EPROUVETTE GRADUEE VERRE BORO - 1000ML, PC</v>
          </cell>
        </row>
        <row r="7286">
          <cell r="B7286" t="str">
            <v>FG07293</v>
          </cell>
          <cell r="C7286" t="str">
            <v>BURETTE GRADUEE 10ML, PC</v>
          </cell>
        </row>
        <row r="7287">
          <cell r="B7287" t="str">
            <v>FG07294</v>
          </cell>
          <cell r="C7287" t="str">
            <v>BURETTE GRADUEE 25ML, PC</v>
          </cell>
        </row>
        <row r="7288">
          <cell r="B7288" t="str">
            <v>FG07295</v>
          </cell>
          <cell r="C7288" t="str">
            <v>BURETTE GRADUEE 50ML, PC</v>
          </cell>
        </row>
        <row r="7289">
          <cell r="B7289" t="str">
            <v>FG07296</v>
          </cell>
          <cell r="C7289" t="str">
            <v>FIOLE ERLENMEYER, COL ETROIT, 100 ML, PC</v>
          </cell>
        </row>
        <row r="7290">
          <cell r="B7290" t="str">
            <v>FG07297</v>
          </cell>
          <cell r="C7290" t="str">
            <v>FIOLE ERLENMEYER, COL ETROIT, 200 ML, PC</v>
          </cell>
        </row>
        <row r="7291">
          <cell r="B7291" t="str">
            <v>FG07298</v>
          </cell>
          <cell r="C7291" t="str">
            <v>FIOLE ERLENMEYER, COL ETROIT, 1000 ML, PC</v>
          </cell>
        </row>
        <row r="7292">
          <cell r="B7292" t="str">
            <v>FG07299</v>
          </cell>
          <cell r="C7292" t="str">
            <v>BALLON A FOND PLAT 16*5 - 100ML, PC</v>
          </cell>
        </row>
        <row r="7293">
          <cell r="B7293" t="str">
            <v>FG07300</v>
          </cell>
          <cell r="C7293" t="str">
            <v>BALLON A FOND PLAT 16*5 - 250ML, PC</v>
          </cell>
        </row>
        <row r="7294">
          <cell r="B7294" t="str">
            <v>FG07301</v>
          </cell>
          <cell r="C7294" t="str">
            <v>BALLON A FOND PLAT 16*5 - 500ML, PC</v>
          </cell>
        </row>
        <row r="7295">
          <cell r="B7295" t="str">
            <v>FG07302</v>
          </cell>
          <cell r="C7295" t="str">
            <v>FIOLE ERLENMEYER, COL ETROIT, 500 ML, PC</v>
          </cell>
        </row>
        <row r="7296">
          <cell r="B7296" t="str">
            <v>FG07303</v>
          </cell>
          <cell r="C7296" t="str">
            <v>BALLON A FOND PLAT 16*5 - 1000ML, PC</v>
          </cell>
        </row>
        <row r="7297">
          <cell r="B7297" t="str">
            <v>FG07304</v>
          </cell>
          <cell r="C7297" t="str">
            <v>BALLON A FOND PLAT 16*5 - 2000ML, PC</v>
          </cell>
        </row>
        <row r="7298">
          <cell r="B7298" t="str">
            <v>FG07305</v>
          </cell>
          <cell r="C7298" t="str">
            <v>BECHER EN VERRE (30*5) - 100ML, PC</v>
          </cell>
        </row>
        <row r="7299">
          <cell r="B7299" t="str">
            <v>FG07306</v>
          </cell>
          <cell r="C7299" t="str">
            <v>BECHER EN VERRE (30*5) - 500ML, PC</v>
          </cell>
        </row>
        <row r="7300">
          <cell r="B7300" t="str">
            <v>FG07307</v>
          </cell>
          <cell r="C7300" t="str">
            <v>BECHER EN VERRE (30*5) - 1000ML, PC</v>
          </cell>
        </row>
        <row r="7301">
          <cell r="B7301" t="str">
            <v>FG07308</v>
          </cell>
          <cell r="C7301" t="str">
            <v>BECHER EN VERRE (30*5) - 2000ML, PC</v>
          </cell>
        </row>
        <row r="7302">
          <cell r="B7302" t="str">
            <v>FG07309</v>
          </cell>
          <cell r="C7302" t="str">
            <v>BOITE METAL PREMIERS SECOURS - MULTI COMPARTIMENTS, UNITE</v>
          </cell>
        </row>
        <row r="7303">
          <cell r="B7303" t="str">
            <v>FG07310</v>
          </cell>
          <cell r="C7303" t="str">
            <v>BOITE METAL PREMIERS SECOURS - MURAL - MULTI COMPARTIMENTS, UNITE</v>
          </cell>
        </row>
        <row r="7304">
          <cell r="B7304" t="str">
            <v>FG07311</v>
          </cell>
          <cell r="C7304" t="str">
            <v>ARMOIRE MURALE EN METAL POUR DÉFIBRILLATEUR AED, UNITE</v>
          </cell>
        </row>
        <row r="7305">
          <cell r="B7305" t="str">
            <v>FG07312</v>
          </cell>
          <cell r="C7305" t="str">
            <v>KIT D'ASPIRATION MANUELLE INTRA UTERINE (AMIU), PC</v>
          </cell>
        </row>
        <row r="7306">
          <cell r="B7306" t="str">
            <v>FG07313</v>
          </cell>
          <cell r="C7306" t="str">
            <v>SYSTEME DE DRAINAGE THORACIQUE, UNITE</v>
          </cell>
        </row>
        <row r="7307">
          <cell r="B7307" t="str">
            <v>FG07314</v>
          </cell>
          <cell r="C7307" t="str">
            <v>RUBAN INDICATEUR POUR AUTOCLAVE, PC</v>
          </cell>
        </row>
        <row r="7308">
          <cell r="B7308" t="str">
            <v>FG07315</v>
          </cell>
          <cell r="C7308" t="str">
            <v>SAC DE STERILISATION, 90MM*165MM, B/200</v>
          </cell>
        </row>
        <row r="7309">
          <cell r="B7309" t="str">
            <v>FG07316</v>
          </cell>
          <cell r="C7309" t="str">
            <v>SAC DE STERILISATION, 90MM*260MM, B/200</v>
          </cell>
        </row>
        <row r="7310">
          <cell r="B7310" t="str">
            <v>FG07317</v>
          </cell>
          <cell r="C7310" t="str">
            <v>SAC DE STERILISATION, 135MM*280MM, B/200</v>
          </cell>
        </row>
        <row r="7311">
          <cell r="B7311" t="str">
            <v>FG07318</v>
          </cell>
          <cell r="C7311" t="str">
            <v>SAC DE STERILISATION, 190MM*360MM, B/200</v>
          </cell>
        </row>
        <row r="7312">
          <cell r="B7312" t="str">
            <v>FG07319</v>
          </cell>
          <cell r="C7312" t="str">
            <v>CHAMP OPERATOIRE POUR CHIRURGIE GENERALE, PC</v>
          </cell>
        </row>
        <row r="7313">
          <cell r="B7313" t="str">
            <v>FG07320</v>
          </cell>
          <cell r="C7313" t="str">
            <v>CHAMP OPERATOIRE POUR CHIRURGIE OPHTALMIQUE, PC</v>
          </cell>
        </row>
        <row r="7314">
          <cell r="B7314" t="str">
            <v>FG07321</v>
          </cell>
          <cell r="C7314" t="str">
            <v>CHAMP OPERATOIRE POUR CHIRURGIE ORTHOPEDIQUE, PC</v>
          </cell>
        </row>
        <row r="7315">
          <cell r="B7315" t="str">
            <v>FG07322</v>
          </cell>
          <cell r="C7315" t="str">
            <v>CHAMP CHIRURGICAL, PC</v>
          </cell>
        </row>
        <row r="7316">
          <cell r="B7316" t="str">
            <v>FG07323</v>
          </cell>
          <cell r="C7316" t="str">
            <v>MANODETENDEUR AVEC BARBOTEUR ET DEBITMETRE, MALE, UNITE</v>
          </cell>
        </row>
        <row r="7317">
          <cell r="B7317" t="str">
            <v>FG07324</v>
          </cell>
          <cell r="C7317" t="str">
            <v>MANODETENDEUR AVEC BARBOTEUR ET DEBITMETRE, FEMELLE, UNITE</v>
          </cell>
        </row>
        <row r="7318">
          <cell r="B7318" t="str">
            <v>FG07325</v>
          </cell>
          <cell r="C7318" t="str">
            <v>TV (ROUGE) SEC VERRE 13*100, 6ML, B/100PCS</v>
          </cell>
        </row>
        <row r="7319">
          <cell r="B7319" t="str">
            <v>FG07326</v>
          </cell>
          <cell r="C7319" t="str">
            <v>TV (ROUGE) SEC VERRE 16*100, 6ML, B/100PCS</v>
          </cell>
        </row>
        <row r="7320">
          <cell r="B7320" t="str">
            <v>FG07327</v>
          </cell>
          <cell r="C7320" t="str">
            <v>TV (JAUNE) GEL/ACTIV-COA VERRE 13*75, 4ML, B/100PCS</v>
          </cell>
        </row>
        <row r="7321">
          <cell r="B7321" t="str">
            <v>FG07328</v>
          </cell>
          <cell r="C7321" t="str">
            <v>SERINGUE DENTAIRE, UNITE</v>
          </cell>
        </row>
        <row r="7322">
          <cell r="B7322" t="str">
            <v>FG07329</v>
          </cell>
          <cell r="C7322" t="str">
            <v>SUPPORT MURAL POUR MONITEUR PATIENT, PC</v>
          </cell>
        </row>
        <row r="7323">
          <cell r="B7323" t="str">
            <v>FG07330</v>
          </cell>
          <cell r="C7323" t="str">
            <v>ANSES D'INOCULATION PLASTIQUE A USAGE UNIQUE, STERILE, PC</v>
          </cell>
        </row>
        <row r="7324">
          <cell r="B7324" t="str">
            <v>FG07331</v>
          </cell>
          <cell r="C7324" t="str">
            <v>SPIROMETRE INCITATIF A TROIS BALLES TRI-BALL, UNITE</v>
          </cell>
        </row>
        <row r="7325">
          <cell r="B7325" t="str">
            <v>FG07332</v>
          </cell>
          <cell r="C7325" t="str">
            <v>SCIE A PLATRE ELECTRIQUE, UNITE</v>
          </cell>
        </row>
        <row r="7326">
          <cell r="B7326" t="str">
            <v>FG07333</v>
          </cell>
          <cell r="C7326" t="str">
            <v>LAMPE STYLO DE DIAGNOSTIC MÉDICAL LED, UNITE</v>
          </cell>
        </row>
        <row r="7327">
          <cell r="B7327" t="str">
            <v>FG07334</v>
          </cell>
          <cell r="C7327" t="str">
            <v>TABLEAU DE SNELLEN, UNITE</v>
          </cell>
        </row>
        <row r="7328">
          <cell r="B7328" t="str">
            <v>FG07335</v>
          </cell>
          <cell r="C7328" t="str">
            <v>COMPTEUR DE CELLULES 1 TOUCHE MANUEL, UNITE</v>
          </cell>
        </row>
        <row r="7329">
          <cell r="B7329" t="str">
            <v>FG07336</v>
          </cell>
          <cell r="C7329" t="str">
            <v>AGRAFEUSE CHIRURGICALE CUTANEE STERILE 35W, UNITE</v>
          </cell>
        </row>
        <row r="7330">
          <cell r="B7330" t="str">
            <v>FG07337</v>
          </cell>
          <cell r="C7330" t="str">
            <v>MASQUE D'ANESTHESIE 01, INFANT, PC</v>
          </cell>
        </row>
        <row r="7331">
          <cell r="B7331" t="str">
            <v>FG07338</v>
          </cell>
          <cell r="C7331" t="str">
            <v>MASQUE D'ANESTHESIE 02, PEDIATRIQUE, PC</v>
          </cell>
        </row>
        <row r="7332">
          <cell r="B7332" t="str">
            <v>FG07339</v>
          </cell>
          <cell r="C7332" t="str">
            <v>MASQUE D'ANESTHESIE 03, ADULTE-S, PC</v>
          </cell>
        </row>
        <row r="7333">
          <cell r="B7333" t="str">
            <v>FG07340</v>
          </cell>
          <cell r="C7333" t="str">
            <v>MASQUE D'ANESTHESIE 04, ADULTE-M, PC</v>
          </cell>
        </row>
        <row r="7334">
          <cell r="B7334" t="str">
            <v>FG07341</v>
          </cell>
          <cell r="C7334" t="str">
            <v>MASQUE D'ANESTHESIE 05, ADULTE-L, PC</v>
          </cell>
        </row>
        <row r="7335">
          <cell r="B7335" t="str">
            <v>FG07342</v>
          </cell>
          <cell r="C7335" t="str">
            <v>MASQUE D'ANESTHESIE 06, ADULTE-L, PC</v>
          </cell>
        </row>
        <row r="7336">
          <cell r="B7336" t="str">
            <v>FG07343</v>
          </cell>
          <cell r="C7336" t="str">
            <v>CIRCUIT DE VENTILATEUR, UNITE</v>
          </cell>
        </row>
        <row r="7337">
          <cell r="B7337" t="str">
            <v>FG07344</v>
          </cell>
          <cell r="C7337" t="str">
            <v>CONTENEUR D'OBJETS TRANCHANTS, 10L, PC</v>
          </cell>
        </row>
        <row r="7338">
          <cell r="B7338" t="str">
            <v>FG07345</v>
          </cell>
          <cell r="C7338" t="str">
            <v>TABLIER PLOMBE POUR RADIOLOGIE, UNITE</v>
          </cell>
        </row>
        <row r="7339">
          <cell r="B7339" t="str">
            <v>FG07346</v>
          </cell>
          <cell r="C7339" t="str">
            <v>SABOT MEDICAL (M,36-37), PAIRE</v>
          </cell>
        </row>
        <row r="7340">
          <cell r="B7340" t="str">
            <v>FG07347</v>
          </cell>
          <cell r="C7340" t="str">
            <v>SABOT MEDICAL (L,38-39), PAIRE</v>
          </cell>
        </row>
        <row r="7341">
          <cell r="B7341" t="str">
            <v>FG07348</v>
          </cell>
          <cell r="C7341" t="str">
            <v>SABOT MEDICAL (XL,40-41), PAIRE</v>
          </cell>
        </row>
        <row r="7342">
          <cell r="B7342" t="str">
            <v>FG07349</v>
          </cell>
          <cell r="C7342" t="str">
            <v>SABOT MEDICAL (XXL,42-43), PAIRE</v>
          </cell>
        </row>
        <row r="7343">
          <cell r="B7343" t="str">
            <v>FG07350</v>
          </cell>
          <cell r="C7343" t="str">
            <v>SABOT MEDICAL (3XL,44-45), PAIRE</v>
          </cell>
        </row>
        <row r="7344">
          <cell r="B7344" t="str">
            <v>FG07351</v>
          </cell>
          <cell r="C7344" t="str">
            <v>SABOT MEDICAL (4XL,46-47), PAIRE</v>
          </cell>
        </row>
        <row r="7345">
          <cell r="B7345" t="str">
            <v>FG07352</v>
          </cell>
          <cell r="C7345" t="str">
            <v>PAPIER TEST NST/ERF, PC</v>
          </cell>
        </row>
        <row r="7346">
          <cell r="B7346" t="str">
            <v>FG07353</v>
          </cell>
          <cell r="C7346" t="str">
            <v>FILM DE PROTECTION PARAFILM, 4INX125FT(10CMX38M), PC</v>
          </cell>
        </row>
        <row r="7347">
          <cell r="B7347" t="str">
            <v>FG07354</v>
          </cell>
          <cell r="C7347" t="str">
            <v>STG 25MG (SITAGLIPTIN) B/2X14 CES</v>
          </cell>
        </row>
        <row r="7348">
          <cell r="B7348" t="str">
            <v>FG07355</v>
          </cell>
          <cell r="C7348" t="str">
            <v>STG 50MG (SITAGLIPTIN) B/2X14 CES</v>
          </cell>
        </row>
        <row r="7349">
          <cell r="B7349" t="str">
            <v>FG07356</v>
          </cell>
          <cell r="C7349" t="str">
            <v>STG *100MG* (SITAGLIPTIN) B/2X14 CES</v>
          </cell>
        </row>
        <row r="7350">
          <cell r="B7350" t="str">
            <v>FG07357</v>
          </cell>
          <cell r="C7350" t="str">
            <v>STG-M 50/500 (SITAGLIP.+METFOR.) B/4X7 CES</v>
          </cell>
        </row>
        <row r="7351">
          <cell r="B7351" t="str">
            <v>FG07358</v>
          </cell>
          <cell r="C7351" t="str">
            <v>STG-M 50/1000 (SITAGLIP.+METFOR.) B/4X7 CES</v>
          </cell>
        </row>
        <row r="7352">
          <cell r="B7352" t="str">
            <v>FG07359</v>
          </cell>
          <cell r="C7352" t="str">
            <v>UNIKOF HERBAL PASTILLES B/200 PCS</v>
          </cell>
        </row>
        <row r="7353">
          <cell r="B7353" t="str">
            <v>FG07360</v>
          </cell>
          <cell r="C7353" t="str">
            <v>UNIKOF HERBAL PASTILLES B/2X12</v>
          </cell>
        </row>
        <row r="7354">
          <cell r="B7354" t="str">
            <v>FG07361</v>
          </cell>
          <cell r="C7354" t="str">
            <v>UNIKOF VICKS PASTILLES B/200 PCS</v>
          </cell>
        </row>
        <row r="7355">
          <cell r="B7355" t="str">
            <v>FG07362</v>
          </cell>
          <cell r="C7355" t="str">
            <v>SECOURS PASTILLES B/200 PCS</v>
          </cell>
        </row>
        <row r="7356">
          <cell r="B7356" t="str">
            <v>FG07363</v>
          </cell>
          <cell r="C7356" t="str">
            <v>SECOURS PASTILLES VIT C ORANGE B/2X12***</v>
          </cell>
        </row>
        <row r="7357">
          <cell r="B7357" t="str">
            <v>FG07364</v>
          </cell>
          <cell r="C7357" t="str">
            <v>SECOURS PLUS AVEC.LIDOCAINE PASTILLES *B/2X12*</v>
          </cell>
        </row>
        <row r="7358">
          <cell r="B7358" t="str">
            <v>FG07365</v>
          </cell>
          <cell r="C7358" t="str">
            <v>SORTOUX PASTILLES B/8X10</v>
          </cell>
        </row>
        <row r="7359">
          <cell r="B7359" t="str">
            <v>FG07367</v>
          </cell>
          <cell r="C7359" t="str">
            <v>A TO Z (MULTIVITAMIN) SIROP **100ML**</v>
          </cell>
        </row>
        <row r="7360">
          <cell r="B7360" t="str">
            <v>FG07368</v>
          </cell>
          <cell r="C7360" t="str">
            <v>POUPINEL - STERILISATEUR A CHALEUR 70L</v>
          </cell>
        </row>
        <row r="7361">
          <cell r="B7361" t="str">
            <v>FG07369</v>
          </cell>
          <cell r="C7361" t="str">
            <v>BOITE ISOTHERME 48H 2-8°C 12L</v>
          </cell>
        </row>
        <row r="7362">
          <cell r="B7362" t="str">
            <v>FG07371</v>
          </cell>
          <cell r="C7362" t="str">
            <v>REFRIGERATEUR BANQUE DE SANG +4°C -136L</v>
          </cell>
        </row>
        <row r="7363">
          <cell r="B7363" t="str">
            <v>FG07372</v>
          </cell>
          <cell r="C7363" t="str">
            <v>REFRIGERATEUR BANQUE DE SANG +4°C -210L</v>
          </cell>
        </row>
        <row r="7364">
          <cell r="B7364" t="str">
            <v>FG07373</v>
          </cell>
          <cell r="C7364" t="str">
            <v>TABLE A LANGER - TABLE PEDIATRIQUE</v>
          </cell>
        </row>
        <row r="7365">
          <cell r="B7365" t="str">
            <v>FG07374</v>
          </cell>
          <cell r="C7365" t="str">
            <v>LAMPE SCIALYTIQUE AVEC BATTERIE INTÉGRÉE 5 REFLECTEURS</v>
          </cell>
        </row>
        <row r="7366">
          <cell r="B7366" t="str">
            <v>FG07375</v>
          </cell>
          <cell r="C7366" t="str">
            <v>CONTENEUR D'OBJETS TRANCHANTS, 5L, PC</v>
          </cell>
        </row>
        <row r="7367">
          <cell r="B7367" t="str">
            <v>FG07376</v>
          </cell>
          <cell r="C7367" t="str">
            <v>ARTIFICIAL RESUSCITATOR - SILICONE WITH FACE MASK NO 4 - AMBU (ADULT)</v>
          </cell>
        </row>
        <row r="7368">
          <cell r="B7368" t="str">
            <v>FG07377</v>
          </cell>
          <cell r="C7368" t="str">
            <v>ARTIFICIAL RESUSCITATOR - SILICONE WITH FACE MASK NO 1 - AMBU (CHILD)</v>
          </cell>
        </row>
        <row r="7369">
          <cell r="B7369" t="str">
            <v>FG07378</v>
          </cell>
          <cell r="C7369" t="str">
            <v>ARTIFICIAL RESUSCITATOR - SILICONE WITH FACE MASK NO 0 - AMBU (INFANT)</v>
          </cell>
        </row>
        <row r="7370">
          <cell r="B7370" t="str">
            <v>FG07379</v>
          </cell>
          <cell r="C7370" t="str">
            <v>BATTERY OPERATED CANNULATED BONE DRILL</v>
          </cell>
        </row>
        <row r="7371">
          <cell r="B7371" t="str">
            <v>FG07382</v>
          </cell>
          <cell r="C7371" t="str">
            <v>STREPSIL MIEL CITRON 36 PASTILLES</v>
          </cell>
        </row>
        <row r="7372">
          <cell r="B7372" t="str">
            <v>FG07383</v>
          </cell>
          <cell r="C7372" t="str">
            <v>BIOCHIMIE S - GLUCOSE 5X100 ML</v>
          </cell>
        </row>
        <row r="7373">
          <cell r="B7373" t="str">
            <v>FG07384</v>
          </cell>
          <cell r="C7373" t="str">
            <v>CHARIOT D'ANESTHESIE HOPITAL, UNITE</v>
          </cell>
        </row>
        <row r="7374">
          <cell r="B7374" t="str">
            <v>FG07386</v>
          </cell>
          <cell r="C7374" t="str">
            <v>ACT-COMBITHER 80/480MG AD B/6 CES</v>
          </cell>
        </row>
        <row r="7375">
          <cell r="B7375" t="str">
            <v>FG07391</v>
          </cell>
          <cell r="C7375" t="str">
            <v>TBM - 360 DIL 20 LIT 121740</v>
          </cell>
        </row>
        <row r="7376">
          <cell r="B7376" t="str">
            <v>FG07392</v>
          </cell>
          <cell r="C7376" t="str">
            <v>SAC MEDICAL DE PREMIERS SECOURS ET D'INTERVENTION, PC</v>
          </cell>
        </row>
        <row r="7377">
          <cell r="B7377" t="str">
            <v>FG07393</v>
          </cell>
          <cell r="C7377" t="str">
            <v>POLO T-SHIRT</v>
          </cell>
        </row>
        <row r="7378">
          <cell r="B7378" t="str">
            <v>FG07394</v>
          </cell>
          <cell r="C7378" t="str">
            <v>PANSEMENT IV FORME U, B/50</v>
          </cell>
        </row>
        <row r="7379">
          <cell r="B7379" t="str">
            <v>FG07395</v>
          </cell>
          <cell r="C7379" t="str">
            <v>APPAREIL RADIOGRAPHIE DENTAIRE, UNITE</v>
          </cell>
        </row>
        <row r="7380">
          <cell r="B7380" t="str">
            <v>FG07399</v>
          </cell>
          <cell r="C7380" t="str">
            <v>SODIUM BICARBONATE 50KG</v>
          </cell>
        </row>
        <row r="7381">
          <cell r="B7381" t="str">
            <v>FG07433</v>
          </cell>
          <cell r="C7381" t="str">
            <v>AMYLASE 200 U.CEIP/ML (ALFA-AMYLASE) SIROP 150ML</v>
          </cell>
        </row>
        <row r="7382">
          <cell r="B7382" t="str">
            <v>FG07773</v>
          </cell>
          <cell r="C7382" t="str">
            <v>ECHOGRAPHIE CHARIOT COULEUR QBIT7, 2 SONDE</v>
          </cell>
        </row>
        <row r="7383">
          <cell r="B7383" t="str">
            <v>FG07774</v>
          </cell>
          <cell r="C7383" t="str">
            <v>ECHOGRAPHIE CHARIOT COULEUR CBIT4, 2 SONDE</v>
          </cell>
        </row>
        <row r="7384">
          <cell r="B7384" t="str">
            <v>FG07831</v>
          </cell>
          <cell r="C7384" t="str">
            <v>PH-MÈTRE DE PAILLASSE</v>
          </cell>
        </row>
        <row r="7385">
          <cell r="B7385" t="str">
            <v>FG07832</v>
          </cell>
          <cell r="C7385" t="str">
            <v>POCHE À EAU CHAUDE 2 LITRE, 1 PC</v>
          </cell>
        </row>
        <row r="7386">
          <cell r="B7386" t="str">
            <v>FG07833</v>
          </cell>
          <cell r="C7386" t="str">
            <v>RÉANIMATEUR POUR BÉBÉ T-PIÈCE, MODÈLE NEO-I</v>
          </cell>
        </row>
        <row r="7387">
          <cell r="B7387" t="str">
            <v>FG07834</v>
          </cell>
          <cell r="C7387" t="str">
            <v>BILIRUBINOMÈTRE</v>
          </cell>
        </row>
        <row r="7388">
          <cell r="B7388" t="str">
            <v>FG07835</v>
          </cell>
          <cell r="C7388" t="str">
            <v>BLOUSE MÉDICALE - APRON, M</v>
          </cell>
        </row>
        <row r="7389">
          <cell r="B7389" t="str">
            <v>FG07836</v>
          </cell>
          <cell r="C7389" t="str">
            <v>BLOUSE MÉDICALE - APRON, L</v>
          </cell>
        </row>
        <row r="7390">
          <cell r="B7390" t="str">
            <v>FG07837</v>
          </cell>
          <cell r="C7390" t="str">
            <v>BLOUSE MÉDICALE - APRON, XL</v>
          </cell>
        </row>
        <row r="7391">
          <cell r="B7391" t="str">
            <v>FG07838</v>
          </cell>
          <cell r="C7391" t="str">
            <v>BLOUSE MÉDICALE - APRON, 2XL</v>
          </cell>
        </row>
        <row r="7392">
          <cell r="B7392" t="str">
            <v>FG07839</v>
          </cell>
          <cell r="C7392" t="str">
            <v>BLOUSE MÉDICALE PAIRE - BLOUSE ET PANTALON, M</v>
          </cell>
        </row>
        <row r="7393">
          <cell r="B7393" t="str">
            <v>FG07840</v>
          </cell>
          <cell r="C7393" t="str">
            <v>PARURE DE DRAPS MÉDICAL, 3 PIÈCES/ENSEMBLE (2 HOUSSES+1 PLAT) 140X250</v>
          </cell>
        </row>
        <row r="7394">
          <cell r="B7394" t="str">
            <v>FG07841</v>
          </cell>
          <cell r="C7394" t="str">
            <v>PARURE DE DRAPS MÉDICAL, 3 PIÈCES/ENSEMBLE (2 HOUSSES+1 PLAT) 160X270</v>
          </cell>
        </row>
        <row r="7395">
          <cell r="B7395" t="str">
            <v>FG07842</v>
          </cell>
          <cell r="C7395" t="str">
            <v>TENSIOMETRE ÉLECTRONIQUE, HAUT DU BRAS, BATTERIE RECHARGEABLE</v>
          </cell>
        </row>
        <row r="7396">
          <cell r="B7396" t="str">
            <v>FG07843</v>
          </cell>
          <cell r="C7396" t="str">
            <v>NÉBULISEUR MESH (ADULTE-ENFANT)</v>
          </cell>
        </row>
        <row r="7397">
          <cell r="B7397" t="str">
            <v>FG07844</v>
          </cell>
          <cell r="C7397" t="str">
            <v>TDR URINE -12T - BANDELETTE, B/100 TEST</v>
          </cell>
        </row>
        <row r="7398">
          <cell r="B7398" t="str">
            <v>FG07845</v>
          </cell>
          <cell r="C7398" t="str">
            <v>DÉSINFECTANT À L'ACIDE CITRIQUE (5L)</v>
          </cell>
        </row>
        <row r="7399">
          <cell r="B7399" t="str">
            <v>FG07846</v>
          </cell>
          <cell r="C7399" t="str">
            <v>PATIENT STRETCHER TROLLEY, ELECTRONIC</v>
          </cell>
        </row>
        <row r="7400">
          <cell r="B7400" t="str">
            <v>FG07847</v>
          </cell>
          <cell r="C7400" t="str">
            <v>TOISE ADULTE - TOISE MURALE ADULTE 2M AVEC CURSEUR NYLON</v>
          </cell>
        </row>
        <row r="7401">
          <cell r="B7401" t="str">
            <v>FG07848</v>
          </cell>
          <cell r="C7401" t="str">
            <v>FAUTEUIL - LIT DE REPOS</v>
          </cell>
        </row>
        <row r="7402">
          <cell r="B7402" t="str">
            <v>FG07849</v>
          </cell>
          <cell r="C7402" t="str">
            <v>FILM RADIOGRAPHIQUE DENTAIRE</v>
          </cell>
        </row>
        <row r="7403">
          <cell r="B7403" t="str">
            <v>FG07850</v>
          </cell>
          <cell r="C7403" t="str">
            <v>MONOBAIN DENTAIRE</v>
          </cell>
        </row>
        <row r="7404">
          <cell r="B7404" t="str">
            <v>FG07851</v>
          </cell>
          <cell r="C7404" t="str">
            <v>BALANCE DE PRECISION LABORATOIRE 500G - 0.001G</v>
          </cell>
        </row>
        <row r="7405">
          <cell r="B7405" t="str">
            <v>FG07852</v>
          </cell>
          <cell r="C7405" t="str">
            <v>STÉRILISATEUR INFRAROUGE</v>
          </cell>
        </row>
        <row r="7406">
          <cell r="B7406" t="str">
            <v>FG07853</v>
          </cell>
          <cell r="C7406" t="str">
            <v>AGITATEUR MAGNÉTIQUE NUMÉRIQUE À PLAQUE CHAUFFANTE</v>
          </cell>
        </row>
        <row r="7407">
          <cell r="B7407" t="str">
            <v>FG07854</v>
          </cell>
          <cell r="C7407" t="str">
            <v>BAIN-MARIE, 20 LITRE</v>
          </cell>
        </row>
        <row r="7408">
          <cell r="B7408" t="str">
            <v>FG07861</v>
          </cell>
          <cell r="C7408" t="str">
            <v>ECG HOLTER</v>
          </cell>
        </row>
        <row r="7409">
          <cell r="B7409" t="str">
            <v>FG07862</v>
          </cell>
          <cell r="C7409" t="str">
            <v>TENSIOMETRE ÉLECTRONIQUE, HAUT DU BRAS</v>
          </cell>
        </row>
        <row r="7410">
          <cell r="B7410" t="str">
            <v>FG06817</v>
          </cell>
          <cell r="C7410" t="str">
            <v>ULTRA-DOZEM (PARA.+TRAMADOL) EFF. B/16 CES</v>
          </cell>
        </row>
        <row r="7411">
          <cell r="B7411" t="str">
            <v>FG06818</v>
          </cell>
          <cell r="C7411" t="str">
            <v>MC - TSA GELOSE TRYPTONE SOJA (DIGESTION DE CASÉINE SOJA) 500G</v>
          </cell>
        </row>
        <row r="7412">
          <cell r="B7412" t="str">
            <v>FG06819</v>
          </cell>
          <cell r="C7412" t="str">
            <v>MC - TSI GELOSE TRIPLE SUCRE FER 500G</v>
          </cell>
        </row>
        <row r="7413">
          <cell r="B7413" t="str">
            <v>FG06820</v>
          </cell>
          <cell r="C7413" t="str">
            <v>MC - EAU PEPTONÉE TAMPONNÉE (ISO), PH 7,0 - 500G</v>
          </cell>
        </row>
        <row r="7414">
          <cell r="B7414" t="str">
            <v>FG06821</v>
          </cell>
          <cell r="C7414" t="str">
            <v>MC - MILIEU UREE INDOLE (ISO 10273) 500G</v>
          </cell>
        </row>
        <row r="7415">
          <cell r="B7415" t="str">
            <v>FG06822</v>
          </cell>
          <cell r="C7415" t="str">
            <v>MC - BOUILLON MULLER-KAUFFMANN AU TETRATHIONATE-NOVOBIOCINE (MKTTN) 500G</v>
          </cell>
        </row>
        <row r="7416">
          <cell r="B7416" t="str">
            <v>FG06823</v>
          </cell>
          <cell r="C7416" t="str">
            <v>MC - NIGROSINE, (W/S) 100G</v>
          </cell>
        </row>
        <row r="7417">
          <cell r="B7417" t="str">
            <v>FG06824</v>
          </cell>
          <cell r="C7417" t="str">
            <v>BACTERI - KOVAC' S REAGENT 100ML</v>
          </cell>
        </row>
        <row r="7418">
          <cell r="B7418" t="str">
            <v>FG06825</v>
          </cell>
          <cell r="C7418" t="str">
            <v>BACTERI - KIT DE ZIEHL NEELSEN 3*125ML</v>
          </cell>
        </row>
        <row r="7419">
          <cell r="B7419" t="str">
            <v>FG06826</v>
          </cell>
          <cell r="C7419" t="str">
            <v>DISQUES ANTIBIOGRAMMES - COLISTINE (METHANESULFONATE) BT/50</v>
          </cell>
        </row>
        <row r="7420">
          <cell r="B7420" t="str">
            <v>FG06827</v>
          </cell>
          <cell r="C7420" t="str">
            <v>DISQUES ANTIBIOGRAMMES - GENTAMICINE BT/50</v>
          </cell>
        </row>
        <row r="7421">
          <cell r="B7421" t="str">
            <v>FG06828</v>
          </cell>
          <cell r="C7421" t="str">
            <v>DISQUES ANTIBIOGRAMMES - CO-TRIMOXAZOLE (SULFAMÉTHOXAZOLE/TRIMÉTHOPRIME) BT/50</v>
          </cell>
        </row>
        <row r="7422">
          <cell r="B7422" t="str">
            <v>FG06829</v>
          </cell>
          <cell r="C7422" t="str">
            <v>DISQUES ANTIBIOGRAMMES - CIPROFLOXACINE BT/50</v>
          </cell>
        </row>
        <row r="7423">
          <cell r="B7423" t="str">
            <v>FG06830</v>
          </cell>
          <cell r="C7423" t="str">
            <v>DISQUES ANTIBIOGRAMMES - CEFOTAXIME BT/50</v>
          </cell>
        </row>
        <row r="7424">
          <cell r="B7424" t="str">
            <v>FG06831</v>
          </cell>
          <cell r="C7424" t="str">
            <v>DISQUES ANTIBIOGRAMMES - CEFTAZIDIME BT/50</v>
          </cell>
        </row>
        <row r="7425">
          <cell r="B7425" t="str">
            <v>FG06832</v>
          </cell>
          <cell r="C7425" t="str">
            <v>DISQUES ANTIBIOGRAMMES - ERYTHROMYCINE BT/50</v>
          </cell>
        </row>
        <row r="7426">
          <cell r="B7426" t="str">
            <v>FG06833</v>
          </cell>
          <cell r="C7426" t="str">
            <v>DISQUES ANTIBIOGRAMMES - OXACILLINE BT/50</v>
          </cell>
        </row>
        <row r="7427">
          <cell r="B7427" t="str">
            <v>FG06834</v>
          </cell>
          <cell r="C7427" t="str">
            <v>DISQUES ANTIBIOGRAMMES - ACIDE NALIDIXIQUE BT/50</v>
          </cell>
        </row>
        <row r="7428">
          <cell r="B7428" t="str">
            <v>FG06835</v>
          </cell>
          <cell r="C7428" t="str">
            <v>DISQUES ANTIBIOGRAMMES - AMOXICLAV BT/50</v>
          </cell>
        </row>
        <row r="7429">
          <cell r="B7429" t="str">
            <v>FG06836</v>
          </cell>
          <cell r="C7429" t="str">
            <v>EOSINE (SPIRIT SOLUBLE)</v>
          </cell>
        </row>
        <row r="7430">
          <cell r="B7430" t="str">
            <v>FG06840</v>
          </cell>
          <cell r="C7430" t="str">
            <v>BIOCHIMIE S - ALBUMINE 1X100 ML</v>
          </cell>
        </row>
        <row r="7431">
          <cell r="B7431" t="str">
            <v>FG06852</v>
          </cell>
          <cell r="C7431" t="str">
            <v>CHECK-75 OGTT TOLERANCE DIABÈTE GESTATIONNEL</v>
          </cell>
        </row>
        <row r="7432">
          <cell r="B7432" t="str">
            <v>FG06871</v>
          </cell>
          <cell r="C7432" t="str">
            <v>OVOCYPLUS GELU BT60 (FR)</v>
          </cell>
        </row>
        <row r="7433">
          <cell r="B7433" t="str">
            <v>FG06872</v>
          </cell>
          <cell r="C7433" t="str">
            <v>FERTIMAX 2 HOMME GELU BT60 (FR)</v>
          </cell>
        </row>
        <row r="7434">
          <cell r="B7434" t="str">
            <v>FG06873</v>
          </cell>
          <cell r="C7434" t="str">
            <v>OXYMETRE DE POULS PORTATIF (SP02/TEMPÉRATURE)</v>
          </cell>
        </row>
        <row r="7435">
          <cell r="B7435" t="str">
            <v>FG06874</v>
          </cell>
          <cell r="C7435" t="str">
            <v>TDR FOB AG - CASSETTE - FECES , B/20 TEST</v>
          </cell>
        </row>
        <row r="7436">
          <cell r="B7436" t="str">
            <v>FG06875</v>
          </cell>
          <cell r="C7436" t="str">
            <v>TDR OVULATION LH - BANDELETTE - URINE, B/25 TEST</v>
          </cell>
        </row>
        <row r="7437">
          <cell r="B7437" t="str">
            <v>FG06876</v>
          </cell>
          <cell r="C7437" t="str">
            <v>BISTOURI ELECTRIQUE : BIPOLAIRE / MONOPOLAIRE - 03</v>
          </cell>
        </row>
        <row r="7438">
          <cell r="B7438" t="str">
            <v>FG06877</v>
          </cell>
          <cell r="C7438" t="str">
            <v>BISTOURI ELECTRIQUE : BIPOLAIRE / MONOPOLAIRE - 05</v>
          </cell>
        </row>
        <row r="7439">
          <cell r="B7439" t="str">
            <v>FG06888</v>
          </cell>
          <cell r="C7439" t="str">
            <v>VERTOIN 50MG/ML (PHENYTOINE) 5ML INJ.B/1AMP</v>
          </cell>
        </row>
        <row r="7440">
          <cell r="B7440" t="str">
            <v>FG06893</v>
          </cell>
          <cell r="C7440" t="str">
            <v>DISTILLATEUR D'EAU LABORATOIRE 4L/H</v>
          </cell>
        </row>
        <row r="7441">
          <cell r="B7441" t="str">
            <v>FG06950</v>
          </cell>
          <cell r="C7441" t="str">
            <v>BOITE A INSTRUMENTS POUR ACCOUCHMENTS/EPISTOMIE 20PCS</v>
          </cell>
        </row>
        <row r="7442">
          <cell r="B7442" t="str">
            <v>FG06951</v>
          </cell>
          <cell r="C7442" t="str">
            <v>BOITE D'INSTRUMENT POUR CIRCONCISION</v>
          </cell>
        </row>
        <row r="7443">
          <cell r="B7443" t="str">
            <v>FG06952</v>
          </cell>
          <cell r="C7443" t="str">
            <v>BOITE DE SPECULUM</v>
          </cell>
        </row>
        <row r="7444">
          <cell r="B7444" t="str">
            <v>FG06953</v>
          </cell>
          <cell r="C7444" t="str">
            <v>BOITE ORL DE BASE</v>
          </cell>
        </row>
        <row r="7445">
          <cell r="B7445" t="str">
            <v>FG06954</v>
          </cell>
          <cell r="C7445" t="str">
            <v>TINIDAZOLE 500MG B/4 CES (UNIQUE)</v>
          </cell>
        </row>
        <row r="7446">
          <cell r="B7446" t="str">
            <v>FG06956</v>
          </cell>
          <cell r="C7446" t="str">
            <v>LBL - RIVELTOX</v>
          </cell>
        </row>
        <row r="7447">
          <cell r="B7447" t="str">
            <v>FG06957</v>
          </cell>
          <cell r="C7447" t="str">
            <v>LBL - TACLIS</v>
          </cell>
        </row>
        <row r="7448">
          <cell r="B7448" t="str">
            <v>FG06958</v>
          </cell>
          <cell r="C7448" t="str">
            <v>SMART WATCH (RIVELTOX, TACLIS)</v>
          </cell>
        </row>
        <row r="7449">
          <cell r="B7449" t="str">
            <v>FG06972</v>
          </cell>
          <cell r="C7449" t="str">
            <v>MC - GÉLOSE CPC - BASE (CELLOBIOSE, POLYMYXINE ET COLISTINE)</v>
          </cell>
        </row>
        <row r="7450">
          <cell r="B7450" t="str">
            <v>FG08766</v>
          </cell>
          <cell r="C7450" t="str">
            <v>FRIGO 120 LTR</v>
          </cell>
        </row>
        <row r="7451">
          <cell r="B7451" t="str">
            <v>FG08799</v>
          </cell>
          <cell r="C7451" t="str">
            <v>CISEAUX DROIT, MOUSSE/MOUSSE, 16CM,PIèCE, UNITé</v>
          </cell>
        </row>
        <row r="7452">
          <cell r="B7452" t="str">
            <v>FG08800</v>
          </cell>
          <cell r="C7452" t="str">
            <v>CISEAUX DROIT, MOUSSE/MOUSSE, 20CM,PIèCE, UNITé</v>
          </cell>
        </row>
        <row r="7453">
          <cell r="B7453" t="str">
            <v>FG08801</v>
          </cell>
          <cell r="C7453" t="str">
            <v>CISEAUX DROIT, MOUSSE/MOUSSE, 23CM,PIèCE, UNITé</v>
          </cell>
        </row>
        <row r="7454">
          <cell r="B7454" t="str">
            <v>FG08802</v>
          </cell>
          <cell r="C7454" t="str">
            <v>PINCE HéMOSTATIQUE DE KOCHER,12.5CM,DROITE, AVEC DENT, UNITé</v>
          </cell>
        </row>
        <row r="7455">
          <cell r="B7455" t="str">
            <v>FG08812</v>
          </cell>
          <cell r="C7455" t="str">
            <v>CANULE RECTAL</v>
          </cell>
        </row>
        <row r="7456">
          <cell r="B7456" t="str">
            <v>FG08825</v>
          </cell>
          <cell r="C7456" t="str">
            <v>COMFORT SUPER EXTRA (SERVIETTES HYGINIQUES)1P</v>
          </cell>
        </row>
        <row r="7457">
          <cell r="B7457" t="str">
            <v>FG08831</v>
          </cell>
          <cell r="C7457" t="str">
            <v>TOSSEGO SIROP 100ML F/P</v>
          </cell>
        </row>
        <row r="7458">
          <cell r="B7458" t="str">
            <v>FG08904</v>
          </cell>
          <cell r="C7458" t="str">
            <v>AMITRIP-25 (AMITRIPTYLINE) 25MG TABLETS B/10X10</v>
          </cell>
        </row>
        <row r="7459">
          <cell r="B7459" t="str">
            <v>FG08905</v>
          </cell>
          <cell r="C7459" t="str">
            <v>VENTOUSE OBSTETRICALE</v>
          </cell>
        </row>
        <row r="7460">
          <cell r="B7460" t="str">
            <v>FG08906</v>
          </cell>
          <cell r="C7460" t="str">
            <v>COMPTEUR FL 5 TOUCHES</v>
          </cell>
        </row>
        <row r="7461">
          <cell r="B7461" t="str">
            <v>FG08907</v>
          </cell>
          <cell r="C7461" t="str">
            <v>BAGUETTE EN VERRE</v>
          </cell>
        </row>
        <row r="7462">
          <cell r="B7462" t="str">
            <v>FG08912</v>
          </cell>
          <cell r="C7462" t="str">
            <v>NAOMI TRIPLE ACTION CREAM 15GM</v>
          </cell>
        </row>
        <row r="7463">
          <cell r="B7463" t="str">
            <v>FG08913</v>
          </cell>
          <cell r="C7463" t="str">
            <v>HYALGAN INJECTABLE</v>
          </cell>
        </row>
        <row r="7464">
          <cell r="B7464" t="str">
            <v>FG09061</v>
          </cell>
          <cell r="C7464" t="str">
            <v>CHLORAPHENERAMINE SIROP 100ML</v>
          </cell>
        </row>
        <row r="7465">
          <cell r="B7465" t="str">
            <v>FG09066</v>
          </cell>
          <cell r="C7465" t="str">
            <v>DORIXINA RELAX B/20CES (CLONIX+CYCLOBENZAPRINE) (FR)</v>
          </cell>
        </row>
        <row r="7466">
          <cell r="B7466" t="str">
            <v>FG09092</v>
          </cell>
          <cell r="C7466" t="str">
            <v>VITADOC PLUS B/10 CAP</v>
          </cell>
        </row>
        <row r="7467">
          <cell r="B7467" t="str">
            <v>FG09094</v>
          </cell>
          <cell r="C7467" t="str">
            <v>GO GEL (EO)</v>
          </cell>
        </row>
        <row r="7468">
          <cell r="B7468" t="str">
            <v>FG09150</v>
          </cell>
          <cell r="C7468" t="str">
            <v>OLANZAPINE 10MG CES (FR)</v>
          </cell>
        </row>
        <row r="7469">
          <cell r="B7469" t="str">
            <v>FG09151</v>
          </cell>
          <cell r="C7469" t="str">
            <v>OLANZAPINE 5MG CES (FR)</v>
          </cell>
        </row>
        <row r="7470">
          <cell r="B7470" t="str">
            <v>FG09152</v>
          </cell>
          <cell r="C7470" t="str">
            <v>EXFORGE 10MG/160MG/125MG CES (FR)</v>
          </cell>
        </row>
        <row r="7471">
          <cell r="B7471" t="str">
            <v>FG09153</v>
          </cell>
          <cell r="C7471" t="str">
            <v>EXFORGE 5MG/160MG/25MG CES (FR)</v>
          </cell>
        </row>
        <row r="7472">
          <cell r="B7472" t="str">
            <v>FG09154</v>
          </cell>
          <cell r="C7472" t="str">
            <v>EXFORGE 5MG/160MG/125MG CES (FR)</v>
          </cell>
        </row>
        <row r="7473">
          <cell r="B7473" t="str">
            <v>FG09155</v>
          </cell>
          <cell r="C7473" t="str">
            <v>PYRONAT B/3 CES</v>
          </cell>
        </row>
        <row r="7474">
          <cell r="B7474" t="str">
            <v>FG09156</v>
          </cell>
          <cell r="C7474" t="str">
            <v>PYRONAT JUNIOR B/3 SACHET</v>
          </cell>
        </row>
        <row r="7475">
          <cell r="B7475" t="str">
            <v>FG09182</v>
          </cell>
          <cell r="C7475" t="str">
            <v>NAVROX 30GM</v>
          </cell>
        </row>
        <row r="7476">
          <cell r="B7476" t="str">
            <v>FG09189</v>
          </cell>
          <cell r="C7476" t="str">
            <v>PROBETA - N 7.5ML GOUTTE</v>
          </cell>
        </row>
        <row r="7477">
          <cell r="B7477" t="str">
            <v>FG09202</v>
          </cell>
          <cell r="C7477" t="str">
            <v>ZESTRIL 10MG B/10CES</v>
          </cell>
        </row>
        <row r="7478">
          <cell r="B7478" t="str">
            <v>FG09233</v>
          </cell>
          <cell r="C7478" t="str">
            <v>SPASCOL (DROTAVERINE HYDR. &amp; PARA.) B/10 CES</v>
          </cell>
        </row>
        <row r="7479">
          <cell r="B7479" t="str">
            <v>FG09245</v>
          </cell>
          <cell r="C7479" t="str">
            <v>T V 75 INCH</v>
          </cell>
        </row>
        <row r="7480">
          <cell r="B7480" t="str">
            <v>FG04936</v>
          </cell>
          <cell r="C7480" t="str">
            <v>GYNANFORT OVULES B/10</v>
          </cell>
        </row>
        <row r="7481">
          <cell r="B7481" t="str">
            <v>FG04937</v>
          </cell>
          <cell r="C7481" t="str">
            <v>DIAFORMINE 500MG B/30 CES</v>
          </cell>
        </row>
        <row r="7482">
          <cell r="B7482" t="str">
            <v>FG04938</v>
          </cell>
          <cell r="C7482" t="str">
            <v>DIAFORMINE 850MG B/30 CES</v>
          </cell>
        </row>
        <row r="7483">
          <cell r="B7483" t="str">
            <v>FG04939</v>
          </cell>
          <cell r="C7483" t="str">
            <v>FLAGYL 500MG 14CES (FR)</v>
          </cell>
        </row>
        <row r="7484">
          <cell r="B7484" t="str">
            <v>FG04941</v>
          </cell>
          <cell r="C7484" t="str">
            <v>TITANOREINE B/12SUPPOS (FR)</v>
          </cell>
        </row>
        <row r="7485">
          <cell r="B7485" t="str">
            <v>FG04942</v>
          </cell>
          <cell r="C7485" t="str">
            <v>AMIFER SIROP 200ML (FR)</v>
          </cell>
        </row>
        <row r="7486">
          <cell r="B7486" t="str">
            <v>FG04943</v>
          </cell>
          <cell r="C7486" t="str">
            <v>LARGATIL 25MG B/50 CES (ESP)</v>
          </cell>
        </row>
        <row r="7487">
          <cell r="B7487" t="str">
            <v>FG04944</v>
          </cell>
          <cell r="C7487" t="str">
            <v>FORTALINE OMEGA3 SIROP (FR)</v>
          </cell>
        </row>
        <row r="7488">
          <cell r="B7488" t="str">
            <v>FG04965</v>
          </cell>
          <cell r="C7488" t="str">
            <v>FLUCAZOL SP 50MG/5ML 60ML ( EO)</v>
          </cell>
        </row>
        <row r="7489">
          <cell r="B7489" t="str">
            <v>FG04966</v>
          </cell>
          <cell r="C7489" t="str">
            <v>APRANAX 550MG B/16CES (FR)</v>
          </cell>
        </row>
        <row r="7490">
          <cell r="B7490" t="str">
            <v>FG04967</v>
          </cell>
          <cell r="C7490" t="str">
            <v>NURAVIT SP 125ML (FR)</v>
          </cell>
        </row>
        <row r="7491">
          <cell r="B7491" t="str">
            <v>FG04968</v>
          </cell>
          <cell r="C7491" t="str">
            <v>ZOLADEX 10.8MG IMOLANT KIT (FR)</v>
          </cell>
        </row>
        <row r="7492">
          <cell r="B7492" t="str">
            <v>FG05054</v>
          </cell>
          <cell r="C7492" t="str">
            <v>UNIPURE ( PURIFIANT D'EAU) 1 SACHETS</v>
          </cell>
        </row>
        <row r="7493">
          <cell r="B7493" t="str">
            <v>FG05057</v>
          </cell>
          <cell r="C7493" t="str">
            <v>STIMOL AMP BUV B/18</v>
          </cell>
        </row>
        <row r="7494">
          <cell r="B7494" t="str">
            <v>FG05059</v>
          </cell>
          <cell r="C7494" t="str">
            <v>DOXY 200MG 8CES (EO)</v>
          </cell>
        </row>
        <row r="7495">
          <cell r="B7495" t="str">
            <v>FG05060</v>
          </cell>
          <cell r="C7495" t="str">
            <v>LANTUS SOLOSTAR 100UI/ML 1 STYLOS (FR)</v>
          </cell>
        </row>
        <row r="7496">
          <cell r="B7496" t="str">
            <v>FG05061</v>
          </cell>
          <cell r="C7496" t="str">
            <v>TORAS DENK (TORASEMIDE) 5MG 30CES(EO)</v>
          </cell>
        </row>
        <row r="7497">
          <cell r="B7497" t="str">
            <v>FG05062</v>
          </cell>
          <cell r="C7497" t="str">
            <v>DESLORA DENK (DESLORATADINE) 5 B/10CES</v>
          </cell>
        </row>
        <row r="7498">
          <cell r="B7498" t="str">
            <v>FG05063</v>
          </cell>
          <cell r="C7498" t="str">
            <v>IBEX 200MG B/24CAPS(FR)</v>
          </cell>
        </row>
        <row r="7499">
          <cell r="B7499" t="str">
            <v>FG05064</v>
          </cell>
          <cell r="C7499" t="str">
            <v>FLUCONA-DENK 100MG B/10CAP(FR)</v>
          </cell>
        </row>
        <row r="7500">
          <cell r="B7500" t="str">
            <v>FG05065</v>
          </cell>
          <cell r="C7500" t="str">
            <v>FLUOMIZIN 10MG B6CES VAG (FR)</v>
          </cell>
        </row>
        <row r="7501">
          <cell r="B7501" t="str">
            <v>FG05067</v>
          </cell>
          <cell r="C7501" t="str">
            <v>CLAMOXYL 125MG/5ML SIROP 60ML</v>
          </cell>
        </row>
        <row r="7502">
          <cell r="B7502" t="str">
            <v>FG05068</v>
          </cell>
          <cell r="C7502" t="str">
            <v>PROZAC 20MG 14CAPS (FR)</v>
          </cell>
        </row>
        <row r="7503">
          <cell r="B7503" t="str">
            <v>FG05069</v>
          </cell>
          <cell r="C7503" t="str">
            <v>TANAKAN 40MG B/30CES (EO)</v>
          </cell>
        </row>
        <row r="7504">
          <cell r="B7504" t="str">
            <v>FG05070</v>
          </cell>
          <cell r="C7504" t="str">
            <v>TOBRADEX COLLYRE 5ML (FR)</v>
          </cell>
        </row>
        <row r="7505">
          <cell r="B7505" t="str">
            <v>FG05071</v>
          </cell>
          <cell r="C7505" t="str">
            <v>XYLOCAINE 2% 20ML INJ B/1AMP (FR)</v>
          </cell>
        </row>
        <row r="7506">
          <cell r="B7506" t="str">
            <v>FG05072</v>
          </cell>
          <cell r="C7506" t="str">
            <v>COSOPT OCUMETRE PLUS COLLYRE 5ML (FR)</v>
          </cell>
        </row>
        <row r="7507">
          <cell r="B7507" t="str">
            <v>FG05073</v>
          </cell>
          <cell r="C7507" t="str">
            <v>HELMINTOX SUSPENSION 15ML FLACON (FR)</v>
          </cell>
        </row>
        <row r="7508">
          <cell r="B7508" t="str">
            <v>FG05074</v>
          </cell>
          <cell r="C7508" t="str">
            <v>INNOTEX RETARDANT B/3 PCS</v>
          </cell>
        </row>
        <row r="7509">
          <cell r="B7509" t="str">
            <v>FG05075</v>
          </cell>
          <cell r="C7509" t="str">
            <v>VERZOL 400MG BT/1CES</v>
          </cell>
        </row>
        <row r="7510">
          <cell r="B7510" t="str">
            <v>FG05076</v>
          </cell>
          <cell r="C7510" t="str">
            <v>FLURIFEN B/15CES (EO)</v>
          </cell>
        </row>
        <row r="7511">
          <cell r="B7511" t="str">
            <v>FG05077</v>
          </cell>
          <cell r="C7511" t="str">
            <v>GAMALATE B6 SOL BUV 80ML (FR)</v>
          </cell>
        </row>
        <row r="7512">
          <cell r="B7512" t="str">
            <v>FG05078</v>
          </cell>
          <cell r="C7512" t="str">
            <v>CODOLIPRANE 16CES (EO)</v>
          </cell>
        </row>
        <row r="7513">
          <cell r="B7513" t="str">
            <v>FG05079</v>
          </cell>
          <cell r="C7513" t="str">
            <v>AMIFER INJ 5AMP(FR)</v>
          </cell>
        </row>
        <row r="7514">
          <cell r="B7514" t="str">
            <v>FG05080</v>
          </cell>
          <cell r="C7514" t="str">
            <v>CURAM INJECTABLE 1G/200MG IV (EO)</v>
          </cell>
        </row>
        <row r="7515">
          <cell r="B7515" t="str">
            <v>FG05081</v>
          </cell>
          <cell r="C7515" t="str">
            <v>DISLEP 25MG B/20 CES</v>
          </cell>
        </row>
        <row r="7516">
          <cell r="B7516" t="str">
            <v>FG05082</v>
          </cell>
          <cell r="C7516" t="str">
            <v>FLEXDOL B/10CES (FR)</v>
          </cell>
        </row>
        <row r="7517">
          <cell r="B7517" t="str">
            <v>FG05083</v>
          </cell>
          <cell r="C7517" t="str">
            <v>TRITAZIDE 10MG - 25MG B/28CES (FR)</v>
          </cell>
        </row>
        <row r="7518">
          <cell r="B7518" t="str">
            <v>FG05086</v>
          </cell>
          <cell r="C7518" t="str">
            <v>CURAM SIROP 125MG/31.25MG 60ML (EO)</v>
          </cell>
        </row>
        <row r="7519">
          <cell r="B7519" t="str">
            <v>FG05087</v>
          </cell>
          <cell r="C7519" t="str">
            <v>DIFRAREL E 24CES (EO)</v>
          </cell>
        </row>
        <row r="7520">
          <cell r="B7520" t="str">
            <v>FG05088</v>
          </cell>
          <cell r="C7520" t="str">
            <v>INOCLIM 30CAPS (FR)</v>
          </cell>
        </row>
        <row r="7521">
          <cell r="B7521" t="str">
            <v>FG05089</v>
          </cell>
          <cell r="C7521" t="str">
            <v>LACRYVISC GEL OPH 15GR (FR)</v>
          </cell>
        </row>
        <row r="7522">
          <cell r="B7522" t="str">
            <v>FG05090</v>
          </cell>
          <cell r="C7522" t="str">
            <v>OTOFA SOL. AURIC.10ML (FR) $$</v>
          </cell>
        </row>
        <row r="7523">
          <cell r="B7523" t="str">
            <v>FG05091</v>
          </cell>
          <cell r="C7523" t="str">
            <v>POLARAMINE 2MG 30CES (FR)</v>
          </cell>
        </row>
        <row r="7524">
          <cell r="B7524" t="str">
            <v>FG05092</v>
          </cell>
          <cell r="C7524" t="str">
            <v>RENITEC 20MG 28CES (FR)</v>
          </cell>
        </row>
        <row r="7525">
          <cell r="B7525" t="str">
            <v>FG05093</v>
          </cell>
          <cell r="C7525" t="str">
            <v>TANGANIL 500MG 5AMP(FR)</v>
          </cell>
        </row>
        <row r="7526">
          <cell r="B7526" t="str">
            <v>FG05094</v>
          </cell>
          <cell r="C7526" t="str">
            <v>CELESTENE GOUTTE 30ML ***</v>
          </cell>
        </row>
        <row r="7527">
          <cell r="B7527" t="str">
            <v>FG05096</v>
          </cell>
          <cell r="C7527" t="str">
            <v>BONAPETI **VITEX** CES B/30 CES INACTIVE</v>
          </cell>
        </row>
        <row r="7528">
          <cell r="B7528" t="str">
            <v>FG05097</v>
          </cell>
          <cell r="C7528" t="str">
            <v>APROVASC 300MG/10MG B/28CES (EO)</v>
          </cell>
        </row>
        <row r="7529">
          <cell r="B7529" t="str">
            <v>FG05098</v>
          </cell>
          <cell r="C7529" t="str">
            <v>TEGRETOL LP 400MG B/30CES (FR)</v>
          </cell>
        </row>
        <row r="7530">
          <cell r="B7530" t="str">
            <v>FG05099</v>
          </cell>
          <cell r="C7530" t="str">
            <v>DOLIRHUME B/16CES (FR)</v>
          </cell>
        </row>
        <row r="7531">
          <cell r="B7531" t="str">
            <v>FG05100</v>
          </cell>
          <cell r="C7531" t="str">
            <v>TEGRETOL LP 200MG 30CES (FR)</v>
          </cell>
        </row>
        <row r="7532">
          <cell r="B7532" t="str">
            <v>FG05101</v>
          </cell>
          <cell r="C7532" t="str">
            <v>BABYHALER CHAMBRE INHALATION</v>
          </cell>
        </row>
        <row r="7533">
          <cell r="B7533" t="str">
            <v>FG05102</v>
          </cell>
          <cell r="C7533" t="str">
            <v>COFANTRINE DISPERSIBLE 20/120MG B/6</v>
          </cell>
        </row>
        <row r="7534">
          <cell r="B7534" t="str">
            <v>FG05103</v>
          </cell>
          <cell r="C7534" t="str">
            <v>CURAM 0.5GR INJ IV 500MG B/1***(FR)</v>
          </cell>
        </row>
        <row r="7535">
          <cell r="B7535" t="str">
            <v>FG05104</v>
          </cell>
          <cell r="C7535" t="str">
            <v>ENTAMIZOLE BT/30 CES (FR)</v>
          </cell>
        </row>
        <row r="7536">
          <cell r="B7536" t="str">
            <v>FG05105</v>
          </cell>
          <cell r="C7536" t="str">
            <v>EXODERIL SOLUTION 10ML (FR)</v>
          </cell>
        </row>
        <row r="7537">
          <cell r="B7537" t="str">
            <v>FG05106</v>
          </cell>
          <cell r="C7537" t="str">
            <v>FAZOL CREME 30GR (EO)</v>
          </cell>
        </row>
        <row r="7538">
          <cell r="B7538" t="str">
            <v>FG05107</v>
          </cell>
          <cell r="C7538" t="str">
            <v>HALDOL INJ 5AMP 1M 5MG (FR)</v>
          </cell>
        </row>
        <row r="7539">
          <cell r="B7539" t="str">
            <v>FG05108</v>
          </cell>
          <cell r="C7539" t="str">
            <v>HYDRALINE SOLUTION</v>
          </cell>
        </row>
        <row r="7540">
          <cell r="B7540" t="str">
            <v>FG05109</v>
          </cell>
          <cell r="C7540" t="str">
            <v>INNOTEX CLASSIC B/3 PCS</v>
          </cell>
        </row>
        <row r="7541">
          <cell r="B7541" t="str">
            <v>FG05110</v>
          </cell>
          <cell r="C7541" t="str">
            <v>INNOTEX PLUS B/3 PCS</v>
          </cell>
        </row>
        <row r="7542">
          <cell r="B7542" t="str">
            <v>FG05111</v>
          </cell>
          <cell r="C7542" t="str">
            <v>STRESAM 24 GELULES (FR)</v>
          </cell>
        </row>
        <row r="7543">
          <cell r="B7543" t="str">
            <v>FG05112</v>
          </cell>
          <cell r="C7543" t="str">
            <v>TRITAZIDE 10MG - 12.5MG B/28CES (FR)</v>
          </cell>
        </row>
        <row r="7544">
          <cell r="B7544" t="str">
            <v>FG05113</v>
          </cell>
          <cell r="C7544" t="str">
            <v>TRITAZIDE 5-12.5 28CES (EO)</v>
          </cell>
        </row>
        <row r="7545">
          <cell r="B7545" t="str">
            <v>FG05114</v>
          </cell>
          <cell r="C7545" t="str">
            <v>VERZOL 4% SUSP FL/10ML (FR)</v>
          </cell>
        </row>
        <row r="7546">
          <cell r="B7546" t="str">
            <v>FG05115</v>
          </cell>
          <cell r="C7546" t="str">
            <v>VOLTAREN 100MG AD B/10SUPPOS (FR)</v>
          </cell>
        </row>
        <row r="7547">
          <cell r="B7547" t="str">
            <v>FG05116</v>
          </cell>
          <cell r="C7547" t="str">
            <v>ACTAPULGITE AD 30SACHET (FR)</v>
          </cell>
        </row>
        <row r="7548">
          <cell r="B7548" t="str">
            <v>FG05117</v>
          </cell>
          <cell r="C7548" t="str">
            <v>ACTIFED JOUR NUIT B/16CES (FR)</v>
          </cell>
        </row>
        <row r="7549">
          <cell r="B7549" t="str">
            <v>FG05118</v>
          </cell>
          <cell r="C7549" t="str">
            <v>ACYCLOVIR DENK 5% CREAM 5GR</v>
          </cell>
        </row>
        <row r="7550">
          <cell r="B7550" t="str">
            <v>FG05119</v>
          </cell>
          <cell r="C7550" t="str">
            <v>ASU DENK FIXED DOSES 3CES(FR)</v>
          </cell>
        </row>
        <row r="7551">
          <cell r="B7551" t="str">
            <v>FG05120</v>
          </cell>
          <cell r="C7551" t="str">
            <v>CARVEDI-DENK 6.25MG B/30CES(FR)</v>
          </cell>
        </row>
        <row r="7552">
          <cell r="B7552" t="str">
            <v>FG05121</v>
          </cell>
          <cell r="C7552" t="str">
            <v>CIPRO DENK 500MG B/10CES</v>
          </cell>
        </row>
        <row r="7553">
          <cell r="B7553" t="str">
            <v>FG05122</v>
          </cell>
          <cell r="C7553" t="str">
            <v>CO-RENITEC 28CES (FR)</v>
          </cell>
        </row>
        <row r="7554">
          <cell r="B7554" t="str">
            <v>FG05123</v>
          </cell>
          <cell r="C7554" t="str">
            <v>COLOSAR-DENK 100/12.5 28CES</v>
          </cell>
        </row>
        <row r="7555">
          <cell r="B7555" t="str">
            <v>FG05124</v>
          </cell>
          <cell r="C7555" t="str">
            <v>COLOSAR-DENK 50/12.5MG CES B/28</v>
          </cell>
        </row>
        <row r="7556">
          <cell r="B7556" t="str">
            <v>FG05125</v>
          </cell>
          <cell r="C7556" t="str">
            <v>COLPOSEPTINE 18CES GYNECO.</v>
          </cell>
        </row>
        <row r="7557">
          <cell r="B7557" t="str">
            <v>FG05126</v>
          </cell>
          <cell r="C7557" t="str">
            <v>CONTRAMAL 50MG 30CAPS (FR)</v>
          </cell>
        </row>
        <row r="7558">
          <cell r="B7558" t="str">
            <v>FG05127</v>
          </cell>
          <cell r="C7558" t="str">
            <v>DAKTACORT CREME 15GR. (FR)</v>
          </cell>
        </row>
        <row r="7559">
          <cell r="B7559" t="str">
            <v>FG05128</v>
          </cell>
          <cell r="C7559" t="str">
            <v>DAKTARIN 2% 40GR ORAL GEL (FR)</v>
          </cell>
        </row>
        <row r="7560">
          <cell r="B7560" t="str">
            <v>FG05129</v>
          </cell>
          <cell r="C7560" t="str">
            <v>DAONIL PL D 10CES (FR)</v>
          </cell>
        </row>
        <row r="7561">
          <cell r="B7561" t="str">
            <v>FG05130</v>
          </cell>
          <cell r="C7561" t="str">
            <v>DIABLE VERT POMMADE (FR)</v>
          </cell>
        </row>
        <row r="7562">
          <cell r="B7562" t="str">
            <v>FG05131</v>
          </cell>
          <cell r="C7562" t="str">
            <v>DOLIPRANE 10 SUPPOS J. ENF 150MG (FR)</v>
          </cell>
        </row>
        <row r="7563">
          <cell r="B7563" t="str">
            <v>FG05132</v>
          </cell>
          <cell r="C7563" t="str">
            <v>DOLIPRANE 200MG 10SUPPOS ENF. (FR)</v>
          </cell>
        </row>
        <row r="7564">
          <cell r="B7564" t="str">
            <v>FG05133</v>
          </cell>
          <cell r="C7564" t="str">
            <v>DOLIPRANE 500MG 16CES SEC (FR)</v>
          </cell>
        </row>
        <row r="7565">
          <cell r="B7565" t="str">
            <v>FG05134</v>
          </cell>
          <cell r="C7565" t="str">
            <v>EAU PRECIEUSE SOL EXT FL/375ML</v>
          </cell>
        </row>
        <row r="7566">
          <cell r="B7566" t="str">
            <v>FG05135</v>
          </cell>
          <cell r="C7566" t="str">
            <v>FLAGENTYL 500 MG 4 CES (FR)</v>
          </cell>
        </row>
        <row r="7567">
          <cell r="B7567" t="str">
            <v>FG05136</v>
          </cell>
          <cell r="C7567" t="str">
            <v>FLAGYL 250MG B/20CES (FR)</v>
          </cell>
        </row>
        <row r="7568">
          <cell r="B7568" t="str">
            <v>FG05137</v>
          </cell>
          <cell r="C7568" t="str">
            <v>HALDOL DECONAOS -50MG- 1AMP 1ML (FR)</v>
          </cell>
        </row>
        <row r="7569">
          <cell r="B7569" t="str">
            <v>FG05138</v>
          </cell>
          <cell r="C7569" t="str">
            <v>JOINT ACTIVE DENK B/30CES (FR)</v>
          </cell>
        </row>
        <row r="7570">
          <cell r="B7570" t="str">
            <v>FG05139</v>
          </cell>
          <cell r="C7570" t="str">
            <v>KALEORID 600MG 30CES (FR)</v>
          </cell>
        </row>
        <row r="7571">
          <cell r="B7571" t="str">
            <v>FG05140</v>
          </cell>
          <cell r="C7571" t="str">
            <v>KAYEXALATE ***CALCIUM*** 300GR (FR) $$</v>
          </cell>
        </row>
        <row r="7572">
          <cell r="B7572" t="str">
            <v>FG05141</v>
          </cell>
          <cell r="C7572" t="str">
            <v>LEVO DENK 250MG B/10CES(FR)</v>
          </cell>
        </row>
        <row r="7573">
          <cell r="B7573" t="str">
            <v>FG05142</v>
          </cell>
          <cell r="C7573" t="str">
            <v>MAGNES ACTIVE DENK B\30CES</v>
          </cell>
        </row>
        <row r="7574">
          <cell r="B7574" t="str">
            <v>FG05143</v>
          </cell>
          <cell r="C7574" t="str">
            <v>NOLVADEX **20MG** B/30 CES ##(FR)##</v>
          </cell>
        </row>
        <row r="7575">
          <cell r="B7575" t="str">
            <v>FG05144</v>
          </cell>
          <cell r="C7575" t="str">
            <v>OMIC ( TAMSUIOSINE ) 30CES 0.4MG</v>
          </cell>
        </row>
        <row r="7576">
          <cell r="B7576" t="str">
            <v>FG05145</v>
          </cell>
          <cell r="C7576" t="str">
            <v>ORELOX 200MG B/10CES (FR)</v>
          </cell>
        </row>
        <row r="7577">
          <cell r="B7577" t="str">
            <v>FG05146</v>
          </cell>
          <cell r="C7577" t="str">
            <v>OVUMIX B/6OVULES (FR)</v>
          </cell>
        </row>
        <row r="7578">
          <cell r="B7578" t="str">
            <v>FG05147</v>
          </cell>
          <cell r="C7578" t="str">
            <v>PILO 2%CY FL /9ML (FR)</v>
          </cell>
        </row>
        <row r="7579">
          <cell r="B7579" t="str">
            <v>FG05148</v>
          </cell>
          <cell r="C7579" t="str">
            <v>PROFENID 50MG 24 GELULES (FR)</v>
          </cell>
        </row>
        <row r="7580">
          <cell r="B7580" t="str">
            <v>FG05149</v>
          </cell>
          <cell r="C7580" t="str">
            <v>PROGYNOVA 28DRG 2MG (FR)</v>
          </cell>
        </row>
        <row r="7581">
          <cell r="B7581" t="str">
            <v>FG05150</v>
          </cell>
          <cell r="C7581" t="str">
            <v>PROSTA URGENIN 30CES (FR)</v>
          </cell>
        </row>
        <row r="7582">
          <cell r="B7582" t="str">
            <v>FG05151</v>
          </cell>
          <cell r="C7582" t="str">
            <v>QUINIMAX 125MG B/18CES (FR)</v>
          </cell>
        </row>
        <row r="7583">
          <cell r="B7583" t="str">
            <v>FG05152</v>
          </cell>
          <cell r="C7583" t="str">
            <v>SPORANOX 100MG 15CAP(FR)</v>
          </cell>
        </row>
        <row r="7584">
          <cell r="B7584" t="str">
            <v>FG05153</v>
          </cell>
          <cell r="C7584" t="str">
            <v>STREPSILS + VIT.C 36 &amp; 24 PASTILLES</v>
          </cell>
        </row>
        <row r="7585">
          <cell r="B7585" t="str">
            <v>FG05154</v>
          </cell>
          <cell r="C7585" t="str">
            <v>TARDYFERON 80 MG 30 CES (EO)</v>
          </cell>
        </row>
        <row r="7586">
          <cell r="B7586" t="str">
            <v>FG05155</v>
          </cell>
          <cell r="C7586" t="str">
            <v>THIOBACTIN 500MG 24CES (FR)</v>
          </cell>
        </row>
        <row r="7587">
          <cell r="B7587" t="str">
            <v>FG05156</v>
          </cell>
          <cell r="C7587" t="str">
            <v>VAGIMILT VAG B/7 CAPS</v>
          </cell>
        </row>
        <row r="7588">
          <cell r="B7588" t="str">
            <v>FG05157</v>
          </cell>
          <cell r="C7588" t="str">
            <v>VENTOLIN GOUTTES FL/10ML (FR)</v>
          </cell>
        </row>
        <row r="7589">
          <cell r="B7589" t="str">
            <v>FG05158</v>
          </cell>
          <cell r="C7589" t="str">
            <v>VICKS VAPORUB 50G POMMADE (FR)</v>
          </cell>
        </row>
        <row r="7590">
          <cell r="B7590" t="str">
            <v>FG05159</v>
          </cell>
          <cell r="C7590" t="str">
            <v>UPRAJECT 40 MG B\1AMP</v>
          </cell>
        </row>
        <row r="7591">
          <cell r="B7591" t="str">
            <v>FG05161</v>
          </cell>
          <cell r="C7591" t="str">
            <v>GAVISCON 20CES (FR)</v>
          </cell>
        </row>
        <row r="7592">
          <cell r="B7592" t="str">
            <v>FG05162</v>
          </cell>
          <cell r="C7592" t="str">
            <v>INNOTEX COCKTAIL B/3 PCS</v>
          </cell>
        </row>
        <row r="7593">
          <cell r="B7593" t="str">
            <v>FG05166</v>
          </cell>
          <cell r="C7593" t="str">
            <v>CLAVUMOCCID 1G B/20 CES</v>
          </cell>
        </row>
        <row r="7594">
          <cell r="B7594" t="str">
            <v>FG05167</v>
          </cell>
          <cell r="C7594" t="str">
            <v>VOGALENE GOUTTES 30ML (FR)</v>
          </cell>
        </row>
        <row r="7595">
          <cell r="B7595" t="str">
            <v>FG05168</v>
          </cell>
          <cell r="C7595" t="str">
            <v>ROULEAU PAPIER TABLE D EXAMEN DRAP JETABLE</v>
          </cell>
        </row>
        <row r="7596">
          <cell r="B7596" t="str">
            <v>FG05169</v>
          </cell>
          <cell r="C7596" t="str">
            <v>ALDOMET 250MG 30CES (FR)</v>
          </cell>
        </row>
        <row r="7597">
          <cell r="B7597" t="str">
            <v>FG05170</v>
          </cell>
          <cell r="C7597" t="str">
            <v>CLAFORAN....1GR....IV/IM.....1AMP (FR)</v>
          </cell>
        </row>
        <row r="7598">
          <cell r="B7598" t="str">
            <v>FG05171</v>
          </cell>
          <cell r="C7598" t="str">
            <v>VIBRA 200MG B/8CES (FR)</v>
          </cell>
        </row>
        <row r="7599">
          <cell r="B7599" t="str">
            <v>FG05172</v>
          </cell>
          <cell r="C7599" t="str">
            <v>XALATAN 0.005% COLLYRE FL/2.5ML (FR)</v>
          </cell>
        </row>
        <row r="7600">
          <cell r="B7600" t="str">
            <v>FG05196</v>
          </cell>
          <cell r="C7600" t="str">
            <v>SONDE NASO GASTRIL NO-4 1 PCS</v>
          </cell>
        </row>
        <row r="7601">
          <cell r="B7601" t="str">
            <v>FG05272</v>
          </cell>
          <cell r="C7601" t="str">
            <v>UNISPAS (PHLOROG+TRIMETHY) 4ML B/6AMP</v>
          </cell>
        </row>
        <row r="7602">
          <cell r="B7602" t="str">
            <v>FG05300</v>
          </cell>
          <cell r="C7602" t="str">
            <v>TDR H.PYLORI AB - CASSETTE - ST/S/P, B/25 TEST</v>
          </cell>
        </row>
        <row r="7603">
          <cell r="B7603" t="str">
            <v>FG05301</v>
          </cell>
          <cell r="C7603" t="str">
            <v>TDR H.PYLORI AG - CASSETTE - FECES , B/20 TEST</v>
          </cell>
        </row>
        <row r="7604">
          <cell r="B7604" t="str">
            <v>FG05302</v>
          </cell>
          <cell r="C7604" t="str">
            <v>TDR HCV - BANDELETTE - ST/S/P, B/50 TEST</v>
          </cell>
        </row>
        <row r="7605">
          <cell r="B7605" t="str">
            <v>FG05303</v>
          </cell>
          <cell r="C7605" t="str">
            <v>TDR HCV - CASSETTE - ST/S/P, B/25 TEST</v>
          </cell>
        </row>
        <row r="7606">
          <cell r="B7606" t="str">
            <v>FG05304</v>
          </cell>
          <cell r="C7606" t="str">
            <v>TDR TYPHOIDE IGG/IGM - CASSETTE - S/P, B/25 TEST</v>
          </cell>
        </row>
        <row r="7607">
          <cell r="B7607" t="str">
            <v>FG05305</v>
          </cell>
          <cell r="C7607" t="str">
            <v>TDR SYPHILIS - BANDELETTE - ST/S/P, B/50 TEST</v>
          </cell>
        </row>
        <row r="7608">
          <cell r="B7608" t="str">
            <v>FG05306</v>
          </cell>
          <cell r="C7608" t="str">
            <v>TDR HBSAG - BANDELETTE - ST/S/P, B/50 TEST</v>
          </cell>
        </row>
        <row r="7609">
          <cell r="B7609" t="str">
            <v>FG05307</v>
          </cell>
          <cell r="C7609" t="str">
            <v>TDR HBSAG - CASSETTE - ST/S/P, B/25 TEST</v>
          </cell>
        </row>
        <row r="7610">
          <cell r="B7610" t="str">
            <v>FG05308</v>
          </cell>
          <cell r="C7610" t="str">
            <v>TDR HCG - CASSETTE - URINE, B/25 TEST</v>
          </cell>
        </row>
        <row r="7611">
          <cell r="B7611" t="str">
            <v>FG05309</v>
          </cell>
          <cell r="C7611" t="str">
            <v>TDR HIV 1/2 - BANDELETTE - ST/S/P, B/50 TEST</v>
          </cell>
        </row>
        <row r="7612">
          <cell r="B7612" t="str">
            <v>FG05310</v>
          </cell>
          <cell r="C7612" t="str">
            <v>TDR URINE -10T - BANDELETTE, B/100 TEST</v>
          </cell>
        </row>
        <row r="7613">
          <cell r="B7613" t="str">
            <v>FG05311</v>
          </cell>
          <cell r="C7613" t="str">
            <v>TDR CHLAMYDIA TRACHOMATIS AG,CASSETTE-B/20 TEST</v>
          </cell>
        </row>
        <row r="7614">
          <cell r="B7614" t="str">
            <v>FG05312</v>
          </cell>
          <cell r="C7614" t="str">
            <v>TDR FILARIOSE AB IGG/IGM, S/P, CASSETTE, B/25 TEST</v>
          </cell>
        </row>
        <row r="7615">
          <cell r="B7615" t="str">
            <v>FG05313</v>
          </cell>
          <cell r="C7615" t="str">
            <v>TDR TOXO PANNEAU IGG/IGM, S/P, CASSETTE, B/25 TEST</v>
          </cell>
        </row>
        <row r="7616">
          <cell r="B7616" t="str">
            <v>FG05314</v>
          </cell>
          <cell r="C7616" t="str">
            <v>TDR RUBEOLE PANNEAU IGG/IGM S/P CASSETTE B/25 TEST</v>
          </cell>
        </row>
        <row r="7617">
          <cell r="B7617" t="str">
            <v>FG05315</v>
          </cell>
          <cell r="C7617" t="str">
            <v>TDR CMV PANNEAU IGG/IGM S/P CASSETTE B/25 TEST</v>
          </cell>
        </row>
        <row r="7618">
          <cell r="B7618" t="str">
            <v>FG05316</v>
          </cell>
          <cell r="C7618" t="str">
            <v>TDR HSV 1 IGG/IGM - CASSETTE -S/P B/25 TEST</v>
          </cell>
        </row>
        <row r="7619">
          <cell r="B7619" t="str">
            <v>FG05317</v>
          </cell>
          <cell r="C7619" t="str">
            <v>TDR HSV 2 IGG/IGM - CASSETTE -S/P B/25 TEST</v>
          </cell>
        </row>
        <row r="7620">
          <cell r="B7620" t="str">
            <v>FG05318</v>
          </cell>
          <cell r="C7620" t="str">
            <v>POMPE A VIDE - 100L/MIN</v>
          </cell>
        </row>
        <row r="7621">
          <cell r="B7621" t="str">
            <v>FG05319</v>
          </cell>
          <cell r="C7621" t="str">
            <v>OPHTALMOSCOPE AVEC POIGNEE A ECRAN LCD</v>
          </cell>
        </row>
        <row r="7622">
          <cell r="B7622" t="str">
            <v>FG05320</v>
          </cell>
          <cell r="C7622" t="str">
            <v>ANALYSEUR DE BIOCHIMIE AUTOMATIQUE BIOSSAYS 240</v>
          </cell>
        </row>
        <row r="7623">
          <cell r="B7623" t="str">
            <v>FG05321</v>
          </cell>
          <cell r="C7623" t="str">
            <v>CENTRIFUGEUSE DE LABORATOIRE 6K, 24*1.5/2ML</v>
          </cell>
        </row>
        <row r="7624">
          <cell r="B7624" t="str">
            <v>FG05322</v>
          </cell>
          <cell r="C7624" t="str">
            <v>CENTRIFUGEUSE 2-4 MICROPLAQUES, 2*96</v>
          </cell>
        </row>
        <row r="7625">
          <cell r="B7625" t="str">
            <v>FG05323</v>
          </cell>
          <cell r="C7625" t="str">
            <v>CENTRIFUGEUSE REFRIGEREE 16.5K, 24*1.5/2 ML</v>
          </cell>
        </row>
        <row r="7626">
          <cell r="B7626" t="str">
            <v>FG05324</v>
          </cell>
          <cell r="C7626" t="str">
            <v>CHRONOMETRE DIGITAL 3 CANAUX</v>
          </cell>
        </row>
        <row r="7627">
          <cell r="B7627" t="str">
            <v>FG05325</v>
          </cell>
          <cell r="C7627" t="str">
            <v>PORTOIRS DE TUBES MAGNETIQUE 16 - PLACE</v>
          </cell>
        </row>
        <row r="7628">
          <cell r="B7628" t="str">
            <v>FG05326</v>
          </cell>
          <cell r="C7628" t="str">
            <v>PAPIER ECG MÉDICAL, 210MM*20M, 1 ROULEAU</v>
          </cell>
        </row>
        <row r="7629">
          <cell r="B7629" t="str">
            <v>FG05327</v>
          </cell>
          <cell r="C7629" t="str">
            <v>PAPIER ECG MEDICAL 110MM 20M 1 ROULEAU</v>
          </cell>
        </row>
        <row r="7630">
          <cell r="B7630" t="str">
            <v>FG05328</v>
          </cell>
          <cell r="C7630" t="str">
            <v>PAPIER DIMPRESSION THERMIQUE 57MM 50MM 1 ROULEAU</v>
          </cell>
        </row>
        <row r="7631">
          <cell r="B7631" t="str">
            <v>FG05329</v>
          </cell>
          <cell r="C7631" t="str">
            <v>PAPIER DIMPRESSION THERMIQUE 57MM35MM 1 ROULEAU</v>
          </cell>
        </row>
        <row r="7632">
          <cell r="B7632" t="str">
            <v>FG05330</v>
          </cell>
          <cell r="C7632" t="str">
            <v>SECOURS (MUSCLE PAIN RELIEF) GEL DE 50G</v>
          </cell>
        </row>
        <row r="7633">
          <cell r="B7633" t="str">
            <v>FG05382</v>
          </cell>
          <cell r="C7633" t="str">
            <v>ACIPRIN (RANITIDINE) INJ B/5AMP</v>
          </cell>
        </row>
        <row r="7634">
          <cell r="B7634" t="str">
            <v>FG05383</v>
          </cell>
          <cell r="C7634" t="str">
            <v>ACTAPULGITE 1GR. PEDIATRIQUE 20 SACHETS</v>
          </cell>
        </row>
        <row r="7635">
          <cell r="B7635" t="str">
            <v>FG05384</v>
          </cell>
          <cell r="C7635" t="str">
            <v>ACTI 5 BUV B/30 AMP (FR)</v>
          </cell>
        </row>
        <row r="7636">
          <cell r="B7636" t="str">
            <v>FG05385</v>
          </cell>
          <cell r="C7636" t="str">
            <v>ACTIFED NEW SIROP 180ML (FR)</v>
          </cell>
        </row>
        <row r="7637">
          <cell r="B7637" t="str">
            <v>FG05386</v>
          </cell>
          <cell r="C7637" t="str">
            <v>AMIFER SIROP 200ML (FR) INACTIVE</v>
          </cell>
        </row>
        <row r="7638">
          <cell r="B7638" t="str">
            <v>FG05387</v>
          </cell>
          <cell r="C7638" t="str">
            <v>APROVASAC 150MG/5MG B/28CES (EO)</v>
          </cell>
        </row>
        <row r="7639">
          <cell r="B7639" t="str">
            <v>FG05388</v>
          </cell>
          <cell r="C7639" t="str">
            <v>CLAMOXYL PDRE SUSP.BUVABLE 500MG</v>
          </cell>
        </row>
        <row r="7640">
          <cell r="B7640" t="str">
            <v>FG05389</v>
          </cell>
          <cell r="C7640" t="str">
            <v>DIPROSONE LOTION 30ML (FR)</v>
          </cell>
        </row>
        <row r="7641">
          <cell r="B7641" t="str">
            <v>FG05390</v>
          </cell>
          <cell r="C7641" t="str">
            <v>DOGMATIL FORT 200MG B/12CES(FR)</v>
          </cell>
        </row>
        <row r="7642">
          <cell r="B7642" t="str">
            <v>FG05391</v>
          </cell>
          <cell r="C7642" t="str">
            <v>EFLAVYL 200UI B/50 GELULES</v>
          </cell>
        </row>
        <row r="7643">
          <cell r="B7643" t="str">
            <v>FG05392</v>
          </cell>
          <cell r="C7643" t="str">
            <v>FLEMING 1GR 1AMP(FR)</v>
          </cell>
        </row>
        <row r="7644">
          <cell r="B7644" t="str">
            <v>FG05393</v>
          </cell>
          <cell r="C7644" t="str">
            <v>FLUCAZOL SP 50MG/5ML 60ML (EO)</v>
          </cell>
        </row>
        <row r="7645">
          <cell r="B7645" t="str">
            <v>FG05394</v>
          </cell>
          <cell r="C7645" t="str">
            <v>GAZ HYDROPHYLLE G.F. PCS/1 (NIKITA)</v>
          </cell>
        </row>
        <row r="7646">
          <cell r="B7646" t="str">
            <v>FG05395</v>
          </cell>
          <cell r="C7646" t="str">
            <v>GRISEOFULVINE POMMDE 5% 15GR (FR)</v>
          </cell>
        </row>
        <row r="7647">
          <cell r="B7647" t="str">
            <v>FG05396</v>
          </cell>
          <cell r="C7647" t="str">
            <v>"HOSPITAL BASIN STAND TWO BOWL STAINLESS STEEL"</v>
          </cell>
        </row>
        <row r="7648">
          <cell r="B7648" t="str">
            <v>FG05397</v>
          </cell>
          <cell r="C7648" t="str">
            <v>"ICU BED ELECTRIC THREE FUNCTION HEIGHT ADJUSTABLE"</v>
          </cell>
        </row>
        <row r="7649">
          <cell r="B7649" t="str">
            <v>FG05398</v>
          </cell>
          <cell r="C7649" t="str">
            <v>LARGATIL 25MG B/50CES (ESP)</v>
          </cell>
        </row>
        <row r="7650">
          <cell r="B7650" t="str">
            <v>FG05399</v>
          </cell>
          <cell r="C7650" t="str">
            <v>MICARDIS PLUS 80MG/25MG B/30CPR</v>
          </cell>
        </row>
        <row r="7651">
          <cell r="B7651" t="str">
            <v>FG05400</v>
          </cell>
          <cell r="C7651" t="str">
            <v>MORPHINE 20 MG ING B\1AMP</v>
          </cell>
        </row>
        <row r="7652">
          <cell r="B7652" t="str">
            <v>FG06671</v>
          </cell>
          <cell r="C7652" t="str">
            <v>NEGATOSCOPE ULTRA SLIM BRIGHT LED ONE SCREEN ML</v>
          </cell>
        </row>
        <row r="7653">
          <cell r="B7653" t="str">
            <v>FG06672</v>
          </cell>
          <cell r="C7653" t="str">
            <v>ZITA-500 (AZITHROMYCINE ) 500MG B/5 CES</v>
          </cell>
        </row>
        <row r="7654">
          <cell r="B7654" t="str">
            <v>FG06674</v>
          </cell>
          <cell r="C7654" t="str">
            <v>FORMIMET LP 1000MG (METFORMINE) B/30CES</v>
          </cell>
        </row>
        <row r="7655">
          <cell r="B7655" t="str">
            <v>FG06675</v>
          </cell>
          <cell r="C7655" t="str">
            <v>BIOCHIMIE S - HDL CHOLESTEROL 80 ML</v>
          </cell>
        </row>
        <row r="7656">
          <cell r="B7656" t="str">
            <v>FG06676</v>
          </cell>
          <cell r="C7656" t="str">
            <v>BIOCHIMIE S - LDL CHOLESTEROL 80 ML</v>
          </cell>
        </row>
        <row r="7657">
          <cell r="B7657" t="str">
            <v>FG06677</v>
          </cell>
          <cell r="C7657" t="str">
            <v>PLASTIC PALLET</v>
          </cell>
        </row>
        <row r="7658">
          <cell r="B7658" t="str">
            <v>FG06678</v>
          </cell>
          <cell r="C7658" t="str">
            <v>HEPAQUE (HEPARIN) 25000UI/5ML INJ. B/1 VIAL</v>
          </cell>
        </row>
        <row r="7659">
          <cell r="B7659" t="str">
            <v>FG06717</v>
          </cell>
          <cell r="C7659" t="str">
            <v>ETHICON HARMONIC GEN 11 -SET</v>
          </cell>
        </row>
        <row r="7660">
          <cell r="B7660" t="str">
            <v>FG06718</v>
          </cell>
          <cell r="C7660" t="str">
            <v>GEL POUR ECHOGRAPHIE 250ML</v>
          </cell>
        </row>
        <row r="7661">
          <cell r="B7661" t="str">
            <v>FG06719</v>
          </cell>
          <cell r="C7661" t="str">
            <v>ELECTRODES ECG B/50PCS</v>
          </cell>
        </row>
        <row r="7662">
          <cell r="B7662" t="str">
            <v>FG06720</v>
          </cell>
          <cell r="C7662" t="str">
            <v>ABAISSE LANGUE ENFANT B/100PCS</v>
          </cell>
        </row>
        <row r="7663">
          <cell r="B7663" t="str">
            <v>FG06721</v>
          </cell>
          <cell r="C7663" t="str">
            <v>ABAISSE LANGUE ADULT B/100PCS</v>
          </cell>
        </row>
        <row r="7664">
          <cell r="B7664" t="str">
            <v>FG06722</v>
          </cell>
          <cell r="C7664" t="str">
            <v>BALANCE MECANIQUE 150KG</v>
          </cell>
        </row>
        <row r="7665">
          <cell r="B7665" t="str">
            <v>FG06723</v>
          </cell>
          <cell r="C7665" t="str">
            <v>ANALYSEUR D'HEMATOLOGIE A DIFFE EN 5 + RET</v>
          </cell>
        </row>
        <row r="7666">
          <cell r="B7666" t="str">
            <v>FG06724</v>
          </cell>
          <cell r="C7666" t="str">
            <v>ANALYSEUR DE BIOCHIMIE ET COAGULATION SEMI</v>
          </cell>
        </row>
        <row r="7667">
          <cell r="B7667" t="str">
            <v>FG06725</v>
          </cell>
          <cell r="C7667" t="str">
            <v>HEMATOLOGIE RET DIL-N (20L)</v>
          </cell>
        </row>
        <row r="7668">
          <cell r="B7668" t="str">
            <v>FG06726</v>
          </cell>
          <cell r="C7668" t="str">
            <v>HEMATOLOGIE RET DIN-R (1L)</v>
          </cell>
        </row>
        <row r="7669">
          <cell r="B7669" t="str">
            <v>FG06727</v>
          </cell>
          <cell r="C7669" t="str">
            <v>HEMATOLOGIE RET LYN-G (500ML) LYSE 1</v>
          </cell>
        </row>
        <row r="7670">
          <cell r="B7670" t="str">
            <v>FG06728</v>
          </cell>
          <cell r="C7670" t="str">
            <v>HEMATOLOGIE RET LYN-D (1L) LYSE 1</v>
          </cell>
        </row>
        <row r="7671">
          <cell r="B7671" t="str">
            <v>FG06729</v>
          </cell>
          <cell r="C7671" t="str">
            <v>HEMATOLOGIE RET FDN-R (12ML) DYE 1</v>
          </cell>
        </row>
        <row r="7672">
          <cell r="B7672" t="str">
            <v>FG06730</v>
          </cell>
          <cell r="C7672" t="str">
            <v>HEMATOLOGIE RET FDN-D (22ML) DYE 2</v>
          </cell>
        </row>
        <row r="7673">
          <cell r="B7673" t="str">
            <v>FG06731</v>
          </cell>
          <cell r="C7673" t="str">
            <v>HEMATOLOGIE RET CLE-P (4ML*10) CLEANSER</v>
          </cell>
        </row>
        <row r="7674">
          <cell r="B7674" t="str">
            <v>FG06732</v>
          </cell>
          <cell r="C7674" t="str">
            <v>ANALYSEUR URODYNAMIC - UROLOGIE</v>
          </cell>
        </row>
        <row r="7675">
          <cell r="B7675" t="str">
            <v>FG06733</v>
          </cell>
          <cell r="C7675" t="str">
            <v>LAMPE FRONTALE</v>
          </cell>
        </row>
        <row r="7676">
          <cell r="B7676" t="str">
            <v>FG06734</v>
          </cell>
          <cell r="C7676" t="str">
            <v>LAMPE FRONTALE - FIBRE OPTIQUE</v>
          </cell>
        </row>
        <row r="7677">
          <cell r="B7677" t="str">
            <v>FG06735</v>
          </cell>
          <cell r="C7677" t="str">
            <v>ACCESSORIES</v>
          </cell>
        </row>
        <row r="7678">
          <cell r="B7678" t="str">
            <v>FG06737</v>
          </cell>
          <cell r="C7678" t="str">
            <v>TOURNIQUETS A USAGE UNIQUE ROULEAU DE 25 GAROOTS</v>
          </cell>
        </row>
        <row r="7679">
          <cell r="B7679" t="str">
            <v>FG06746</v>
          </cell>
          <cell r="C7679" t="str">
            <v>BRACELETS D'IDENTIFICATION PATIENTS ADULTES 17CM B/100 PCS</v>
          </cell>
        </row>
        <row r="7680">
          <cell r="B7680" t="str">
            <v>FG06748</v>
          </cell>
          <cell r="C7680" t="str">
            <v>COUVRE-CHAUSSURES JETABLES 40X15CM B/100 PCS</v>
          </cell>
        </row>
        <row r="7681">
          <cell r="B7681" t="str">
            <v>FG06749</v>
          </cell>
          <cell r="C7681" t="str">
            <v>NEBULISEUR AVEC MASQUE ADULTE ET ENFANT</v>
          </cell>
        </row>
        <row r="7682">
          <cell r="B7682" t="str">
            <v>FG06750</v>
          </cell>
          <cell r="C7682" t="str">
            <v>BLOUSE CHIRURGICALE JETABLE</v>
          </cell>
        </row>
        <row r="7683">
          <cell r="B7683" t="str">
            <v>FG06751</v>
          </cell>
          <cell r="C7683" t="str">
            <v>MICROSCOPE TRINOCULAIRE EXPERT</v>
          </cell>
        </row>
        <row r="7684">
          <cell r="B7684" t="str">
            <v>FG06752</v>
          </cell>
          <cell r="C7684" t="str">
            <v>ECRAN MICROSCOPE</v>
          </cell>
        </row>
        <row r="7685">
          <cell r="B7685" t="str">
            <v>FG06753</v>
          </cell>
          <cell r="C7685" t="str">
            <v>BALANCE AVEC TOISE-180 MAX</v>
          </cell>
        </row>
        <row r="7686">
          <cell r="B7686" t="str">
            <v>FG06754</v>
          </cell>
          <cell r="C7686" t="str">
            <v>BRAND STICKER</v>
          </cell>
        </row>
        <row r="7687">
          <cell r="B7687" t="str">
            <v>FG06755</v>
          </cell>
          <cell r="C7687" t="str">
            <v>AUTOCLAVE VERTICAL 75L-OUVERTURE ROUE- AFFICHAGE</v>
          </cell>
        </row>
        <row r="7688">
          <cell r="B7688" t="str">
            <v>FG06758</v>
          </cell>
          <cell r="C7688" t="str">
            <v>BOITE MÉTAL PREMIERS SECOURS GRAND</v>
          </cell>
        </row>
        <row r="7689">
          <cell r="B7689" t="str">
            <v>FG06759</v>
          </cell>
          <cell r="C7689" t="str">
            <v>BOITE MÉTAL PREMIERS SECOURS PETIT</v>
          </cell>
        </row>
        <row r="7690">
          <cell r="B7690" t="str">
            <v>FG06761</v>
          </cell>
          <cell r="C7690" t="str">
            <v>LABO BAIN SEC AVEC 3 OPTIONS BLOC CHAUFFANT</v>
          </cell>
        </row>
        <row r="7691">
          <cell r="B7691" t="str">
            <v>FG06762</v>
          </cell>
          <cell r="C7691" t="str">
            <v>LABO BLOC CHAUFFANT POUR EPROUVETTE</v>
          </cell>
        </row>
        <row r="7692">
          <cell r="B7692" t="str">
            <v>FG06763</v>
          </cell>
          <cell r="C7692" t="str">
            <v>ECG PORTABLE</v>
          </cell>
        </row>
        <row r="7693">
          <cell r="B7693" t="str">
            <v>FG06765</v>
          </cell>
          <cell r="C7693" t="str">
            <v>A-DERM LOTION 30ML</v>
          </cell>
        </row>
        <row r="7694">
          <cell r="B7694" t="str">
            <v>FG06766</v>
          </cell>
          <cell r="C7694" t="str">
            <v>DALACLIF 600 MG INJ B/1 AMP</v>
          </cell>
        </row>
        <row r="7695">
          <cell r="B7695" t="str">
            <v>FG06767</v>
          </cell>
          <cell r="C7695" t="str">
            <v>NDOCINE 0.1% 10ML COLLYRE</v>
          </cell>
        </row>
        <row r="7696">
          <cell r="B7696" t="str">
            <v>FG06776</v>
          </cell>
          <cell r="C7696" t="str">
            <v>A TO Z (MULTIVITAMIN &amp; MINER.) B/10 CES EFF</v>
          </cell>
        </row>
        <row r="7697">
          <cell r="B7697" t="str">
            <v>FG06777</v>
          </cell>
          <cell r="C7697" t="str">
            <v>UNIVITA (CAL.+VIT.C+B6+D) B/10 CES EFF</v>
          </cell>
        </row>
        <row r="7698">
          <cell r="B7698" t="str">
            <v>FG06778</v>
          </cell>
          <cell r="C7698" t="str">
            <v>CD-Z (VIT.C+D+ZINC) B/10 CES EFF</v>
          </cell>
        </row>
        <row r="7699">
          <cell r="B7699" t="str">
            <v>FG06779</v>
          </cell>
          <cell r="C7699" t="str">
            <v>U-CEE Z (VIT.C+ZINC) B/10 CES EFF</v>
          </cell>
        </row>
        <row r="7700">
          <cell r="B7700" t="str">
            <v>FG06780</v>
          </cell>
          <cell r="C7700" t="str">
            <v>U-CEE 1000 (VIT.C) B/10 CES EFF</v>
          </cell>
        </row>
        <row r="7701">
          <cell r="B7701" t="str">
            <v>FG06781</v>
          </cell>
          <cell r="C7701" t="str">
            <v>CA-UCEE 1000 (CAL.+VIT.C) B/10 CES EFF</v>
          </cell>
        </row>
        <row r="7702">
          <cell r="B7702" t="str">
            <v>FG06782</v>
          </cell>
          <cell r="C7702" t="str">
            <v>BONNE NUIT 100MG (SILDENAFIL) B/10 CES EFF</v>
          </cell>
        </row>
        <row r="7703">
          <cell r="B7703" t="str">
            <v>FG06783</v>
          </cell>
          <cell r="C7703" t="str">
            <v>PERFAC 1000 (PARACETAMOL) B/10 CES EFF</v>
          </cell>
        </row>
        <row r="7704">
          <cell r="B7704" t="str">
            <v>FG06784</v>
          </cell>
          <cell r="C7704" t="str">
            <v>PERFAC 500 (PARACETAMOL) B/10 CES EFF</v>
          </cell>
        </row>
        <row r="7705">
          <cell r="B7705" t="str">
            <v>FG06785</v>
          </cell>
          <cell r="C7705" t="str">
            <v>PERFAC-C (PARA.+VIT.C) B/10 CES EFF</v>
          </cell>
        </row>
        <row r="7706">
          <cell r="B7706" t="str">
            <v>FG06786</v>
          </cell>
          <cell r="C7706" t="str">
            <v>SERUM GLUCOSE 10% 1 LITRE (UNIQUE)</v>
          </cell>
        </row>
        <row r="7707">
          <cell r="B7707" t="str">
            <v>FG06787</v>
          </cell>
          <cell r="C7707" t="str">
            <v>SERUM GLUCOSE 5% 1 LITRE (UNIQUE)</v>
          </cell>
        </row>
        <row r="7708">
          <cell r="B7708" t="str">
            <v>FG06788</v>
          </cell>
          <cell r="C7708" t="str">
            <v>SERUM GLUCOSE 5% +TROUSE 500ML (UNIQUE)</v>
          </cell>
        </row>
        <row r="7709">
          <cell r="B7709" t="str">
            <v>FG06789</v>
          </cell>
          <cell r="C7709" t="str">
            <v>SERUM MIXTE 1 LITRE (UNIQUE)</v>
          </cell>
        </row>
        <row r="7710">
          <cell r="B7710" t="str">
            <v>FG06790</v>
          </cell>
          <cell r="C7710" t="str">
            <v>SERUM MIXTE + TROUSE 500ML (UNIQUE)</v>
          </cell>
        </row>
        <row r="7711">
          <cell r="B7711" t="str">
            <v>FG06791</v>
          </cell>
          <cell r="C7711" t="str">
            <v>SERUM PHYSIO 0.9% 1 LITRE (UNIQUE)</v>
          </cell>
        </row>
        <row r="7712">
          <cell r="B7712" t="str">
            <v>FG06792</v>
          </cell>
          <cell r="C7712" t="str">
            <v>SERUM PHYSIO 0.9% + TROUSSE 500ML (UNIQUE)</v>
          </cell>
        </row>
        <row r="7713">
          <cell r="B7713" t="str">
            <v>FG06793</v>
          </cell>
          <cell r="C7713" t="str">
            <v>RINGER LACTATE 1LITRE (UNIQUE)</v>
          </cell>
        </row>
        <row r="7714">
          <cell r="B7714" t="str">
            <v>FG06794</v>
          </cell>
          <cell r="C7714" t="str">
            <v>RINGER LACTATE + TROUSSE 500ML (UNIQUE)</v>
          </cell>
        </row>
        <row r="7715">
          <cell r="B7715" t="str">
            <v>FG06800</v>
          </cell>
          <cell r="C7715" t="str">
            <v>ZOCID-40MG (OMEPRAZOLE) INJ. B/1 VIAL.+ 0.9% NACL)</v>
          </cell>
        </row>
        <row r="7716">
          <cell r="B7716" t="str">
            <v>FG06801</v>
          </cell>
          <cell r="C7716" t="str">
            <v>UNISPAS (PHLOROGLUCINOL 150MG+TRIMÉTHYLP.150MG) B/10 SUPPO</v>
          </cell>
        </row>
        <row r="7717">
          <cell r="B7717" t="str">
            <v>FG06802</v>
          </cell>
          <cell r="C7717" t="str">
            <v>MOX VISION (MOXYFLOXACIN) COLLYRE 10ML</v>
          </cell>
        </row>
        <row r="7718">
          <cell r="B7718" t="str">
            <v>FG06803</v>
          </cell>
          <cell r="C7718" t="str">
            <v>PILOQUE 2% VISION(PILOCARPINE) COLLYRE 10ML</v>
          </cell>
        </row>
        <row r="7719">
          <cell r="B7719" t="str">
            <v>FG06804</v>
          </cell>
          <cell r="C7719" t="str">
            <v>TROBINIQUE-2G(SPECTINOMYCIN) B/1VIAL+3.2MLE.D</v>
          </cell>
        </row>
        <row r="7720">
          <cell r="B7720" t="str">
            <v>FG06805</v>
          </cell>
          <cell r="C7720" t="str">
            <v>SUXAMETHONIUM 100MG/2ML B/10AMP</v>
          </cell>
        </row>
        <row r="7721">
          <cell r="B7721" t="str">
            <v>FG06806</v>
          </cell>
          <cell r="C7721" t="str">
            <v>OCUTIM PLUS VISION (TIMO+PILO) COLLYRE 5ML</v>
          </cell>
        </row>
        <row r="7722">
          <cell r="B7722" t="str">
            <v>FG06807</v>
          </cell>
          <cell r="C7722" t="str">
            <v>NATAQ VISION (NATAMYCINE) 5% COLLYRE 5ML</v>
          </cell>
        </row>
        <row r="7723">
          <cell r="B7723" t="str">
            <v>FG06808</v>
          </cell>
          <cell r="C7723" t="str">
            <v>MOX PLUS VISION (MOX+DEX+HYDRO) COLLYRE 5ML</v>
          </cell>
        </row>
        <row r="7724">
          <cell r="B7724" t="str">
            <v>FG06809</v>
          </cell>
          <cell r="C7724" t="str">
            <v>TRIPI FORTE VISION (TROP+PHENYLE) COLLYRE 5ML</v>
          </cell>
        </row>
        <row r="7725">
          <cell r="B7725" t="str">
            <v>FG06810</v>
          </cell>
          <cell r="C7725" t="str">
            <v>GENTAC PLUS-VISION (GEN+DEX+TET) COLLYRE 5ML</v>
          </cell>
        </row>
        <row r="7726">
          <cell r="B7726" t="str">
            <v>FG06811</v>
          </cell>
          <cell r="C7726" t="str">
            <v>UNIKORT-40 (TRIAMCINOLONE) B/1 VIAL+SER</v>
          </cell>
        </row>
        <row r="7727">
          <cell r="B7727" t="str">
            <v>FG06812</v>
          </cell>
          <cell r="C7727" t="str">
            <v>UNIKORT-80 (TRIAMCINOLONE) B/1 VIAL +SER</v>
          </cell>
        </row>
        <row r="7728">
          <cell r="B7728" t="str">
            <v>FG06815</v>
          </cell>
          <cell r="C7728" t="str">
            <v>BAUME DE SECOURD POT 90G</v>
          </cell>
        </row>
        <row r="7729">
          <cell r="B7729" t="str">
            <v>FG06816</v>
          </cell>
          <cell r="C7729" t="str">
            <v>SECOURS INHALATEUR 2 EN 1 PCS/1</v>
          </cell>
        </row>
        <row r="7730">
          <cell r="B7730" t="str">
            <v>FG06841</v>
          </cell>
          <cell r="C7730" t="str">
            <v>UNIGYNAX ( NEO.+POLY B.+NYSTA.) B/6 OVULE VAGINAL</v>
          </cell>
        </row>
        <row r="7731">
          <cell r="B7731" t="str">
            <v>FG06843</v>
          </cell>
          <cell r="C7731" t="str">
            <v>TACLIS 90MG (TICAGRELOR) B/30CES</v>
          </cell>
        </row>
        <row r="7732">
          <cell r="B7732" t="str">
            <v>FG06844</v>
          </cell>
          <cell r="C7732" t="str">
            <v>TACLIS 60MG (TICAGRELOR) B/30CES</v>
          </cell>
        </row>
        <row r="7733">
          <cell r="B7733" t="str">
            <v>FG06845</v>
          </cell>
          <cell r="C7733" t="str">
            <v>RIVELTOX 10MG (RIVAROXABEN) B/2X14 CES</v>
          </cell>
        </row>
        <row r="7734">
          <cell r="B7734" t="str">
            <v>FG06846</v>
          </cell>
          <cell r="C7734" t="str">
            <v>RIVELTOX 15MG (RIVAROXABEN) B/2X14 CES</v>
          </cell>
        </row>
        <row r="7735">
          <cell r="B7735" t="str">
            <v>FG06847</v>
          </cell>
          <cell r="C7735" t="str">
            <v>RIVELTOX 20MG (RIVAROXABEN) B/2X14 CES</v>
          </cell>
        </row>
        <row r="7736">
          <cell r="B7736" t="str">
            <v>FG06854</v>
          </cell>
          <cell r="C7736" t="str">
            <v>NEURODOC PLUS B/10 CES</v>
          </cell>
        </row>
        <row r="7737">
          <cell r="B7737" t="str">
            <v>FG06855</v>
          </cell>
          <cell r="C7737" t="str">
            <v>FIGADO 2.0 SIROP TONIQUE 200ML</v>
          </cell>
        </row>
        <row r="7738">
          <cell r="B7738" t="str">
            <v>FG06856</v>
          </cell>
          <cell r="C7738" t="str">
            <v>JANUVIA (SITAGLIPTIN) 50MG B/28</v>
          </cell>
        </row>
        <row r="7739">
          <cell r="B7739" t="str">
            <v>FG06857</v>
          </cell>
          <cell r="C7739" t="str">
            <v>JANUVIA (SITAGLIPTIN) 100MG B/28</v>
          </cell>
        </row>
        <row r="7740">
          <cell r="B7740" t="str">
            <v>FG06858</v>
          </cell>
          <cell r="C7740" t="str">
            <v>INDALUM DP DISPERSIBLES 40+480MG B/6CES</v>
          </cell>
        </row>
        <row r="7741">
          <cell r="B7741" t="str">
            <v>FG06859</v>
          </cell>
          <cell r="C7741" t="str">
            <v>INDALUM FORTE DISPERSIBLES 40+240MG B/12CES</v>
          </cell>
        </row>
        <row r="7742">
          <cell r="B7742" t="str">
            <v>FG06860</v>
          </cell>
          <cell r="C7742" t="str">
            <v>INDALUM JUNIOR DISPERSIBLES 20+120MG B/6CES</v>
          </cell>
        </row>
        <row r="7743">
          <cell r="B7743" t="str">
            <v>FG06861</v>
          </cell>
          <cell r="C7743" t="str">
            <v>AZIOCIN (AZITHROMYCINE) 500MG B/3CES</v>
          </cell>
        </row>
        <row r="7744">
          <cell r="B7744" t="str">
            <v>FG06862</v>
          </cell>
          <cell r="C7744" t="str">
            <v>LUMATE PLUS(ARTEME+LUMEFA) 80+480MG B/6CES</v>
          </cell>
        </row>
        <row r="7745">
          <cell r="B7745" t="str">
            <v>FG06863</v>
          </cell>
          <cell r="C7745" t="str">
            <v>LUMATE FORTE (ARTEME+LUMEFA) 40+240MG B/12CES</v>
          </cell>
        </row>
        <row r="7746">
          <cell r="B7746" t="str">
            <v>FG06865</v>
          </cell>
          <cell r="C7746" t="str">
            <v>DICLOFENAC 100MG B/10X10CES</v>
          </cell>
        </row>
        <row r="7747">
          <cell r="B7747" t="str">
            <v>FG06866</v>
          </cell>
          <cell r="C7747" t="str">
            <v>CESAKROL PLUS ML 100 SP</v>
          </cell>
        </row>
        <row r="7748">
          <cell r="B7748" t="str">
            <v>FG06867</v>
          </cell>
          <cell r="C7748" t="str">
            <v>DULOXETINE 60MG B/28CES</v>
          </cell>
        </row>
        <row r="7749">
          <cell r="B7749" t="str">
            <v>FG06868</v>
          </cell>
          <cell r="C7749" t="str">
            <v>PENTASA 500MG B/100CES</v>
          </cell>
        </row>
        <row r="7750">
          <cell r="B7750" t="str">
            <v>FG06869</v>
          </cell>
          <cell r="C7750" t="str">
            <v>ALVITYL **TONUS** B/10 CES EFF (FR)</v>
          </cell>
        </row>
        <row r="7751">
          <cell r="B7751" t="str">
            <v>FG06870</v>
          </cell>
          <cell r="C7751" t="str">
            <v>DELTACORTRIL 5MG B/20CES</v>
          </cell>
        </row>
        <row r="7752">
          <cell r="B7752" t="str">
            <v>FG06878</v>
          </cell>
          <cell r="C7752" t="str">
            <v>NYSTATIN 500,000 IU 10 X10 CES</v>
          </cell>
        </row>
        <row r="7753">
          <cell r="B7753" t="str">
            <v>FG06882</v>
          </cell>
          <cell r="C7753" t="str">
            <v>ARTEFORT 210MG INJ</v>
          </cell>
        </row>
        <row r="7754">
          <cell r="B7754" t="str">
            <v>FG06883</v>
          </cell>
          <cell r="C7754" t="str">
            <v>ARTEFORT 90MG INJ</v>
          </cell>
        </row>
        <row r="7755">
          <cell r="B7755" t="str">
            <v>FG06889</v>
          </cell>
          <cell r="C7755" t="str">
            <v>ALIVIO B/10 CES</v>
          </cell>
        </row>
        <row r="7756">
          <cell r="B7756" t="str">
            <v>FG06894</v>
          </cell>
          <cell r="C7756" t="str">
            <v>FORMOL 20% 5 LTR</v>
          </cell>
        </row>
        <row r="7757">
          <cell r="B7757" t="str">
            <v>FG06899</v>
          </cell>
          <cell r="C7757" t="str">
            <v>CERVOLINE (CITICOLINE) ORAL SOLUTION 30ML</v>
          </cell>
        </row>
        <row r="7758">
          <cell r="B7758" t="str">
            <v>FG06900</v>
          </cell>
          <cell r="C7758" t="str">
            <v>BETU (BETAMETHASONE) 0.05% GOUTTES 30ML</v>
          </cell>
        </row>
        <row r="7759">
          <cell r="B7759" t="str">
            <v>FG06906</v>
          </cell>
          <cell r="C7759" t="str">
            <v>IBUNIQUE FORTE (PARA+IBU+CAF) B/10X10 CAPS</v>
          </cell>
        </row>
        <row r="7760">
          <cell r="B7760" t="str">
            <v>FG06907</v>
          </cell>
          <cell r="C7760" t="str">
            <v>UNIKAL B/10X10 CAP</v>
          </cell>
        </row>
        <row r="7761">
          <cell r="B7761" t="str">
            <v>FG06908</v>
          </cell>
          <cell r="C7761" t="str">
            <v>PENIKAL B/10X10 CAP</v>
          </cell>
        </row>
        <row r="7762">
          <cell r="B7762" t="str">
            <v>FG06910</v>
          </cell>
          <cell r="C7762" t="str">
            <v>CYTODOX 10MG (DOXORUBICIN) INJECTABLE B/1 VIAL</v>
          </cell>
        </row>
        <row r="7763">
          <cell r="B7763" t="str">
            <v>FG06911</v>
          </cell>
          <cell r="C7763" t="str">
            <v>DOCETRIX 20MG / 0.5ML (DOCETAXEL) INJECTABLE B/1 VIAL</v>
          </cell>
        </row>
        <row r="7764">
          <cell r="B7764" t="str">
            <v>FG06912</v>
          </cell>
          <cell r="C7764" t="str">
            <v>DOCETRIX 80MG / 2ML (DOCETAXEL) INJECTABLE B/1 VIAL</v>
          </cell>
        </row>
        <row r="7765">
          <cell r="B7765" t="str">
            <v>FG06913</v>
          </cell>
          <cell r="C7765" t="str">
            <v>METHOTREXATE 50 MG / 2 ML INJECTABLE B/1 AMPOULE</v>
          </cell>
        </row>
        <row r="7766">
          <cell r="B7766" t="str">
            <v>FG06914</v>
          </cell>
          <cell r="C7766" t="str">
            <v>CYTOCIS 10MG / 20ML (CISPLATIN) INJECTABLE B/1 VIAL</v>
          </cell>
        </row>
        <row r="7767">
          <cell r="B7767" t="str">
            <v>FG06915</v>
          </cell>
          <cell r="C7767" t="str">
            <v>CYTOCIS 50MG / 5ML (CISPLATIN) INJECTABLE B/1 VIAL</v>
          </cell>
        </row>
        <row r="7768">
          <cell r="B7768" t="str">
            <v>FG06916</v>
          </cell>
          <cell r="C7768" t="str">
            <v>BIOCARB 450MG /45 ML (CARBOPLATIN) INJECTABLE B/1 VIAL</v>
          </cell>
        </row>
        <row r="7769">
          <cell r="B7769" t="str">
            <v>FG06917</v>
          </cell>
          <cell r="C7769" t="str">
            <v>PACLITRIX 300MG / 50ML (PACLITAXEL) INJECTABLE B/1 VIAL</v>
          </cell>
        </row>
        <row r="7770">
          <cell r="B7770" t="str">
            <v>FG06918</v>
          </cell>
          <cell r="C7770" t="str">
            <v>CHEMOPLAT 100MG / 50ML (OXALIPLATIN) INJECTABLE B/1 VIAL</v>
          </cell>
        </row>
        <row r="7771">
          <cell r="B7771" t="str">
            <v>FG06919</v>
          </cell>
          <cell r="C7771" t="str">
            <v>XELORIX 500MG (CAPECITABINE) PLAQUETTE DU 10 COMPRIMÉ</v>
          </cell>
        </row>
        <row r="7772">
          <cell r="B7772" t="str">
            <v>FG06920</v>
          </cell>
          <cell r="C7772" t="str">
            <v>RUBITRIX 10MG (EPIRUBICIN) INJECTABLE B/1 VIAL</v>
          </cell>
        </row>
        <row r="7773">
          <cell r="B7773" t="str">
            <v>FG06921</v>
          </cell>
          <cell r="C7773" t="str">
            <v>BIOCARB 150MG /15 ML (CARBOPLATIN) INJECTABLE B/1 VIAL</v>
          </cell>
        </row>
        <row r="7774">
          <cell r="B7774" t="str">
            <v>FG06922</v>
          </cell>
          <cell r="C7774" t="str">
            <v>CHEMODROX 500MG (HYDROXYUREA) PLAQUETTE DE 10 CAPSULES</v>
          </cell>
        </row>
        <row r="7775">
          <cell r="B7775" t="str">
            <v>FG06923</v>
          </cell>
          <cell r="C7775" t="str">
            <v>ZOLETRIX 4MG (ACIDE ZOLEDRONIQUE) INJECTABLE B/1 VIAL</v>
          </cell>
        </row>
        <row r="7776">
          <cell r="B7776" t="str">
            <v>FG06924</v>
          </cell>
          <cell r="C7776" t="str">
            <v>PACLITRIX‐100MG (PACLITAXEL) INJECTABLE B/1 VIAL</v>
          </cell>
        </row>
        <row r="7777">
          <cell r="B7777" t="str">
            <v>FG06925</v>
          </cell>
          <cell r="C7777" t="str">
            <v>DOCETRIX-20 MG/0.5ML DOCETAXEL INJ B/1 VIAL</v>
          </cell>
        </row>
        <row r="7778">
          <cell r="B7778" t="str">
            <v>FG06926</v>
          </cell>
          <cell r="C7778" t="str">
            <v>DOCETRIX-80 MG/0.5ML DOCETAXEL INJ B/1 VIAL</v>
          </cell>
        </row>
        <row r="7779">
          <cell r="B7779" t="str">
            <v>FG06959</v>
          </cell>
          <cell r="C7779" t="str">
            <v>A TO Z (MULTIVITAMINES) B/30 BONBONS GELIFIES</v>
          </cell>
        </row>
        <row r="7780">
          <cell r="B7780" t="str">
            <v>FG06960</v>
          </cell>
          <cell r="C7780" t="str">
            <v>CARNITONE 5GM (COMPLEMENTS ALIMENTAIRES) B/10 SACHETS</v>
          </cell>
        </row>
        <row r="7781">
          <cell r="B7781" t="str">
            <v>FG06961</v>
          </cell>
          <cell r="C7781" t="str">
            <v>PROGUT-Z 1GM (PRO ET PRÉBIOTIQUES) B/10 SACHETS</v>
          </cell>
        </row>
        <row r="7782">
          <cell r="B7782" t="str">
            <v>FG06962</v>
          </cell>
          <cell r="C7782" t="str">
            <v>BIOFLORE (PROBIOTIQUE) 10G DE POUDRE POUR 50ML DE SIROP</v>
          </cell>
        </row>
        <row r="7783">
          <cell r="B7783" t="str">
            <v>FG06963</v>
          </cell>
          <cell r="C7783" t="str">
            <v>PROGUT (PRO ET PRÉBIOTIQUES) B/10 CAPSULE</v>
          </cell>
        </row>
        <row r="7784">
          <cell r="B7784" t="str">
            <v>FG06964</v>
          </cell>
          <cell r="C7784" t="str">
            <v>UNIBIOTIC-Z 1GM (TRAITEMENT DE LA DIARRHEE) B/10 SACHETS</v>
          </cell>
        </row>
        <row r="7785">
          <cell r="B7785" t="str">
            <v>FG06965</v>
          </cell>
          <cell r="C7785" t="str">
            <v>NEURONORM 120MG (GINKGO BILOBA) B/30CES</v>
          </cell>
        </row>
        <row r="7786">
          <cell r="B7786" t="str">
            <v>FG06967</v>
          </cell>
          <cell r="C7786" t="str">
            <v>CLAMOQUE 125MG (AMOXICILLINE) PDR SUSP.60ML</v>
          </cell>
        </row>
        <row r="7787">
          <cell r="B7787" t="str">
            <v>FG06968</v>
          </cell>
          <cell r="C7787" t="str">
            <v>CLAMOQUE 250MG (AMOXICILLINE) PDR SUSP.60ML</v>
          </cell>
        </row>
        <row r="7788">
          <cell r="B7788" t="str">
            <v>FG06969</v>
          </cell>
          <cell r="C7788" t="str">
            <v>UNISPAS (PHLOROG.+TRIMETHYLPHLO.)80MG B/3X10 CES</v>
          </cell>
        </row>
        <row r="7789">
          <cell r="B7789" t="str">
            <v>FG06970</v>
          </cell>
          <cell r="C7789" t="str">
            <v>IRON DEXTRAN INJECTION IM/IV 250MG/ML CERAMIC PRINTING,10AMP</v>
          </cell>
        </row>
        <row r="7790">
          <cell r="B7790" t="str">
            <v>FG06971</v>
          </cell>
          <cell r="C7790" t="str">
            <v>NOCOLD INHALER. PACKING : 1-WAY</v>
          </cell>
        </row>
        <row r="7791">
          <cell r="B7791" t="str">
            <v>FG07007</v>
          </cell>
          <cell r="C7791" t="str">
            <v>PROGENIQUE DEPOT (D'HYDROXYPROGESTERONE) 250MG/ML INJ. B/3 AMP</v>
          </cell>
        </row>
        <row r="7792">
          <cell r="B7792" t="str">
            <v>FG07008</v>
          </cell>
          <cell r="C7792" t="str">
            <v>TESTOVIQUE DEPOT (TESTOSTERONE) 250MG/ML INJ. B/3AMP</v>
          </cell>
        </row>
        <row r="7793">
          <cell r="B7793" t="str">
            <v>FG07015</v>
          </cell>
          <cell r="C7793" t="str">
            <v>PALUCHECK - TEST RAPIDE MALARIA (PF/PV) - 25 TESTS</v>
          </cell>
        </row>
        <row r="7794">
          <cell r="B7794" t="str">
            <v>FG07147</v>
          </cell>
          <cell r="C7794" t="str">
            <v>CYTODOX 50MG (DOXORUBICIN) INJECTABLE B/1 VIAL</v>
          </cell>
        </row>
        <row r="7795">
          <cell r="B7795" t="str">
            <v>FG07148</v>
          </cell>
          <cell r="C7795" t="str">
            <v>FUNBACT SAVON MOSTURISING 75G</v>
          </cell>
        </row>
        <row r="7796">
          <cell r="B7796" t="str">
            <v>FG07207</v>
          </cell>
          <cell r="C7796" t="str">
            <v>SENSODYNE REPAIR &amp; PROT WHITE 75ML</v>
          </cell>
        </row>
        <row r="7797">
          <cell r="B7797" t="str">
            <v>FG07232</v>
          </cell>
          <cell r="C7797" t="str">
            <v>MEBENDAZOLE 500MG B/1CES</v>
          </cell>
        </row>
        <row r="7798">
          <cell r="B7798" t="str">
            <v>FG07233</v>
          </cell>
          <cell r="C7798" t="str">
            <v>TRIXON-L (CEFTRIAXONE+LIDOCAINE+EAU)INJ. B/1 VIAL+2AMP</v>
          </cell>
        </row>
        <row r="7799">
          <cell r="B7799" t="str">
            <v>FG07251</v>
          </cell>
          <cell r="C7799" t="str">
            <v>CONTACID ( ANTIACIDE) 10 X 10 CES</v>
          </cell>
        </row>
        <row r="7800">
          <cell r="B7800" t="str">
            <v>FG07387</v>
          </cell>
          <cell r="C7800" t="str">
            <v>MATELA</v>
          </cell>
        </row>
        <row r="7801">
          <cell r="B7801" t="str">
            <v>FG07397</v>
          </cell>
          <cell r="C7801" t="str">
            <v>AIG. DE PRÉLÈVEMENT DE SANG PAPILLON JAUNE 20G 1/PCS</v>
          </cell>
        </row>
        <row r="7802">
          <cell r="B7802" t="str">
            <v>FG07398</v>
          </cell>
          <cell r="C7802" t="str">
            <v>AIG. DE PRÉLÈVEMENT DE SANG PAPILLON NOIR 22G 1/PCS</v>
          </cell>
        </row>
        <row r="7803">
          <cell r="B7803" t="str">
            <v>FG07400</v>
          </cell>
          <cell r="C7803" t="str">
            <v>SIMAREST FORTE /4CES</v>
          </cell>
        </row>
        <row r="7804">
          <cell r="B7804" t="str">
            <v>FG07401</v>
          </cell>
          <cell r="C7804" t="str">
            <v>OSTEO B/12CES</v>
          </cell>
        </row>
        <row r="7805">
          <cell r="B7805" t="str">
            <v>FG07402</v>
          </cell>
          <cell r="C7805" t="str">
            <v>ACTION B/100CES</v>
          </cell>
        </row>
        <row r="7806">
          <cell r="B7806" t="str">
            <v>FG07403</v>
          </cell>
          <cell r="C7806" t="str">
            <v>OSTEO POMMADE 12GM</v>
          </cell>
        </row>
        <row r="7807">
          <cell r="B7807" t="str">
            <v>FG07404</v>
          </cell>
          <cell r="C7807" t="str">
            <v>AIG. DE PRÉLÈVEMENT DE SANG PAPILLON VERT 21G 1/PCS</v>
          </cell>
        </row>
        <row r="7808">
          <cell r="B7808" t="str">
            <v>FG07405</v>
          </cell>
          <cell r="C7808" t="str">
            <v>AIG. DE PRÉLÈVEMENT DE SANG PAPILLON BLEU 23G 1/PCS</v>
          </cell>
        </row>
        <row r="7809">
          <cell r="B7809" t="str">
            <v>FG07406</v>
          </cell>
          <cell r="C7809" t="str">
            <v>AIG. DE PRÉLÈVEMENT DE SANG PAPILLON ORANGE 25G 1/PCS</v>
          </cell>
        </row>
        <row r="7810">
          <cell r="B7810" t="str">
            <v>FG07407</v>
          </cell>
          <cell r="C7810" t="str">
            <v>GANTS DE GYNÉCOLOGIE MOYEN PAIR/1</v>
          </cell>
        </row>
        <row r="7811">
          <cell r="B7811" t="str">
            <v>FG07409</v>
          </cell>
          <cell r="C7811" t="str">
            <v>HEMOSTAT 250MG/2ML (ETAMSYLATE) INJ.B/4 AMP.</v>
          </cell>
        </row>
        <row r="7812">
          <cell r="B7812" t="str">
            <v>FG07410</v>
          </cell>
          <cell r="C7812" t="str">
            <v>ATARIUM 50MG/5ML (ATACURIUM ) INJ. B/5 AMP.</v>
          </cell>
        </row>
        <row r="7813">
          <cell r="B7813" t="str">
            <v>FG07411</v>
          </cell>
          <cell r="C7813" t="str">
            <v>UNITRIM 480MG/5ML (CO-TRIMOXAZOLE) INJ. B/5 AMP.</v>
          </cell>
        </row>
        <row r="7814">
          <cell r="B7814" t="str">
            <v>FG07412</v>
          </cell>
          <cell r="C7814" t="str">
            <v>DICQUE AQUA 75MG/ML (DICLOFÉNAC ) INJ. B/5 AMP</v>
          </cell>
        </row>
        <row r="7815">
          <cell r="B7815" t="str">
            <v>FG07413</v>
          </cell>
          <cell r="C7815" t="str">
            <v>H-CID 20MG/2ML (FAMOTIDINE ) INJ. B/1 VIAL</v>
          </cell>
        </row>
        <row r="7816">
          <cell r="B7816" t="str">
            <v>FG07414</v>
          </cell>
          <cell r="C7816" t="str">
            <v>SPASMOSTOP 40MG/2ML ( DROTAVÉRINE ) INJ. B/5 AMP</v>
          </cell>
        </row>
        <row r="7817">
          <cell r="B7817" t="str">
            <v>FG07415</v>
          </cell>
          <cell r="C7817" t="str">
            <v>VOMITRON 0.075 MG/1.5ML (PALONOSÉTRON) INJ. B/1 VIAL</v>
          </cell>
        </row>
        <row r="7818">
          <cell r="B7818" t="str">
            <v>FG07416</v>
          </cell>
          <cell r="C7818" t="str">
            <v>HALDOQUE DECONOAS 50MG/ML (HALOPÉRIDOL) INJ.B/5 AMP</v>
          </cell>
        </row>
        <row r="7819">
          <cell r="B7819" t="str">
            <v>FG07417</v>
          </cell>
          <cell r="C7819" t="str">
            <v>HALDOQUE 5MG/ML (HALOPÉRIDOLUM) INJ. B/5 AMP</v>
          </cell>
        </row>
        <row r="7820">
          <cell r="B7820" t="str">
            <v>FG07418</v>
          </cell>
          <cell r="C7820" t="str">
            <v>KETOFEN 100MG/2ML ( KÉTOPROFÈNE) INJ. B/5AMP</v>
          </cell>
        </row>
        <row r="7821">
          <cell r="B7821" t="str">
            <v>FG07419</v>
          </cell>
          <cell r="C7821" t="str">
            <v>LABTOL 5MG/ML (LABÉTALOL ) 5ML INJ. B/5 AMP</v>
          </cell>
        </row>
        <row r="7822">
          <cell r="B7822" t="str">
            <v>FG07420</v>
          </cell>
          <cell r="C7822" t="str">
            <v>SOLU-PREDNOL 125MG (MÉTHYLPREDNISOLONE) INJ.B/1 VIAL + SOLVENT 2ML</v>
          </cell>
        </row>
        <row r="7823">
          <cell r="B7823" t="str">
            <v>FG07421</v>
          </cell>
          <cell r="C7823" t="str">
            <v>SOLU-PREDNOL 40MG (METHYLPREDNISOLONE) INJ.B/1 VIAL+SOLVENT 2ML</v>
          </cell>
        </row>
        <row r="7824">
          <cell r="B7824" t="str">
            <v>FG07422</v>
          </cell>
          <cell r="C7824" t="str">
            <v>UNISTIGMINE 0.5MG/ML (NÉOSTIGMINE) INJ. B/5 AMP</v>
          </cell>
        </row>
        <row r="7825">
          <cell r="B7825" t="str">
            <v>FG07423</v>
          </cell>
          <cell r="C7825" t="str">
            <v>NIMOTRIX 10MG (NIMODIPINE) IV B/50ML VIAL</v>
          </cell>
        </row>
        <row r="7826">
          <cell r="B7826" t="str">
            <v>FG07424</v>
          </cell>
          <cell r="C7826" t="str">
            <v>PANCUR 4MG/2ML (PANCURONIUM) INJ. B/10 AMP</v>
          </cell>
        </row>
        <row r="7827">
          <cell r="B7827" t="str">
            <v>FG07425</v>
          </cell>
          <cell r="C7827" t="str">
            <v>PHAMINE 22,75MG/ML (MALÉATE DE PHÉNIRAMINE) 2ML INJ. B/10 AMP</v>
          </cell>
        </row>
        <row r="7828">
          <cell r="B7828" t="str">
            <v>FG07426</v>
          </cell>
          <cell r="C7828" t="str">
            <v>FELOXAM 20MG/ML (PIROXICAM) INJ. B/2AMP</v>
          </cell>
        </row>
        <row r="7829">
          <cell r="B7829" t="str">
            <v>FG07427</v>
          </cell>
          <cell r="C7829" t="str">
            <v>CORTISTAR (HEMOROIDE &amp; FISSURE) TUBE DE 30G</v>
          </cell>
        </row>
        <row r="7830">
          <cell r="B7830" t="str">
            <v>FG07428</v>
          </cell>
          <cell r="C7830" t="str">
            <v>MIDARONE 200MG (AMIODARONE) B/10CES</v>
          </cell>
        </row>
        <row r="7831">
          <cell r="B7831" t="str">
            <v>FG07429</v>
          </cell>
          <cell r="C7831" t="str">
            <v>DEPREX 20MG (FLUOXETINE) B/2X10 CAPSULE</v>
          </cell>
        </row>
        <row r="7832">
          <cell r="B7832" t="str">
            <v>FG07430</v>
          </cell>
          <cell r="C7832" t="str">
            <v>FLAVEN 500MG (DIOSMIN + FLAVONOIQUE) B/30CES</v>
          </cell>
        </row>
        <row r="7833">
          <cell r="B7833" t="str">
            <v>FG07431</v>
          </cell>
          <cell r="C7833" t="str">
            <v>ALDAQUE 25MG (SPIRONOLACTONE) B/5X10 CES</v>
          </cell>
        </row>
        <row r="7834">
          <cell r="B7834" t="str">
            <v>FG07432</v>
          </cell>
          <cell r="C7834" t="str">
            <v>GAVINIQUE (ANTIACIDE) SUSP.200ML</v>
          </cell>
        </row>
        <row r="7835">
          <cell r="B7835" t="str">
            <v>FG07772</v>
          </cell>
          <cell r="C7835" t="str">
            <v>CESADEX (PARA,ASPI,CAFEN) B/ 55X2 CES</v>
          </cell>
        </row>
        <row r="7836">
          <cell r="B7836" t="str">
            <v>FG07778</v>
          </cell>
          <cell r="C7836" t="str">
            <v>DAWA TATU B/100 CES</v>
          </cell>
        </row>
        <row r="7837">
          <cell r="B7837" t="str">
            <v>FG07788</v>
          </cell>
          <cell r="C7837" t="str">
            <v>CHROMIC CATGUT NO.1/0 PCS/1 (UNIQUE)</v>
          </cell>
        </row>
        <row r="7838">
          <cell r="B7838" t="str">
            <v>FG07789</v>
          </cell>
          <cell r="C7838" t="str">
            <v>BANDELET CONTOUR TS B/50</v>
          </cell>
        </row>
        <row r="7839">
          <cell r="B7839" t="str">
            <v>FG07790</v>
          </cell>
          <cell r="C7839" t="str">
            <v>CEFPODOX PLUS B/10 CES</v>
          </cell>
        </row>
        <row r="7840">
          <cell r="B7840" t="str">
            <v>FG07791</v>
          </cell>
          <cell r="C7840" t="str">
            <v>NYSTATIN B/14 CES</v>
          </cell>
        </row>
        <row r="7841">
          <cell r="B7841" t="str">
            <v>FG07792</v>
          </cell>
          <cell r="C7841" t="str">
            <v>AMVA DENK 5MG/80MG CES B/28 ( FR )</v>
          </cell>
        </row>
        <row r="7842">
          <cell r="B7842" t="str">
            <v>FG07793</v>
          </cell>
          <cell r="C7842" t="str">
            <v>AXABAN DENK 2.5MG</v>
          </cell>
        </row>
        <row r="7843">
          <cell r="B7843" t="str">
            <v>FG07794</v>
          </cell>
          <cell r="C7843" t="str">
            <v>AXABAN DENK 5 MG</v>
          </cell>
        </row>
        <row r="7844">
          <cell r="B7844" t="str">
            <v>FG07795</v>
          </cell>
          <cell r="C7844" t="str">
            <v>BAUME LEOPARD TUBE 6GM B/12PCS</v>
          </cell>
        </row>
        <row r="7845">
          <cell r="B7845" t="str">
            <v>FG07796</v>
          </cell>
          <cell r="C7845" t="str">
            <v>BON-D3 SYRUP 200ML</v>
          </cell>
        </row>
        <row r="7846">
          <cell r="B7846" t="str">
            <v>FG07797</v>
          </cell>
          <cell r="C7846" t="str">
            <v>BON-D3 B/15 CES</v>
          </cell>
        </row>
        <row r="7847">
          <cell r="B7847" t="str">
            <v>FG07798</v>
          </cell>
          <cell r="C7847" t="str">
            <v>DICLOBIS 0.1% 5ML COLLYRE</v>
          </cell>
        </row>
        <row r="7848">
          <cell r="B7848" t="str">
            <v>FG07799</v>
          </cell>
          <cell r="C7848" t="str">
            <v>EAU DISTILLEE 5LTR</v>
          </cell>
        </row>
        <row r="7849">
          <cell r="B7849" t="str">
            <v>FG07800</v>
          </cell>
          <cell r="C7849" t="str">
            <v>ELECTROLYTE DENK B/10</v>
          </cell>
        </row>
        <row r="7850">
          <cell r="B7850" t="str">
            <v>FG07801</v>
          </cell>
          <cell r="C7850" t="str">
            <v>ESIDREX 25MG B/30CES (FR)</v>
          </cell>
        </row>
        <row r="7851">
          <cell r="B7851" t="str">
            <v>FG07802</v>
          </cell>
          <cell r="C7851" t="str">
            <v>FLODENT TRIPLE ACTION TOOTHPASTE 100G</v>
          </cell>
        </row>
        <row r="7852">
          <cell r="B7852" t="str">
            <v>FG07803</v>
          </cell>
          <cell r="C7852" t="str">
            <v>GRIPE WATER 130ML</v>
          </cell>
        </row>
        <row r="7853">
          <cell r="B7853" t="str">
            <v>FG07804</v>
          </cell>
          <cell r="C7853" t="str">
            <v>INDERAL 40MG B/50CES</v>
          </cell>
        </row>
        <row r="7854">
          <cell r="B7854" t="str">
            <v>FG07805</v>
          </cell>
          <cell r="C7854" t="str">
            <v>INHALER B/1PCS</v>
          </cell>
        </row>
        <row r="7855">
          <cell r="B7855" t="str">
            <v>FG07806</v>
          </cell>
          <cell r="C7855" t="str">
            <v>LETROZOLE DENK 2.5MG B/30CES</v>
          </cell>
        </row>
        <row r="7856">
          <cell r="B7856" t="str">
            <v>FG07807</v>
          </cell>
          <cell r="C7856" t="str">
            <v>MADECASSOL ONGT 1% CREME TUBE $ 40GR # (E.O.)</v>
          </cell>
        </row>
        <row r="7857">
          <cell r="B7857" t="str">
            <v>FG07808</v>
          </cell>
          <cell r="C7857" t="str">
            <v>MONGANGA CREME 250</v>
          </cell>
        </row>
        <row r="7858">
          <cell r="B7858" t="str">
            <v>FG07809</v>
          </cell>
          <cell r="C7858" t="str">
            <v>MONHANGA LOTION ANTI-MOSTIQ 100ML</v>
          </cell>
        </row>
        <row r="7859">
          <cell r="B7859" t="str">
            <v>FG07810</v>
          </cell>
          <cell r="C7859" t="str">
            <v>MOUSTIQUAIRE R.G 6*6</v>
          </cell>
        </row>
        <row r="7860">
          <cell r="B7860" t="str">
            <v>FG07811</v>
          </cell>
          <cell r="C7860" t="str">
            <v>PAINDEX B/10 CES</v>
          </cell>
        </row>
        <row r="7861">
          <cell r="B7861" t="str">
            <v>FG07812</v>
          </cell>
          <cell r="C7861" t="str">
            <v>PERIACTINE 4MG B/30CES</v>
          </cell>
        </row>
        <row r="7862">
          <cell r="B7862" t="str">
            <v>FG07813</v>
          </cell>
          <cell r="C7862" t="str">
            <v>PILMICORT 0.25MG 2ML 20 UNIDOSES</v>
          </cell>
        </row>
        <row r="7863">
          <cell r="B7863" t="str">
            <v>FG07814</v>
          </cell>
          <cell r="C7863" t="str">
            <v>PLAMEGA PLUS (OMEGA) B/20 CAP</v>
          </cell>
        </row>
        <row r="7864">
          <cell r="B7864" t="str">
            <v>FG07815</v>
          </cell>
          <cell r="C7864" t="str">
            <v>SINUTAB ROUGE B/12CES</v>
          </cell>
        </row>
        <row r="7865">
          <cell r="B7865" t="str">
            <v>FG07816</v>
          </cell>
          <cell r="C7865" t="str">
            <v>TEST H B S AG (WB/S/P) DETERMINE B/50</v>
          </cell>
        </row>
        <row r="7866">
          <cell r="B7866" t="str">
            <v>FG07817</v>
          </cell>
          <cell r="C7866" t="str">
            <v>TRILLERG 0.4/0.5MG COLLYER 10ML</v>
          </cell>
        </row>
        <row r="7867">
          <cell r="B7867" t="str">
            <v>FG07818</v>
          </cell>
          <cell r="C7867" t="str">
            <v>VASOGRAIN B/100 CES</v>
          </cell>
        </row>
        <row r="7868">
          <cell r="B7868" t="str">
            <v>FG07819</v>
          </cell>
          <cell r="C7868" t="str">
            <v>VITAMINE E FORTE 400 U.I B/20GEL</v>
          </cell>
        </row>
        <row r="7869">
          <cell r="B7869" t="str">
            <v>FG07820</v>
          </cell>
          <cell r="C7869" t="str">
            <v>ZECUF PASTILLS</v>
          </cell>
        </row>
        <row r="7870">
          <cell r="B7870" t="str">
            <v>FG07821</v>
          </cell>
          <cell r="C7870" t="str">
            <v>ZONEX INJ 1BT</v>
          </cell>
        </row>
        <row r="7871">
          <cell r="B7871" t="str">
            <v>FG07822</v>
          </cell>
          <cell r="C7871" t="str">
            <v>ONREX ONDACETRON INJ</v>
          </cell>
        </row>
        <row r="7872">
          <cell r="B7872" t="str">
            <v>FG07823</v>
          </cell>
          <cell r="C7872" t="str">
            <v>NOR PLUS METRO B/10CES</v>
          </cell>
        </row>
        <row r="7873">
          <cell r="B7873" t="str">
            <v>FG07824</v>
          </cell>
          <cell r="C7873" t="str">
            <v>DATRAMOL 37.5/325MG B/10CES</v>
          </cell>
        </row>
        <row r="7874">
          <cell r="B7874" t="str">
            <v>FG07825</v>
          </cell>
          <cell r="C7874" t="str">
            <v>ALDOMET 250 MG B/100 CES</v>
          </cell>
        </row>
        <row r="7875">
          <cell r="B7875" t="str">
            <v>FG07826</v>
          </cell>
          <cell r="C7875" t="str">
            <v>PARAKIM 500 MG CES B/10 CES</v>
          </cell>
        </row>
        <row r="7876">
          <cell r="B7876" t="str">
            <v>FG07827</v>
          </cell>
          <cell r="C7876" t="str">
            <v>PAUSE 500MG B/3X10CES</v>
          </cell>
        </row>
        <row r="7877">
          <cell r="B7877" t="str">
            <v>FG07828</v>
          </cell>
          <cell r="C7877" t="str">
            <v>SYADIN 10 CES EFF ( IMMUNITAIRT)</v>
          </cell>
        </row>
        <row r="7878">
          <cell r="B7878" t="str">
            <v>FG07829</v>
          </cell>
          <cell r="C7878" t="str">
            <v>AZISIF ( AZITHROMYCINE ) 500MG B/5 CES</v>
          </cell>
        </row>
        <row r="7879">
          <cell r="B7879" t="str">
            <v>FG07830</v>
          </cell>
          <cell r="C7879" t="str">
            <v>NEUROTON ( CITICOLINE ) B/10 CES</v>
          </cell>
        </row>
        <row r="7880">
          <cell r="B7880" t="str">
            <v>FG07855</v>
          </cell>
          <cell r="C7880" t="str">
            <v>NEUROTON ( CITICOLINE) 50ML SYRUP</v>
          </cell>
        </row>
        <row r="7881">
          <cell r="B7881" t="str">
            <v>FG07856</v>
          </cell>
          <cell r="C7881" t="str">
            <v>SIFA COLD ENF 100 ML SYRUP</v>
          </cell>
        </row>
        <row r="7882">
          <cell r="B7882" t="str">
            <v>FG07857</v>
          </cell>
          <cell r="C7882" t="str">
            <v>SPASMASIF 30 ML GOUTTE</v>
          </cell>
        </row>
        <row r="7883">
          <cell r="B7883" t="str">
            <v>FG07858</v>
          </cell>
          <cell r="C7883" t="str">
            <v>VITASIF 360 ENF 15 ML GOUTTE</v>
          </cell>
        </row>
        <row r="7884">
          <cell r="B7884" t="str">
            <v>FG07859</v>
          </cell>
          <cell r="C7884" t="str">
            <v>VITASIF 360 SP 200 ML</v>
          </cell>
        </row>
        <row r="7885">
          <cell r="B7885" t="str">
            <v>FG07860</v>
          </cell>
          <cell r="C7885" t="str">
            <v>PATOUX ORANGE HERBAL LOZENGES JAR 100 PCS</v>
          </cell>
        </row>
        <row r="7886">
          <cell r="B7886" t="str">
            <v>FG07863</v>
          </cell>
          <cell r="C7886" t="str">
            <v>BACILUS PREBIOTIC &amp; PROBIOTIC SCH B/10</v>
          </cell>
        </row>
        <row r="7887">
          <cell r="B7887" t="str">
            <v>FG07864</v>
          </cell>
          <cell r="C7887" t="str">
            <v>LACTOLASE 15 ML SACHET B/20</v>
          </cell>
        </row>
        <row r="7888">
          <cell r="B7888" t="str">
            <v>FG07865</v>
          </cell>
          <cell r="C7888" t="str">
            <v>VOGABOS 0.3 MG B/3X10 CES</v>
          </cell>
        </row>
        <row r="7889">
          <cell r="B7889" t="str">
            <v>FG07866</v>
          </cell>
          <cell r="C7889" t="str">
            <v>OTRIMEX 0.05% ENF</v>
          </cell>
        </row>
        <row r="7890">
          <cell r="B7890" t="str">
            <v>FG07867</v>
          </cell>
          <cell r="C7890" t="str">
            <v>OTRIMEX 0.01% ADULT</v>
          </cell>
        </row>
        <row r="7891">
          <cell r="B7891" t="str">
            <v>FG07868</v>
          </cell>
          <cell r="C7891" t="str">
            <v>AROXIM 400 MG B/10 CES</v>
          </cell>
        </row>
        <row r="7892">
          <cell r="B7892" t="str">
            <v>FG07869</v>
          </cell>
          <cell r="C7892" t="str">
            <v>AROXIM 100 MG SP 60 ML</v>
          </cell>
        </row>
        <row r="7893">
          <cell r="B7893" t="str">
            <v>FG07870</v>
          </cell>
          <cell r="C7893" t="str">
            <v>AROXIM 200 MG B/10 CES</v>
          </cell>
        </row>
        <row r="7894">
          <cell r="B7894" t="str">
            <v>FG07871</v>
          </cell>
          <cell r="C7894" t="str">
            <v>AROXIM OX B/10 CES</v>
          </cell>
        </row>
        <row r="7895">
          <cell r="B7895" t="str">
            <v>FG07872</v>
          </cell>
          <cell r="C7895" t="str">
            <v>AZIRAM 500 MG B/5 CES</v>
          </cell>
        </row>
        <row r="7896">
          <cell r="B7896" t="str">
            <v>FG07873</v>
          </cell>
          <cell r="C7896" t="str">
            <v>CESADOX ( CEFPODOXIME) 100 MG DT B/10CES</v>
          </cell>
        </row>
        <row r="7897">
          <cell r="B7897" t="str">
            <v>FG07874</v>
          </cell>
          <cell r="C7897" t="str">
            <v>AROBEBE POMMAD 100GR</v>
          </cell>
        </row>
        <row r="7898">
          <cell r="B7898" t="str">
            <v>FG07875</v>
          </cell>
          <cell r="C7898" t="str">
            <v>SERUM GLUCOSE 10% 500ML</v>
          </cell>
        </row>
        <row r="7899">
          <cell r="B7899" t="str">
            <v>FG07876</v>
          </cell>
          <cell r="C7899" t="str">
            <v>RECTOSTOP CRAME 25 GR</v>
          </cell>
        </row>
        <row r="7900">
          <cell r="B7900" t="str">
            <v>FG07877</v>
          </cell>
          <cell r="C7900" t="str">
            <v>ARTE B/6CAPSULES</v>
          </cell>
        </row>
        <row r="7901">
          <cell r="B7901" t="str">
            <v>FG07881</v>
          </cell>
          <cell r="C7901" t="str">
            <v>KITOKO B/4CES</v>
          </cell>
        </row>
        <row r="7902">
          <cell r="B7902" t="str">
            <v>FG07882</v>
          </cell>
          <cell r="C7902" t="str">
            <v>KITOKO PLUS B/4CES</v>
          </cell>
        </row>
        <row r="7903">
          <cell r="B7903" t="str">
            <v>FG07883</v>
          </cell>
          <cell r="C7903" t="str">
            <v>DAVIGRA T ( TADALAFIL 20 MG) B/4 CES</v>
          </cell>
        </row>
        <row r="7904">
          <cell r="B7904" t="str">
            <v>FG07884</v>
          </cell>
          <cell r="C7904" t="str">
            <v>MC - GELOSE TCBS (AGAR SELECTIF POUR VIBRIONS) 500G</v>
          </cell>
        </row>
        <row r="7905">
          <cell r="B7905" t="str">
            <v>FG07885</v>
          </cell>
          <cell r="C7905" t="str">
            <v>MC - PSEUDOMONAS GELOSE F (POUR LA FLUORESCÉINE) 500G</v>
          </cell>
        </row>
        <row r="7906">
          <cell r="B7906" t="str">
            <v>FG07886</v>
          </cell>
          <cell r="C7906" t="str">
            <v>MC - GELOSE M-FC (FECAL COLIFORM) 500G</v>
          </cell>
        </row>
        <row r="7907">
          <cell r="B7907" t="str">
            <v>FG07887</v>
          </cell>
          <cell r="C7907" t="str">
            <v>MC - MILIEU DE MOTILITÉ INDOLE URÉE (MIU) 500G</v>
          </cell>
        </row>
        <row r="7908">
          <cell r="B7908" t="str">
            <v>FG07888</v>
          </cell>
          <cell r="C7908" t="str">
            <v>MC - MILIEU DE MOTILITÉ INDOLE LYSINE (MILIEU MIL) 500G</v>
          </cell>
        </row>
        <row r="7909">
          <cell r="B7909" t="str">
            <v>FG07889</v>
          </cell>
          <cell r="C7909" t="str">
            <v>MC - MILIEU MANNITOL-MOBILITE-NITRATE 500G</v>
          </cell>
        </row>
        <row r="7910">
          <cell r="B7910" t="str">
            <v>FG07890</v>
          </cell>
          <cell r="C7910" t="str">
            <v>MC - GLYCÉROL, EXTRA PUR 500ML</v>
          </cell>
        </row>
        <row r="7911">
          <cell r="B7911" t="str">
            <v>FG07891</v>
          </cell>
          <cell r="C7911" t="str">
            <v>DISQUES ANTIBIOGRAMMES - CHLORAMPHÉNICOL BT/50</v>
          </cell>
        </row>
        <row r="7912">
          <cell r="B7912" t="str">
            <v>FG07892</v>
          </cell>
          <cell r="C7912" t="str">
            <v>DISQUES ANTIBIOGRAMMES - NITROFURANTOÏNE BT/50</v>
          </cell>
        </row>
        <row r="7913">
          <cell r="B7913" t="str">
            <v>FG07893</v>
          </cell>
          <cell r="C7913" t="str">
            <v>DISQUES ANTIBIOGRAMMES - STREPTOMYCIN BT/50</v>
          </cell>
        </row>
        <row r="7914">
          <cell r="B7914" t="str">
            <v>FG07894</v>
          </cell>
          <cell r="C7914" t="str">
            <v>DISQUES ANTIBIOGRAMMES - PÉNICILLINE-G BT/50</v>
          </cell>
        </row>
        <row r="7915">
          <cell r="B7915" t="str">
            <v>FG07895</v>
          </cell>
          <cell r="C7915" t="str">
            <v>DISQUES ANTIBIOGRAMMES - POLYMYXINE-B BT/50</v>
          </cell>
        </row>
        <row r="7916">
          <cell r="B7916" t="str">
            <v>FG07896</v>
          </cell>
          <cell r="C7916" t="str">
            <v>DISQUES ANTIBIOGRAMMES - AMPICILLINE BT/50</v>
          </cell>
        </row>
        <row r="7917">
          <cell r="B7917" t="str">
            <v>FG07897</v>
          </cell>
          <cell r="C7917" t="str">
            <v>DISQUES ANTIBIOGRAMMES - PIPÉRACILLINE BT/50</v>
          </cell>
        </row>
        <row r="7918">
          <cell r="B7918" t="str">
            <v>FG07898</v>
          </cell>
          <cell r="C7918" t="str">
            <v>DISQUES ANTIBIOGRAMMES - PIPÉRACILLINE/TAZOBACTAM BT/50</v>
          </cell>
        </row>
        <row r="7919">
          <cell r="B7919" t="str">
            <v>FG07899</v>
          </cell>
          <cell r="C7919" t="str">
            <v>DISQUES ANTIBIOGRAMMES - CÉFÉPIME BT/50</v>
          </cell>
        </row>
        <row r="7920">
          <cell r="B7920" t="str">
            <v>FG07900</v>
          </cell>
          <cell r="C7920" t="str">
            <v>DISQUES ANTIBIOGRAMMES - STREPTOMYCINE BT/50</v>
          </cell>
        </row>
        <row r="7921">
          <cell r="B7921" t="str">
            <v>FG07901</v>
          </cell>
          <cell r="C7921" t="str">
            <v>DISQUES ANTIBIOGRAMMES - OXYDASE (50 DISQUES/VL)</v>
          </cell>
        </row>
        <row r="7922">
          <cell r="B7922" t="str">
            <v>FG07907</v>
          </cell>
          <cell r="C7922" t="str">
            <v>ABG-I15 CARTOUCHE DE TEST BG10 B/25 CARTOUCHES</v>
          </cell>
        </row>
        <row r="7923">
          <cell r="B7923" t="str">
            <v>FG07999</v>
          </cell>
          <cell r="C7923" t="str">
            <v>INS - KOCHER HAEMOSTATIC FORCEPS, STRAIGHT, 14CM</v>
          </cell>
        </row>
        <row r="7924">
          <cell r="B7924" t="str">
            <v>FG08000</v>
          </cell>
          <cell r="C7924" t="str">
            <v>H-NAT (EMULSION INJECTABLE) 1875 ML</v>
          </cell>
        </row>
        <row r="7925">
          <cell r="B7925" t="str">
            <v>FG08019</v>
          </cell>
          <cell r="C7925" t="str">
            <v>IMN - DENGUE, B/25 CARTOUCHES</v>
          </cell>
        </row>
        <row r="7926">
          <cell r="B7926" t="str">
            <v>FG08020</v>
          </cell>
          <cell r="C7926" t="str">
            <v>IMN - H. PYLORI AG, FECES, B/25 CARTOUCHES</v>
          </cell>
        </row>
        <row r="7927">
          <cell r="B7927" t="str">
            <v>FG08021</v>
          </cell>
          <cell r="C7927" t="str">
            <v>IMN - VIT B12, B/25 CARTOUCHES</v>
          </cell>
        </row>
        <row r="7928">
          <cell r="B7928" t="str">
            <v>FG08022</v>
          </cell>
          <cell r="C7928" t="str">
            <v>IMN - ASO, B/25 CARTOUCHES</v>
          </cell>
        </row>
        <row r="7929">
          <cell r="B7929" t="str">
            <v>FG08023</v>
          </cell>
          <cell r="C7929" t="str">
            <v>IMN - RF RHEUMATOID FACTOR, B/25 CARTOUCHES</v>
          </cell>
        </row>
        <row r="7930">
          <cell r="B7930" t="str">
            <v>FG08024</v>
          </cell>
          <cell r="C7930" t="str">
            <v>IMN - ANTI-CCP PEPTIDE CITRULLINé ANTICYCLIQUE, B/25 CARTOUCHES</v>
          </cell>
        </row>
        <row r="7931">
          <cell r="B7931" t="str">
            <v>FG08025</v>
          </cell>
          <cell r="C7931" t="str">
            <v>ACCESSORIES - RF CARD - HEMATOLOGIE 5 PARTIES</v>
          </cell>
        </row>
        <row r="7932">
          <cell r="B7932" t="str">
            <v>FG08026</v>
          </cell>
          <cell r="C7932" t="str">
            <v>ACCESSORIES - BARCODE - HEMATOLOGIE 3 PARTIES</v>
          </cell>
        </row>
        <row r="7933">
          <cell r="B7933" t="str">
            <v>FG08028</v>
          </cell>
          <cell r="C7933" t="str">
            <v>GALVUS MET 50MG /500MG B/30CES</v>
          </cell>
        </row>
        <row r="7934">
          <cell r="B7934" t="str">
            <v>FG08029</v>
          </cell>
          <cell r="C7934" t="str">
            <v>GALVUS MET 50MG /850MG B/30CES</v>
          </cell>
        </row>
        <row r="7935">
          <cell r="B7935" t="str">
            <v>FG08030</v>
          </cell>
          <cell r="C7935" t="str">
            <v>GALVUS 50MG B/28 CES</v>
          </cell>
        </row>
        <row r="7936">
          <cell r="B7936" t="str">
            <v>FG08031</v>
          </cell>
          <cell r="C7936" t="str">
            <v>AMOXICILLINE 125MG/5ML PDR POUR SUSP. BUV 60ML ( BILLY )</v>
          </cell>
        </row>
        <row r="7937">
          <cell r="B7937" t="str">
            <v>FG08032</v>
          </cell>
          <cell r="C7937" t="str">
            <v>AMOXICILLINE 250MG/5ML PDR POUR SUSP. BUV 60ML ( BILLY )</v>
          </cell>
        </row>
        <row r="7938">
          <cell r="B7938" t="str">
            <v>FG08035</v>
          </cell>
          <cell r="C7938" t="str">
            <v>CELEBREX 100MG B/60 CAP (FR)</v>
          </cell>
        </row>
        <row r="7939">
          <cell r="B7939" t="str">
            <v>FG08036</v>
          </cell>
          <cell r="C7939" t="str">
            <v>DELABACT SAVON ***125GM***</v>
          </cell>
        </row>
        <row r="7940">
          <cell r="B7940" t="str">
            <v>FG08037</v>
          </cell>
          <cell r="C7940" t="str">
            <v>KETOMIZ SAVON 75GM</v>
          </cell>
        </row>
        <row r="7941">
          <cell r="B7941" t="str">
            <v>FG08045</v>
          </cell>
          <cell r="C7941" t="str">
            <v>MIGRITOL 5% (ZOLMITRIPTAN) SPRAY NASAL 1.5ML</v>
          </cell>
        </row>
        <row r="7942">
          <cell r="B7942" t="str">
            <v>FG08046</v>
          </cell>
          <cell r="C7942" t="str">
            <v>UNIHAL (DISPOSITIF POUR GELULES DPI) 1 UNITE</v>
          </cell>
        </row>
        <row r="7943">
          <cell r="B7943" t="str">
            <v>FG08047</v>
          </cell>
          <cell r="C7943" t="str">
            <v>SAFLU (SALMETEROL 50MCG +FLUTICASONE 100MCG) B/30CAPSULE</v>
          </cell>
        </row>
        <row r="7944">
          <cell r="B7944" t="str">
            <v>FG08048</v>
          </cell>
          <cell r="C7944" t="str">
            <v>DELABACT (CLOTRIMAZOLE) POUDRE **50GM**</v>
          </cell>
        </row>
        <row r="7945">
          <cell r="B7945" t="str">
            <v>FG08049</v>
          </cell>
          <cell r="C7945" t="str">
            <v>DELABACT (CLOTRIMAZOLE) POUDRE ###100GM###</v>
          </cell>
        </row>
        <row r="7946">
          <cell r="B7946" t="str">
            <v>FG08053</v>
          </cell>
          <cell r="C7946" t="str">
            <v>MELANGEUR VORTEX - BICARB</v>
          </cell>
        </row>
        <row r="7947">
          <cell r="B7947" t="str">
            <v>FG08054</v>
          </cell>
          <cell r="C7947" t="str">
            <v>SYSTEME DE TRAITEMENT D'EAU 500 LPH</v>
          </cell>
        </row>
        <row r="7948">
          <cell r="B7948" t="str">
            <v>FG08055</v>
          </cell>
          <cell r="C7948" t="str">
            <v>APPAREIL DE DIALYSE</v>
          </cell>
        </row>
        <row r="7949">
          <cell r="B7949" t="str">
            <v>FG08056</v>
          </cell>
          <cell r="C7949" t="str">
            <v>UNISANG (TONIQUE ANTI-ANEMIQUE) SIROP 200ML</v>
          </cell>
        </row>
        <row r="7950">
          <cell r="B7950" t="str">
            <v>FG08057</v>
          </cell>
          <cell r="C7950" t="str">
            <v>UNIFORCE (TONIQUE) SIROP 200ML</v>
          </cell>
        </row>
        <row r="7951">
          <cell r="B7951" t="str">
            <v>FG08058</v>
          </cell>
          <cell r="C7951" t="str">
            <v>HIFER-Z (FER+VIT.B9+B COM.+ZINC) GOUTTE 30ML</v>
          </cell>
        </row>
        <row r="7952">
          <cell r="B7952" t="str">
            <v>FG08059</v>
          </cell>
          <cell r="C7952" t="str">
            <v>UNIMOL (SOULAGEMENT DE LA DOULEUR MUSCULAIRE) GEL 30G</v>
          </cell>
        </row>
        <row r="7953">
          <cell r="B7953" t="str">
            <v>FG08060</v>
          </cell>
          <cell r="C7953" t="str">
            <v>GAVISIL (ANTIACIDE ET ALGINATE) B/24 SACHETS DE 10ML</v>
          </cell>
        </row>
        <row r="7954">
          <cell r="B7954" t="str">
            <v>FG08061</v>
          </cell>
          <cell r="C7954" t="str">
            <v>PRESERVATIF BONNE NUIT (CLASSIC) B/24X3</v>
          </cell>
        </row>
        <row r="7955">
          <cell r="B7955" t="str">
            <v>FG08062</v>
          </cell>
          <cell r="C7955" t="str">
            <v>PRESERVATIF CHAMPION B/50 PCS</v>
          </cell>
        </row>
        <row r="7956">
          <cell r="B7956" t="str">
            <v>FG08063</v>
          </cell>
          <cell r="C7956" t="str">
            <v>PROGUT (SPORES DE BACILLIUS CLAUSII 2 MILLIARDS/ 5ML) B/10X5ML SOL. BUV. SUSP</v>
          </cell>
        </row>
        <row r="7957">
          <cell r="B7957" t="str">
            <v>FG08064</v>
          </cell>
          <cell r="C7957" t="str">
            <v>UD3 60000IU (CHOLECALCIFEROL) B/4X5ML SOL. BUV.</v>
          </cell>
        </row>
        <row r="7958">
          <cell r="B7958" t="str">
            <v>FG08065</v>
          </cell>
          <cell r="C7958" t="str">
            <v>UNIDENT (POTASSIUM, FLUOR, TRICLOSAN) GEL DENTAIRE 100G</v>
          </cell>
        </row>
        <row r="7959">
          <cell r="B7959" t="str">
            <v>FG08066</v>
          </cell>
          <cell r="C7959" t="str">
            <v>SENSODRIL (FLUORURE STANNEUX GEL - TRAITEMENT PREVENTIF) GEL DENTAIRE 120G</v>
          </cell>
        </row>
        <row r="7960">
          <cell r="B7960" t="str">
            <v>FG08067</v>
          </cell>
          <cell r="C7960" t="str">
            <v>MOUSTICARE CREME (ANTI-MOUSTIQUE) 50G</v>
          </cell>
        </row>
        <row r="7961">
          <cell r="B7961" t="str">
            <v>FG08068</v>
          </cell>
          <cell r="C7961" t="str">
            <v>MOUSTICARE SPRAY (ANTI-MOUSTIQUE) 100ML</v>
          </cell>
        </row>
        <row r="7962">
          <cell r="B7962" t="str">
            <v>FG08069</v>
          </cell>
          <cell r="C7962" t="str">
            <v>A TO Z-HPV (POLYVITAMINE) GOUTTE DE 20ML</v>
          </cell>
        </row>
        <row r="7963">
          <cell r="B7963" t="str">
            <v>FG08070</v>
          </cell>
          <cell r="C7963" t="str">
            <v>POWER ACTION 650 (PARA.+CAF.+ASP.) B/55X2 CES</v>
          </cell>
        </row>
        <row r="7964">
          <cell r="B7964" t="str">
            <v>FG08071</v>
          </cell>
          <cell r="C7964" t="str">
            <v>MUCOPECT (ANTITUSSIF) EXP PED. SIROP 100ML</v>
          </cell>
        </row>
        <row r="7965">
          <cell r="B7965" t="str">
            <v>FG08072</v>
          </cell>
          <cell r="C7965" t="str">
            <v>MUCOPECT (ANTITUSSIF) EXP ADULT SIROP 100ML</v>
          </cell>
        </row>
        <row r="7966">
          <cell r="B7966" t="str">
            <v>FG08074</v>
          </cell>
          <cell r="C7966" t="str">
            <v>CADRE DE TRACTION ORTHO -TABLE D'OPÉRATION, UNITE</v>
          </cell>
        </row>
        <row r="7967">
          <cell r="B7967" t="str">
            <v>FG08075</v>
          </cell>
          <cell r="C7967" t="str">
            <v>FAUTEUILS DE PRÉLÈVEMENTS SANGUIN</v>
          </cell>
        </row>
        <row r="7968">
          <cell r="B7968" t="str">
            <v>FG08076</v>
          </cell>
          <cell r="C7968" t="str">
            <v>METRE DE HAUTEUR DE 200CM</v>
          </cell>
        </row>
        <row r="7969">
          <cell r="B7969" t="str">
            <v>FG08077</v>
          </cell>
          <cell r="C7969" t="str">
            <v>RADIO - CASSETTE 18*24CM, UNITE</v>
          </cell>
        </row>
        <row r="7970">
          <cell r="B7970" t="str">
            <v>FG08078</v>
          </cell>
          <cell r="C7970" t="str">
            <v>RADIO - CASSETTE 24*30CM, UNITE</v>
          </cell>
        </row>
        <row r="7971">
          <cell r="B7971" t="str">
            <v>FG08079</v>
          </cell>
          <cell r="C7971" t="str">
            <v>RADIO - CASSETTE 30*40CM, UNITE</v>
          </cell>
        </row>
        <row r="7972">
          <cell r="B7972" t="str">
            <v>FG08080</v>
          </cell>
          <cell r="C7972" t="str">
            <v>RADIO - CASSETTE 35*35CM, UNITE</v>
          </cell>
        </row>
        <row r="7973">
          <cell r="B7973" t="str">
            <v>FG08081</v>
          </cell>
          <cell r="C7973" t="str">
            <v>RADIO - CASSETTE 35*43CM, UNITE</v>
          </cell>
        </row>
        <row r="7974">
          <cell r="B7974" t="str">
            <v>FG08082</v>
          </cell>
          <cell r="C7974" t="str">
            <v>SYSTÈME DRAINAGE 2L, UNITE</v>
          </cell>
        </row>
        <row r="7975">
          <cell r="B7975" t="str">
            <v>FG08083</v>
          </cell>
          <cell r="C7975" t="str">
            <v>BOUCLES D'INOCULATION AVEC FIL NICHROME DE 0.5 MM, PC (QTY:1000)</v>
          </cell>
        </row>
        <row r="7976">
          <cell r="B7976" t="str">
            <v>FG08084</v>
          </cell>
          <cell r="C7976" t="str">
            <v>OPTHA - LENTILLES AVEC LUNETTES D’ESSAI 266PCS, BOITE</v>
          </cell>
        </row>
        <row r="7977">
          <cell r="B7977" t="str">
            <v>FG08085</v>
          </cell>
          <cell r="C7977" t="str">
            <v>AGRAFEUSE DE CIRCONCISION EN FORME DE TIRE BOUCHON JETABLE, PC</v>
          </cell>
        </row>
        <row r="7978">
          <cell r="B7978" t="str">
            <v>FG08086</v>
          </cell>
          <cell r="C7978" t="str">
            <v>OPENER BIER BACHELO</v>
          </cell>
        </row>
        <row r="7979">
          <cell r="B7979" t="str">
            <v>FG08087</v>
          </cell>
          <cell r="C7979" t="str">
            <v>CLIP BOARD</v>
          </cell>
        </row>
        <row r="7980">
          <cell r="B7980" t="str">
            <v>FG08088</v>
          </cell>
          <cell r="C7980" t="str">
            <v>HOSPITAL BED MANUAL ABS ONE CRANK ML-M013-W</v>
          </cell>
        </row>
        <row r="7981">
          <cell r="B7981" t="str">
            <v>FG08091</v>
          </cell>
          <cell r="C7981" t="str">
            <v>STERIMAR BEBE SOL NASAL 100ML(FR)</v>
          </cell>
        </row>
        <row r="7982">
          <cell r="B7982" t="str">
            <v>FG08092</v>
          </cell>
          <cell r="C7982" t="str">
            <v>TDR - MONKEY POX AG - - CASSETTE - SWAB, B/20 TEST</v>
          </cell>
        </row>
        <row r="7983">
          <cell r="B7983" t="str">
            <v>FG08093</v>
          </cell>
          <cell r="C7983" t="str">
            <v>SP - HALOGEN LAMP BIOCHEMISTRY DP-C16</v>
          </cell>
        </row>
        <row r="7984">
          <cell r="B7984" t="str">
            <v>FG08094</v>
          </cell>
          <cell r="C7984" t="str">
            <v>SP - 1001 RBC CHAMBER ASSEMBLY</v>
          </cell>
        </row>
        <row r="7985">
          <cell r="B7985" t="str">
            <v>FG08095</v>
          </cell>
          <cell r="C7985" t="str">
            <v>SP - RBC APERTURE</v>
          </cell>
        </row>
        <row r="7986">
          <cell r="B7986" t="str">
            <v>FG08096</v>
          </cell>
          <cell r="C7986" t="str">
            <v>SP - 2-WAY VALVE（S）-（SMC）</v>
          </cell>
        </row>
        <row r="7987">
          <cell r="B7987" t="str">
            <v>FG08097</v>
          </cell>
          <cell r="C7987" t="str">
            <v>SP - 3-WAY VALVE（L）-（SMC）</v>
          </cell>
        </row>
        <row r="7988">
          <cell r="B7988" t="str">
            <v>FG08102</v>
          </cell>
          <cell r="C7988" t="str">
            <v>ANTIGRIP SIROP 100ML</v>
          </cell>
        </row>
        <row r="7989">
          <cell r="B7989" t="str">
            <v>FG08103</v>
          </cell>
          <cell r="C7989" t="str">
            <v>ARODERM GEL DOUCHE COCO MIX 1LTR</v>
          </cell>
        </row>
        <row r="7990">
          <cell r="B7990" t="str">
            <v>FG08104</v>
          </cell>
          <cell r="C7990" t="str">
            <v>ARODERM SAVO LIQUID 500ML</v>
          </cell>
        </row>
        <row r="7991">
          <cell r="B7991" t="str">
            <v>FG08105</v>
          </cell>
          <cell r="C7991" t="str">
            <v>ARODERME POUDRE CITRON ****500MG*****</v>
          </cell>
        </row>
        <row r="7992">
          <cell r="B7992" t="str">
            <v>FG08106</v>
          </cell>
          <cell r="C7992" t="str">
            <v>ARODERME PUDRE CITRON 200GR</v>
          </cell>
        </row>
        <row r="7993">
          <cell r="B7993" t="str">
            <v>FG08107</v>
          </cell>
          <cell r="C7993" t="str">
            <v>CALBON PLUS 200ML SP 1FL</v>
          </cell>
        </row>
        <row r="7994">
          <cell r="B7994" t="str">
            <v>FG08108</v>
          </cell>
          <cell r="C7994" t="str">
            <v>CHLORINE 250ML 1FL</v>
          </cell>
        </row>
        <row r="7995">
          <cell r="B7995" t="str">
            <v>FG08109</v>
          </cell>
          <cell r="C7995" t="str">
            <v>CLAIRESEME GEL DOUCHE 1LTR (COCO-CAROTTE)</v>
          </cell>
        </row>
        <row r="7996">
          <cell r="B7996" t="str">
            <v>FG08110</v>
          </cell>
          <cell r="C7996" t="str">
            <v>EFICEF (CEFIXIME) SUSPENSION 60ML</v>
          </cell>
        </row>
        <row r="7997">
          <cell r="B7997" t="str">
            <v>FG08111</v>
          </cell>
          <cell r="C7997" t="str">
            <v>FAST QUICK B/10 CES</v>
          </cell>
        </row>
        <row r="7998">
          <cell r="B7998" t="str">
            <v>FG08112</v>
          </cell>
          <cell r="C7998" t="str">
            <v>NECLAZ M FORTE B/30 CES</v>
          </cell>
        </row>
        <row r="7999">
          <cell r="B7999" t="str">
            <v>FG08113</v>
          </cell>
          <cell r="C7999" t="str">
            <v>ROSUMEX-AS 10/75MG B/30CES</v>
          </cell>
        </row>
        <row r="8000">
          <cell r="B8000" t="str">
            <v>FG08114</v>
          </cell>
          <cell r="C8000" t="str">
            <v>PRORAPID B/10 CES</v>
          </cell>
        </row>
        <row r="8001">
          <cell r="B8001" t="str">
            <v>FG08115</v>
          </cell>
          <cell r="C8001" t="str">
            <v>SIFA COLD 2 X 10 CAPS</v>
          </cell>
        </row>
        <row r="8002">
          <cell r="B8002" t="str">
            <v>FG08116</v>
          </cell>
          <cell r="C8002" t="str">
            <v>XENTOL SAVON LIQUID 500ML (CITRON/CAROT)</v>
          </cell>
        </row>
        <row r="8003">
          <cell r="B8003" t="str">
            <v>FG08117</v>
          </cell>
          <cell r="C8003" t="str">
            <v>NAMECOLD GUTTE 05%</v>
          </cell>
        </row>
        <row r="8004">
          <cell r="B8004" t="str">
            <v>FG08118</v>
          </cell>
          <cell r="C8004" t="str">
            <v>NAOMI FRESH LEMON SAVON 150GM</v>
          </cell>
        </row>
        <row r="8005">
          <cell r="B8005" t="str">
            <v>FG08119</v>
          </cell>
          <cell r="C8005" t="str">
            <v>NAOMI LOTION 30ML</v>
          </cell>
        </row>
        <row r="8006">
          <cell r="B8006" t="str">
            <v>FG08120</v>
          </cell>
          <cell r="C8006" t="str">
            <v>DR RAPID 10 CES</v>
          </cell>
        </row>
        <row r="8007">
          <cell r="B8007" t="str">
            <v>FG08121</v>
          </cell>
          <cell r="C8007" t="str">
            <v>DAVIBU PLUS CES B/10CES</v>
          </cell>
        </row>
        <row r="8008">
          <cell r="B8008" t="str">
            <v>FG08122</v>
          </cell>
          <cell r="C8008" t="str">
            <v>ALVITYL SP 100ML (FR)</v>
          </cell>
        </row>
        <row r="8009">
          <cell r="B8009" t="str">
            <v>FG08123</v>
          </cell>
          <cell r="C8009" t="str">
            <v>NEOMDEXSOL COLLYER 5 ML</v>
          </cell>
        </row>
        <row r="8010">
          <cell r="B8010" t="str">
            <v>FG08264</v>
          </cell>
          <cell r="C8010" t="str">
            <v>BOITE PETRI VERRE BOROSILICATE 3.3 50X17MM Ø100 MM</v>
          </cell>
        </row>
        <row r="8011">
          <cell r="B8011" t="str">
            <v>FG08265</v>
          </cell>
          <cell r="C8011" t="str">
            <v>SONDE ECO 6 CONVEX С3-А 2.5MHZ-5.0MHZ, UNITE</v>
          </cell>
        </row>
        <row r="8012">
          <cell r="B8012" t="str">
            <v>FG08266</v>
          </cell>
          <cell r="C8012" t="str">
            <v>SONDE ECO 6 TRANSVAGINAL V6-A 4.5MHZ-8.0MHZ, UNITE</v>
          </cell>
        </row>
        <row r="8013">
          <cell r="B8013" t="str">
            <v>FG08267</v>
          </cell>
          <cell r="C8013" t="str">
            <v>SONDE ECO 6 PHASED ARRAY P3-A 2.5MHZ-4.5MHZ, UNITE</v>
          </cell>
        </row>
        <row r="8014">
          <cell r="B8014" t="str">
            <v>FG08268</v>
          </cell>
          <cell r="C8014" t="str">
            <v>SONDE ECO 6 LINEAR L7M-A 5.3MHZ-10.0MHZ, UNITE</v>
          </cell>
        </row>
        <row r="8015">
          <cell r="B8015" t="str">
            <v>FG08269</v>
          </cell>
          <cell r="C8015" t="str">
            <v>ÉLECTRODES POUR ÉLECTROSTIMULATEUR TENS EMS</v>
          </cell>
        </row>
        <row r="8016">
          <cell r="B8016" t="str">
            <v>FG08270</v>
          </cell>
          <cell r="C8016" t="str">
            <v>MONITEUR FOETAL - CARDIOTOCOGRAPHE GEMELLAIRE - T 10</v>
          </cell>
        </row>
        <row r="8017">
          <cell r="B8017" t="str">
            <v>FG08271</v>
          </cell>
          <cell r="C8017" t="str">
            <v>TUBES VACUTAINER (ROUGE) ACTIV-COA VERRE 13*75, 4ML, B/100PCS</v>
          </cell>
        </row>
        <row r="8018">
          <cell r="B8018" t="str">
            <v>FG08272</v>
          </cell>
          <cell r="C8018" t="str">
            <v>TUBES VACUTAINER (BLEU) EDTA K2/K3, PET 13*75, 4ML, B/100PCS</v>
          </cell>
        </row>
        <row r="8019">
          <cell r="B8019" t="str">
            <v>FG08273</v>
          </cell>
          <cell r="C8019" t="str">
            <v>MOBILE STAND</v>
          </cell>
        </row>
        <row r="8020">
          <cell r="B8020" t="str">
            <v>FG08274</v>
          </cell>
          <cell r="C8020" t="str">
            <v>PPERFUME WITH PLASTIC BOX</v>
          </cell>
        </row>
        <row r="8021">
          <cell r="B8021" t="str">
            <v>FG08275</v>
          </cell>
          <cell r="C8021" t="str">
            <v>ASPIRATEUR CHIRURGICAL PORTABLE - MANUEL MAIN</v>
          </cell>
        </row>
        <row r="8022">
          <cell r="B8022" t="str">
            <v>FG08276</v>
          </cell>
          <cell r="C8022" t="str">
            <v>TDR URINE -14T - BANDELETTE, B/100 TEST</v>
          </cell>
        </row>
        <row r="8023">
          <cell r="B8023" t="str">
            <v>FG08289</v>
          </cell>
          <cell r="C8023" t="str">
            <v>DUREX CLASSIC JEANS B/3</v>
          </cell>
        </row>
        <row r="8024">
          <cell r="B8024" t="str">
            <v>FG08290</v>
          </cell>
          <cell r="C8024" t="str">
            <v>DUREX ESSENTIAL B/10</v>
          </cell>
        </row>
        <row r="8025">
          <cell r="B8025" t="str">
            <v>FG08291</v>
          </cell>
          <cell r="C8025" t="str">
            <v>DUREX LOVE B/6</v>
          </cell>
        </row>
        <row r="8026">
          <cell r="B8026" t="str">
            <v>FG08292</v>
          </cell>
          <cell r="C8026" t="str">
            <v>DUREX NUDE EXTRA LUBRIF B/8</v>
          </cell>
        </row>
        <row r="8027">
          <cell r="B8027" t="str">
            <v>FG08293</v>
          </cell>
          <cell r="C8027" t="str">
            <v>DUREX NUDE ORIGINAL B/10</v>
          </cell>
        </row>
        <row r="8028">
          <cell r="B8028" t="str">
            <v>FG08294</v>
          </cell>
          <cell r="C8028" t="str">
            <v>DUREX NUDE SANS LATEX B/2</v>
          </cell>
        </row>
        <row r="8029">
          <cell r="B8029" t="str">
            <v>FG08295</v>
          </cell>
          <cell r="C8029" t="str">
            <v>DUREX NUDE XL B/2</v>
          </cell>
        </row>
        <row r="8030">
          <cell r="B8030" t="str">
            <v>FG08296</v>
          </cell>
          <cell r="C8030" t="str">
            <v>DUREX ORGASM INTENSE B/10</v>
          </cell>
        </row>
        <row r="8031">
          <cell r="B8031" t="str">
            <v>FG08297</v>
          </cell>
          <cell r="C8031" t="str">
            <v>DUREX PLEASURE ULTRA B/2</v>
          </cell>
        </row>
        <row r="8032">
          <cell r="B8032" t="str">
            <v>FG08298</v>
          </cell>
          <cell r="C8032" t="str">
            <v>DUREX SEXY FRAISE B/12</v>
          </cell>
        </row>
        <row r="8033">
          <cell r="B8033" t="str">
            <v>FG08299</v>
          </cell>
          <cell r="C8033" t="str">
            <v>FEELING EXTRA B/12</v>
          </cell>
        </row>
        <row r="8034">
          <cell r="B8034" t="str">
            <v>FG08300</v>
          </cell>
          <cell r="C8034" t="str">
            <v>FEELING XL B/10</v>
          </cell>
        </row>
        <row r="8035">
          <cell r="B8035" t="str">
            <v>FG08307</v>
          </cell>
          <cell r="C8035" t="str">
            <v>ARINATE 60MG (ARTESUNATE) INJ.B/1 KIT</v>
          </cell>
        </row>
        <row r="8036">
          <cell r="B8036" t="str">
            <v>FG08308</v>
          </cell>
          <cell r="C8036" t="str">
            <v>ARINATE *120MG* (ARTESUNATE) INJ.B/1 KIT</v>
          </cell>
        </row>
        <row r="8037">
          <cell r="B8037" t="str">
            <v>FG08316</v>
          </cell>
          <cell r="C8037" t="str">
            <v>LECTEUR DE LIPIDES, UNITE</v>
          </cell>
        </row>
        <row r="8038">
          <cell r="B8038" t="str">
            <v>FG08317</v>
          </cell>
          <cell r="C8038" t="str">
            <v>BANDELETTE DE LIPIDES, 25/BOITE</v>
          </cell>
        </row>
        <row r="8039">
          <cell r="B8039" t="str">
            <v>FG08318</v>
          </cell>
          <cell r="C8039" t="str">
            <v>SONDE CBIT 7 PHASE ARRAY</v>
          </cell>
        </row>
        <row r="8040">
          <cell r="B8040" t="str">
            <v>FG08346</v>
          </cell>
          <cell r="C8040" t="str">
            <v>GEL DESINECTANT ALCOOLISE 76%,500 ML</v>
          </cell>
        </row>
        <row r="8041">
          <cell r="B8041" t="str">
            <v>FG08347</v>
          </cell>
          <cell r="C8041" t="str">
            <v>TABLEAU GYNÉCOLOGIQUE-MC-C08</v>
          </cell>
        </row>
        <row r="8042">
          <cell r="B8042" t="str">
            <v>FG08348</v>
          </cell>
          <cell r="C8042" t="str">
            <v>TABLEAU GYNÉCOLOGIQUE-MC-C06</v>
          </cell>
        </row>
        <row r="8043">
          <cell r="B8043" t="str">
            <v>FG08349</v>
          </cell>
          <cell r="C8043" t="str">
            <v>TABLEAU GYNÉCOLOGIQUE-MC-C05</v>
          </cell>
        </row>
        <row r="8044">
          <cell r="B8044" t="str">
            <v>FG08350</v>
          </cell>
          <cell r="C8044" t="str">
            <v>TABLEAU GYNÉCOLOGIQUE-MC-C04</v>
          </cell>
        </row>
        <row r="8045">
          <cell r="B8045" t="str">
            <v>FG08351</v>
          </cell>
          <cell r="C8045" t="str">
            <v>PAPIER BUVARD</v>
          </cell>
        </row>
        <row r="8046">
          <cell r="B8046" t="str">
            <v>FG08353</v>
          </cell>
          <cell r="C8046" t="str">
            <v>REFRIGERATEUR DE LABORATOIRE 2 à 8 DEGRES - 238L</v>
          </cell>
        </row>
        <row r="8047">
          <cell r="B8047" t="str">
            <v>FG08354</v>
          </cell>
          <cell r="C8047" t="str">
            <v>BALANCE DE PRECISION LABORATOIRE 800G - 0.001G</v>
          </cell>
        </row>
        <row r="8048">
          <cell r="B8048" t="str">
            <v>FG08355</v>
          </cell>
          <cell r="C8048" t="str">
            <v>AGITATEUR DES PLAQUETTES-AGT-B48</v>
          </cell>
        </row>
        <row r="8049">
          <cell r="B8049" t="str">
            <v>FG08356</v>
          </cell>
          <cell r="C8049" t="str">
            <v>CONGELATEUR POUR PLASMA SANGUIN (-40°C)-362L</v>
          </cell>
        </row>
        <row r="8050">
          <cell r="B8050" t="str">
            <v>FG08400</v>
          </cell>
          <cell r="C8050" t="str">
            <v>DIAGLIZ 10MG (DAPAGLIFLOZINE) B/2X14 CES</v>
          </cell>
        </row>
        <row r="8051">
          <cell r="B8051" t="str">
            <v>FG08401</v>
          </cell>
          <cell r="C8051" t="str">
            <v>DIAGLIZ-M 5/1000 (DAPAGLIFLOZINE+MATFOR) B/4X7 CES</v>
          </cell>
        </row>
        <row r="8052">
          <cell r="B8052" t="str">
            <v>FG08402</v>
          </cell>
          <cell r="C8052" t="str">
            <v>PEN WITH MAGNATIC BOX</v>
          </cell>
        </row>
        <row r="8053">
          <cell r="B8053" t="str">
            <v>FG08403</v>
          </cell>
          <cell r="C8053" t="str">
            <v>DISTRIBUTEUR DE DISQUES ANTIBIOTIQUES 8 TROUS, UNITE</v>
          </cell>
        </row>
        <row r="8054">
          <cell r="B8054" t="str">
            <v>FG08404</v>
          </cell>
          <cell r="C8054" t="str">
            <v>DISPOSITIF DE SAUVETAGE D'ETOUFFEMENT AUTOMATIQUE, UNITE</v>
          </cell>
        </row>
        <row r="8055">
          <cell r="B8055" t="str">
            <v>FG08405</v>
          </cell>
          <cell r="C8055" t="str">
            <v>DISPOSITIF DE SAUVETAGE D'ETOUFFEMENT MANUEL, UNITE</v>
          </cell>
        </row>
        <row r="8056">
          <cell r="B8056" t="str">
            <v>FG08406</v>
          </cell>
          <cell r="C8056" t="str">
            <v>DETECTEUR DE VEINES AVEC SUPPORT MOBILE, UNITE</v>
          </cell>
        </row>
        <row r="8057">
          <cell r="B8057" t="str">
            <v>FG08407</v>
          </cell>
          <cell r="C8057" t="str">
            <v>VIDEO-LARYNGOSCOPE A 4 LAMES, UNITE</v>
          </cell>
        </row>
        <row r="8058">
          <cell r="B8058" t="str">
            <v>FG08408</v>
          </cell>
          <cell r="C8058" t="str">
            <v>AMTAQUE 10MG (AMLODIPINE) B/30CES</v>
          </cell>
        </row>
        <row r="8059">
          <cell r="B8059" t="str">
            <v>FG08409</v>
          </cell>
          <cell r="C8059" t="str">
            <v>AMTAQUE 5MG (AMLODIPINE) B/30CES</v>
          </cell>
        </row>
        <row r="8060">
          <cell r="B8060" t="str">
            <v>FG08410</v>
          </cell>
          <cell r="C8060" t="str">
            <v>XXX</v>
          </cell>
        </row>
        <row r="8061">
          <cell r="B8061" t="str">
            <v>FG08411</v>
          </cell>
          <cell r="C8061" t="str">
            <v>CLAVIQUE (CLOPIDOGREL75MG+ASPIRIN75MG) B/30CES</v>
          </cell>
        </row>
        <row r="8062">
          <cell r="B8062" t="str">
            <v>FG08412</v>
          </cell>
          <cell r="C8062" t="str">
            <v>URYL (GLIMEPIRIDE+METFORMIN) B/30CES</v>
          </cell>
        </row>
        <row r="8063">
          <cell r="B8063" t="str">
            <v>FG08413</v>
          </cell>
          <cell r="C8063" t="str">
            <v>L-ORNITHINE 10ML</v>
          </cell>
        </row>
        <row r="8064">
          <cell r="B8064" t="str">
            <v>FG08414</v>
          </cell>
          <cell r="C8064" t="str">
            <v>NANDROLONE DECANOATE 50MG 10ML</v>
          </cell>
        </row>
        <row r="8065">
          <cell r="B8065" t="str">
            <v>FG08415</v>
          </cell>
          <cell r="C8065" t="str">
            <v>ORLISTAT 60MG B/10CES</v>
          </cell>
        </row>
        <row r="8066">
          <cell r="B8066" t="str">
            <v>FG08416</v>
          </cell>
          <cell r="C8066" t="str">
            <v>MOAMI CREAM 50GM</v>
          </cell>
        </row>
        <row r="8067">
          <cell r="B8067" t="str">
            <v>FG08417</v>
          </cell>
          <cell r="C8067" t="str">
            <v>KETOMIZ (KETOCONAZOLE) 2% CREAM 15GM</v>
          </cell>
        </row>
        <row r="8068">
          <cell r="B8068" t="str">
            <v>FG08418</v>
          </cell>
          <cell r="C8068" t="str">
            <v>KETOMIZ (KETOCONAZOLE) 2% CREAM 30GM</v>
          </cell>
        </row>
        <row r="8069">
          <cell r="B8069" t="str">
            <v>FG08423</v>
          </cell>
          <cell r="C8069" t="str">
            <v>UNIGEST (COMPLEMENT PRENATAL) GELULES B/3X10</v>
          </cell>
        </row>
        <row r="8070">
          <cell r="B8070" t="str">
            <v>FG08432</v>
          </cell>
          <cell r="C8070" t="str">
            <v>SP - AUTOCLAVE TM-XB20J, HEATER COIL</v>
          </cell>
        </row>
        <row r="8071">
          <cell r="B8071" t="str">
            <v>FG08433</v>
          </cell>
          <cell r="C8071" t="str">
            <v>TENSIOMETRE DIGITEL B/1PCS - OMRON</v>
          </cell>
        </row>
        <row r="8072">
          <cell r="B8072" t="str">
            <v>FG08434</v>
          </cell>
          <cell r="C8072" t="str">
            <v>RADIO - FILM, VERT, 35*35CM, B/100</v>
          </cell>
        </row>
        <row r="8073">
          <cell r="B8073" t="str">
            <v>FG08435</v>
          </cell>
          <cell r="C8073" t="str">
            <v>RADIO - FILM, VERT, 30*40CM, B/100</v>
          </cell>
        </row>
        <row r="8074">
          <cell r="B8074" t="str">
            <v>FG08436</v>
          </cell>
          <cell r="C8074" t="str">
            <v>RADIO - FILM, VERT, 24*30CM, B/100</v>
          </cell>
        </row>
        <row r="8075">
          <cell r="B8075" t="str">
            <v>FG08437</v>
          </cell>
          <cell r="C8075" t="str">
            <v>RADIO - FILM, VERT, 18*24CM, B/100</v>
          </cell>
        </row>
        <row r="8076">
          <cell r="B8076" t="str">
            <v>FG08438</v>
          </cell>
          <cell r="C8076" t="str">
            <v>CHAMP OPERATOIRE POUR CÉSARIENNE, PC</v>
          </cell>
        </row>
        <row r="8077">
          <cell r="B8077" t="str">
            <v>FG08439</v>
          </cell>
          <cell r="C8077" t="str">
            <v>CHAMP OPERATOIRE POUR LAPAROTOMIE/ABDOMINALE, PC</v>
          </cell>
        </row>
        <row r="8078">
          <cell r="B8078" t="str">
            <v>FG08440</v>
          </cell>
          <cell r="C8078" t="str">
            <v>ADJUSTABLE MICROPIPETTE (VOL. 0.5-10)AUTOCLAVABLE</v>
          </cell>
        </row>
        <row r="8079">
          <cell r="B8079" t="str">
            <v>FG08441</v>
          </cell>
          <cell r="C8079" t="str">
            <v>INS - CISEAUX DUBOST DROITS 23CM, UNITE</v>
          </cell>
        </row>
        <row r="8080">
          <cell r="B8080" t="str">
            <v>FG08442</v>
          </cell>
          <cell r="C8080" t="str">
            <v>INS - KELLY-RANKIN HEMOSTATIC FORCEPS, STRAIGHT, 16CM, UNITE</v>
          </cell>
        </row>
        <row r="8081">
          <cell r="B8081" t="str">
            <v>FG08443</v>
          </cell>
          <cell r="C8081" t="str">
            <v>INS - LANE TOWEL CLAMP 19.5CM, UNITE</v>
          </cell>
        </row>
        <row r="8082">
          <cell r="B8082" t="str">
            <v>FG08444</v>
          </cell>
          <cell r="C8082" t="str">
            <v>INS - BACKHAUS TOWEL CLAMP - 13.5CM, UNITE</v>
          </cell>
        </row>
        <row r="8083">
          <cell r="B8083" t="str">
            <v>FG08445</v>
          </cell>
          <cell r="C8083" t="str">
            <v>INS - J.L FAURE FORCEPS CURVED 1X2 TEETH 22CM, UNITE</v>
          </cell>
        </row>
        <row r="8084">
          <cell r="B8084" t="str">
            <v>FG08446</v>
          </cell>
          <cell r="C8084" t="str">
            <v>INS - KELLY FORCEPS, CURVED, 18CM, UNITE</v>
          </cell>
        </row>
        <row r="8085">
          <cell r="B8085" t="str">
            <v>FG08447</v>
          </cell>
          <cell r="C8085" t="str">
            <v>INS - FARABEUF RETRACTOR SET, ADULT, 15CM, SET OF 2</v>
          </cell>
        </row>
        <row r="8086">
          <cell r="B8086" t="str">
            <v>FG08448</v>
          </cell>
          <cell r="C8086" t="str">
            <v>INS - GOSSET ABDOMINAL RETRACTOR, 16.5CM, UNITE</v>
          </cell>
        </row>
        <row r="8087">
          <cell r="B8087" t="str">
            <v>FG08449</v>
          </cell>
          <cell r="C8087" t="str">
            <v>BOITE - GRANDE ORTHOPEDIE</v>
          </cell>
        </row>
        <row r="8088">
          <cell r="B8088" t="str">
            <v>FG08450</v>
          </cell>
          <cell r="C8088" t="str">
            <v>BOITE ORTHOPEDIE - MEMBRES SUPERIEURS</v>
          </cell>
        </row>
        <row r="8089">
          <cell r="B8089" t="str">
            <v>FG08451</v>
          </cell>
          <cell r="C8089" t="str">
            <v>BOITE ORTHOPEDIE - MEMBRES INFERIEURS</v>
          </cell>
        </row>
        <row r="8090">
          <cell r="B8090" t="str">
            <v>FG08452</v>
          </cell>
          <cell r="C8090" t="str">
            <v>BOITE POUR AMPUTATION</v>
          </cell>
        </row>
        <row r="8091">
          <cell r="B8091" t="str">
            <v>FG08453</v>
          </cell>
          <cell r="C8091" t="str">
            <v>INS - DARTIGUES UTERINE ELEVATING FORCEPS, 25.5CM, UNITE</v>
          </cell>
        </row>
        <row r="8092">
          <cell r="B8092" t="str">
            <v>FG08454</v>
          </cell>
          <cell r="C8092" t="str">
            <v>UNIRAL (SRO) GOUT NATURE 450ML (FRANCE)</v>
          </cell>
        </row>
        <row r="8093">
          <cell r="B8093" t="str">
            <v>FG08455</v>
          </cell>
          <cell r="C8093" t="str">
            <v>UNIRAL (SRO) GOUT MULTIFRUIT 450ML (FRANCE)</v>
          </cell>
        </row>
        <row r="8094">
          <cell r="B8094" t="str">
            <v>FG08456</v>
          </cell>
          <cell r="C8094" t="str">
            <v>UNIRAL (SRO) GOUT COCO 450ML (FRANCE)</v>
          </cell>
        </row>
        <row r="8095">
          <cell r="B8095" t="str">
            <v>FG08457</v>
          </cell>
          <cell r="C8095" t="str">
            <v>FRAIS DE DOSSIER</v>
          </cell>
        </row>
        <row r="8096">
          <cell r="B8096" t="str">
            <v>FG08458</v>
          </cell>
          <cell r="C8096" t="str">
            <v>MOX 400MG (MOXIFLOXACIN) PERFUSION 100ML</v>
          </cell>
        </row>
        <row r="8097">
          <cell r="B8097" t="str">
            <v>FG08459</v>
          </cell>
          <cell r="C8097" t="str">
            <v>ELECTRORAL ORS 200ML PRET A L’EMPLOI</v>
          </cell>
        </row>
        <row r="8098">
          <cell r="B8098" t="str">
            <v>FG08461</v>
          </cell>
          <cell r="C8098" t="str">
            <v>APILTOX 2.5MG (APIXABAN) B/2X14 CES</v>
          </cell>
        </row>
        <row r="8099">
          <cell r="B8099" t="str">
            <v>FG08462</v>
          </cell>
          <cell r="C8099" t="str">
            <v>APILTOX *5MG* (APIXABAN) B/2X14 CES</v>
          </cell>
        </row>
        <row r="8100">
          <cell r="B8100" t="str">
            <v>FG08463</v>
          </cell>
          <cell r="C8100" t="str">
            <v>EMPALIZ 10MG (EMPAGLIFLOZIN B/2X14 CES</v>
          </cell>
        </row>
        <row r="8101">
          <cell r="B8101" t="str">
            <v>FG08464</v>
          </cell>
          <cell r="C8101" t="str">
            <v>EMPALIZ *25MG* (EMPAGLIFLOZIN B/2X14 CES</v>
          </cell>
        </row>
        <row r="8102">
          <cell r="B8102" t="str">
            <v>FG08465</v>
          </cell>
          <cell r="C8102" t="str">
            <v>EMPALIZ-M 5/1000MG (EMPA.+METF.) B/4X7 CES</v>
          </cell>
        </row>
        <row r="8103">
          <cell r="B8103" t="str">
            <v>FG08466</v>
          </cell>
          <cell r="C8103" t="str">
            <v>EMPALIZ-M *12.5*/1000MG (EMPA.+METF.) B/4X7 CES</v>
          </cell>
        </row>
        <row r="8104">
          <cell r="B8104" t="str">
            <v>FG08468</v>
          </cell>
          <cell r="C8104" t="str">
            <v>MOX-400 (MOXIFLOXACINE) B/5 CES</v>
          </cell>
        </row>
        <row r="8105">
          <cell r="B8105" t="str">
            <v>FG08469</v>
          </cell>
          <cell r="C8105" t="str">
            <v>CEFINIQUE-O (CEFIXIME 200MG+OFLOXACINE 200MG) B/10CES</v>
          </cell>
        </row>
        <row r="8106">
          <cell r="B8106" t="str">
            <v>FG08470</v>
          </cell>
          <cell r="C8106" t="str">
            <v>D-CORT 18MG (DEFLAZACORT) B/10 CES</v>
          </cell>
        </row>
        <row r="8107">
          <cell r="B8107" t="str">
            <v>FG08471</v>
          </cell>
          <cell r="C8107" t="str">
            <v>UNISERC-8 (BETAHISTINE) B/10 CES</v>
          </cell>
        </row>
        <row r="8108">
          <cell r="B8108" t="str">
            <v>FG08472</v>
          </cell>
          <cell r="C8108" t="str">
            <v>LINOQUE 600MG (LINEZOLIDE) B/2X7 CES</v>
          </cell>
        </row>
        <row r="8109">
          <cell r="B8109" t="str">
            <v>FG08473</v>
          </cell>
          <cell r="C8109" t="str">
            <v>CEFCLAV-625 (CEFUROXIME 500 MG + CLAV.POT 125MG) B/2X6CES</v>
          </cell>
        </row>
        <row r="8110">
          <cell r="B8110" t="str">
            <v>FG08474</v>
          </cell>
          <cell r="C8110" t="str">
            <v>IT-100 (ITRACONAZOLE) B/10 GELULE</v>
          </cell>
        </row>
        <row r="8111">
          <cell r="B8111" t="str">
            <v>FG08475</v>
          </cell>
          <cell r="C8111" t="str">
            <v>CERVOLINE 500MG (CITICOLINE) B/3X10CES</v>
          </cell>
        </row>
        <row r="8112">
          <cell r="B8112" t="str">
            <v>FG08476</v>
          </cell>
          <cell r="C8112" t="str">
            <v>INFLAMOR (TRYPSIN+BROMELAIN+RUTOSIDE+DICLOFENAC) B/10CES</v>
          </cell>
        </row>
        <row r="8113">
          <cell r="B8113" t="str">
            <v>FG08477</v>
          </cell>
          <cell r="C8113" t="str">
            <v>ALLONIC-300 (ALLOPURINOL) B/3X10 CES</v>
          </cell>
        </row>
        <row r="8114">
          <cell r="B8114" t="str">
            <v>FG08478</v>
          </cell>
          <cell r="C8114" t="str">
            <v>INDAREX-LP 1.5MG (INDAPAMIDE) B/3X10 CES</v>
          </cell>
        </row>
        <row r="8115">
          <cell r="B8115" t="str">
            <v>FG08479</v>
          </cell>
          <cell r="C8115" t="str">
            <v>ALLONIC-200 (ALLOPURINOL) B/3X10 CES</v>
          </cell>
        </row>
        <row r="8116">
          <cell r="B8116" t="str">
            <v>FG08480</v>
          </cell>
          <cell r="C8116" t="str">
            <v>ALLONIC-100 (ALLOPURINOL) B/3X10 CES</v>
          </cell>
        </row>
        <row r="8117">
          <cell r="B8117" t="str">
            <v>FG08481</v>
          </cell>
          <cell r="C8117" t="str">
            <v>MENOCALM-5 (NORETHISTERONE) B/10 CES</v>
          </cell>
        </row>
        <row r="8118">
          <cell r="B8118" t="str">
            <v>FG08482</v>
          </cell>
          <cell r="C8118" t="str">
            <v>SANODERM PLUS (CLO-OFLO-ITRA-ORNI) TUBE DE 15G</v>
          </cell>
        </row>
        <row r="8119">
          <cell r="B8119" t="str">
            <v>FG08483</v>
          </cell>
          <cell r="C8119" t="str">
            <v>GERMITTOL (NEO-CLOB-MICO) TUBE DE 10G</v>
          </cell>
        </row>
        <row r="8120">
          <cell r="B8120" t="str">
            <v>FG08484</v>
          </cell>
          <cell r="C8120" t="str">
            <v>CALMETRIX 25MG (AMITRIPTYLINE) B/3X10 CES</v>
          </cell>
        </row>
        <row r="8121">
          <cell r="B8121" t="str">
            <v>FG08485</v>
          </cell>
          <cell r="C8121" t="str">
            <v>RISPERA-2 (RISPERIDONE) B/3X10 CES</v>
          </cell>
        </row>
        <row r="8122">
          <cell r="B8122" t="str">
            <v>FG08486</v>
          </cell>
          <cell r="C8122" t="str">
            <v>VALSAC (SACUBITRIL 24 MG + VALSARTAN 26 MG) B/3X10 CES</v>
          </cell>
        </row>
        <row r="8123">
          <cell r="B8123" t="str">
            <v>FG08487</v>
          </cell>
          <cell r="C8123" t="str">
            <v>PERAM PLUS (PER-INDA-AMLO 10/2.5/10) B/3X10 CES</v>
          </cell>
        </row>
        <row r="8124">
          <cell r="B8124" t="str">
            <v>FG08488</v>
          </cell>
          <cell r="C8124" t="str">
            <v>PERAM 5/5 (PER-AMLO 5/5) B/3X10 CES</v>
          </cell>
        </row>
        <row r="8125">
          <cell r="B8125" t="str">
            <v>FG08489</v>
          </cell>
          <cell r="C8125" t="str">
            <v>PERAM 10/10 (PER-AMLO 10/10) B/3X10 CES</v>
          </cell>
        </row>
        <row r="8126">
          <cell r="B8126" t="str">
            <v>FG08490</v>
          </cell>
          <cell r="C8126" t="str">
            <v>BUCCOGEL (CHOLI-LIGNO-BENZA) GEL TUBE 10G</v>
          </cell>
        </row>
        <row r="8127">
          <cell r="B8127" t="str">
            <v>FG08491</v>
          </cell>
          <cell r="C8127" t="str">
            <v>PREGATAS-PLUS (MEC 1500 + ALA 100 + B1 10 + B6 3 + FA 1.5) B/1X10 CAPS</v>
          </cell>
        </row>
        <row r="8128">
          <cell r="B8128" t="str">
            <v>FG08492</v>
          </cell>
          <cell r="C8128" t="str">
            <v>KET-10 (KETOROLAC DISPERSIBLE) B/1X10 CES</v>
          </cell>
        </row>
        <row r="8129">
          <cell r="B8129" t="str">
            <v>FG08493</v>
          </cell>
          <cell r="C8129" t="str">
            <v>CEFRION-S 1.5MG (CEF-SUL 1G/0.5G) B/1 VIAL+EAU</v>
          </cell>
        </row>
        <row r="8130">
          <cell r="B8130" t="str">
            <v>FG08494</v>
          </cell>
          <cell r="C8130" t="str">
            <v>HALDOQUE-5 (HALOPERIDOL) B/3X10 CES</v>
          </cell>
        </row>
        <row r="8131">
          <cell r="B8131" t="str">
            <v>FG08495</v>
          </cell>
          <cell r="C8131" t="str">
            <v>BONNE-NUIT (LIDO+PRILO) GEL TUBE DE 10G</v>
          </cell>
        </row>
        <row r="8132">
          <cell r="B8132" t="str">
            <v>FG08496</v>
          </cell>
          <cell r="C8132" t="str">
            <v>LACTOSTOP (CABERGOLINE 0,5 MG) B/1X8 CES</v>
          </cell>
        </row>
        <row r="8133">
          <cell r="B8133" t="str">
            <v>FG08497</v>
          </cell>
          <cell r="C8133" t="str">
            <v>VALNA-500 (VALPROATE DE SODIUM) B/3X10 CES</v>
          </cell>
        </row>
        <row r="8134">
          <cell r="B8134" t="str">
            <v>FG08498</v>
          </cell>
          <cell r="C8134" t="str">
            <v>VALNA-200 (VALPROATE DE SODIUM) B/3X10 CES</v>
          </cell>
        </row>
        <row r="8135">
          <cell r="B8135" t="str">
            <v>FG08499</v>
          </cell>
          <cell r="C8135" t="str">
            <v>TELAM(40+10) (TELMISARTAN 40 MG + AMLODIPINE 10 MG) B/3X10 CES</v>
          </cell>
        </row>
        <row r="8136">
          <cell r="B8136" t="str">
            <v>FG08500</v>
          </cell>
          <cell r="C8136" t="str">
            <v>TELAM(80+10) (TELMISARTAN 80 MG + AMLODIPINE 10 MG) B/3X10 CES</v>
          </cell>
        </row>
        <row r="8137">
          <cell r="B8137" t="str">
            <v>FG08501</v>
          </cell>
          <cell r="C8137" t="str">
            <v>CEFINIQUE-CV 325 (CFIXIME 200 MG +CLAV 125 MG) B/1X10 CES</v>
          </cell>
        </row>
        <row r="8138">
          <cell r="B8138" t="str">
            <v>FG08502</v>
          </cell>
          <cell r="C8138" t="str">
            <v>CEFINIQUE-CV 525 (CFIXIME 400 MG +CLAV 125 MG) B/1X10 CES</v>
          </cell>
        </row>
        <row r="8139">
          <cell r="B8139" t="str">
            <v>FG08503</v>
          </cell>
          <cell r="C8139" t="str">
            <v>CEFINIQUE-CV 162.5 (CFIXIME 100 MG +CLAV 62.5 MG) SIROP 60ML</v>
          </cell>
        </row>
        <row r="8140">
          <cell r="B8140" t="str">
            <v>FG08504</v>
          </cell>
          <cell r="C8140" t="str">
            <v>CEFINIQUE-CV 81.25 (CFIXIME 50 MG +CLAV 31.5 MG) SIROP 60ML</v>
          </cell>
        </row>
        <row r="8141">
          <cell r="B8141" t="str">
            <v>FG08505</v>
          </cell>
          <cell r="C8141" t="str">
            <v>BETACLAIR 1% (BETAMETHASONE) LOTION 60ML</v>
          </cell>
        </row>
        <row r="8142">
          <cell r="B8142" t="str">
            <v>FG08506</v>
          </cell>
          <cell r="C8142" t="str">
            <v>QLINDA 1% (CLINDAMYCINE) LOTION 30ML</v>
          </cell>
        </row>
        <row r="8143">
          <cell r="B8143" t="str">
            <v>FG08507</v>
          </cell>
          <cell r="C8143" t="str">
            <v>GLIBEQUE-M (GLIME.5MG+MET.500MG) B/15 CES</v>
          </cell>
        </row>
        <row r="8144">
          <cell r="B8144" t="str">
            <v>FG08508</v>
          </cell>
          <cell r="C8144" t="str">
            <v>NEOMYCIN 5% CREAM 30G</v>
          </cell>
        </row>
        <row r="8145">
          <cell r="B8145" t="str">
            <v>FG08509</v>
          </cell>
          <cell r="C8145" t="str">
            <v>MEF-PA FORTE (MEF.500+PARA.450MG) B/10 CES</v>
          </cell>
        </row>
        <row r="8146">
          <cell r="B8146" t="str">
            <v>FG08510</v>
          </cell>
          <cell r="C8146" t="str">
            <v>WORMINIX-PLUS (ALBE.+IVER.) SIROP 10ML</v>
          </cell>
        </row>
        <row r="8147">
          <cell r="B8147" t="str">
            <v>FG08511</v>
          </cell>
          <cell r="C8147" t="str">
            <v>ASPIRIN-100 (ASPIRIN JUNIOR) B/3X10 CES</v>
          </cell>
        </row>
        <row r="8148">
          <cell r="B8148" t="str">
            <v>FG08512</v>
          </cell>
          <cell r="C8148" t="str">
            <v>KALY-LP 600MG (POTASSIUM CHLORURE) B/3X10 CES</v>
          </cell>
        </row>
        <row r="8149">
          <cell r="B8149" t="str">
            <v>FG08513</v>
          </cell>
          <cell r="C8149" t="str">
            <v>ESIDREQUE-12.5 (HYDROCHLOROTHIAZIDE) B/3X10 CES</v>
          </cell>
        </row>
        <row r="8150">
          <cell r="B8150" t="str">
            <v>FG08514</v>
          </cell>
          <cell r="C8150" t="str">
            <v>DUPHASFEM-10 (DYDROGESTERONE) B/1X10 CES</v>
          </cell>
        </row>
        <row r="8151">
          <cell r="B8151" t="str">
            <v>FG08515</v>
          </cell>
          <cell r="C8151" t="str">
            <v>ARTAQUE-5 (TRIHEXYPHENIDYLE) B/2X10 CES</v>
          </cell>
        </row>
        <row r="8152">
          <cell r="B8152" t="str">
            <v>FG08516</v>
          </cell>
          <cell r="C8152" t="str">
            <v>PHENER-PLUS 2% (PROMETHAZINE) TUBE DE 30G</v>
          </cell>
        </row>
        <row r="8153">
          <cell r="B8153" t="str">
            <v>FG08517</v>
          </cell>
          <cell r="C8153" t="str">
            <v>CTZ (CETIRIZINE) 5MG/5ML SIROP 60ML</v>
          </cell>
        </row>
        <row r="8154">
          <cell r="B8154" t="str">
            <v>FG08518</v>
          </cell>
          <cell r="C8154" t="str">
            <v>FONGIDERM (CLOTRI.+ GENTA.+ CLOB. + TOLN.) TUBE DE 15G</v>
          </cell>
        </row>
        <row r="8155">
          <cell r="B8155" t="str">
            <v>FG08519</v>
          </cell>
          <cell r="C8155" t="str">
            <v>SOFRANEX (FRADIOMYCINE +NEOM.) POMMDE 15G</v>
          </cell>
        </row>
        <row r="8156">
          <cell r="B8156" t="str">
            <v>FG08520</v>
          </cell>
          <cell r="C8156" t="str">
            <v>PUNCHDERM MAX (CIP+MET+TERB+CLOB) TUBE DE 15G</v>
          </cell>
        </row>
        <row r="8157">
          <cell r="B8157" t="str">
            <v>FG08521</v>
          </cell>
          <cell r="C8157" t="str">
            <v>FLAMME -GARDE (SIL.SULFA+CHLOR.GLUCO) TUBE DE 30G</v>
          </cell>
        </row>
        <row r="8158">
          <cell r="B8158" t="str">
            <v>FG08522</v>
          </cell>
          <cell r="C8158" t="str">
            <v>THIORELAX 1G (THIOPENTAL) INJECTABLE VIAL</v>
          </cell>
        </row>
        <row r="8159">
          <cell r="B8159" t="str">
            <v>FG08523</v>
          </cell>
          <cell r="C8159" t="str">
            <v>CEDO-10 (DINITRATE D'ISOSORBIDE) B/1X10 CES</v>
          </cell>
        </row>
        <row r="8160">
          <cell r="B8160" t="str">
            <v>FG08524</v>
          </cell>
          <cell r="C8160" t="str">
            <v>PREGATAS-NT (PREGABALINE+METHYLCOBALAMINE+NORTRIPTYLINE) B/1X10 CES</v>
          </cell>
        </row>
        <row r="8161">
          <cell r="B8161" t="str">
            <v>FG08525</v>
          </cell>
          <cell r="C8161" t="str">
            <v>UD-450MG LP (URSODESOXYCHOLIQUE) B/10 CES</v>
          </cell>
        </row>
        <row r="8162">
          <cell r="B8162" t="str">
            <v>FG08526</v>
          </cell>
          <cell r="C8162" t="str">
            <v>ZITHRO PLUS-500 (AZITHROMYCINE) B/5 CES</v>
          </cell>
        </row>
        <row r="8163">
          <cell r="B8163" t="str">
            <v>FG08527</v>
          </cell>
          <cell r="C8163" t="str">
            <v>UNI ASP-81 (ASPIRINE 81 MG) B/3X10 CES</v>
          </cell>
        </row>
        <row r="8164">
          <cell r="B8164" t="str">
            <v>FG08528</v>
          </cell>
          <cell r="C8164" t="str">
            <v>CLAVIQUE-AS (CLOPIDOGREL 75MG+ASPIRINE 75MG) B/3X10 CES</v>
          </cell>
        </row>
        <row r="8165">
          <cell r="B8165" t="str">
            <v>FG08529</v>
          </cell>
          <cell r="C8165" t="str">
            <v>KORTIF (HYDROCORTISONE 100 MG) TUBE DE 15G</v>
          </cell>
        </row>
        <row r="8166">
          <cell r="B8166" t="str">
            <v>FG08530</v>
          </cell>
          <cell r="C8166" t="str">
            <v>FOIREX (L-ORNITHINE-L-ASPARTATE) INJECTABLE B/5X10ML</v>
          </cell>
        </row>
        <row r="8167">
          <cell r="B8167" t="str">
            <v>FG08531</v>
          </cell>
          <cell r="C8167" t="str">
            <v>NANDRO-DECA-50MG/ML(NANDROLONE DECANOATE) B/1 AMP</v>
          </cell>
        </row>
        <row r="8168">
          <cell r="B8168" t="str">
            <v>FG08532</v>
          </cell>
          <cell r="C8168" t="str">
            <v>MINCEOR 60 (ORLISTAT) B/10 GELULES</v>
          </cell>
        </row>
        <row r="8169">
          <cell r="B8169" t="str">
            <v>FG08533</v>
          </cell>
          <cell r="C8169" t="str">
            <v>KETOMIZ 2% (KETOCONAZOLE) CREME 15G</v>
          </cell>
        </row>
        <row r="8170">
          <cell r="B8170" t="str">
            <v>FG08534</v>
          </cell>
          <cell r="C8170" t="str">
            <v>KETOMIZ 2% (KETOCONAZOLE) CREME **30G**</v>
          </cell>
        </row>
        <row r="8171">
          <cell r="B8171" t="str">
            <v>FG08535</v>
          </cell>
          <cell r="C8171" t="str">
            <v>DERMALISS-0,05 (TRETINOINE) TUBE DE 15G</v>
          </cell>
        </row>
        <row r="8172">
          <cell r="B8172" t="str">
            <v>FG08536</v>
          </cell>
          <cell r="C8172" t="str">
            <v>DERMALISS-0,025 (TRETINOINE) TUBE DE 15G</v>
          </cell>
        </row>
        <row r="8173">
          <cell r="B8173" t="str">
            <v>FG08537</v>
          </cell>
          <cell r="C8173" t="str">
            <v>LULICONAZ 1% (LULICONAZOLE) TUBE DE 15G</v>
          </cell>
        </row>
        <row r="8174">
          <cell r="B8174" t="str">
            <v>FG08538</v>
          </cell>
          <cell r="C8174" t="str">
            <v>CICATRIX 2% (MUPIROCINE) TUBE DE 5G</v>
          </cell>
        </row>
        <row r="8175">
          <cell r="B8175" t="str">
            <v>FG08539</v>
          </cell>
          <cell r="C8175" t="str">
            <v>SCABEX 5% (PERMETHRINE) LOTION 50ML</v>
          </cell>
        </row>
        <row r="8176">
          <cell r="B8176" t="str">
            <v>FG08540</v>
          </cell>
          <cell r="C8176" t="str">
            <v>BONNE NUIT (LIDOCAINE 10%) SPRAY TOPIQUE</v>
          </cell>
        </row>
        <row r="8177">
          <cell r="B8177" t="str">
            <v>FG08541</v>
          </cell>
          <cell r="C8177" t="str">
            <v>FERTILEX PRENATAL – 30 + 30 CAPS (MULTIVITS + OMEGA-3)</v>
          </cell>
        </row>
        <row r="8178">
          <cell r="B8178" t="str">
            <v>FG08542</v>
          </cell>
          <cell r="C8178" t="str">
            <v>STOPDOUL (FIEVRE, DOULEURS CORPORELLES, MAUX DE TETE) – 1X10 COMPRIMES</v>
          </cell>
        </row>
        <row r="8179">
          <cell r="B8179" t="str">
            <v>FG08543</v>
          </cell>
          <cell r="C8179" t="str">
            <v>DEXERIQUE CREAM 250GR</v>
          </cell>
        </row>
        <row r="8180">
          <cell r="B8180" t="str">
            <v>FG08544</v>
          </cell>
          <cell r="C8180" t="str">
            <v>ALBUMINE HUMAINE 20% SOL. PERFUSION IV 20G/100ML</v>
          </cell>
        </row>
        <row r="8181">
          <cell r="B8181" t="str">
            <v>FG08545</v>
          </cell>
          <cell r="C8181" t="str">
            <v>ALBUMINE HUMAINE 20% SOL. PERF. IV 20G/@50ML@</v>
          </cell>
        </row>
        <row r="8182">
          <cell r="B8182" t="str">
            <v>FG08546</v>
          </cell>
          <cell r="C8182" t="str">
            <v>DELABACT SAVON POUR BEBE ROSE 75G (PH 5.5 – IDEAL POUR UNE PEAU SAINE)</v>
          </cell>
        </row>
        <row r="8183">
          <cell r="B8183" t="str">
            <v>FG08547</v>
          </cell>
          <cell r="C8183" t="str">
            <v>UNIBACTER SAVON 100G (PEAUX SENSIBLES &amp; À PROBLÈMES – VISAGE ET CORPS)</v>
          </cell>
        </row>
        <row r="8184">
          <cell r="B8184" t="str">
            <v>FG08548</v>
          </cell>
          <cell r="C8184" t="str">
            <v>GERMITTOL SAVON 100 GM</v>
          </cell>
        </row>
        <row r="8185">
          <cell r="B8185" t="str">
            <v>FG08549</v>
          </cell>
          <cell r="C8185" t="str">
            <v>20 DEGRE SAVON DE BEAUTE PAPAYE 75G</v>
          </cell>
        </row>
        <row r="8186">
          <cell r="B8186" t="str">
            <v>FG08550</v>
          </cell>
          <cell r="C8186" t="str">
            <v>UCOX-T (ETORICOXIB &amp; THIOCOLCHICOSIDE) 60MG/4MG B/10 CES</v>
          </cell>
        </row>
        <row r="8187">
          <cell r="B8187" t="str">
            <v>FG08551</v>
          </cell>
          <cell r="C8187" t="str">
            <v>PROTOQ -IT (PANTO + ITOPRIDE) 40MG+150MG B/10 CES</v>
          </cell>
        </row>
        <row r="8188">
          <cell r="B8188" t="str">
            <v>FG08552</v>
          </cell>
          <cell r="C8188" t="str">
            <v>EXASEAL MF (ACID TRANEXAMIC &amp; MEFENAMIC) 500MG+250MG B/10CES</v>
          </cell>
        </row>
        <row r="8189">
          <cell r="B8189" t="str">
            <v>FG08553</v>
          </cell>
          <cell r="C8189" t="str">
            <v>NICARDEX LP 50MG (NICARDIPINE) GELULES B/6X10</v>
          </cell>
        </row>
        <row r="8190">
          <cell r="B8190" t="str">
            <v>FG08554</v>
          </cell>
          <cell r="C8190" t="str">
            <v>DELABACT SAVON HYDRATANT 75G (POUR UNE PEAU DOUCE, SAINE ET RAJEUNIE)</v>
          </cell>
        </row>
        <row r="8191">
          <cell r="B8191" t="str">
            <v>FG08555</v>
          </cell>
          <cell r="C8191" t="str">
            <v>20 DEGRE TALC (NEEM+MENTHE) POUDRE 100G</v>
          </cell>
        </row>
        <row r="8192">
          <cell r="B8192" t="str">
            <v>FG08556</v>
          </cell>
          <cell r="C8192" t="str">
            <v>NUTRIGLOW (HEMOGLOBIN) SIROP 200ML </v>
          </cell>
        </row>
        <row r="8193">
          <cell r="B8193" t="str">
            <v>FG08558</v>
          </cell>
          <cell r="C8193" t="str">
            <v>ALDOMET 250MG B/10X10CES</v>
          </cell>
        </row>
        <row r="8194">
          <cell r="B8194" t="str">
            <v>FG08559</v>
          </cell>
          <cell r="C8194" t="str">
            <v>BONNET USAGE UNIQUE **B/50PCS**</v>
          </cell>
        </row>
        <row r="8195">
          <cell r="B8195" t="str">
            <v>FG08560</v>
          </cell>
          <cell r="C8195" t="str">
            <v>PERFORATED SPARADRA **** 10CM X 5M **** (ZINC OXIDE)</v>
          </cell>
        </row>
        <row r="8196">
          <cell r="B8196" t="str">
            <v>FG08563</v>
          </cell>
          <cell r="C8196" t="str">
            <v>BIOCHIMIE - GPT(ALT) :R1:28MLX2,R2:7MLX2</v>
          </cell>
        </row>
        <row r="8197">
          <cell r="B8197" t="str">
            <v>FG08564</v>
          </cell>
          <cell r="C8197" t="str">
            <v>IMN- MAGLUMI 800 TOTAL T3 (CLIA), 50TEST/KIT</v>
          </cell>
        </row>
        <row r="8198">
          <cell r="B8198" t="str">
            <v>FG08565</v>
          </cell>
          <cell r="C8198" t="str">
            <v>IMN- MAGLUMI 800 TOTAL T4 (CLIA),, 50TEST/KIT</v>
          </cell>
        </row>
        <row r="8199">
          <cell r="B8199" t="str">
            <v>FG08566</v>
          </cell>
          <cell r="C8199" t="str">
            <v>IMN- MAGLUMI 800 FSH (CLIA), 50TEST/KIT</v>
          </cell>
        </row>
        <row r="8200">
          <cell r="B8200" t="str">
            <v>FG08567</v>
          </cell>
          <cell r="C8200" t="str">
            <v>IMN- MAGLUMI 800 LH (CLIA), 50TEST/KIT</v>
          </cell>
        </row>
        <row r="8201">
          <cell r="B8201" t="str">
            <v>FG08568</v>
          </cell>
          <cell r="C8201" t="str">
            <v>IMN- MAGLUMI 800 PROGESTERONE (CLIA), 50TEST/KIT</v>
          </cell>
        </row>
        <row r="8202">
          <cell r="B8202" t="str">
            <v>FG08569</v>
          </cell>
          <cell r="C8202" t="str">
            <v>IMN- MAGLUMI 800 ESTRADIOL (CLIA), 50TEST/KIT</v>
          </cell>
        </row>
        <row r="8203">
          <cell r="B8203" t="str">
            <v>FG08570</v>
          </cell>
          <cell r="C8203" t="str">
            <v>IMN- MAGLUMI 800 TESTOSTERONE (CLIA), 50TEST/KIT</v>
          </cell>
        </row>
        <row r="8204">
          <cell r="B8204" t="str">
            <v>FG08571</v>
          </cell>
          <cell r="C8204" t="str">
            <v>IMN- MAGLUMI 800 TOTAL β HCG (CLIA), 50TEST/KIT</v>
          </cell>
        </row>
        <row r="8205">
          <cell r="B8205" t="str">
            <v>FG08572</v>
          </cell>
          <cell r="C8205" t="str">
            <v>IMN- MAGLUMI 800 CA 125 (CLIA), 50TEST/KIT</v>
          </cell>
        </row>
        <row r="8206">
          <cell r="B8206" t="str">
            <v>FG08573</v>
          </cell>
          <cell r="C8206" t="str">
            <v>IMN- MAGLUMI 800 AFP (CLIA), 50TEST/KIT</v>
          </cell>
        </row>
        <row r="8207">
          <cell r="B8207" t="str">
            <v>FG08574</v>
          </cell>
          <cell r="C8207" t="str">
            <v>IMN- MAGLUMI 800 TOTAL PSA (CLIA)</v>
          </cell>
        </row>
        <row r="8208">
          <cell r="B8208" t="str">
            <v>FG08575</v>
          </cell>
          <cell r="C8208" t="str">
            <v>IMN- MAGLUMI 800 FREE PSA (CLIA), 50TEST/KIT</v>
          </cell>
        </row>
        <row r="8209">
          <cell r="B8209" t="str">
            <v>FG08576</v>
          </cell>
          <cell r="C8209" t="str">
            <v>IMN- MAGLUMI 800 CA 19-9 (CLIA), 50TEST/KIT</v>
          </cell>
        </row>
        <row r="8210">
          <cell r="B8210" t="str">
            <v>FG08577</v>
          </cell>
          <cell r="C8210" t="str">
            <v>IMN- MAGLUMI 800 CA 15-3 (CLIA), 50TEST/KIT</v>
          </cell>
        </row>
        <row r="8211">
          <cell r="B8211" t="str">
            <v>FG08578</v>
          </cell>
          <cell r="C8211" t="str">
            <v>IMN - MAGLUMI 800 INSULIN (CLIA), 50TEST/KIT</v>
          </cell>
        </row>
        <row r="8212">
          <cell r="B8212" t="str">
            <v>FG08579</v>
          </cell>
          <cell r="C8212" t="str">
            <v>IMN- MAGLUMI 800 NT-PROBNP (CLIA), 50TEST/KIT</v>
          </cell>
        </row>
        <row r="8213">
          <cell r="B8213" t="str">
            <v>FG08580</v>
          </cell>
          <cell r="C8213" t="str">
            <v>IMN- MAGLUMI 800 HS-CTNI (CLIA), 50TEST/KIT</v>
          </cell>
        </row>
        <row r="8214">
          <cell r="B8214" t="str">
            <v>FG08581</v>
          </cell>
          <cell r="C8214" t="str">
            <v>IMN- MAGLUMI 800 ALBUMIN (CLIA), 50TEST/KIT</v>
          </cell>
        </row>
        <row r="8215">
          <cell r="B8215" t="str">
            <v>FG08582</v>
          </cell>
          <cell r="C8215" t="str">
            <v>IMN- MAGLUMI 800 IGE (CLIA), 50TEST/KIT</v>
          </cell>
        </row>
        <row r="8216">
          <cell r="B8216" t="str">
            <v>FG08583</v>
          </cell>
          <cell r="C8216" t="str">
            <v>IMN- MAGLUMI 800 HBSAG (CLIA) (NCE), 50TEST/KIT</v>
          </cell>
        </row>
        <row r="8217">
          <cell r="B8217" t="str">
            <v>FG08584</v>
          </cell>
          <cell r="C8217" t="str">
            <v>IMN- MAGLUMI 800 HBEAG (CLIA) (NCE), 50TEST/KIT</v>
          </cell>
        </row>
        <row r="8218">
          <cell r="B8218" t="str">
            <v>FG08585</v>
          </cell>
          <cell r="C8218" t="str">
            <v>IMN- MAGLUMI 800 ANTI-HCV (CLIA) (NCE), 50TEST/KIT</v>
          </cell>
        </row>
        <row r="8219">
          <cell r="B8219" t="str">
            <v>FG08586</v>
          </cell>
          <cell r="C8219" t="str">
            <v>IMN- MAGLUMI 800 HSV-1/2 IGM (CLIA), 50TEST/KIT</v>
          </cell>
        </row>
        <row r="8220">
          <cell r="B8220" t="str">
            <v>FG08587</v>
          </cell>
          <cell r="C8220" t="str">
            <v>IMN- MAGLUMI 800 TOXO IGG (CLIA), 50TEST/KIT</v>
          </cell>
        </row>
        <row r="8221">
          <cell r="B8221" t="str">
            <v>FG08588</v>
          </cell>
          <cell r="C8221" t="str">
            <v>IMN- MAGLUMI 800 RUBELLA IGG (CLIA), 50TEST/KIT</v>
          </cell>
        </row>
        <row r="8222">
          <cell r="B8222" t="str">
            <v>FG08589</v>
          </cell>
          <cell r="C8222" t="str">
            <v>IMN- MAGLUMI CMV IGG (CLIA), 50TEST/KIT</v>
          </cell>
        </row>
        <row r="8223">
          <cell r="B8223" t="str">
            <v>FG08590</v>
          </cell>
          <cell r="C8223" t="str">
            <v>IMN- MAGLUMI 800 STARTER 1+2 (1BOX=2*230ML), 50TEST/KIT</v>
          </cell>
        </row>
        <row r="8224">
          <cell r="B8224" t="str">
            <v>FG08591</v>
          </cell>
          <cell r="C8224" t="str">
            <v>IMN- MAGLUMI 800 WASH CONCENTRATE, 50TEST/KIT</v>
          </cell>
        </row>
        <row r="8225">
          <cell r="B8225" t="str">
            <v>FG08592</v>
          </cell>
          <cell r="C8225" t="str">
            <v>IMN- MAGLUMI 800 REACTION MODULES, 50TEST/KIT</v>
          </cell>
        </row>
        <row r="8226">
          <cell r="B8226" t="str">
            <v>FG08593</v>
          </cell>
          <cell r="C8226" t="str">
            <v>IMN-MAGLUMI 800 LIGHT CHECK(1BOX=5*2ML), 50TEST/KIT</v>
          </cell>
        </row>
        <row r="8227">
          <cell r="B8227" t="str">
            <v>FG08594</v>
          </cell>
          <cell r="C8227" t="str">
            <v>IMN-MAGLUMI 800 SYSTEM TUBING CLEANING SOLUTION (1BOX=1BOTTLE=1*500ML), 50TEST/KIT</v>
          </cell>
        </row>
        <row r="8228">
          <cell r="B8228" t="str">
            <v>FG08595</v>
          </cell>
          <cell r="C8228" t="str">
            <v>IMN- MAGLUMI 800 WASTE BAG(1BOX=50 PIECES)</v>
          </cell>
        </row>
        <row r="8229">
          <cell r="B8229" t="str">
            <v>FG08596</v>
          </cell>
          <cell r="C8229" t="str">
            <v>DYMIND COAGULATION CA-PT (PROTHROMBIN TIME) :2.0X10, 200TESTS/PACKAGE</v>
          </cell>
        </row>
        <row r="8230">
          <cell r="B8230" t="str">
            <v>FG08597</v>
          </cell>
          <cell r="C8230" t="str">
            <v>DYMIND COAGULATION CA-APTT (ACTIVATED PARTIAL THROMBOPLASTIN TIME) :2.0X10, 400TESTS/PACKAGE</v>
          </cell>
        </row>
        <row r="8231">
          <cell r="B8231" t="str">
            <v>FG08598</v>
          </cell>
          <cell r="C8231" t="str">
            <v>DYMIND COAGULATION CA-FIB (FIBRINOGEN) :2.0X10, 400TESTS/PACKAGE</v>
          </cell>
        </row>
        <row r="8232">
          <cell r="B8232" t="str">
            <v>FG08599</v>
          </cell>
          <cell r="C8232" t="str">
            <v>BUSCOPAQUE 10MG ( HYOSCINE ) B/10X10 CES</v>
          </cell>
        </row>
        <row r="8233">
          <cell r="B8233" t="str">
            <v>FG08600</v>
          </cell>
          <cell r="C8233" t="str">
            <v>CIPROFLOXACINE 500MG B/10 X 10CES</v>
          </cell>
        </row>
        <row r="8234">
          <cell r="B8234" t="str">
            <v>FG08602</v>
          </cell>
          <cell r="C8234" t="str">
            <v>LASIX 20MG/2ML ***B1 /AMP*** (FR)</v>
          </cell>
        </row>
        <row r="8235">
          <cell r="B8235" t="str">
            <v>FG08603</v>
          </cell>
          <cell r="C8235" t="str">
            <v>IMN- ANALYSEUR DIMMUNOANALYSE MAGLUMI 800</v>
          </cell>
        </row>
        <row r="8236">
          <cell r="B8236" t="str">
            <v>FG08604</v>
          </cell>
          <cell r="C8236" t="str">
            <v>CARTE DE DÉTECTION DE PRESSION DE PIECES DÉTACHÉES DYMIND-1116</v>
          </cell>
        </row>
        <row r="8237">
          <cell r="B8237" t="str">
            <v>FG08621</v>
          </cell>
          <cell r="C8237" t="str">
            <v>CLOXACILINE 500MG B/10X10 CAPS</v>
          </cell>
        </row>
        <row r="8238">
          <cell r="B8238" t="str">
            <v>FG08622</v>
          </cell>
          <cell r="C8238" t="str">
            <v>ERYTHROMYCINE 250MG B/10X10 CES***(ERINOCIN)</v>
          </cell>
        </row>
        <row r="8239">
          <cell r="B8239" t="str">
            <v>FG08623</v>
          </cell>
          <cell r="C8239" t="str">
            <v>ERYTHROMYCINE 500MG B/10X10 CES***(ERINOCIN)</v>
          </cell>
        </row>
        <row r="8240">
          <cell r="B8240" t="str">
            <v>FG08624</v>
          </cell>
          <cell r="C8240" t="str">
            <v>GRISEOFULVINE 500MG B/10X10 CES (UNIQUE)</v>
          </cell>
        </row>
        <row r="8241">
          <cell r="B8241" t="str">
            <v>FG08625</v>
          </cell>
          <cell r="C8241" t="str">
            <v>TERPINE CODEINE B/10X10 CES</v>
          </cell>
        </row>
        <row r="8242">
          <cell r="B8242" t="str">
            <v>FG08626</v>
          </cell>
          <cell r="C8242" t="str">
            <v>SERINGUE 10CC..100PCS (UNIQUE)</v>
          </cell>
        </row>
        <row r="8243">
          <cell r="B8243" t="str">
            <v>FG08627</v>
          </cell>
          <cell r="C8243" t="str">
            <v>SERINGUE 5CC B/100PCS (UNIQUE)</v>
          </cell>
        </row>
        <row r="8244">
          <cell r="B8244" t="str">
            <v>FG08628</v>
          </cell>
          <cell r="C8244" t="str">
            <v>EPICRANIAN 21G VERT B/100PCS</v>
          </cell>
        </row>
        <row r="8245">
          <cell r="B8245" t="str">
            <v>FG08629</v>
          </cell>
          <cell r="C8245" t="str">
            <v>EPICRANIAN 23G BLUE PCS/100PCS</v>
          </cell>
        </row>
        <row r="8246">
          <cell r="B8246" t="str">
            <v>FG08632</v>
          </cell>
          <cell r="C8246" t="str">
            <v>SECOURS – HUILE AYURVEDIQUE ANTIDOULER – (100 ML)</v>
          </cell>
        </row>
        <row r="8247">
          <cell r="B8247" t="str">
            <v>FG08633</v>
          </cell>
          <cell r="C8247" t="str">
            <v>SUPER MANGE FORTE (L-LYSINE + CYPROHEPTADINE + VIT. B COM.) SYRUP 200ML</v>
          </cell>
        </row>
        <row r="8248">
          <cell r="B8248" t="str">
            <v>FG08634</v>
          </cell>
          <cell r="C8248" t="str">
            <v>GLARGISULIN 100 UI/ML (INSULINE GLARGINE) INJECTION 1X3ML STYLO</v>
          </cell>
        </row>
        <row r="8249">
          <cell r="B8249" t="str">
            <v>FG08635</v>
          </cell>
          <cell r="C8249" t="str">
            <v>GLARGISULIN 100 UI/ML (INSULINE GLARGINE) INJECTION 1X10ML FLACON</v>
          </cell>
        </row>
        <row r="8250">
          <cell r="B8250" t="str">
            <v>FG08636</v>
          </cell>
          <cell r="C8250" t="str">
            <v>UNISULIN-M 100 UI/ML (INSULINE HUMAINE RÉGULIÈRE + INSULINE ISOPHANE) INJECTION 1X10ML FLACON</v>
          </cell>
        </row>
        <row r="8251">
          <cell r="B8251" t="str">
            <v>FG08637</v>
          </cell>
          <cell r="C8251" t="str">
            <v>UNISULIN-M 40 UI/ML (INSULINE HUMAINE RÉGULIÈRE + INSULINE ISOPHANE) INJECTION 1X10ML FLACON</v>
          </cell>
        </row>
        <row r="8252">
          <cell r="B8252" t="str">
            <v>FG08638</v>
          </cell>
          <cell r="C8252" t="str">
            <v>UNISULIN-N 100 UI/ML (INSULINE ISOPHANE) INJECTION 1X10ML FLACON</v>
          </cell>
        </row>
        <row r="8253">
          <cell r="B8253" t="str">
            <v>FG08639</v>
          </cell>
          <cell r="C8253" t="str">
            <v>UNISULIN-N 40 UI/ML (INSULINE ISOPHANE) INJECTION 1X10ML FLACON</v>
          </cell>
        </row>
        <row r="8254">
          <cell r="B8254" t="str">
            <v>FG08640</v>
          </cell>
          <cell r="C8254" t="str">
            <v>UNISULIN-N 100 UI/ML (INSULINE ISOPHANE) INJECTION 1X3ML STYLO</v>
          </cell>
        </row>
        <row r="8255">
          <cell r="B8255" t="str">
            <v>FG08641</v>
          </cell>
          <cell r="C8255" t="str">
            <v>UNISULIN-R 100 UI/ML (INSULINE HUMAINE RÉGULIÈRE) INJECTION 1X10ML FLACON</v>
          </cell>
        </row>
        <row r="8256">
          <cell r="B8256" t="str">
            <v>FG08642</v>
          </cell>
          <cell r="C8256" t="str">
            <v>UNISULIN-R 40 UI/ML (INSULINE HUMAINE RÉGULIÈRE) INJECTION 1X10ML FLACON</v>
          </cell>
        </row>
        <row r="8257">
          <cell r="B8257" t="str">
            <v>FG08643</v>
          </cell>
          <cell r="C8257" t="str">
            <v>UNISULIN-R 100 UI/ML (INSULINE HUMAINE RÉGULIÈRE) INJECTION 1X3ML STYLO</v>
          </cell>
        </row>
        <row r="8258">
          <cell r="B8258" t="str">
            <v>FG08644</v>
          </cell>
          <cell r="C8258" t="str">
            <v>FLAVEN 1000 MG (FRACTION FLAVONOIDE PURIFIEE MICRONISEE) CES 1X10 BLISTER</v>
          </cell>
        </row>
        <row r="8259">
          <cell r="B8259" t="str">
            <v>FG08645</v>
          </cell>
          <cell r="C8259" t="str">
            <v>INDAREX-AM 10 MG/1,5 MG (AMLODIPINE + INDAPAMIDE) CES 1X30 BLISTER****</v>
          </cell>
        </row>
        <row r="8260">
          <cell r="B8260" t="str">
            <v>FG08646</v>
          </cell>
          <cell r="C8260" t="str">
            <v>NOREX 1 MG (NORADRENALINE) INJECTION 5X2ML AMPOULES</v>
          </cell>
        </row>
        <row r="8261">
          <cell r="B8261" t="str">
            <v>FG08647</v>
          </cell>
          <cell r="C8261" t="str">
            <v>CEROQUE **750MG** (CEFUROXIME) INJECTABLE B/1 VIAL+EAU</v>
          </cell>
        </row>
        <row r="8262">
          <cell r="B8262" t="str">
            <v>FG08648</v>
          </cell>
          <cell r="C8262" t="str">
            <v>CEROQUE 1500MG (CEFUROXIME) INJECTABLE B/1 VIAL+EAU</v>
          </cell>
        </row>
        <row r="8263">
          <cell r="B8263" t="str">
            <v>FG08649</v>
          </cell>
          <cell r="C8263" t="str">
            <v>VERTINIQUE 500 MG/5 ML (ACÉTYLLEUCINE) INJECTION 5X5ML AMPOULES</v>
          </cell>
        </row>
        <row r="8264">
          <cell r="B8264" t="str">
            <v>FG08650</v>
          </cell>
          <cell r="C8264" t="str">
            <v>VERTINIQUE 500MG B/1X10 CES</v>
          </cell>
        </row>
        <row r="8265">
          <cell r="B8265" t="str">
            <v>FG08651</v>
          </cell>
          <cell r="C8265" t="str">
            <v>MEMORIL 5 MG ( DONEPEZIL) COMPRIME 1X10 BLISTER</v>
          </cell>
        </row>
        <row r="8266">
          <cell r="B8266" t="str">
            <v>FG08652</v>
          </cell>
          <cell r="C8266" t="str">
            <v>MEMORIL 10 MG (DONEPEZIL) COMPRIME 1X10 BLISTER</v>
          </cell>
        </row>
        <row r="8267">
          <cell r="B8267" t="str">
            <v>FG08653</v>
          </cell>
          <cell r="C8267" t="str">
            <v>COSHU-TOL (EXPECTORANT + BRONCHODILATATEUR) SIROP 100ML FLACON</v>
          </cell>
        </row>
        <row r="8268">
          <cell r="B8268" t="str">
            <v>FG08654</v>
          </cell>
          <cell r="C8268" t="str">
            <v>STOPGRIP (RHUME + FIÈVRE + TOUX) SIROP 100ML FLACON</v>
          </cell>
        </row>
        <row r="8269">
          <cell r="B8269" t="str">
            <v>FG08655</v>
          </cell>
          <cell r="C8269" t="str">
            <v>VAGIKLIN (CLOTRIMAZOLE 2%) CREME 1X40G TUBE AVEC APPLICATEUR (ANTIFONGIQUE)</v>
          </cell>
        </row>
        <row r="8270">
          <cell r="B8270" t="str">
            <v>FG08656</v>
          </cell>
          <cell r="C8270" t="str">
            <v>KETOFEN 80MG (KETOPROFEN) EFF. B/4X4 CES</v>
          </cell>
        </row>
        <row r="8271">
          <cell r="B8271" t="str">
            <v>FG08657</v>
          </cell>
          <cell r="C8271" t="str">
            <v>KETOFEN PLUS (KETOPROFEN 80MG + PARA 325MG) EFF. B/4X4 CES</v>
          </cell>
        </row>
        <row r="8272">
          <cell r="B8272" t="str">
            <v>FG08658</v>
          </cell>
          <cell r="C8272" t="str">
            <v>ETHAMBUTOL 100 MG (ANTI-TB) COMPRIME DISPERSIBLE 1X10X10 PQ-OMS</v>
          </cell>
        </row>
        <row r="8273">
          <cell r="B8273" t="str">
            <v>FG08659</v>
          </cell>
          <cell r="C8273" t="str">
            <v>RIFAMPICINE/ISONIAZIDE/ETHAMBUTOL/PYRAZINAMIDE 150/75/275/400 MG (ANTI-TB) COMPRIMÉ 24X28 PQ-OMS</v>
          </cell>
        </row>
        <row r="8274">
          <cell r="B8274" t="str">
            <v>FG08660</v>
          </cell>
          <cell r="C8274" t="str">
            <v>RIFAMPICINE/ISONIAZIDE 150/75 MG (ANTI-TB) COMPRIMÉ 24X28 PQ-OMS</v>
          </cell>
        </row>
        <row r="8275">
          <cell r="B8275" t="str">
            <v>FG08661</v>
          </cell>
          <cell r="C8275" t="str">
            <v>RIFAMPICINE 75 MG + ISONIAZIDE 50 MG + PYRAZINAMIDE 150 MG (ANTI-TB) COMPRIMÉ DISPERSIBLE 3X28 PQ-OMS</v>
          </cell>
        </row>
        <row r="8276">
          <cell r="B8276" t="str">
            <v>FG08662</v>
          </cell>
          <cell r="C8276" t="str">
            <v>RIFAMPICINE 75 MG + ISONIAZIDE 50 MG (ANTI-TB) COMPRIMÉ DISPERSIBLE 3X28  PQ-OMS</v>
          </cell>
        </row>
        <row r="8277">
          <cell r="B8277" t="str">
            <v>FG08663</v>
          </cell>
          <cell r="C8277" t="str">
            <v>GANTS D'EXAMEN EN NITRILE SANS POUDRE (M)</v>
          </cell>
        </row>
        <row r="8278">
          <cell r="B8278" t="str">
            <v>FG08664</v>
          </cell>
          <cell r="C8278" t="str">
            <v>GANTS D'EXAMEN EN NITRILE SANS POUDRE (L)</v>
          </cell>
        </row>
        <row r="8279">
          <cell r="B8279" t="str">
            <v>FG08673</v>
          </cell>
          <cell r="C8279" t="str">
            <v>LINOQUE 600MG IV SOLUTION PERFUSION 300ML</v>
          </cell>
        </row>
        <row r="8280">
          <cell r="B8280" t="str">
            <v>FG08674</v>
          </cell>
          <cell r="C8280" t="str">
            <v>ARINATE *240MG* (ARTESUNATE) INJ.B/1 KIT</v>
          </cell>
        </row>
        <row r="8281">
          <cell r="B8281" t="str">
            <v>FG08675</v>
          </cell>
          <cell r="C8281" t="str">
            <v>DUREX EXTRA LUBRIF B/8</v>
          </cell>
        </row>
        <row r="8282">
          <cell r="B8282" t="str">
            <v>FG08676</v>
          </cell>
          <cell r="C8282" t="str">
            <v>DUREX FEELING EXTRA B/12</v>
          </cell>
        </row>
        <row r="8283">
          <cell r="B8283" t="str">
            <v>FG08677</v>
          </cell>
          <cell r="C8283" t="str">
            <v>SUPRADYN BOOST EFF B/10</v>
          </cell>
        </row>
        <row r="8284">
          <cell r="B8284" t="str">
            <v>FG08678</v>
          </cell>
          <cell r="C8284" t="str">
            <v>SUPRADYN ENERGY CP B/10</v>
          </cell>
        </row>
        <row r="8285">
          <cell r="B8285" t="str">
            <v>FG08679</v>
          </cell>
          <cell r="C8285" t="str">
            <v>FOIREX (SIROP HEPATOTONIQUE A BASE DE PLANTES) – 200 ML</v>
          </cell>
        </row>
        <row r="8286">
          <cell r="B8286" t="str">
            <v>FG08680</v>
          </cell>
          <cell r="C8286" t="str">
            <v>Q-FAM (TONIFIANT DE L’UTERUS A BASE DE PLANTES) – 2X10 GELULES</v>
          </cell>
        </row>
        <row r="8287">
          <cell r="B8287" t="str">
            <v>FG08681</v>
          </cell>
          <cell r="C8287" t="str">
            <v>SORTOUX (SIROP CONTRE LA TOUX A BASE DE PLANTES MEDICINALES) – 100 ML</v>
          </cell>
        </row>
        <row r="8288">
          <cell r="B8288" t="str">
            <v>FG08682</v>
          </cell>
          <cell r="C8288" t="str">
            <v>TRANSI LAQ (SIROP TONIQUE DIGESTIF A BASE DE PLANTES) – 200 ML</v>
          </cell>
        </row>
        <row r="8289">
          <cell r="B8289" t="str">
            <v>FG08683</v>
          </cell>
          <cell r="C8289" t="str">
            <v>NOCI KIT – H. PYLORI (7 KITS DE COMBI)</v>
          </cell>
        </row>
        <row r="8290">
          <cell r="B8290" t="str">
            <v>FG08684</v>
          </cell>
          <cell r="C8290" t="str">
            <v>CARIPLA-Q (ERANDAKARKATI + BHUDHATRI + GUDUCHI + MARI) – 4X15 COMPRIMES</v>
          </cell>
        </row>
        <row r="8291">
          <cell r="B8291" t="str">
            <v>FG08685</v>
          </cell>
          <cell r="C8291" t="str">
            <v>CORTISTATE (FORMULE ANTI-HEMORROIDAIRE) – 2X10 GELULES</v>
          </cell>
        </row>
        <row r="8292">
          <cell r="B8292" t="str">
            <v>FG08686</v>
          </cell>
          <cell r="C8292" t="str">
            <v>COSHU-TOL (SIROP EXPECTORANT A BASE DE PLANTES AVEC MIEL) – 100 ML</v>
          </cell>
        </row>
        <row r="8293">
          <cell r="B8293" t="str">
            <v>FG08687</v>
          </cell>
          <cell r="C8293" t="str">
            <v>PERFECT FEMME (CAPSULE HERBAL POUR FEMME) – 2X15 CAPSULES</v>
          </cell>
        </row>
        <row r="8294">
          <cell r="B8294" t="str">
            <v>FG08688</v>
          </cell>
          <cell r="C8294" t="str">
            <v>PERFECT HOMME (CAPSULE HERBAL POUR HOMME) – 2X15 CAPSULES</v>
          </cell>
        </row>
        <row r="8295">
          <cell r="B8295" t="str">
            <v>FG08689</v>
          </cell>
          <cell r="C8295" t="str">
            <v>ACUPAQUE (NEFOPAM 20MG/2 ML IV/IM) SOL. INJ. B/5AMP</v>
          </cell>
        </row>
        <row r="8296">
          <cell r="B8296" t="str">
            <v>FG08690</v>
          </cell>
          <cell r="C8296" t="str">
            <v>CATA 150 (CHLORHYDRATE DE CLONIDINE 150 MCG/1 ML) – 5 AMPOULES DE 1 ML</v>
          </cell>
        </row>
        <row r="8297">
          <cell r="B8297" t="str">
            <v>FG08691</v>
          </cell>
          <cell r="C8297" t="str">
            <v>XX</v>
          </cell>
        </row>
        <row r="8298">
          <cell r="B8298" t="str">
            <v>FG08692</v>
          </cell>
          <cell r="C8298" t="str">
            <v>PABU-1000 (PARACETAMOL) COMPRIMES EFFERVESCENTS, 3X4 COMPRIMES</v>
          </cell>
        </row>
        <row r="8299">
          <cell r="B8299" t="str">
            <v>FG08693</v>
          </cell>
          <cell r="C8299" t="str">
            <v>PABU-500 (PARACÉTAMOL) COMPRIMES EFFERVESCENTS, 4X4 COMPRIMES</v>
          </cell>
        </row>
        <row r="8300">
          <cell r="B8300" t="str">
            <v>FG08694</v>
          </cell>
          <cell r="C8300" t="str">
            <v>AMLOZYNC 5 MG B/30 CES</v>
          </cell>
        </row>
        <row r="8301">
          <cell r="B8301" t="str">
            <v>FG08697</v>
          </cell>
          <cell r="C8301" t="str">
            <v>FORMETRIX 500 MG (METFORMINE) B/2 X 15 COMPRIMES</v>
          </cell>
        </row>
        <row r="8302">
          <cell r="B8302" t="str">
            <v>FG08698</v>
          </cell>
          <cell r="C8302" t="str">
            <v>FORMETRIX 850 MG (METFORMINE) B/2 X 15 COMPRIMES</v>
          </cell>
        </row>
        <row r="8303">
          <cell r="B8303" t="str">
            <v>FG08699</v>
          </cell>
          <cell r="C8303" t="str">
            <v>FORMETRIX 1000 MG (METFORMINE) B/2 X 15 COMPRIMES</v>
          </cell>
        </row>
        <row r="8304">
          <cell r="B8304" t="str">
            <v>FG08700</v>
          </cell>
          <cell r="C8304" t="str">
            <v>ACT-COMBITHER DT 20/120MG B/6 CES</v>
          </cell>
        </row>
        <row r="8305">
          <cell r="B8305" t="str">
            <v>FG08701</v>
          </cell>
          <cell r="C8305" t="str">
            <v>ACT-COMBITHER DT 20/120MG B/12 CES</v>
          </cell>
        </row>
        <row r="8306">
          <cell r="B8306" t="str">
            <v>FG08702</v>
          </cell>
          <cell r="C8306" t="str">
            <v>ACT-COMBITHER 20/120MG B/18 CES</v>
          </cell>
        </row>
        <row r="8307">
          <cell r="B8307" t="str">
            <v>FG08703</v>
          </cell>
          <cell r="C8307" t="str">
            <v>ACT-COMBITHER 20/120MG B/24 CES</v>
          </cell>
        </row>
        <row r="8308">
          <cell r="B8308" t="str">
            <v>FG08704</v>
          </cell>
          <cell r="C8308" t="str">
            <v>CLAMOQUE 1G DT (AMOXICILLINE) B/2X6 CES</v>
          </cell>
        </row>
        <row r="8309">
          <cell r="B8309" t="str">
            <v>FG08705</v>
          </cell>
          <cell r="C8309" t="str">
            <v>CLAMOQUE 500MG (AMOXICILLINE) PDR SUSP.60ML</v>
          </cell>
        </row>
        <row r="8310">
          <cell r="B8310" t="str">
            <v>FG08706</v>
          </cell>
          <cell r="C8310" t="str">
            <v>OTRINIQUE 0,05 % SPRAY NASAL (CHLORHYDRATE DE XYLOMéTAZOLINE) – 10 ML</v>
          </cell>
        </row>
        <row r="8311">
          <cell r="B8311" t="str">
            <v>FG08707</v>
          </cell>
          <cell r="C8311" t="str">
            <v>OTRINIQUE 0,1 % SPRAY NASAL (CHLORHYDRATE DE XYLOMéTAZOLINE) – 10 ML</v>
          </cell>
        </row>
        <row r="8312">
          <cell r="B8312" t="str">
            <v>FG08708</v>
          </cell>
          <cell r="C8312" t="str">
            <v>PERIN-10 (PERINDOPRIL) BOITE DE 3 X 10</v>
          </cell>
        </row>
        <row r="8313">
          <cell r="B8313" t="str">
            <v>FG08709</v>
          </cell>
          <cell r="C8313" t="str">
            <v>PERIN-5 (PERINDOPRIL) BOITE DE 3 X 10</v>
          </cell>
        </row>
        <row r="8314">
          <cell r="B8314" t="str">
            <v>FG08718</v>
          </cell>
          <cell r="C8314" t="str">
            <v>HEMO PLUS – SIROP HEMATINIQUE AVEC ZINC – FLACON DE 100 ML</v>
          </cell>
        </row>
        <row r="8315">
          <cell r="B8315" t="str">
            <v>FG08719</v>
          </cell>
          <cell r="C8315" t="str">
            <v>STOPGRIP – COMPRIMES CONTRE RHUME – BOITE DE 4</v>
          </cell>
        </row>
        <row r="8316">
          <cell r="B8316" t="str">
            <v>FG08720</v>
          </cell>
          <cell r="C8316" t="str">
            <v>CLOPIDOGREL IMPECT 75MG CES B/28 (FR)</v>
          </cell>
        </row>
        <row r="8317">
          <cell r="B8317" t="str">
            <v>FG08721</v>
          </cell>
          <cell r="C8317" t="str">
            <v>REFRIGERATEUR BANQUE DE SANG +4°C - 296L</v>
          </cell>
        </row>
        <row r="8318">
          <cell r="B8318" t="str">
            <v>FG08722</v>
          </cell>
          <cell r="C8318" t="str">
            <v>Q-AMINO INFUSION (AA CRISTALLISES + XYLITOL) FLACON 200ML</v>
          </cell>
        </row>
        <row r="8319">
          <cell r="B8319" t="str">
            <v>FG08723</v>
          </cell>
          <cell r="C8319" t="str">
            <v>NON WOVEN BAG</v>
          </cell>
        </row>
        <row r="8320">
          <cell r="B8320" t="str">
            <v>FG08724</v>
          </cell>
          <cell r="C8320" t="str">
            <v>ADVERTISING MACHINE 32-INCH</v>
          </cell>
        </row>
        <row r="8321">
          <cell r="B8321" t="str">
            <v>FG08725</v>
          </cell>
          <cell r="C8321" t="str">
            <v>ADVERTISING MACHINE 55-INCH</v>
          </cell>
        </row>
        <row r="8322">
          <cell r="B8322" t="str">
            <v>FG08726</v>
          </cell>
          <cell r="C8322" t="str">
            <v>DISPLAY STAND</v>
          </cell>
        </row>
        <row r="8323">
          <cell r="B8323" t="str">
            <v>FG08727</v>
          </cell>
          <cell r="C8323" t="str">
            <v>DISPLAY PET BACKLIGHT</v>
          </cell>
        </row>
        <row r="8324">
          <cell r="B8324" t="str">
            <v>FG08730</v>
          </cell>
          <cell r="C8324" t="str">
            <v>EAU OXYGENEE 10V 100ML (UNIQUE)</v>
          </cell>
        </row>
        <row r="8325">
          <cell r="B8325" t="str">
            <v>FG08732</v>
          </cell>
          <cell r="C8325" t="str">
            <v>CEPSHAL 500MG B/10 CES</v>
          </cell>
        </row>
        <row r="8326">
          <cell r="B8326" t="str">
            <v>FG08733</v>
          </cell>
          <cell r="C8326" t="str">
            <v>ISAPHMEX 3.4GM SACHET</v>
          </cell>
        </row>
        <row r="8327">
          <cell r="B8327" t="str">
            <v>FG08734</v>
          </cell>
          <cell r="C8327" t="str">
            <v>ONREX ONDACETRON SP 30ML</v>
          </cell>
        </row>
        <row r="8328">
          <cell r="B8328" t="str">
            <v>FG08735</v>
          </cell>
          <cell r="C8328" t="str">
            <v>SHALFLOD B/10 CES</v>
          </cell>
        </row>
        <row r="8329">
          <cell r="B8329" t="str">
            <v>FG08736</v>
          </cell>
          <cell r="C8329" t="str">
            <v>COMFRELAX ADULLT DIAPERS XL 10PC (UNIQUE)</v>
          </cell>
        </row>
        <row r="8330">
          <cell r="B8330" t="str">
            <v>FG08737</v>
          </cell>
          <cell r="C8330" t="str">
            <v>ENOXAPARIN SODIUM INJ 0.6ML 1AMP (ENOXA)</v>
          </cell>
        </row>
        <row r="8331">
          <cell r="B8331" t="str">
            <v>FG08739</v>
          </cell>
          <cell r="C8331" t="str">
            <v>NASOCLEAR – SERUM PHYSIOLOGIQUE, SOLUTION SALINE 5ML, 15 FLACONS/BOITE</v>
          </cell>
        </row>
        <row r="8332">
          <cell r="B8332" t="str">
            <v>FG08740</v>
          </cell>
          <cell r="C8332" t="str">
            <v>BANDE DE KINESIOLOGIE 5 CM × 5 M – NOIRE (COTON ELASTIQUE) – 1 ROULEAU / BOITE</v>
          </cell>
        </row>
        <row r="8333">
          <cell r="B8333" t="str">
            <v>FG08741</v>
          </cell>
          <cell r="C8333" t="str">
            <v>SECOURS PLATRE ANTIDOULEUR AU CAPSICUM 12 × 18 CM – POUCH/ 1 PC</v>
          </cell>
        </row>
        <row r="8334">
          <cell r="B8334" t="str">
            <v>FG08742</v>
          </cell>
          <cell r="C8334" t="str">
            <v>PERFAC PATCH ANTIFIEVRE RAFRAICHISSANT B/ 3 POCHES</v>
          </cell>
        </row>
        <row r="8335">
          <cell r="B8335" t="str">
            <v>FG08743</v>
          </cell>
          <cell r="C8335" t="str">
            <v>UNIDEX – DEXAMETHASONE + NEOMYCINE GOUTTES OCULAIRES / OTIQUES 10 ML</v>
          </cell>
        </row>
        <row r="8336">
          <cell r="B8336" t="str">
            <v>FG08750</v>
          </cell>
          <cell r="C8336" t="str">
            <v>COPLAVIX 75MG/100MG CPR B/30CES</v>
          </cell>
        </row>
        <row r="8337">
          <cell r="B8337" t="str">
            <v>FG08751</v>
          </cell>
          <cell r="C8337" t="str">
            <v>NAZOCLEAR FORT – SPRAY HYPERTONIQUE NASAL, SEL DE L’HIMALAYA, 50 ML</v>
          </cell>
        </row>
        <row r="8338">
          <cell r="B8338" t="str">
            <v>FG08752</v>
          </cell>
          <cell r="C8338" t="str">
            <v>NAZOCLEAR – SPRAY ISOTONIQUE NASAL, SEL DE L’HIMALAYA, 100 ML</v>
          </cell>
        </row>
        <row r="8339">
          <cell r="B8339" t="str">
            <v>FG08753</v>
          </cell>
          <cell r="C8339" t="str">
            <v>NAZOCLEAR KIDS – SPRAY ISOTONIQUE NASAL ENFANTS, SEL DE L’HIMALAYA, 50 ML</v>
          </cell>
        </row>
        <row r="8340">
          <cell r="B8340" t="str">
            <v>FG08754</v>
          </cell>
          <cell r="C8340" t="str">
            <v>NAZOCLEAR PROTECT – SPRAY ISOTONIQUE NASAL ANTI-ALLERGIES, 50 ML</v>
          </cell>
        </row>
        <row r="8341">
          <cell r="B8341" t="str">
            <v>FG08763</v>
          </cell>
          <cell r="C8341" t="str">
            <v>URYL M2 (GLIMEPIRIDE+CHLORHYDRATE DE MET) 2MG/500MG/30CES</v>
          </cell>
        </row>
        <row r="8342">
          <cell r="B8342" t="str">
            <v>FG08764</v>
          </cell>
          <cell r="C8342" t="str">
            <v>I-SURE (LEVONORGESTREL 0.15 MG + ETHINYLESTRADIOL 0.03 MG) B/ 28 CES</v>
          </cell>
        </row>
        <row r="8343">
          <cell r="B8343" t="str">
            <v>FG08804</v>
          </cell>
          <cell r="C8343" t="str">
            <v>INDAREX-AM **5/1,5MG** (AMLODIPINE+INDAPAMIDE) B/3X10CES</v>
          </cell>
        </row>
        <row r="8344">
          <cell r="B8344" t="str">
            <v>FG08805</v>
          </cell>
          <cell r="C8344" t="str">
            <v>INDAREX-AM 10/1,5MG (AMLODIPINE+INDAPAMIDE) B/3X10CES</v>
          </cell>
        </row>
        <row r="8345">
          <cell r="B8345" t="str">
            <v>FG08813</v>
          </cell>
          <cell r="C8345" t="str">
            <v>BROCHURE</v>
          </cell>
        </row>
        <row r="8346">
          <cell r="B8346" t="str">
            <v>FG08814</v>
          </cell>
          <cell r="C8346" t="str">
            <v>MC- URÉE 40 % (5 ML/VL)</v>
          </cell>
        </row>
        <row r="8347">
          <cell r="B8347" t="str">
            <v>FG08815</v>
          </cell>
          <cell r="C8347" t="str">
            <v>DISQUES ANTIBIOGRAMMES - KANAMYCIN BT/50</v>
          </cell>
        </row>
        <row r="8348">
          <cell r="B8348" t="str">
            <v>FG08816</v>
          </cell>
          <cell r="C8348" t="str">
            <v>DISQUES ANTIBIOGRAMMES - LINEZOLID BT/50</v>
          </cell>
        </row>
        <row r="8349">
          <cell r="B8349" t="str">
            <v>FG08817</v>
          </cell>
          <cell r="C8349" t="str">
            <v>DYMIND COAGULATION CAL-FIB (FIBRINOGEN CALIBRATOR)</v>
          </cell>
        </row>
        <row r="8350">
          <cell r="B8350" t="str">
            <v>FG08818</v>
          </cell>
          <cell r="C8350" t="str">
            <v>DYMIND COAGULATION CTRL LEVEL1 (PT, APTT, TT, FIB)</v>
          </cell>
        </row>
        <row r="8351">
          <cell r="B8351" t="str">
            <v>FG08819</v>
          </cell>
          <cell r="C8351" t="str">
            <v>DYMIND COAGULATION CTRL LEVEL2 (PT, APTT, TT, FIB)</v>
          </cell>
        </row>
        <row r="8352">
          <cell r="B8352" t="str">
            <v>FG08826</v>
          </cell>
          <cell r="C8352" t="str">
            <v>BONNE NUIT GEL LUBRICANT 100ML</v>
          </cell>
        </row>
        <row r="8353">
          <cell r="B8353" t="str">
            <v>FG08827</v>
          </cell>
          <cell r="C8353" t="str">
            <v>BONNE NUIT INTENSE GEL 10ML</v>
          </cell>
        </row>
        <row r="8354">
          <cell r="B8354" t="str">
            <v>FG08828</v>
          </cell>
          <cell r="C8354" t="str">
            <v>PREGACOB PLUS (PREGABALINE+METHYLCOBALAMINE+ALA+BIOTINE+PYRIDOXINE+AF+CR) 3X10 GEL</v>
          </cell>
        </row>
        <row r="8355">
          <cell r="B8355" t="str">
            <v>FG08829</v>
          </cell>
          <cell r="C8355" t="str">
            <v>FOREDERM (BETAMETHASONE+GENTAMICINE+TOLNAFTATE+ICHQ) CREME 50G</v>
          </cell>
        </row>
        <row r="8356">
          <cell r="B8356" t="str">
            <v>FG08832</v>
          </cell>
          <cell r="C8356" t="str">
            <v>CHEMODROX-500 (HYDROXYUREE 500 MG), B/2X10 GELULES</v>
          </cell>
        </row>
        <row r="8357">
          <cell r="B8357" t="str">
            <v>FG08833</v>
          </cell>
          <cell r="C8357" t="str">
            <v>AMYLASE (ALFA-AMYLASE 3000 U.CEIP) B/2X15 CES</v>
          </cell>
        </row>
        <row r="8358">
          <cell r="B8358" t="str">
            <v>FG08834</v>
          </cell>
          <cell r="C8358" t="str">
            <v>CIPROQUE TZ (CIPRO 500 MG + TINIDAZOLE 600 MG), B/1X10 CES</v>
          </cell>
        </row>
        <row r="8359">
          <cell r="B8359" t="str">
            <v>FG08835</v>
          </cell>
          <cell r="C8359" t="str">
            <v>UNIMORAL (TRYPSINE + CHYMOTRYPSINE [6:1] EQ. 50 000 UNITES), B/3×10 CES</v>
          </cell>
        </row>
        <row r="8360">
          <cell r="B8360" t="str">
            <v>FG08836</v>
          </cell>
          <cell r="C8360" t="str">
            <v>CTZ 10MG (CETIRIZINE) B/1×10 CES DISPERSIBLES</v>
          </cell>
        </row>
        <row r="8361">
          <cell r="B8361" t="str">
            <v>FG08837</v>
          </cell>
          <cell r="C8361" t="str">
            <v>CLAMOQUE 500 MG (AMOXICILLINE) B/1X12 GELULES</v>
          </cell>
        </row>
        <row r="8362">
          <cell r="B8362" t="str">
            <v>FG08838</v>
          </cell>
          <cell r="C8362" t="str">
            <v>I-SURE M3 (MEDROXYPROGESTERONE 150 MG/ML), B/1 FL</v>
          </cell>
        </row>
        <row r="8363">
          <cell r="B8363" t="str">
            <v>FG08839</v>
          </cell>
          <cell r="C8363" t="str">
            <v>SCSJ-I, 50GPD RO MEMBRANE</v>
          </cell>
        </row>
        <row r="8364">
          <cell r="B8364" t="str">
            <v>FG08840</v>
          </cell>
          <cell r="C8364" t="str">
            <v>SCSJ-I,10" PP FILTER</v>
          </cell>
        </row>
        <row r="8365">
          <cell r="B8365" t="str">
            <v>FG08841</v>
          </cell>
          <cell r="C8365" t="str">
            <v>SCSJ-I,10''ACTIVATED CARBON FILTER</v>
          </cell>
        </row>
        <row r="8366">
          <cell r="B8366" t="str">
            <v>FG08842</v>
          </cell>
          <cell r="C8366" t="str">
            <v>SCSJ-I,ION EXCHANGE COLUMN</v>
          </cell>
        </row>
        <row r="8367">
          <cell r="B8367" t="str">
            <v>FG08843</v>
          </cell>
          <cell r="C8367" t="str">
            <v>SONDE CBIT 4 CONVEX PROBE D3C60L 3.5MHZ, UNITE</v>
          </cell>
        </row>
        <row r="8368">
          <cell r="B8368" t="str">
            <v>FG08844</v>
          </cell>
          <cell r="C8368" t="str">
            <v>SONDE CBIT 10 CONVEX PROBE D3C60L-3.5MHZ, UNITE</v>
          </cell>
        </row>
        <row r="8369">
          <cell r="B8369" t="str">
            <v>FG08845</v>
          </cell>
          <cell r="C8369" t="str">
            <v>SONDE CBIT 4 LINEAR PROBE D7L40L-7.5MHZ, UNITE</v>
          </cell>
        </row>
        <row r="8370">
          <cell r="B8370" t="str">
            <v>FG08846</v>
          </cell>
          <cell r="C8370" t="str">
            <v>SONDE CBIT 4 TRANS-VAGINAL PROBE D6C12L-6.0MHZ, UNITE</v>
          </cell>
        </row>
        <row r="8371">
          <cell r="B8371" t="str">
            <v>FG08847</v>
          </cell>
          <cell r="C8371" t="str">
            <v>SONDE CBIT 4 PHASED ARRAY PROBE (ADULTE) D3P64L-2.5MHZ, UNITE</v>
          </cell>
        </row>
        <row r="8372">
          <cell r="B8372" t="str">
            <v>FG08848</v>
          </cell>
          <cell r="C8372" t="str">
            <v>ANALYSEUR DÉLECTROLYTE ET- AUTOMATE- EAGLENOS EN102</v>
          </cell>
        </row>
        <row r="8373">
          <cell r="B8373" t="str">
            <v>FG08849</v>
          </cell>
          <cell r="C8373" t="str">
            <v>EAGLENOS CARTOUCHE DE TEST EG10+ B/25 CARTOUCHE</v>
          </cell>
        </row>
        <row r="8374">
          <cell r="B8374" t="str">
            <v>FG08850</v>
          </cell>
          <cell r="C8374" t="str">
            <v>EAGLENOS CONTROLE QUALITE EG-C1 (NIVEAU 3)</v>
          </cell>
        </row>
        <row r="8375">
          <cell r="B8375" t="str">
            <v>FG08851</v>
          </cell>
          <cell r="C8375" t="str">
            <v>ICU VENTILATOR S1200 - OXYGEN SENSOR</v>
          </cell>
        </row>
        <row r="8376">
          <cell r="B8376" t="str">
            <v>FG08852</v>
          </cell>
          <cell r="C8376" t="str">
            <v>IMN - CA12,5, B/25 CARTOUCHES</v>
          </cell>
        </row>
        <row r="8377">
          <cell r="B8377" t="str">
            <v>FG08853</v>
          </cell>
          <cell r="C8377" t="str">
            <v>MONITEUR D'ENDOSCOPE : MONITEUR 19 POUCES</v>
          </cell>
        </row>
        <row r="8378">
          <cell r="B8378" t="str">
            <v>FG08854</v>
          </cell>
          <cell r="C8378" t="str">
            <v>SUPPORT DE BRAS POUR CHARIOT D'ENDOSCOPIE</v>
          </cell>
        </row>
        <row r="8379">
          <cell r="B8379" t="str">
            <v>FG08855</v>
          </cell>
          <cell r="C8379" t="str">
            <v>UNITé MOBILE DE RADIOGRAPHIE NUMéRIQUE</v>
          </cell>
        </row>
        <row r="8380">
          <cell r="B8380" t="str">
            <v>FG08856</v>
          </cell>
          <cell r="C8380" t="str">
            <v>PARAVENT PLOMBé (MOBILE)</v>
          </cell>
        </row>
        <row r="8381">
          <cell r="B8381" t="str">
            <v>FG08857</v>
          </cell>
          <cell r="C8381" t="str">
            <v>GANT EN PLOMB ANTI-RAYON X</v>
          </cell>
        </row>
        <row r="8382">
          <cell r="B8382" t="str">
            <v>FG08858</v>
          </cell>
          <cell r="C8382" t="str">
            <v>IMPRIMANTE DE RADIOLOGIE NUMéRIQUE</v>
          </cell>
        </row>
        <row r="8383">
          <cell r="B8383" t="str">
            <v>FG08859</v>
          </cell>
          <cell r="C8383" t="str">
            <v>SET DE PERFUSION AVEC RéGULATEUR DE DéBIT ET CHAMBRE à MICROGOUTTES</v>
          </cell>
        </row>
        <row r="8384">
          <cell r="B8384" t="str">
            <v>FG08860</v>
          </cell>
          <cell r="C8384" t="str">
            <v>UNITé COMBINéE D’OPHTALMOLOGIE ( FAUTEUIL ET COLONNE)</v>
          </cell>
        </row>
        <row r="8385">
          <cell r="B8385" t="str">
            <v>FG08861</v>
          </cell>
          <cell r="C8385" t="str">
            <v>LAMPE à FENTE</v>
          </cell>
        </row>
        <row r="8386">
          <cell r="B8386" t="str">
            <v>FG08862</v>
          </cell>
          <cell r="C8386" t="str">
            <v>APPAREIL DE RéFRACTOKéRATOMèTRE AUTOMATIQUE</v>
          </cell>
        </row>
        <row r="8387">
          <cell r="B8387" t="str">
            <v>FG08863</v>
          </cell>
          <cell r="C8387" t="str">
            <v>FOCIMèTRE</v>
          </cell>
        </row>
        <row r="8388">
          <cell r="B8388" t="str">
            <v>FG08864</v>
          </cell>
          <cell r="C8388" t="str">
            <v>CHAISE DENTAIRE</v>
          </cell>
        </row>
        <row r="8389">
          <cell r="B8389" t="str">
            <v>FG08865</v>
          </cell>
          <cell r="C8389" t="str">
            <v>APPAREIL RESPIRATOIRE AUTO CPAP 1 UNITE BEYOND B-30P</v>
          </cell>
        </row>
        <row r="8390">
          <cell r="B8390" t="str">
            <v>FG08866</v>
          </cell>
          <cell r="C8390" t="str">
            <v>POMPE à INSULINE</v>
          </cell>
        </row>
        <row r="8391">
          <cell r="B8391" t="str">
            <v>FG08867</v>
          </cell>
          <cell r="C8391" t="str">
            <v>KIT DE CANULE DE GUEDEL</v>
          </cell>
        </row>
        <row r="8392">
          <cell r="B8392" t="str">
            <v>FG08868</v>
          </cell>
          <cell r="C8392" t="str">
            <v>BRANCARD MONTE ESCALIER</v>
          </cell>
        </row>
        <row r="8393">
          <cell r="B8393" t="str">
            <v>FG08869</v>
          </cell>
          <cell r="C8393" t="str">
            <v>LIT DE CAMPING PLIABLE</v>
          </cell>
        </row>
        <row r="8394">
          <cell r="B8394" t="str">
            <v>FG08870</v>
          </cell>
          <cell r="C8394" t="str">
            <v>DERMATOME éLECTRIC</v>
          </cell>
        </row>
        <row r="8395">
          <cell r="B8395" t="str">
            <v>FG08871</v>
          </cell>
          <cell r="C8395" t="str">
            <v>CHAISE DE TRANSFéRER DE PATIENT HYDRAULIQUE</v>
          </cell>
        </row>
        <row r="8396">
          <cell r="B8396" t="str">
            <v>FG08872</v>
          </cell>
          <cell r="C8396" t="str">
            <v>HOSPITAL BED ELECTRIC ABS FIVE FUNCTION</v>
          </cell>
        </row>
        <row r="8397">
          <cell r="B8397" t="str">
            <v>FG08876</v>
          </cell>
          <cell r="C8397" t="str">
            <v>ILLIZAROV EXTERNAL FIXATOR</v>
          </cell>
        </row>
        <row r="8398">
          <cell r="B8398" t="str">
            <v>FG08877</v>
          </cell>
          <cell r="C8398" t="str">
            <v>FRAGMENT SET, ORTHOPEDIC, SMALL</v>
          </cell>
        </row>
        <row r="8399">
          <cell r="B8399" t="str">
            <v>FG08878</v>
          </cell>
          <cell r="C8399" t="str">
            <v>FRAGMENT SET, ORTHOPEDIC, LARGE</v>
          </cell>
        </row>
        <row r="8400">
          <cell r="B8400" t="str">
            <v>FG08879</v>
          </cell>
          <cell r="C8400" t="str">
            <v>UNIQUE FOLER FILE PRODUCT A</v>
          </cell>
        </row>
        <row r="8401">
          <cell r="B8401" t="str">
            <v>FG08880</v>
          </cell>
          <cell r="C8401" t="str">
            <v>ALABSTER PAPERONE SIZE 9X12</v>
          </cell>
        </row>
        <row r="8402">
          <cell r="B8402" t="str">
            <v>FG08881</v>
          </cell>
          <cell r="C8402" t="str">
            <v>ALABSTER PAPERONE SIZE 7X5</v>
          </cell>
        </row>
        <row r="8403">
          <cell r="B8403" t="str">
            <v>FG08884</v>
          </cell>
          <cell r="C8403" t="str">
            <v>CONTROL HEMATOLOGY (3ML*1) DM-5DH</v>
          </cell>
        </row>
        <row r="8404">
          <cell r="B8404" t="str">
            <v>FG08885</v>
          </cell>
          <cell r="C8404" t="str">
            <v>CONTROL HEMATOLOGY (3ML*1) DM-5DN</v>
          </cell>
        </row>
        <row r="8405">
          <cell r="B8405" t="str">
            <v>FG08886</v>
          </cell>
          <cell r="C8405" t="str">
            <v>CONTROL HEMATOLOGY (3ML*1) DM-5DL</v>
          </cell>
        </row>
        <row r="8406">
          <cell r="B8406" t="str">
            <v>FG08887</v>
          </cell>
          <cell r="C8406" t="str">
            <v>CALIBRATOR HEMATOLOGY (3ML*1) DM-CAL PLUS</v>
          </cell>
        </row>
        <row r="8407">
          <cell r="B8407" t="str">
            <v>FG08888</v>
          </cell>
          <cell r="C8407" t="str">
            <v>SYRINGE ASSEMBLY WITH MOTOR- DF-55</v>
          </cell>
        </row>
        <row r="8408">
          <cell r="B8408" t="str">
            <v>FG08889</v>
          </cell>
          <cell r="C8408" t="str">
            <v>TROIS PLUS FORTE-Z (B1+B6+B12+ZINC) SIROP 100 ML</v>
          </cell>
        </row>
        <row r="8409">
          <cell r="B8409" t="str">
            <v>FG08891</v>
          </cell>
          <cell r="C8409" t="str">
            <v>GAZELLE- HC 104 AS CONTROL SET</v>
          </cell>
        </row>
        <row r="8410">
          <cell r="B8410" t="str">
            <v>FG08892</v>
          </cell>
          <cell r="C8410" t="str">
            <v>GAZELLE- HC-111 A2 NORMAL SET</v>
          </cell>
        </row>
        <row r="8411">
          <cell r="B8411" t="str">
            <v>FG08893</v>
          </cell>
          <cell r="C8411" t="str">
            <v>STOPGRIP SIROP 100 ML (POUR RHUME, TOUX ET FIEVRE)</v>
          </cell>
        </row>
        <row r="8412">
          <cell r="B8412" t="str">
            <v>FG08899</v>
          </cell>
          <cell r="C8412" t="str">
            <v>METAL STORAGE CABINET</v>
          </cell>
        </row>
        <row r="8413">
          <cell r="B8413" t="str">
            <v>FG08900</v>
          </cell>
          <cell r="C8413" t="str">
            <v>A10A SWADDLING TABLE A10A</v>
          </cell>
        </row>
        <row r="8414">
          <cell r="B8414" t="str">
            <v>FG08901</v>
          </cell>
          <cell r="C8414" t="str">
            <v>VP400515 VACUTAINER TUBES (GREY) GLUCOSE-FLUORIDE,100PCS</v>
          </cell>
        </row>
        <row r="8415">
          <cell r="B8415" t="str">
            <v>FG08902</v>
          </cell>
          <cell r="C8415" t="str">
            <v>MASSAGE TABLE MM-2051</v>
          </cell>
        </row>
        <row r="8416">
          <cell r="B8416" t="str">
            <v>FG08903</v>
          </cell>
          <cell r="C8416" t="str">
            <v>BEDSEDE CABINET WITH WHEELS T31 ABS</v>
          </cell>
        </row>
        <row r="8417">
          <cell r="B8417" t="str">
            <v>FG08909</v>
          </cell>
          <cell r="C8417" t="str">
            <v>PALACOS LV+G BONE CEMENT 40G</v>
          </cell>
        </row>
        <row r="8418">
          <cell r="B8418" t="str">
            <v>FG08910</v>
          </cell>
          <cell r="C8418" t="str">
            <v>PALACOS MV+G BONE CEMENT 40G</v>
          </cell>
        </row>
        <row r="8419">
          <cell r="B8419" t="str">
            <v>FG08911</v>
          </cell>
          <cell r="C8419" t="str">
            <v>ALUKON 10MG 28 CES (FR)</v>
          </cell>
        </row>
        <row r="8420">
          <cell r="B8420" t="str">
            <v>FG08914</v>
          </cell>
          <cell r="C8420" t="str">
            <v>IMPLANTS ORTHO MERIL FEMORAL PS LEFT A</v>
          </cell>
        </row>
        <row r="8421">
          <cell r="B8421" t="str">
            <v>FG08915</v>
          </cell>
          <cell r="C8421" t="str">
            <v>IMPLANTS ORTHO MERIL FEMORAL PS LEFT B</v>
          </cell>
        </row>
        <row r="8422">
          <cell r="B8422" t="str">
            <v>FG08916</v>
          </cell>
          <cell r="C8422" t="str">
            <v>IMPLANTS ORTHO MERIL FEMORAL PS LEFT C</v>
          </cell>
        </row>
        <row r="8423">
          <cell r="B8423" t="str">
            <v>FG08917</v>
          </cell>
          <cell r="C8423" t="str">
            <v>IMPLANTS ORTHO MERIL FEMORAL PS LEFT D</v>
          </cell>
        </row>
        <row r="8424">
          <cell r="B8424" t="str">
            <v>FG08918</v>
          </cell>
          <cell r="C8424" t="str">
            <v>IMPLANTS ORTHO MERIL FEMORAL PS LEFT E</v>
          </cell>
        </row>
        <row r="8425">
          <cell r="B8425" t="str">
            <v>FG08919</v>
          </cell>
          <cell r="C8425" t="str">
            <v>IMPLANTS ORTHO MERIL FEMORAL PS LEFT F</v>
          </cell>
        </row>
        <row r="8426">
          <cell r="B8426" t="str">
            <v>FG08920</v>
          </cell>
          <cell r="C8426" t="str">
            <v>IMPLANTS ORTHO MERIL FEMORAL PS LEFT G</v>
          </cell>
        </row>
        <row r="8427">
          <cell r="B8427" t="str">
            <v>FG08921</v>
          </cell>
          <cell r="C8427" t="str">
            <v>IMPLANTS ORTHO MERIL FEMORAL PS RIGHT A</v>
          </cell>
        </row>
        <row r="8428">
          <cell r="B8428" t="str">
            <v>FG08922</v>
          </cell>
          <cell r="C8428" t="str">
            <v>IMPLANTS ORTHO MERIL FEMORAL PS RIGHT B</v>
          </cell>
        </row>
        <row r="8429">
          <cell r="B8429" t="str">
            <v>FG08923</v>
          </cell>
          <cell r="C8429" t="str">
            <v>IMPLANTS ORTHO MERIL FEMORAL PS RIGHT C</v>
          </cell>
        </row>
        <row r="8430">
          <cell r="B8430" t="str">
            <v>FG08924</v>
          </cell>
          <cell r="C8430" t="str">
            <v>IMPLANTS ORTHO MERIL FEMORAL PS RIGHT D</v>
          </cell>
        </row>
        <row r="8431">
          <cell r="B8431" t="str">
            <v>FG08925</v>
          </cell>
          <cell r="C8431" t="str">
            <v>IMPLANTS ORTHO MERIL FEMORAL PS RIGHT E</v>
          </cell>
        </row>
        <row r="8432">
          <cell r="B8432" t="str">
            <v>FG08926</v>
          </cell>
          <cell r="C8432" t="str">
            <v>IMPLANTS ORTHO MERIL FEMORAL PS RIGHT F</v>
          </cell>
        </row>
        <row r="8433">
          <cell r="B8433" t="str">
            <v>FG08927</v>
          </cell>
          <cell r="C8433" t="str">
            <v>IMPLANTS ORTHO MERIL FEMORAL PS RIGHT G</v>
          </cell>
        </row>
        <row r="8434">
          <cell r="B8434" t="str">
            <v>FG08928</v>
          </cell>
          <cell r="C8434" t="str">
            <v>IMPLANTS ORTHO MERIL TIBIAL BASE 1 METALBACKED</v>
          </cell>
        </row>
        <row r="8435">
          <cell r="B8435" t="str">
            <v>FG08929</v>
          </cell>
          <cell r="C8435" t="str">
            <v>IMPLANTS ORTHO MERIL TIBIAL BASE 2 METALBACKED</v>
          </cell>
        </row>
        <row r="8436">
          <cell r="B8436" t="str">
            <v>FG08930</v>
          </cell>
          <cell r="C8436" t="str">
            <v>IMPLANTS ORTHO MERIL TIBIAL BASE 3 METALBACKED</v>
          </cell>
        </row>
        <row r="8437">
          <cell r="B8437" t="str">
            <v>FG08931</v>
          </cell>
          <cell r="C8437" t="str">
            <v>IMPLANTS ORTHO MERIL TIBIAL BASE 4 METALBACKED</v>
          </cell>
        </row>
        <row r="8438">
          <cell r="B8438" t="str">
            <v>FG08932</v>
          </cell>
          <cell r="C8438" t="str">
            <v>IMPLANTS ORTHO MERIL TIBIAL BASE 5 METALBACKED</v>
          </cell>
        </row>
        <row r="8439">
          <cell r="B8439" t="str">
            <v>FG08933</v>
          </cell>
          <cell r="C8439" t="str">
            <v>IMPLANTS ORTHO MERIL TIBIAL BASE 6 METALBACKED</v>
          </cell>
        </row>
        <row r="8440">
          <cell r="B8440" t="str">
            <v>FG08934</v>
          </cell>
          <cell r="C8440" t="str">
            <v>IMPLANTS ORTHO MERIL TIBIAL BASE 7 METALBACKED</v>
          </cell>
        </row>
        <row r="8441">
          <cell r="B8441" t="str">
            <v>FG08935</v>
          </cell>
          <cell r="C8441" t="str">
            <v>IMPLANTS ORTHO MERIL TIBIAL LINER PS A1-2 METALBACKED, 9MM</v>
          </cell>
        </row>
        <row r="8442">
          <cell r="B8442" t="str">
            <v>FG08936</v>
          </cell>
          <cell r="C8442" t="str">
            <v>IMPLANTS ORTHO MERIL TIBIAL LINER PS A1-2 METALBACKED, 11MM</v>
          </cell>
        </row>
        <row r="8443">
          <cell r="B8443" t="str">
            <v>FG08937</v>
          </cell>
          <cell r="C8443" t="str">
            <v>IMPLANTS ORTHO MERIL TIBIAL LINER PS A1-2 METALBACKED, 14MM</v>
          </cell>
        </row>
        <row r="8444">
          <cell r="B8444" t="str">
            <v>FG08938</v>
          </cell>
          <cell r="C8444" t="str">
            <v>IMPLANTS ORTHO MERIL TIBIAL LINER PS A1-2 METALBACKED, 17MM</v>
          </cell>
        </row>
        <row r="8445">
          <cell r="B8445" t="str">
            <v>FG08939</v>
          </cell>
          <cell r="C8445" t="str">
            <v>IMPLANTS ORTHO MERIL TIBIAL LINER PS B1-2 METALBACKED, 9MM</v>
          </cell>
        </row>
        <row r="8446">
          <cell r="B8446" t="str">
            <v>FG08940</v>
          </cell>
          <cell r="C8446" t="str">
            <v>IMPLANTS ORTHO MERIL TIBIAL LINER PS B1-2 METALBACKED, 11MM</v>
          </cell>
        </row>
        <row r="8447">
          <cell r="B8447" t="str">
            <v>FG08941</v>
          </cell>
          <cell r="C8447" t="str">
            <v>IMPLANTS ORTHO MERIL TIBIAL LINER PS B1-2 METALBACKED, 14MM</v>
          </cell>
        </row>
        <row r="8448">
          <cell r="B8448" t="str">
            <v>FG08942</v>
          </cell>
          <cell r="C8448" t="str">
            <v>IMPLANTS ORTHO MERIL TIBIAL LINER PS B1-2 METALBACKED, 17MM</v>
          </cell>
        </row>
        <row r="8449">
          <cell r="B8449" t="str">
            <v>FG08943</v>
          </cell>
          <cell r="C8449" t="str">
            <v>IMPLANTS ORTHO MERIL TIBIAL LINER PS C1-2 METALBACKED, 9MM</v>
          </cell>
        </row>
        <row r="8450">
          <cell r="B8450" t="str">
            <v>FG08944</v>
          </cell>
          <cell r="C8450" t="str">
            <v>IMPLANTS ORTHO MERIL TIBIAL LINER PS C1-2 METALBACKED, 11MM</v>
          </cell>
        </row>
        <row r="8451">
          <cell r="B8451" t="str">
            <v>FG08945</v>
          </cell>
          <cell r="C8451" t="str">
            <v>IMPLANTS ORTHO MERIL TIBIAL LINER PS C1-2 METALBACKED, 14MM</v>
          </cell>
        </row>
        <row r="8452">
          <cell r="B8452" t="str">
            <v>FG08946</v>
          </cell>
          <cell r="C8452" t="str">
            <v>IMPLANTS ORTHO MERIL TIBIAL LINER PS C1-2 METALBACKED, 17MM</v>
          </cell>
        </row>
        <row r="8453">
          <cell r="B8453" t="str">
            <v>FG08947</v>
          </cell>
          <cell r="C8453" t="str">
            <v>IMPLANTS ORTHO MERIL TIBIAL LINER PS C3-4METALBACKED, 11MM</v>
          </cell>
        </row>
        <row r="8454">
          <cell r="B8454" t="str">
            <v>FG08948</v>
          </cell>
          <cell r="C8454" t="str">
            <v>IMPLANTS ORTHO MERIL TIBIAL LINER PS C3-4METALBACKED, 14MM</v>
          </cell>
        </row>
        <row r="8455">
          <cell r="B8455" t="str">
            <v>FG08949</v>
          </cell>
          <cell r="C8455" t="str">
            <v>IMPLANTS ORTHO MERIL TIBIAL LINER PS C3-4METALBACKED, 17MM</v>
          </cell>
        </row>
        <row r="8456">
          <cell r="B8456" t="str">
            <v>FG08950</v>
          </cell>
          <cell r="C8456" t="str">
            <v>IMPLANTS ORTHO MERIL TIBIAL LINER PS D3-4 METALBACKED, 9MM</v>
          </cell>
        </row>
        <row r="8457">
          <cell r="B8457" t="str">
            <v>FG08951</v>
          </cell>
          <cell r="C8457" t="str">
            <v>IMPLANTS ORTHO MERIL TIBIAL LINER PS D3-4 METALBACKED, 11MM</v>
          </cell>
        </row>
        <row r="8458">
          <cell r="B8458" t="str">
            <v>FG08952</v>
          </cell>
          <cell r="C8458" t="str">
            <v>IMPLANTS ORTHO MERIL TIBIAL LINER PS D3-4 METALBACKED, 14MM</v>
          </cell>
        </row>
        <row r="8459">
          <cell r="B8459" t="str">
            <v>FG08953</v>
          </cell>
          <cell r="C8459" t="str">
            <v>IMPLANTS ORTHO MERIL TIBIAL LINER PS D3-4 METALBACKED, 17MM</v>
          </cell>
        </row>
        <row r="8460">
          <cell r="B8460" t="str">
            <v>FG08954</v>
          </cell>
          <cell r="C8460" t="str">
            <v>IMPLANTS ORTHO MERIL TIBIAL LINER PS E3-4 METALBACKED, 9MM</v>
          </cell>
        </row>
        <row r="8461">
          <cell r="B8461" t="str">
            <v>FG08955</v>
          </cell>
          <cell r="C8461" t="str">
            <v>IMPLANTS ORTHO MERIL TIBIAL LINER PS E3-4 METALBACKED, 11MM</v>
          </cell>
        </row>
        <row r="8462">
          <cell r="B8462" t="str">
            <v>FG08956</v>
          </cell>
          <cell r="C8462" t="str">
            <v>IMPLANTS ORTHO MERIL TIBIAL LINER PS E3-4 METALBACKED, 14MM</v>
          </cell>
        </row>
        <row r="8463">
          <cell r="B8463" t="str">
            <v>FG08957</v>
          </cell>
          <cell r="C8463" t="str">
            <v>IMPLANTS ORTHO MERIL TIBIAL LINER PS E3-4 METALBACKED, 17MM</v>
          </cell>
        </row>
        <row r="8464">
          <cell r="B8464" t="str">
            <v>FG08958</v>
          </cell>
          <cell r="C8464" t="str">
            <v>IMPLANTS ORTHO MERIL TIBIAL LINER PS E5-6 METALBACKED, 9MM</v>
          </cell>
        </row>
        <row r="8465">
          <cell r="B8465" t="str">
            <v>FG08959</v>
          </cell>
          <cell r="C8465" t="str">
            <v>IMPLANTS ORTHO MERIL TIBIAL LINER PS E5-6 METALBACKED, 11MM</v>
          </cell>
        </row>
        <row r="8466">
          <cell r="B8466" t="str">
            <v>FG08960</v>
          </cell>
          <cell r="C8466" t="str">
            <v>IMPLANTS ORTHO MERIL TIBIAL LINER PS F5-6 METALBACKED, 9MM</v>
          </cell>
        </row>
        <row r="8467">
          <cell r="B8467" t="str">
            <v>FG08961</v>
          </cell>
          <cell r="C8467" t="str">
            <v>IMPLANTS ORTHO MERIL TIBIAL LINER PS F7-8 METALBACKED, 11MM</v>
          </cell>
        </row>
        <row r="8468">
          <cell r="B8468" t="str">
            <v>FG08962</v>
          </cell>
          <cell r="C8468" t="str">
            <v>IMPLANTS ORTHO MERIL TIBIAL LINER PS F7-8 METALBACKED, 17MM</v>
          </cell>
        </row>
        <row r="8469">
          <cell r="B8469" t="str">
            <v>FG08963</v>
          </cell>
          <cell r="C8469" t="str">
            <v>IMPLANTS ORTHO MERIL TIBIAL LINER PS G5-6 METALBACKED, 14MM</v>
          </cell>
        </row>
        <row r="8470">
          <cell r="B8470" t="str">
            <v>FG08964</v>
          </cell>
          <cell r="C8470" t="str">
            <v>IMPLANTS ORTHO MERIL TIBIAL LINER PS G7-8 METALBACKED, 9MM</v>
          </cell>
        </row>
        <row r="8471">
          <cell r="B8471" t="str">
            <v>FG08965</v>
          </cell>
          <cell r="C8471" t="str">
            <v>IMPLANTS ORTHO MERIL TIBIAL LINER PS G7-8 METALBACKED, 11MM</v>
          </cell>
        </row>
        <row r="8472">
          <cell r="B8472" t="str">
            <v>FG08966</v>
          </cell>
          <cell r="C8472" t="str">
            <v>IMPLANTS ORTHO MERIL TIBIAL LINER PS G7-8 METALBACKED, 14MM</v>
          </cell>
        </row>
        <row r="8473">
          <cell r="B8473" t="str">
            <v>FG08967</v>
          </cell>
          <cell r="C8473" t="str">
            <v>IMPLANTS ORTHO MERIL TIBIAL LINER PS C3-4 METALBACKED, 9MM</v>
          </cell>
        </row>
        <row r="8474">
          <cell r="B8474" t="str">
            <v>FG08968</v>
          </cell>
          <cell r="C8474" t="str">
            <v>IMPLANTS ORTHO MERIL TIBIAL LINER PS E5-6 METALBACKED, 14MM</v>
          </cell>
        </row>
        <row r="8475">
          <cell r="B8475" t="str">
            <v>FG08969</v>
          </cell>
          <cell r="C8475" t="str">
            <v>IMPLANTS ORTHO MERIL TIBIAL LINER PS E5-6 METALBACKED, 17MM</v>
          </cell>
        </row>
        <row r="8476">
          <cell r="B8476" t="str">
            <v>FG08970</v>
          </cell>
          <cell r="C8476" t="str">
            <v>IMPLANTS ORTHO MERIL TIBIAL LINER PS F5-6 METALBACKED, 11MM</v>
          </cell>
        </row>
        <row r="8477">
          <cell r="B8477" t="str">
            <v>FG08971</v>
          </cell>
          <cell r="C8477" t="str">
            <v>IMPLANTS ORTHO MERIL TIBIAL LINER PS F5-6 METALBACKED, 14MM</v>
          </cell>
        </row>
        <row r="8478">
          <cell r="B8478" t="str">
            <v>FG08972</v>
          </cell>
          <cell r="C8478" t="str">
            <v>IMPLANTS ORTHO MERIL TIBIAL LINER PS F5-6 METALBACKED, 17MM</v>
          </cell>
        </row>
        <row r="8479">
          <cell r="B8479" t="str">
            <v>FG08973</v>
          </cell>
          <cell r="C8479" t="str">
            <v>IMPLANTS ORTHO MERIL TIBIAL LINER PS F7-8 METALBACKED, 9MM</v>
          </cell>
        </row>
        <row r="8480">
          <cell r="B8480" t="str">
            <v>FG08974</v>
          </cell>
          <cell r="C8480" t="str">
            <v>IMPLANTS ORTHO MERIL TIBIAL LINER PS F7-8 METALBACKED, 14MM</v>
          </cell>
        </row>
        <row r="8481">
          <cell r="B8481" t="str">
            <v>FG08975</v>
          </cell>
          <cell r="C8481" t="str">
            <v>IMPLANTS ORTHO MERIL TIBIAL LINER PS G5-6 METALBACKED, 9MM</v>
          </cell>
        </row>
        <row r="8482">
          <cell r="B8482" t="str">
            <v>FG08976</v>
          </cell>
          <cell r="C8482" t="str">
            <v>IMPLANTS ORTHO MERIL TIBIAL LINER PS G5-6 METALBACKED, 17MM</v>
          </cell>
        </row>
        <row r="8483">
          <cell r="B8483" t="str">
            <v>FG08977</v>
          </cell>
          <cell r="C8483" t="str">
            <v>IMPLANTS ORTHO MERIL TIBIAL LINER PS G7-8 METALBACKED, 17MM</v>
          </cell>
        </row>
        <row r="8484">
          <cell r="B8484" t="str">
            <v>FG08978</v>
          </cell>
          <cell r="C8484" t="str">
            <v>IMPLANTS ORTHO MERIL PATELLA 25MM UNIVERSAL</v>
          </cell>
        </row>
        <row r="8485">
          <cell r="B8485" t="str">
            <v>FG08979</v>
          </cell>
          <cell r="C8485" t="str">
            <v>IMPLANTS ORTHO MERIL PATELLA 28MM UNIVERSAL</v>
          </cell>
        </row>
        <row r="8486">
          <cell r="B8486" t="str">
            <v>FG08980</v>
          </cell>
          <cell r="C8486" t="str">
            <v>IMPLANTS ORTHO MERIL PATELLA 31MM UNIVERSAL</v>
          </cell>
        </row>
        <row r="8487">
          <cell r="B8487" t="str">
            <v>FG08981</v>
          </cell>
          <cell r="C8487" t="str">
            <v>IMPLANTS ORTHO MERIL PATELLA 34MM UNIVERSAL</v>
          </cell>
        </row>
        <row r="8488">
          <cell r="B8488" t="str">
            <v>FG08982</v>
          </cell>
          <cell r="C8488" t="str">
            <v>IMPLANTS ORTHO MERIL PATELLA 37MM UNIVERSAL</v>
          </cell>
        </row>
        <row r="8489">
          <cell r="B8489" t="str">
            <v>FG08983</v>
          </cell>
          <cell r="C8489" t="str">
            <v>IMPLANTS ORTHO MERIL MONOBLOCK SHELL ASSEMBLY 37MM (SS 316 LV)</v>
          </cell>
        </row>
        <row r="8490">
          <cell r="B8490" t="str">
            <v>FG08984</v>
          </cell>
          <cell r="C8490" t="str">
            <v>IMPLANTS ORTHO MERIL MONOBLOCK SHELL ASSEMBLY 41MM (SS 316 LV)</v>
          </cell>
        </row>
        <row r="8491">
          <cell r="B8491" t="str">
            <v>FG08985</v>
          </cell>
          <cell r="C8491" t="str">
            <v>IMPLANTS ORTHO MERIL MONOBLOCK SHELL ASSEMBLY 39MM (SS 316 LV)</v>
          </cell>
        </row>
        <row r="8492">
          <cell r="B8492" t="str">
            <v>FG08986</v>
          </cell>
          <cell r="C8492" t="str">
            <v>IMPLANTS ORTHO MERIL MONOBLOCK SHELL ASSEMBLY 42MM (SS 316 LV)</v>
          </cell>
        </row>
        <row r="8493">
          <cell r="B8493" t="str">
            <v>FG08987</v>
          </cell>
          <cell r="C8493" t="str">
            <v>IMPLANTS ORTHO MERIL MONOBLOCK SHELL ASSEMBLY 43MM (SS 316 LV)</v>
          </cell>
        </row>
        <row r="8494">
          <cell r="B8494" t="str">
            <v>FG08988</v>
          </cell>
          <cell r="C8494" t="str">
            <v>IMPLANTS ORTHO MERIL MONOBLOCK SHELL ASSEMBLY 44MM (SS 316 LV)</v>
          </cell>
        </row>
        <row r="8495">
          <cell r="B8495" t="str">
            <v>FG08989</v>
          </cell>
          <cell r="C8495" t="str">
            <v>IMPLANTS ORTHO MERIL MONOBLOCK SHELL ASSEMBLY 45MM (SS 316 LV)</v>
          </cell>
        </row>
        <row r="8496">
          <cell r="B8496" t="str">
            <v>FG08990</v>
          </cell>
          <cell r="C8496" t="str">
            <v>IMPLANTS ORTHO MERIL MONOBLOCK SHELL ASSEMBLY 46MM (SS 316 LV)</v>
          </cell>
        </row>
        <row r="8497">
          <cell r="B8497" t="str">
            <v>FG08991</v>
          </cell>
          <cell r="C8497" t="str">
            <v>IMPLANTS ORTHO MERIL MONOBLOCK SHELL ASSEMBLY 47MM (SS 316 LV)</v>
          </cell>
        </row>
        <row r="8498">
          <cell r="B8498" t="str">
            <v>FG08992</v>
          </cell>
          <cell r="C8498" t="str">
            <v>IMPLANTS ORTHO MERIL MONOBLOCK SHELL ASSEMBLY 51MM (SS 316 LV)</v>
          </cell>
        </row>
        <row r="8499">
          <cell r="B8499" t="str">
            <v>FG08993</v>
          </cell>
          <cell r="C8499" t="str">
            <v>IMPLANTS ORTHO MERIL MONOBLOCK SHELL ASSEMBLY 53MM (SS 316 LV)</v>
          </cell>
        </row>
        <row r="8500">
          <cell r="B8500" t="str">
            <v>FG08994</v>
          </cell>
          <cell r="C8500" t="str">
            <v>IMPLANTS ORTHO MERIL MONOBLOCK SHELL ASSEMBLY 49MM (SS 316 LV)</v>
          </cell>
        </row>
        <row r="8501">
          <cell r="B8501" t="str">
            <v>FG08995</v>
          </cell>
          <cell r="C8501" t="str">
            <v>IMPLANTS ORTHO MERIL CEMENTED FEMORAL STEM STANDARD SIZE 0</v>
          </cell>
        </row>
        <row r="8502">
          <cell r="B8502" t="str">
            <v>FG08996</v>
          </cell>
          <cell r="C8502" t="str">
            <v>IMPLANTS ORTHO MERIL CEMENTED FEMORAL STEM STANDARD SIZE 1</v>
          </cell>
        </row>
        <row r="8503">
          <cell r="B8503" t="str">
            <v>FG08997</v>
          </cell>
          <cell r="C8503" t="str">
            <v>IMPLANTS ORTHO MERIL CEMENTED FEMORAL STEM STANDARD SIZE 2</v>
          </cell>
        </row>
        <row r="8504">
          <cell r="B8504" t="str">
            <v>FG08998</v>
          </cell>
          <cell r="C8504" t="str">
            <v>IMPLANTS ORTHO MERIL CEMENTED FEMORAL STEM STANDARD SIZE 3</v>
          </cell>
        </row>
        <row r="8505">
          <cell r="B8505" t="str">
            <v>FG08999</v>
          </cell>
          <cell r="C8505" t="str">
            <v>IMPLANTS ORTHO MERIL CEMENTED FEMORAL STEM STANDARD SIZE 4</v>
          </cell>
        </row>
        <row r="8506">
          <cell r="B8506" t="str">
            <v>FG09000</v>
          </cell>
          <cell r="C8506" t="str">
            <v>IMPLANTS ORTHO MERIL CEMENTED FEMORAL STEM NARROW SIZE 1</v>
          </cell>
        </row>
        <row r="8507">
          <cell r="B8507" t="str">
            <v>FG09001</v>
          </cell>
          <cell r="C8507" t="str">
            <v>IMPLANTS ORTHO MERIL CEMENTED FEMORAL STEM NARROW SIZE 2</v>
          </cell>
        </row>
        <row r="8508">
          <cell r="B8508" t="str">
            <v>FG09002</v>
          </cell>
          <cell r="C8508" t="str">
            <v>IMPLANTS ORTHO MERIL CEMENTED FEMORAL STEM NARROW SIZE 3</v>
          </cell>
        </row>
        <row r="8509">
          <cell r="B8509" t="str">
            <v>FG09003</v>
          </cell>
          <cell r="C8509" t="str">
            <v>IMPLANTS ORTHO MERIL CEMENTED FEMORAL STEM NARROW SIZE 4</v>
          </cell>
        </row>
        <row r="8510">
          <cell r="B8510" t="str">
            <v>FG09004</v>
          </cell>
          <cell r="C8510" t="str">
            <v>IMPLANTS ORTHO MERIL HEAD 22_+0</v>
          </cell>
        </row>
        <row r="8511">
          <cell r="B8511" t="str">
            <v>FG09005</v>
          </cell>
          <cell r="C8511" t="str">
            <v>IMPLANTS ORTHO MERIL HEAD 22_+3.5</v>
          </cell>
        </row>
        <row r="8512">
          <cell r="B8512" t="str">
            <v>FG09006</v>
          </cell>
          <cell r="C8512" t="str">
            <v>IMPLANTS ORTHO MERIL HEAD 28_-3.5</v>
          </cell>
        </row>
        <row r="8513">
          <cell r="B8513" t="str">
            <v>FG09007</v>
          </cell>
          <cell r="C8513" t="str">
            <v>IMPLANTS ORTHO MERIL HEAD 28_+0</v>
          </cell>
        </row>
        <row r="8514">
          <cell r="B8514" t="str">
            <v>FG09008</v>
          </cell>
          <cell r="C8514" t="str">
            <v>IMPLANTS ORTHO MERIL HEAD 28_+3.5</v>
          </cell>
        </row>
        <row r="8515">
          <cell r="B8515" t="str">
            <v>FG09009</v>
          </cell>
          <cell r="C8515" t="str">
            <v>IMPLANTS ORTHO MERIL HEAD 28 _+7</v>
          </cell>
        </row>
        <row r="8516">
          <cell r="B8516" t="str">
            <v>FG09010</v>
          </cell>
          <cell r="C8516" t="str">
            <v>IMPLANTS ORTHO MERIL CEMENT RESTRICTOR MEDIUM</v>
          </cell>
        </row>
        <row r="8517">
          <cell r="B8517" t="str">
            <v>FG09011</v>
          </cell>
          <cell r="C8517" t="str">
            <v>IMPLANTS ORTHO MERIL CENTRALIZER UNIVERSAL</v>
          </cell>
        </row>
        <row r="8518">
          <cell r="B8518" t="str">
            <v>FG09012</v>
          </cell>
          <cell r="C8518" t="str">
            <v>IMPLANTS ORTHO MERIL MODULAR SHELL 42</v>
          </cell>
        </row>
        <row r="8519">
          <cell r="B8519" t="str">
            <v>FG09013</v>
          </cell>
          <cell r="C8519" t="str">
            <v>IMPLANTS ORTHO MERIL MODULAR SHELL 44</v>
          </cell>
        </row>
        <row r="8520">
          <cell r="B8520" t="str">
            <v>FG09014</v>
          </cell>
          <cell r="C8520" t="str">
            <v>IMPLANTS ORTHO MERIL MODULAR SHELL 46</v>
          </cell>
        </row>
        <row r="8521">
          <cell r="B8521" t="str">
            <v>FG09015</v>
          </cell>
          <cell r="C8521" t="str">
            <v>IMPLANTS ORTHO MERIL MODULAR SHELL 48</v>
          </cell>
        </row>
        <row r="8522">
          <cell r="B8522" t="str">
            <v>FG09016</v>
          </cell>
          <cell r="C8522" t="str">
            <v>IMPLANTS ORTHO MERIL MODULAR SHELL 50</v>
          </cell>
        </row>
        <row r="8523">
          <cell r="B8523" t="str">
            <v>FG09017</v>
          </cell>
          <cell r="C8523" t="str">
            <v>IMPLANTS ORTHO MERIL MODULAR SHELL 52</v>
          </cell>
        </row>
        <row r="8524">
          <cell r="B8524" t="str">
            <v>FG09018</v>
          </cell>
          <cell r="C8524" t="str">
            <v>IMPLANTS ORTHO MERIL MODULAR SHELL 54</v>
          </cell>
        </row>
        <row r="8525">
          <cell r="B8525" t="str">
            <v>FG09019</v>
          </cell>
          <cell r="C8525" t="str">
            <v>IMPLANTS ORTHO MERIL MODULAR SHELL 56</v>
          </cell>
        </row>
        <row r="8526">
          <cell r="B8526" t="str">
            <v>FG09020</v>
          </cell>
          <cell r="C8526" t="str">
            <v>IMPLANTS ORTHO MERIL MODULAR SHELL 58</v>
          </cell>
        </row>
        <row r="8527">
          <cell r="B8527" t="str">
            <v>FG09021</v>
          </cell>
          <cell r="C8527" t="str">
            <v>IMPLANTS ORTHO MERIL MODULAR SHELL 60</v>
          </cell>
        </row>
        <row r="8528">
          <cell r="B8528" t="str">
            <v>FG09022</v>
          </cell>
          <cell r="C8528" t="str">
            <v>IMPLANTS ORTHO MERIL LINER 10° OBLIQUE SIZE: 37/28</v>
          </cell>
        </row>
        <row r="8529">
          <cell r="B8529" t="str">
            <v>FG09023</v>
          </cell>
          <cell r="C8529" t="str">
            <v>IMPLANTS ORTHO MERIL LINER 10° OBLIQUE SIZE: 40/32</v>
          </cell>
        </row>
        <row r="8530">
          <cell r="B8530" t="str">
            <v>FG09024</v>
          </cell>
          <cell r="C8530" t="str">
            <v>IMPLANTS ORTHO MERIL LINER 10° OBLIQUE SIZE: 44/32</v>
          </cell>
        </row>
        <row r="8531">
          <cell r="B8531" t="str">
            <v>FG09025</v>
          </cell>
          <cell r="C8531" t="str">
            <v>IMPLANTS ORTHO MERIL LINER 10° OBLIQUE SIZE: 48/32</v>
          </cell>
        </row>
        <row r="8532">
          <cell r="B8532" t="str">
            <v>FG09026</v>
          </cell>
          <cell r="C8532" t="str">
            <v>IMPLANTS ORTHO MERIL LINER 10° OBLIQUE SIZE: 52/32</v>
          </cell>
        </row>
        <row r="8533">
          <cell r="B8533" t="str">
            <v>FG09027</v>
          </cell>
          <cell r="C8533" t="str">
            <v>IMPLANTS ORTHO MERIL 6.5MM HIP BONE SCREW TI L15</v>
          </cell>
        </row>
        <row r="8534">
          <cell r="B8534" t="str">
            <v>FG09028</v>
          </cell>
          <cell r="C8534" t="str">
            <v>IMPLANTS ORTHO MERIL 6.5MM HIP BONE SCREW TI L20</v>
          </cell>
        </row>
        <row r="8535">
          <cell r="B8535" t="str">
            <v>FG09029</v>
          </cell>
          <cell r="C8535" t="str">
            <v>IMPLANTS ORTHO MERIL 6.5MM HIP BONE SCREW TI L25</v>
          </cell>
        </row>
        <row r="8536">
          <cell r="B8536" t="str">
            <v>FG09030</v>
          </cell>
          <cell r="C8536" t="str">
            <v>IMPLANTS ORTHO MERIL 6.5MM HIP BONE SCREW TI L30</v>
          </cell>
        </row>
        <row r="8537">
          <cell r="B8537" t="str">
            <v>FG09031</v>
          </cell>
          <cell r="C8537" t="str">
            <v>IMPLANTS ORTHO MERIL 6.5MM HIP BONE SCREW TI L35</v>
          </cell>
        </row>
        <row r="8538">
          <cell r="B8538" t="str">
            <v>FG09032</v>
          </cell>
          <cell r="C8538" t="str">
            <v>IMPLANTS ORTHO MERIL 6.5MM HIP BONE SCREW TI L40</v>
          </cell>
        </row>
        <row r="8539">
          <cell r="B8539" t="str">
            <v>FG09033</v>
          </cell>
          <cell r="C8539" t="str">
            <v>IMPLANTS ORTHO MERIL 6.5MM HIP BONE SCREW TI L45</v>
          </cell>
        </row>
        <row r="8540">
          <cell r="B8540" t="str">
            <v>FG09034</v>
          </cell>
          <cell r="C8540" t="str">
            <v>IMPLANTS ORTHO MERIL 6.5MM HIP BONE SCREW TI L50</v>
          </cell>
        </row>
        <row r="8541">
          <cell r="B8541" t="str">
            <v>FG09035</v>
          </cell>
          <cell r="C8541" t="str">
            <v>IMPLANTS ORTHO MERIL HEAD 32_-4</v>
          </cell>
        </row>
        <row r="8542">
          <cell r="B8542" t="str">
            <v>FG09036</v>
          </cell>
          <cell r="C8542" t="str">
            <v>IMPLANTS ORTHO MERIL HEAD 32_+0</v>
          </cell>
        </row>
        <row r="8543">
          <cell r="B8543" t="str">
            <v>FG09037</v>
          </cell>
          <cell r="C8543" t="str">
            <v>IMPLANTS ORTHO MERIL HEAD 32_+4</v>
          </cell>
        </row>
        <row r="8544">
          <cell r="B8544" t="str">
            <v>FG09038</v>
          </cell>
          <cell r="C8544" t="str">
            <v>IMPLANTS ORTHO MERIL HEAD 32_+7</v>
          </cell>
        </row>
        <row r="8545">
          <cell r="B8545" t="str">
            <v>FG09039</v>
          </cell>
          <cell r="C8545" t="str">
            <v>IMPLANTS ORTHO MERIL UNCEMENTED FEMORAL STEM 135° STD SIZE 0</v>
          </cell>
        </row>
        <row r="8546">
          <cell r="B8546" t="str">
            <v>FG09040</v>
          </cell>
          <cell r="C8546" t="str">
            <v>IMPLANTS ORTHO MERIL UNCEMENTED FEMORAL STEM 135° STD SIZE 1</v>
          </cell>
        </row>
        <row r="8547">
          <cell r="B8547" t="str">
            <v>FG09041</v>
          </cell>
          <cell r="C8547" t="str">
            <v>IMPLANTS ORTHO MERIL UNCEMENTED FEMORAL STEM 135° STD SIZE 2</v>
          </cell>
        </row>
        <row r="8548">
          <cell r="B8548" t="str">
            <v>FG09042</v>
          </cell>
          <cell r="C8548" t="str">
            <v>IMPLANTS ORTHO MERIL UNCEMENTED FEMORAL STEM 135° STD SIZE 3</v>
          </cell>
        </row>
        <row r="8549">
          <cell r="B8549" t="str">
            <v>FG09043</v>
          </cell>
          <cell r="C8549" t="str">
            <v>IMPLANTS ORTHO MERIL UNCEMENTED FEMORAL STEM 135° STD SIZE 4</v>
          </cell>
        </row>
        <row r="8550">
          <cell r="B8550" t="str">
            <v>FG09044</v>
          </cell>
          <cell r="C8550" t="str">
            <v>IMPLANTS ORTHO MERIL UNCEMENTED FEMORAL STEM 135° STD SIZE 5</v>
          </cell>
        </row>
        <row r="8551">
          <cell r="B8551" t="str">
            <v>FG09045</v>
          </cell>
          <cell r="C8551" t="str">
            <v>IMPLANTS ORTHO MERIL UNCEMENTED FEMORAL STEM 135° STD SIZE 6</v>
          </cell>
        </row>
        <row r="8552">
          <cell r="B8552" t="str">
            <v>FG09046</v>
          </cell>
          <cell r="C8552" t="str">
            <v>IMPLANTS ORTHO MERIL UNCEMENTED FEMORAL STEM 135° STD SIZE 7</v>
          </cell>
        </row>
        <row r="8553">
          <cell r="B8553" t="str">
            <v>FG09047</v>
          </cell>
          <cell r="C8553" t="str">
            <v>IMPLANTS ORTHO MERIL UNCEMENTED FEMORAL STEM 135° STD SIZE 8</v>
          </cell>
        </row>
        <row r="8554">
          <cell r="B8554" t="str">
            <v>FG09048</v>
          </cell>
          <cell r="C8554" t="str">
            <v>IMPLANTS ORTHO MERIL UNCEMENTED FEMORAL STEM 135° STD SIZE 9</v>
          </cell>
        </row>
        <row r="8555">
          <cell r="B8555" t="str">
            <v>FG09049</v>
          </cell>
          <cell r="C8555" t="str">
            <v>IMPLANTS ORTHO MERIL UNCEMENTED FEMORAL STEM 135° STD SIZE 10</v>
          </cell>
        </row>
        <row r="8556">
          <cell r="B8556" t="str">
            <v>FG09050</v>
          </cell>
          <cell r="C8556" t="str">
            <v>IMPLANTS ORTHO MERIL UHMWPE + SS 316LVM 10°CEMENTED CUP 44/28</v>
          </cell>
        </row>
        <row r="8557">
          <cell r="B8557" t="str">
            <v>FG09051</v>
          </cell>
          <cell r="C8557" t="str">
            <v>IMPLANTS ORTHO MERIL UHMWPE + SS 316LVM 10°CEMENTED CUP 46/28</v>
          </cell>
        </row>
        <row r="8558">
          <cell r="B8558" t="str">
            <v>FG09052</v>
          </cell>
          <cell r="C8558" t="str">
            <v>IMPLANTS ORTHO MERIL UHMWPE + SS 316LVM 10°CEMENTED CUP 48/32</v>
          </cell>
        </row>
        <row r="8559">
          <cell r="B8559" t="str">
            <v>FG09053</v>
          </cell>
          <cell r="C8559" t="str">
            <v>IMPLANTS ORTHO MERIL UHMWPE + SS 316LVM 10°CEMENTED CUP 50/32</v>
          </cell>
        </row>
        <row r="8560">
          <cell r="B8560" t="str">
            <v>FG09054</v>
          </cell>
          <cell r="C8560" t="str">
            <v>IMPLANTS ORTHO MERIL UHMWPE + SS 316LVM 10°CEMENTED CUP 52/32</v>
          </cell>
        </row>
        <row r="8561">
          <cell r="B8561" t="str">
            <v>FG09055</v>
          </cell>
          <cell r="C8561" t="str">
            <v>IMPLANTS ORTHO MERIL APICAL HOLE OCCLUDER M10</v>
          </cell>
        </row>
        <row r="8562">
          <cell r="B8562" t="str">
            <v>FG09056</v>
          </cell>
          <cell r="C8562" t="str">
            <v>IMPLANTS ORTHO MERIL TIBIAL LINER PS G5-6 METALBACKED, 11MM</v>
          </cell>
        </row>
        <row r="8563">
          <cell r="B8563" t="str">
            <v>FG09057</v>
          </cell>
          <cell r="C8563" t="str">
            <v>IMPLANTS ORTHO MERIL UHMWPE + SS 316LVM 10°CEMENTED CUP 56/32</v>
          </cell>
        </row>
        <row r="8564">
          <cell r="B8564" t="str">
            <v>FG09058</v>
          </cell>
          <cell r="C8564" t="str">
            <v>MINCEOR 60 MG (ORLISTAT) B/3X10 GELULES</v>
          </cell>
        </row>
        <row r="8565">
          <cell r="B8565" t="str">
            <v>FG09059</v>
          </cell>
          <cell r="C8565" t="str">
            <v>TRIXON 500 MG INJ. (CEFTRIAXONE + EAU DIS.) VIAL</v>
          </cell>
        </row>
        <row r="8566">
          <cell r="B8566" t="str">
            <v>FG09060</v>
          </cell>
          <cell r="C8566" t="str">
            <v>CICATRIX PDR 10 G (NEO + POLY B + BACI ZINC) FLACON</v>
          </cell>
        </row>
        <row r="8567">
          <cell r="B8567" t="str">
            <v>FG09062</v>
          </cell>
          <cell r="C8567" t="str">
            <v>IMMU-C SACHET B/10 (FR)</v>
          </cell>
        </row>
        <row r="8568">
          <cell r="B8568" t="str">
            <v>FG09063</v>
          </cell>
          <cell r="C8568" t="str">
            <v>MEPACOLON 200MG LP B/20 CES (FR)</v>
          </cell>
        </row>
        <row r="8569">
          <cell r="B8569" t="str">
            <v>FG09064</v>
          </cell>
          <cell r="C8569" t="str">
            <v>MEPAFLOXIN 750MG B/5 CES (FR)</v>
          </cell>
        </row>
        <row r="8570">
          <cell r="B8570" t="str">
            <v>FG09065</v>
          </cell>
          <cell r="C8570" t="str">
            <v>SENSILUBE DUREX FLUID LUBRIF INT F/40ML</v>
          </cell>
        </row>
        <row r="8571">
          <cell r="B8571" t="str">
            <v>FG09067</v>
          </cell>
          <cell r="C8571" t="str">
            <v>TADASIL 5MG (TADALAFIL) B/1 CES</v>
          </cell>
        </row>
        <row r="8572">
          <cell r="B8572" t="str">
            <v>FG09068</v>
          </cell>
          <cell r="C8572" t="str">
            <v>TADASIL 10MG (TADALAFIL) B/1 CES</v>
          </cell>
        </row>
        <row r="8573">
          <cell r="B8573" t="str">
            <v>FG09069</v>
          </cell>
          <cell r="C8573" t="str">
            <v>TADASIL 20MG (TADALAFIL) B/1 CES</v>
          </cell>
        </row>
        <row r="8574">
          <cell r="B8574" t="str">
            <v>FG09070</v>
          </cell>
          <cell r="C8574" t="str">
            <v>ACCUMULATEUR DE FROID 600ML</v>
          </cell>
        </row>
        <row r="8575">
          <cell r="B8575" t="str">
            <v>FG09071</v>
          </cell>
          <cell r="C8575" t="str">
            <v>APPAREIL D'ANESTHESIE AVEC MONITOR - 2 EVAPORATEURS</v>
          </cell>
        </row>
        <row r="8576">
          <cell r="B8576" t="str">
            <v>FG09072</v>
          </cell>
          <cell r="C8576" t="str">
            <v>LS-75HD DISPLAY BOARD</v>
          </cell>
        </row>
        <row r="8577">
          <cell r="B8577" t="str">
            <v>FG09073</v>
          </cell>
          <cell r="C8577" t="str">
            <v>LS-75HD MAINBOARD</v>
          </cell>
        </row>
        <row r="8578">
          <cell r="B8578" t="str">
            <v>FG09074</v>
          </cell>
          <cell r="C8578" t="str">
            <v>LS-75HD FAN</v>
          </cell>
        </row>
        <row r="8579">
          <cell r="B8579" t="str">
            <v>FG09075</v>
          </cell>
          <cell r="C8579" t="str">
            <v>MONITEUR DE SURVEILLANCE MEDICALE POUR NÉONATAUX</v>
          </cell>
        </row>
        <row r="8580">
          <cell r="B8580" t="str">
            <v>FG09076</v>
          </cell>
          <cell r="C8580" t="str">
            <v>ECHOGRAPHIE PORTABLE - ECO 6 AVEC 2 SONDE, CONVEX &amp; TRANSVAGINAL,CHARIOT COULEUR</v>
          </cell>
        </row>
        <row r="8581">
          <cell r="B8581" t="str">
            <v>FG09077</v>
          </cell>
          <cell r="C8581" t="str">
            <v>BUCKY STAND</v>
          </cell>
        </row>
        <row r="8582">
          <cell r="B8582" t="str">
            <v>FG09078</v>
          </cell>
          <cell r="C8582" t="str">
            <v>LAMPE SCIALITQUE LED AVEC ECRAN</v>
          </cell>
        </row>
        <row r="8583">
          <cell r="B8583" t="str">
            <v>FG09079</v>
          </cell>
          <cell r="C8583" t="str">
            <v>LAMPE SCIALITQUE PLAFONNIER A DOUBLE LED AVEC ECRAN</v>
          </cell>
        </row>
        <row r="8584">
          <cell r="B8584" t="str">
            <v>FG09080</v>
          </cell>
          <cell r="C8584" t="str">
            <v>SCALPEL JETABLE AVEC LAME NO 10</v>
          </cell>
        </row>
        <row r="8585">
          <cell r="B8585" t="str">
            <v>FG09081</v>
          </cell>
          <cell r="C8585" t="str">
            <v>COMPTEUR DE CELLULES 6 TOUCHE MANUEL, UNITE</v>
          </cell>
        </row>
        <row r="8586">
          <cell r="B8586" t="str">
            <v>FG09082</v>
          </cell>
          <cell r="C8586" t="str">
            <v>FLACON EN VERRE POUR ECHANTILLONS 100ML</v>
          </cell>
        </row>
        <row r="8587">
          <cell r="B8587" t="str">
            <v>FG09083</v>
          </cell>
          <cell r="C8587" t="str">
            <v>FLACON EN VERRE POUR ECHANTILLONS 250ML</v>
          </cell>
        </row>
        <row r="8588">
          <cell r="B8588" t="str">
            <v>FG09084</v>
          </cell>
          <cell r="C8588" t="str">
            <v>FLACON EN VERRE POUR ECHANTILLONS 500ML</v>
          </cell>
        </row>
        <row r="8589">
          <cell r="B8589" t="str">
            <v>FG09085</v>
          </cell>
          <cell r="C8589" t="str">
            <v>FLACON EN VERRE POUR ECHANTILLONS 1000ML</v>
          </cell>
        </row>
        <row r="8590">
          <cell r="B8590" t="str">
            <v>FG09086</v>
          </cell>
          <cell r="C8590" t="str">
            <v>FLACON EN VERRE POUR ECHANTILLONS 2000ML</v>
          </cell>
        </row>
        <row r="8591">
          <cell r="B8591" t="str">
            <v>FG09087</v>
          </cell>
          <cell r="C8591" t="str">
            <v>FLACON EN VERRE POUR ECHANTILLONS 5000ML</v>
          </cell>
        </row>
        <row r="8592">
          <cell r="B8592" t="str">
            <v>FG09088</v>
          </cell>
          <cell r="C8592" t="str">
            <v>MORTIER ET PILON 90MM</v>
          </cell>
        </row>
        <row r="8593">
          <cell r="B8593" t="str">
            <v>FG09089</v>
          </cell>
          <cell r="C8593" t="str">
            <v>SAC MORTUAIRE</v>
          </cell>
        </row>
        <row r="8594">
          <cell r="B8594" t="str">
            <v>FG09090</v>
          </cell>
          <cell r="C8594" t="str">
            <v>CHAISE DE COMMODE À ROULETTES</v>
          </cell>
        </row>
        <row r="8595">
          <cell r="B8595" t="str">
            <v>FG09091</v>
          </cell>
          <cell r="C8595" t="str">
            <v>BALANCE PESE BEBE AVEC TOISE - ELECTRONIQUE</v>
          </cell>
        </row>
        <row r="8596">
          <cell r="B8596" t="str">
            <v>FG09093</v>
          </cell>
          <cell r="C8596" t="str">
            <v>GAZELLE-HB/DRÉPANOCYTOSE- S-10 B CARTOUCHE-B/25 TESTS</v>
          </cell>
        </row>
        <row r="8597">
          <cell r="B8597" t="str">
            <v>FG09095</v>
          </cell>
          <cell r="C8597" t="str">
            <v>TDR HIV DETERMINE 1/2 - BANDELETTE - ST/S/P, B/50 TEST</v>
          </cell>
        </row>
        <row r="8598">
          <cell r="B8598" t="str">
            <v>FG09096</v>
          </cell>
          <cell r="C8598" t="str">
            <v>FLACON EN VERRE POUR ECHANTILLONS 50ML</v>
          </cell>
        </row>
        <row r="8599">
          <cell r="B8599" t="str">
            <v>FG09097</v>
          </cell>
          <cell r="C8599" t="str">
            <v>REFRIGERATEUR DE LABORATOIRE 2 A 8 DEGRES - 468L</v>
          </cell>
        </row>
        <row r="8600">
          <cell r="B8600" t="str">
            <v>FG09098</v>
          </cell>
          <cell r="C8600" t="str">
            <v>REFRIGERATEUR DE LABORATOIRE 2 A 8 DEGRES - 650L</v>
          </cell>
        </row>
        <row r="8601">
          <cell r="B8601" t="str">
            <v>FG09099</v>
          </cell>
          <cell r="C8601" t="str">
            <v>REFRIGERATEUR BANQUE DE SANG +4°C - 626L</v>
          </cell>
        </row>
        <row r="8602">
          <cell r="B8602" t="str">
            <v>FG09100</v>
          </cell>
          <cell r="C8602" t="str">
            <v>CHARIOT DE BOUTEILLE D'OXYGÈNE</v>
          </cell>
        </row>
        <row r="8603">
          <cell r="B8603" t="str">
            <v>FG09101</v>
          </cell>
          <cell r="C8603" t="str">
            <v>URINALS - PLASTIQUE</v>
          </cell>
        </row>
        <row r="8604">
          <cell r="B8604" t="str">
            <v>FG09102</v>
          </cell>
          <cell r="C8604" t="str">
            <v>BASSIN DE LIT- PLASTIQUE</v>
          </cell>
        </row>
        <row r="8605">
          <cell r="B8605" t="str">
            <v>FG09103</v>
          </cell>
          <cell r="C8605" t="str">
            <v>CHAISE DE DIALYSE ELECTRIQUE- LY-DC001</v>
          </cell>
        </row>
        <row r="8606">
          <cell r="B8606" t="str">
            <v>FG09104</v>
          </cell>
          <cell r="C8606" t="str">
            <v>HEMODIALYSIS CONCENTRATED POWDER (PART B)</v>
          </cell>
        </row>
        <row r="8607">
          <cell r="B8607" t="str">
            <v>FG09105</v>
          </cell>
          <cell r="C8607" t="str">
            <v>CATHETER VEINEUX CENTRAL(CVC) A DOUBLE-LUMIERE, 7 FR*16 CM 1PC</v>
          </cell>
        </row>
        <row r="8608">
          <cell r="B8608" t="str">
            <v>FG09106</v>
          </cell>
          <cell r="C8608" t="str">
            <v>CATHETER VEINEUX CENTRAL(CVC) A DOUBLE-LUMIERE, 7 FR*20 CM 1PC</v>
          </cell>
        </row>
        <row r="8609">
          <cell r="B8609" t="str">
            <v>FG09107</v>
          </cell>
          <cell r="C8609" t="str">
            <v>CATHETER VEINEUX CENTRAL(CVC) A TRIPLE-LUMIERE, 7 FR*16 CM 1PC</v>
          </cell>
        </row>
        <row r="8610">
          <cell r="B8610" t="str">
            <v>FG09108</v>
          </cell>
          <cell r="C8610" t="str">
            <v>CATHETER VEINEUX CENTRAL(CVC) A TRIPLE-LUMIERE, 7 FR*20 CM 1PC</v>
          </cell>
        </row>
        <row r="8611">
          <cell r="B8611" t="str">
            <v>FG09109</v>
          </cell>
          <cell r="C8611" t="str">
            <v>HEMODIALYSIS CONCENTRATED LIQUIDE 10L (PART A)</v>
          </cell>
        </row>
        <row r="8612">
          <cell r="B8612" t="str">
            <v>FG09110</v>
          </cell>
          <cell r="C8612" t="str">
            <v>HEMODIALYSIS CONCENTRATED LIQUIDE 10L (PART B)</v>
          </cell>
        </row>
        <row r="8613">
          <cell r="B8613" t="str">
            <v>FG09111</v>
          </cell>
          <cell r="C8613" t="str">
            <v>CHAISE DE DIALYSE ELECTRIQUE- HX-1</v>
          </cell>
        </row>
        <row r="8614">
          <cell r="B8614" t="str">
            <v>FG09112</v>
          </cell>
          <cell r="C8614" t="str">
            <v>ORACURE (CEFIXIME) SUSPENSION ORALE USP 60 ML</v>
          </cell>
        </row>
        <row r="8615">
          <cell r="B8615" t="str">
            <v>FG09113</v>
          </cell>
          <cell r="C8615" t="str">
            <v>ORACURE (CEFIXIME DISPERSIBLE) 200MG B/10 CES</v>
          </cell>
        </row>
        <row r="8616">
          <cell r="B8616" t="str">
            <v>FG09114</v>
          </cell>
          <cell r="C8616" t="str">
            <v>FLAMINGO WRIST COCK-UP SPLINT (SMALL)</v>
          </cell>
        </row>
        <row r="8617">
          <cell r="B8617" t="str">
            <v>FG09115</v>
          </cell>
          <cell r="C8617" t="str">
            <v>FLAMINGO WRIST COCK-UP SPLINT (MEDIUM)</v>
          </cell>
        </row>
        <row r="8618">
          <cell r="B8618" t="str">
            <v>FG09116</v>
          </cell>
          <cell r="C8618" t="str">
            <v>FLAMINGO WRIST COCK-UP SPLINT (LARGE)</v>
          </cell>
        </row>
        <row r="8619">
          <cell r="B8619" t="str">
            <v>FG09117</v>
          </cell>
          <cell r="C8619" t="str">
            <v>FLAMINGO WRIST COCK-UP SPLINT (EXTRA LARGE)</v>
          </cell>
        </row>
        <row r="8620">
          <cell r="B8620" t="str">
            <v>FG09118</v>
          </cell>
          <cell r="C8620" t="str">
            <v>FLAMINGO PAEDIATRIC KNEE IMMOBILIZER - U</v>
          </cell>
        </row>
        <row r="8621">
          <cell r="B8621" t="str">
            <v>FG09119</v>
          </cell>
          <cell r="C8621" t="str">
            <v>FLAMINGO SHOULDER ABDUCTION BRACE - U</v>
          </cell>
        </row>
        <row r="8622">
          <cell r="B8622" t="str">
            <v>FG09120</v>
          </cell>
          <cell r="C8622" t="str">
            <v>FLAMINGO SHOULDER ABDUCTION BRACE - SP</v>
          </cell>
        </row>
        <row r="8623">
          <cell r="B8623" t="str">
            <v>FG09121</v>
          </cell>
          <cell r="C8623" t="str">
            <v>FLAMINGO COMPRESSION ARM SLEEVE (C-II) - S</v>
          </cell>
        </row>
        <row r="8624">
          <cell r="B8624" t="str">
            <v>FG09122</v>
          </cell>
          <cell r="C8624" t="str">
            <v>FLAMINGO COMPRESSION ARM SLEEVE (C-II) - M</v>
          </cell>
        </row>
        <row r="8625">
          <cell r="B8625" t="str">
            <v>FG09123</v>
          </cell>
          <cell r="C8625" t="str">
            <v>FLAMINGO COMPRESSION ARM SLEEVE (C-II) - L</v>
          </cell>
        </row>
        <row r="8626">
          <cell r="B8626" t="str">
            <v>FG09124</v>
          </cell>
          <cell r="C8626" t="str">
            <v>FLAMINGO COMPRESSION ARM SLEEVE (C-II) - XL</v>
          </cell>
        </row>
        <row r="8627">
          <cell r="B8627" t="str">
            <v>FG09125</v>
          </cell>
          <cell r="C8627" t="str">
            <v>FLAMINGO COMPRESSION ARM SLEEVE (C-II) - XXL</v>
          </cell>
        </row>
        <row r="8628">
          <cell r="B8628" t="str">
            <v>FG09126</v>
          </cell>
          <cell r="C8628" t="str">
            <v>FLAMINGO PREMIUM FLEXI HINGED KNEE SLEEVE (WITH SILICONE PATELLA RING) - L - BLACK &amp; TURQUOISE</v>
          </cell>
        </row>
        <row r="8629">
          <cell r="B8629" t="str">
            <v>FG09127</v>
          </cell>
          <cell r="C8629" t="str">
            <v>FLAMINGO PREMIUM FLEXI HINGED KNEE SLEEVE (WITH SILICONE PATELLA RING) - M - BLACK &amp; TURQUOISE</v>
          </cell>
        </row>
        <row r="8630">
          <cell r="B8630" t="str">
            <v>FG09128</v>
          </cell>
          <cell r="C8630" t="str">
            <v>FLAMINGO PREMIUM FLEXI HINGED KNEE SLEEVE (WITH SILICONE PATELLA RING) - S - BLACK &amp; TURQUOISE</v>
          </cell>
        </row>
        <row r="8631">
          <cell r="B8631" t="str">
            <v>FG09129</v>
          </cell>
          <cell r="C8631" t="str">
            <v>FLAMINGO PREMIUM FLEXI HINGED KNEE SLEEVE (WITH SILICONE PATELLA RING) - XL - BLACK &amp; TURQUOISE</v>
          </cell>
        </row>
        <row r="8632">
          <cell r="B8632" t="str">
            <v>FG09130</v>
          </cell>
          <cell r="C8632" t="str">
            <v>FLAMINGO PREMIUM FLEXI HINGED KNEE SLEEVE (WITH SILICONE PATELLA RING) - XXL - BLACK &amp; TURQUOISE</v>
          </cell>
        </row>
        <row r="8633">
          <cell r="B8633" t="str">
            <v>FG09131</v>
          </cell>
          <cell r="C8633" t="str">
            <v>FLAMINGO PREMIUM FLEXI HINGED KNEE SLEEVE (WITH SILICONE PATELLA RING) - XXXL - BLACK &amp; TURQUOISE</v>
          </cell>
        </row>
        <row r="8634">
          <cell r="B8634" t="str">
            <v>FG09132</v>
          </cell>
          <cell r="C8634" t="str">
            <v>FLAMINGO GEL FOOT CARE INSOLE (MALE)</v>
          </cell>
        </row>
        <row r="8635">
          <cell r="B8635" t="str">
            <v>FG09133</v>
          </cell>
          <cell r="C8635" t="str">
            <v>FLAMINGO GEL FOOT CARE INSOLE (FEMALE)</v>
          </cell>
        </row>
        <row r="8636">
          <cell r="B8636" t="str">
            <v>FG09134</v>
          </cell>
          <cell r="C8636" t="str">
            <v>FLAMINGO R.O.M. ELBOW BRACE - LEFT</v>
          </cell>
        </row>
        <row r="8637">
          <cell r="B8637" t="str">
            <v>FG09135</v>
          </cell>
          <cell r="C8637" t="str">
            <v>FLAMINGO R.O.M. ELBOW BRACE - RIGHT</v>
          </cell>
        </row>
        <row r="8638">
          <cell r="B8638" t="str">
            <v>FG09136</v>
          </cell>
          <cell r="C8638" t="str">
            <v>FLAMINGO AIR WALKER BOOT - 17 - S</v>
          </cell>
        </row>
        <row r="8639">
          <cell r="B8639" t="str">
            <v>FG09137</v>
          </cell>
          <cell r="C8639" t="str">
            <v>FLAMINGO AIR WALKER BOOT - 17 - M</v>
          </cell>
        </row>
        <row r="8640">
          <cell r="B8640" t="str">
            <v>FG09138</v>
          </cell>
          <cell r="C8640" t="str">
            <v>FLAMINGO AIR WALKER BOOT - 17 - L</v>
          </cell>
        </row>
        <row r="8641">
          <cell r="B8641" t="str">
            <v>FG09139</v>
          </cell>
          <cell r="C8641" t="str">
            <v>FLAMINGO AIR WALKER BOOT - 17 - XL</v>
          </cell>
        </row>
        <row r="8642">
          <cell r="B8642" t="str">
            <v>FG09140</v>
          </cell>
          <cell r="C8642" t="str">
            <v>FLAMINGO AIR WALKER BOOT - 11 - S</v>
          </cell>
        </row>
        <row r="8643">
          <cell r="B8643" t="str">
            <v>FG09141</v>
          </cell>
          <cell r="C8643" t="str">
            <v>FLAMINGO AIR WALKER BOOT - 11 - M</v>
          </cell>
        </row>
        <row r="8644">
          <cell r="B8644" t="str">
            <v>FG09142</v>
          </cell>
          <cell r="C8644" t="str">
            <v>FLAMINGO AIR WALKER BOOT - 11 - L</v>
          </cell>
        </row>
        <row r="8645">
          <cell r="B8645" t="str">
            <v>FG09143</v>
          </cell>
          <cell r="C8645" t="str">
            <v>FLAMINGO AIR WALKER BOOT - 11 - XL</v>
          </cell>
        </row>
        <row r="8646">
          <cell r="B8646" t="str">
            <v>FG09144</v>
          </cell>
          <cell r="C8646" t="str">
            <v>FLAMINGO DIABETIC SOCKS WITH ANTI SKID (GRAY)</v>
          </cell>
        </row>
        <row r="8647">
          <cell r="B8647" t="str">
            <v>FG09145</v>
          </cell>
          <cell r="C8647" t="str">
            <v>FLAMINGO FLAMIBAND - 6 CM</v>
          </cell>
        </row>
        <row r="8648">
          <cell r="B8648" t="str">
            <v>FG09146</v>
          </cell>
          <cell r="C8648" t="str">
            <v>FLAMINGO FLAMIBAND - 8 CM</v>
          </cell>
        </row>
        <row r="8649">
          <cell r="B8649" t="str">
            <v>FG09147</v>
          </cell>
          <cell r="C8649" t="str">
            <v>FLAMINGO FLAMIBAND - 10 CM</v>
          </cell>
        </row>
        <row r="8650">
          <cell r="B8650" t="str">
            <v>FG09148</v>
          </cell>
          <cell r="C8650" t="str">
            <v>FLAMINGO FLAMIBAND - 15 CM</v>
          </cell>
        </row>
        <row r="8651">
          <cell r="B8651" t="str">
            <v>FG09149</v>
          </cell>
          <cell r="C8651" t="str">
            <v>MEASURE TAPE</v>
          </cell>
        </row>
        <row r="8652">
          <cell r="B8652" t="str">
            <v>FG09157</v>
          </cell>
          <cell r="C8652" t="str">
            <v>INCUBATEUR A ECRAN TACTILE A TEMPERATURE CONSTANTE</v>
          </cell>
        </row>
        <row r="8653">
          <cell r="B8653" t="str">
            <v>FG09158</v>
          </cell>
          <cell r="C8653" t="str">
            <v>STERILISATEUR A AIR CHAUD</v>
          </cell>
        </row>
        <row r="8654">
          <cell r="B8654" t="str">
            <v>FG09159</v>
          </cell>
          <cell r="C8654" t="str">
            <v>ETUVE DE SECHAGE A AIR FORCE</v>
          </cell>
        </row>
        <row r="8655">
          <cell r="B8655" t="str">
            <v>FG09160</v>
          </cell>
          <cell r="C8655" t="str">
            <v>PLAQUE CHAUFFANTE A LED</v>
          </cell>
        </row>
        <row r="8656">
          <cell r="B8656" t="str">
            <v>FG09161</v>
          </cell>
          <cell r="C8656" t="str">
            <v>BUKY STAND</v>
          </cell>
        </row>
        <row r="8657">
          <cell r="B8657" t="str">
            <v>FG09162</v>
          </cell>
          <cell r="C8657" t="str">
            <v>CHARIOT DE NETTOYAGE MULTIFONCTIONNEL</v>
          </cell>
        </row>
        <row r="8658">
          <cell r="B8658" t="str">
            <v>FG09163</v>
          </cell>
          <cell r="C8658" t="str">
            <v>ETAGERES EN ACIER INOXYDABLE</v>
          </cell>
        </row>
        <row r="8659">
          <cell r="B8659" t="str">
            <v>FG09164</v>
          </cell>
          <cell r="C8659" t="str">
            <v>DÉTECTEUR RAPIDE DE VS (VITESSE DE SÉDIMENTATION)</v>
          </cell>
        </row>
        <row r="8660">
          <cell r="B8660" t="str">
            <v>FG09165</v>
          </cell>
          <cell r="C8660" t="str">
            <v>LAMPE À ALCOOL 150ML</v>
          </cell>
        </row>
        <row r="8661">
          <cell r="B8661" t="str">
            <v>FG09166</v>
          </cell>
          <cell r="C8661" t="str">
            <v>THERMOMÈTRE EN VERRE</v>
          </cell>
        </row>
        <row r="8662">
          <cell r="B8662" t="str">
            <v>FG09167</v>
          </cell>
          <cell r="C8662" t="str">
            <v>BOUTEILLE D'OXYGENE 2 L</v>
          </cell>
        </row>
        <row r="8663">
          <cell r="B8663" t="str">
            <v>FG09168</v>
          </cell>
          <cell r="C8663" t="str">
            <v>PORTE-FILMS DE DÉVELOPPEMENT POUR RADIOGRAPHIE, 14″ × 17″ (356 × 432 MM)</v>
          </cell>
        </row>
        <row r="8664">
          <cell r="B8664" t="str">
            <v>FG09169</v>
          </cell>
          <cell r="C8664" t="str">
            <v>PORTE-FILMS DE DÉVELOPPEMENT POUR RADIOGRAPHIE, 14″ × 14″ (356 × 356 MM)</v>
          </cell>
        </row>
        <row r="8665">
          <cell r="B8665" t="str">
            <v>FG09170</v>
          </cell>
          <cell r="C8665" t="str">
            <v>PORTE-FILMS DE DÉVELOPPEMENT POUR RADIOGRAPHIE, 12″ × 15″ (305 × 381 MM)</v>
          </cell>
        </row>
        <row r="8666">
          <cell r="B8666" t="str">
            <v>FG09171</v>
          </cell>
          <cell r="C8666" t="str">
            <v>PORTE-FILMS DE DÉVELOPPEMENT POUR RADIOGRAPHIE, 10″ × 12″ (254 × 305 MM)</v>
          </cell>
        </row>
        <row r="8667">
          <cell r="B8667" t="str">
            <v>FG09172</v>
          </cell>
          <cell r="C8667" t="str">
            <v>TENSIOMETRE A CADRAN SUR PIED A 5 ROULETTES</v>
          </cell>
        </row>
        <row r="8668">
          <cell r="B8668" t="str">
            <v>FG09173</v>
          </cell>
          <cell r="C8668" t="str">
            <v>MICROPIPETTE MULTICANAUX (8 CANAUX) RÉGLABLE, VOLUME 50–300 µL</v>
          </cell>
        </row>
        <row r="8669">
          <cell r="B8669" t="str">
            <v>FG09174</v>
          </cell>
          <cell r="C8669" t="str">
            <v>POIRE À PIPETTE</v>
          </cell>
        </row>
        <row r="8670">
          <cell r="B8670" t="str">
            <v>FG09175</v>
          </cell>
          <cell r="C8670" t="str">
            <v>CATHETER UTÉRIN À BALLONNET, JETABLE</v>
          </cell>
        </row>
        <row r="8671">
          <cell r="B8671" t="str">
            <v>FG09176</v>
          </cell>
          <cell r="C8671" t="str">
            <v>BOITE - ACCOUCHEMENT AVEC EPISIOTOMIE</v>
          </cell>
        </row>
        <row r="8672">
          <cell r="B8672" t="str">
            <v>FG09177</v>
          </cell>
          <cell r="C8672" t="str">
            <v>BOITE - REANIMATION</v>
          </cell>
        </row>
        <row r="8673">
          <cell r="B8673" t="str">
            <v>FG09178</v>
          </cell>
          <cell r="C8673" t="str">
            <v>BOITE - APPENDICECTOMIE</v>
          </cell>
        </row>
        <row r="8674">
          <cell r="B8674" t="str">
            <v>FG09179</v>
          </cell>
          <cell r="C8674" t="str">
            <v>BOITE - ACCOUCHEMENT COMPLET POUR ACCOUCHEMENT EUTOCIQUE</v>
          </cell>
        </row>
        <row r="8675">
          <cell r="B8675" t="str">
            <v>FG09180</v>
          </cell>
          <cell r="C8675" t="str">
            <v>BOITE - HERNIORRAPHIE</v>
          </cell>
        </row>
        <row r="8676">
          <cell r="B8676" t="str">
            <v>FG09181</v>
          </cell>
          <cell r="C8676" t="str">
            <v>CEREAU DE LIT MEDICAL</v>
          </cell>
        </row>
        <row r="8677">
          <cell r="B8677" t="str">
            <v>FG09183</v>
          </cell>
          <cell r="C8677" t="str">
            <v>FACTEUR VIII ANTI-HEMOPHILIQUE HUMAIN – 500 UI</v>
          </cell>
        </row>
        <row r="8678">
          <cell r="B8678" t="str">
            <v>FG09184</v>
          </cell>
          <cell r="C8678" t="str">
            <v>DOLI-FLU (CONTRE LE RHUME) POCH/4 CAPLETS</v>
          </cell>
        </row>
        <row r="8679">
          <cell r="B8679" t="str">
            <v>FG09186</v>
          </cell>
          <cell r="C8679" t="str">
            <v>IMPLANTS ORTHO MERIL KNEE INSTRUMENT SET</v>
          </cell>
        </row>
        <row r="8680">
          <cell r="B8680" t="str">
            <v>FG09187</v>
          </cell>
          <cell r="C8680" t="str">
            <v>IMPLANTS ORTHO MERIL HIP INSTRUMENT SET</v>
          </cell>
        </row>
        <row r="8681">
          <cell r="B8681" t="str">
            <v>FG09188</v>
          </cell>
          <cell r="C8681" t="str">
            <v>UTROGESTAN 200MG 45CES (FR)</v>
          </cell>
        </row>
        <row r="8682">
          <cell r="B8682" t="str">
            <v>FG09190</v>
          </cell>
          <cell r="C8682" t="str">
            <v>TWINZOL SDU COLLYRE 20 MG / 5 MG, UNIDOSES 0,2 ML X 30</v>
          </cell>
        </row>
        <row r="8683">
          <cell r="B8683" t="str">
            <v>FG09191</v>
          </cell>
          <cell r="C8683" t="str">
            <v>WORMINIX (ALBENDAZOLE) SACHET 10 ML</v>
          </cell>
        </row>
        <row r="8684">
          <cell r="B8684" t="str">
            <v>FG09192</v>
          </cell>
          <cell r="C8684" t="str">
            <v>UNIDAKT 2% (MICONAZOLE) ORAL GEL 30G</v>
          </cell>
        </row>
        <row r="8685">
          <cell r="B8685" t="str">
            <v>FG09193</v>
          </cell>
          <cell r="C8685" t="str">
            <v>CYPROPLEX PLUS SACHET 15 ML (APPETITE STIMULANT WITH MULTIVITAMIN)</v>
          </cell>
        </row>
        <row r="8686">
          <cell r="B8686" t="str">
            <v>FG09194</v>
          </cell>
          <cell r="C8686" t="str">
            <v>NOCOLD-DX COLD &amp; FLU SYRUP SACHET 7 ML</v>
          </cell>
        </row>
        <row r="8687">
          <cell r="B8687" t="str">
            <v>FG09195</v>
          </cell>
          <cell r="C8687" t="str">
            <v>MAGALAX ORAL EMULSION 200 ML (LAXATIVE)</v>
          </cell>
        </row>
        <row r="8688">
          <cell r="B8688" t="str">
            <v>FG09196</v>
          </cell>
          <cell r="C8688" t="str">
            <v>CEFIXIME 50MG POUDRE POUR SUSP. ORALE 60ML</v>
          </cell>
        </row>
        <row r="8689">
          <cell r="B8689" t="str">
            <v>FG09197</v>
          </cell>
          <cell r="C8689" t="str">
            <v>CEFIXIME 100MG POUDRE POUR SUSP. ORALE 60ML</v>
          </cell>
        </row>
        <row r="8690">
          <cell r="B8690" t="str">
            <v>FG09198</v>
          </cell>
          <cell r="C8690" t="str">
            <v>VALSAC (SACUBITRIL 49 MG + VALSARTAN 51 MG) B/3X10 CES</v>
          </cell>
        </row>
        <row r="8691">
          <cell r="B8691" t="str">
            <v>FG09199</v>
          </cell>
          <cell r="C8691" t="str">
            <v>VALSAC (SACUBITRIL 97 MG + VALSARTAN 103 MG) B/3X10 CES</v>
          </cell>
        </row>
        <row r="8692">
          <cell r="B8692" t="str">
            <v>FG09200</v>
          </cell>
          <cell r="C8692" t="str">
            <v>ASPIRINE 500MG B/10CES X 25PL (UNIQUE)</v>
          </cell>
        </row>
        <row r="8693">
          <cell r="B8693" t="str">
            <v>FG09201</v>
          </cell>
          <cell r="C8693" t="str">
            <v>UNICAIN 10% (LIDOCAINE) SPRAY 50 ML</v>
          </cell>
        </row>
        <row r="8694">
          <cell r="B8694" t="str">
            <v>FG09203</v>
          </cell>
          <cell r="C8694" t="str">
            <v>CRYOSTAT A MICROTOME SEMI-AUTOMATIQUE</v>
          </cell>
        </row>
        <row r="8695">
          <cell r="B8695" t="str">
            <v>FG09204</v>
          </cell>
          <cell r="C8695" t="str">
            <v>LAMES DE MICROTOME LP</v>
          </cell>
        </row>
        <row r="8696">
          <cell r="B8696" t="str">
            <v>FG09205</v>
          </cell>
          <cell r="C8696" t="str">
            <v>LAMES DE MICROTOME HP</v>
          </cell>
        </row>
        <row r="8697">
          <cell r="B8697" t="str">
            <v>FG09206</v>
          </cell>
          <cell r="C8697" t="str">
            <v>CHAISE DENTAIRE PART A</v>
          </cell>
        </row>
        <row r="8698">
          <cell r="B8698" t="str">
            <v>FG09207</v>
          </cell>
          <cell r="C8698" t="str">
            <v>OPTHA - LAMPE A FENTE NUMERIQUE</v>
          </cell>
        </row>
        <row r="8699">
          <cell r="B8699" t="str">
            <v>FG09208</v>
          </cell>
          <cell r="C8699" t="str">
            <v>OPTHA - RETINOGRAPHE PORTABLE</v>
          </cell>
        </row>
        <row r="8700">
          <cell r="B8700" t="str">
            <v>FG09209</v>
          </cell>
          <cell r="C8700" t="str">
            <v>OPTHA - RETINOGRAPHE</v>
          </cell>
        </row>
        <row r="8701">
          <cell r="B8701" t="str">
            <v>FG09210</v>
          </cell>
          <cell r="C8701" t="str">
            <v>OPTHA - TONOMETRE SANS CONTACT</v>
          </cell>
        </row>
        <row r="8702">
          <cell r="B8702" t="str">
            <v>FG09211</v>
          </cell>
          <cell r="C8702" t="str">
            <v>OPTHA - ECHOGRAPHIE A-SCAN &amp; PACHYMETRE</v>
          </cell>
        </row>
        <row r="8703">
          <cell r="B8703" t="str">
            <v>FG09212</v>
          </cell>
          <cell r="C8703" t="str">
            <v>OPTHA - ECHOGRAPHIE OPHTALMIQUE A/B SCAN</v>
          </cell>
        </row>
        <row r="8704">
          <cell r="B8704" t="str">
            <v>FG09213</v>
          </cell>
          <cell r="C8704" t="str">
            <v>OPTHA - PERIMETRE OPHTALMIQUE</v>
          </cell>
        </row>
        <row r="8705">
          <cell r="B8705" t="str">
            <v>FG09214</v>
          </cell>
          <cell r="C8705" t="str">
            <v>OPTHA - MICROSCOPE OPERATOIRE</v>
          </cell>
        </row>
        <row r="8706">
          <cell r="B8706" t="str">
            <v>FG09215</v>
          </cell>
          <cell r="C8706" t="str">
            <v>OPTHA - TABLE OPHTALMIQUE MOTORISEE</v>
          </cell>
        </row>
        <row r="8707">
          <cell r="B8707" t="str">
            <v>FG09216</v>
          </cell>
          <cell r="C8707" t="str">
            <v>OPTHA - AUTO REFRACTO/KERATINOMETRE</v>
          </cell>
        </row>
        <row r="8708">
          <cell r="B8708" t="str">
            <v>FG09217</v>
          </cell>
          <cell r="C8708" t="str">
            <v>OPTHA - LENSOMETRE</v>
          </cell>
        </row>
        <row r="8709">
          <cell r="B8709" t="str">
            <v>FG09218</v>
          </cell>
          <cell r="C8709" t="str">
            <v>OPTHA - REFRACTEUR AUTOMATIQUE</v>
          </cell>
        </row>
        <row r="8710">
          <cell r="B8710" t="str">
            <v>FG09219</v>
          </cell>
          <cell r="C8710" t="str">
            <v>OPTHA - PROJECTEUR GRAPHIQUE AUTOMATIQUE</v>
          </cell>
        </row>
        <row r="8711">
          <cell r="B8711" t="str">
            <v>FG09220</v>
          </cell>
          <cell r="C8711" t="str">
            <v>OPTHA - ECRAN D ACUITE VISUELLE</v>
          </cell>
        </row>
        <row r="8712">
          <cell r="B8712" t="str">
            <v>FG09221</v>
          </cell>
          <cell r="C8712" t="str">
            <v>OPTHA - UNITE COMBINEE D OPHTALMOLOGIE</v>
          </cell>
        </row>
        <row r="8713">
          <cell r="B8713" t="str">
            <v>FG09222</v>
          </cell>
          <cell r="C8713" t="str">
            <v>OPTHA - LASER YAG</v>
          </cell>
        </row>
        <row r="8714">
          <cell r="B8714" t="str">
            <v>FG09223</v>
          </cell>
          <cell r="C8714" t="str">
            <v>OPTHA - PHACOEMULSIFICATEUR</v>
          </cell>
        </row>
        <row r="8715">
          <cell r="B8715" t="str">
            <v>FG09224</v>
          </cell>
          <cell r="C8715" t="str">
            <v>OPTHA - TOPOGRAPHE PAR COHERENCE OPTIQUE</v>
          </cell>
        </row>
        <row r="8716">
          <cell r="B8716" t="str">
            <v>FG09225</v>
          </cell>
          <cell r="C8716" t="str">
            <v>OPTHA - TOPOGRAPHE CORNÉENNE</v>
          </cell>
        </row>
        <row r="8717">
          <cell r="B8717" t="str">
            <v>FG09226</v>
          </cell>
          <cell r="C8717" t="str">
            <v>ABG EN102 - CARTOUCHE DE TEST EG10+ B/25 TESTS</v>
          </cell>
        </row>
        <row r="8718">
          <cell r="B8718" t="str">
            <v>FG09227</v>
          </cell>
          <cell r="C8718" t="str">
            <v>LITTMAN STETHOSCOPE</v>
          </cell>
        </row>
        <row r="8719">
          <cell r="B8719" t="str">
            <v>FG09228</v>
          </cell>
          <cell r="C8719" t="str">
            <v>CROSS BAG</v>
          </cell>
        </row>
        <row r="8720">
          <cell r="B8720" t="str">
            <v>FG09229</v>
          </cell>
          <cell r="C8720" t="str">
            <v>HAND BANDS</v>
          </cell>
        </row>
        <row r="8721">
          <cell r="B8721" t="str">
            <v>FG09230</v>
          </cell>
          <cell r="C8721" t="str">
            <v>UMBRELLA</v>
          </cell>
        </row>
        <row r="8722">
          <cell r="B8722" t="str">
            <v>FG09231</v>
          </cell>
          <cell r="C8722" t="str">
            <v>FOOTBALL</v>
          </cell>
        </row>
        <row r="8723">
          <cell r="B8723" t="str">
            <v>FG09232</v>
          </cell>
          <cell r="C8723" t="str">
            <v>RAIN COAT</v>
          </cell>
        </row>
        <row r="8724">
          <cell r="B8724" t="str">
            <v>FG09234</v>
          </cell>
          <cell r="C8724" t="str">
            <v>ANALYSEUR DE COAGULATION</v>
          </cell>
        </row>
        <row r="8725">
          <cell r="B8725" t="str">
            <v>FG09235</v>
          </cell>
          <cell r="C8725" t="str">
            <v>OTRINIQUE ENFANT NASAL SPRAY 10ML</v>
          </cell>
        </row>
        <row r="8726">
          <cell r="B8726" t="str">
            <v>FG09236</v>
          </cell>
          <cell r="C8726" t="str">
            <v>POLYFREASH EXTRA 0.4ML B/30 UNIDOSE</v>
          </cell>
        </row>
        <row r="8727">
          <cell r="B8727" t="str">
            <v>FG09237</v>
          </cell>
          <cell r="C8727" t="str">
            <v>ALERBIX (BILASTINE 10MG) B/20 CES (FR)</v>
          </cell>
        </row>
        <row r="8728">
          <cell r="B8728" t="str">
            <v>FG09238</v>
          </cell>
          <cell r="C8728" t="str">
            <v>ALERBIX (BILASTINE 20MG) B/10 CES (FR)</v>
          </cell>
        </row>
        <row r="8729">
          <cell r="B8729" t="str">
            <v>FG09240</v>
          </cell>
          <cell r="C8729" t="str">
            <v>POCHE DE SANG DOUBE 250CCPCS/1</v>
          </cell>
        </row>
        <row r="8730">
          <cell r="B8730" t="str">
            <v>FG09246</v>
          </cell>
          <cell r="C8730" t="str">
            <v>POLYFRESH EXTRA B/30 UNIDOSE</v>
          </cell>
        </row>
        <row r="8731">
          <cell r="B8731" t="str">
            <v>FG09248</v>
          </cell>
          <cell r="C8731" t="str">
            <v>IMPLANTS ORTHO MERIL MODULAR SHELL 62</v>
          </cell>
        </row>
        <row r="8732">
          <cell r="B8732" t="str">
            <v>FG09249</v>
          </cell>
          <cell r="C8732" t="str">
            <v>IMPLANTS ORTHO MERIL MODULAR SHELL 64</v>
          </cell>
        </row>
        <row r="8733">
          <cell r="B8733" t="str">
            <v>FG09250</v>
          </cell>
          <cell r="C8733" t="str">
            <v>IMPLANTS ORTHO MERIL UHMWPE + SS 316LVM 10°CEMENTED CUP 60/32</v>
          </cell>
        </row>
        <row r="8734">
          <cell r="B8734" t="str">
            <v>FG09253</v>
          </cell>
          <cell r="C8734" t="str">
            <v>INS - PINCE A CŒUR, 16CM</v>
          </cell>
        </row>
        <row r="8735">
          <cell r="B8735" t="str">
            <v>FG09254</v>
          </cell>
          <cell r="C8735" t="str">
            <v>IMPLANT ORTHO GENERAL INSTRUMENT SET</v>
          </cell>
        </row>
        <row r="8736">
          <cell r="B8736" t="str">
            <v>FG09255</v>
          </cell>
          <cell r="C8736" t="str">
            <v>INS - PINCE KELLY, PINCE A POLYPE ET PINCE A OVUM DENTELEE, 32 CM</v>
          </cell>
        </row>
        <row r="8737">
          <cell r="B8737" t="str">
            <v>FG09256</v>
          </cell>
          <cell r="C8737" t="str">
            <v>BONNE NUIT PRESERVATIF FEMININ LATEX AVEC ANNEAU 1 PCS</v>
          </cell>
        </row>
        <row r="8738">
          <cell r="B8738" t="str">
            <v>FG09257</v>
          </cell>
          <cell r="C8738" t="str">
            <v>COSPHATRIX 1000MG (CYCLOPHOSPHAMIDE) B/1 VIAL</v>
          </cell>
        </row>
        <row r="8739">
          <cell r="B8739" t="str">
            <v>FG09258</v>
          </cell>
          <cell r="C8739" t="str">
            <v>EVARAP 10MG B/30CES</v>
          </cell>
        </row>
        <row r="8740">
          <cell r="B8740" t="str">
            <v>FG09259</v>
          </cell>
          <cell r="C8740" t="str">
            <v>EVARAP 5MG B/30CES</v>
          </cell>
        </row>
        <row r="8741">
          <cell r="B8741" t="str">
            <v>FG09260</v>
          </cell>
          <cell r="C8741" t="str">
            <v>FLUOROURACIL 250MG/5ML B/1 VIAL</v>
          </cell>
        </row>
        <row r="8742">
          <cell r="B8742" t="str">
            <v>FG09261</v>
          </cell>
          <cell r="C8742" t="str">
            <v>FULVIX 250MG (FULVESTRRANT) B/1 PFS</v>
          </cell>
        </row>
        <row r="8743">
          <cell r="B8743" t="str">
            <v>FG09262</v>
          </cell>
          <cell r="C8743" t="str">
            <v>LUKOTRIN 100MG (LEUCOVORIN CALCIUM) B/1 VIAL 10ML</v>
          </cell>
        </row>
        <row r="8744">
          <cell r="B8744" t="str">
            <v>FG09263</v>
          </cell>
          <cell r="C8744" t="str">
            <v>ABIRATERONE 500MG B/60 CES</v>
          </cell>
        </row>
        <row r="8745">
          <cell r="B8745" t="str">
            <v>FG09264</v>
          </cell>
          <cell r="C8745" t="str">
            <v>BOCILIB 125MG (PALBOCICLIB) B/21 CAPSULES</v>
          </cell>
        </row>
        <row r="8746">
          <cell r="B8746" t="str">
            <v>FG09265</v>
          </cell>
          <cell r="C8746" t="str">
            <v>ENZADI 40MG (ENZALUTAMIDE) B/28 CAPSULES</v>
          </cell>
        </row>
        <row r="8747">
          <cell r="B8747" t="str">
            <v>FG09266</v>
          </cell>
          <cell r="C8747" t="str">
            <v>IMATINIB 400MG B/30 CES</v>
          </cell>
        </row>
        <row r="8748">
          <cell r="B8748" t="str">
            <v>FG09267</v>
          </cell>
          <cell r="C8748" t="str">
            <v>LENVA 4MG (LENVATINIB) B/30 CAPSULES</v>
          </cell>
        </row>
        <row r="8749">
          <cell r="B8749" t="str">
            <v>FG09268</v>
          </cell>
          <cell r="C8749" t="str">
            <v>LENALITRIX 10MG (LENALIDOMIDE) B/30 CAPSULES</v>
          </cell>
        </row>
        <row r="8750">
          <cell r="B8750" t="str">
            <v>FG09269</v>
          </cell>
          <cell r="C8750" t="str">
            <v>NILOTINIB 200MG B/28 CAPSULES</v>
          </cell>
        </row>
        <row r="8751">
          <cell r="B8751" t="str">
            <v>FG09270</v>
          </cell>
          <cell r="C8751" t="str">
            <v>NILOTINIB 150MG B/28 CAPSULES</v>
          </cell>
        </row>
        <row r="8752">
          <cell r="B8752" t="str">
            <v>FG09271</v>
          </cell>
          <cell r="C8752" t="str">
            <v>NISUB 50MG (SUNITINIB) B/28CAPSULES</v>
          </cell>
        </row>
        <row r="8753">
          <cell r="B8753" t="str">
            <v>FG09272</v>
          </cell>
          <cell r="C8753" t="str">
            <v>POMALIDOMIDE 4MG B/21 CAPSULES</v>
          </cell>
        </row>
        <row r="8754">
          <cell r="B8754" t="str">
            <v>FG09273</v>
          </cell>
          <cell r="C8754" t="str">
            <v>TIXANIB 5MG (AXITINIB) B/14CES</v>
          </cell>
        </row>
        <row r="8755">
          <cell r="B8755" t="str">
            <v>FG09274</v>
          </cell>
          <cell r="C8755" t="str">
            <v>ZOPATRIX 400MG (PAZOPANIB) B/30 CES</v>
          </cell>
        </row>
        <row r="8756">
          <cell r="B8756" t="str">
            <v>FG09275</v>
          </cell>
          <cell r="C8756" t="str">
            <v>NUPARP 300MG (RUCAPARIB) B/60CES</v>
          </cell>
        </row>
        <row r="8757">
          <cell r="B8757" t="str">
            <v>FG09276</v>
          </cell>
          <cell r="C8757" t="str">
            <v>IBRUZEE 140MG (IBRUTINIB) B/30 CAPSULES</v>
          </cell>
        </row>
        <row r="8758">
          <cell r="B8758" t="str">
            <v>FG09277</v>
          </cell>
          <cell r="C8758" t="str">
            <v>TEKNIMED GENTAFIX 3 MV+G BONE CEMENT 40G</v>
          </cell>
        </row>
        <row r="8759">
          <cell r="B8759" t="str">
            <v>FG09278</v>
          </cell>
          <cell r="C8759" t="str">
            <v>TEKNIMED GENTAFIX 1 HV+G BONE CEMENT 40G</v>
          </cell>
        </row>
        <row r="8760">
          <cell r="B8760" t="str">
            <v>FG09279</v>
          </cell>
          <cell r="C8760" t="str">
            <v>CLAMOQUE-250 DT – AMOXYCILLINE 250 MG COMPRIMES DISPERSIBLES B/10X10</v>
          </cell>
        </row>
        <row r="8761">
          <cell r="B8761" t="str">
            <v>FG09280</v>
          </cell>
          <cell r="C8761" t="str">
            <v>VITAMINE A 100000 UI CAPSULES B/100</v>
          </cell>
        </row>
        <row r="8762">
          <cell r="B8762" t="str">
            <v>FG09281</v>
          </cell>
          <cell r="C8762" t="str">
            <v>VITAMINE A 200000 UI CAPSULES B/100</v>
          </cell>
        </row>
        <row r="8763">
          <cell r="B8763" t="str">
            <v>FG09282</v>
          </cell>
          <cell r="C8763" t="str">
            <v>ALBENDAZOLE 400 MG COMPRIMES B/100</v>
          </cell>
        </row>
        <row r="8764">
          <cell r="B8764" t="str">
            <v>FG09283</v>
          </cell>
          <cell r="C8764" t="str">
            <v>ASSUTOR 20 – ATORVASTATINE 20 MG B/3X10 CPR</v>
          </cell>
        </row>
        <row r="8765">
          <cell r="B8765" t="str">
            <v>FG09284</v>
          </cell>
          <cell r="C8765" t="str">
            <v>ASSUTOR 10 – ATORVASTATINE 10 MG B/3X10 CPR</v>
          </cell>
        </row>
        <row r="8766">
          <cell r="B8766" t="str">
            <v>FG09285</v>
          </cell>
          <cell r="C8766" t="str">
            <v>VAGISERIN – GEL INTIME RAFFERMISSANT TUBE 30 G</v>
          </cell>
        </row>
        <row r="8767">
          <cell r="B8767" t="str">
            <v>FG09286</v>
          </cell>
          <cell r="C8767" t="str">
            <v>HIFER FCM – INJ. FERRIC CARBOXYMALTOSE 500 MG/10 ML – 10 ML</v>
          </cell>
        </row>
        <row r="8768">
          <cell r="B8768" t="str">
            <v>FG09287</v>
          </cell>
          <cell r="C8768" t="str">
            <v>NASOMATE – SPRAY NASAL DE MOMETASONE FUROATE 40 DOSES</v>
          </cell>
        </row>
        <row r="8769">
          <cell r="B8769" t="str">
            <v>FG09288</v>
          </cell>
          <cell r="C8769" t="str">
            <v>AVAMYQUE – SPRAY NASAL DE FLUTICASONE FUROATE 120 PULVERISATIONS</v>
          </cell>
        </row>
        <row r="8770">
          <cell r="B8770" t="str">
            <v>FG09289</v>
          </cell>
          <cell r="C8770" t="str">
            <v>AMOXICILLINE SUSPENSION BUVABLE 250 MG/5 ML FLACON 60 ML</v>
          </cell>
        </row>
        <row r="8771">
          <cell r="B8771" t="str">
            <v>FG09290</v>
          </cell>
          <cell r="C8771" t="str">
            <v>AMOXICILLINE SUSPENSION BUVABLE 125 MG/5 ML FLACON 60 ML</v>
          </cell>
        </row>
        <row r="8772">
          <cell r="B8772" t="str">
            <v>FG04940</v>
          </cell>
          <cell r="C8772" t="str">
            <v>DIPICEF (CEFTRIAXONE) 1G INJ</v>
          </cell>
        </row>
        <row r="8773">
          <cell r="B8773" t="str">
            <v>FG04945</v>
          </cell>
          <cell r="C8773" t="str">
            <v>BACTOX 125MG PDRE SIROP 60ML</v>
          </cell>
        </row>
        <row r="8774">
          <cell r="B8774" t="str">
            <v>FG04946</v>
          </cell>
          <cell r="C8774" t="str">
            <v>ALDACTONE 25MG PLS DE 5 CES ( EO)</v>
          </cell>
        </row>
        <row r="8775">
          <cell r="B8775" t="str">
            <v>FG04947</v>
          </cell>
          <cell r="C8775" t="str">
            <v>PROFENID 100MG 30CES (FR)</v>
          </cell>
        </row>
        <row r="8776">
          <cell r="B8776" t="str">
            <v>FG04948</v>
          </cell>
          <cell r="C8776" t="str">
            <v>BI PROFENID 100 MG 20CES (FR) INACTIVE</v>
          </cell>
        </row>
        <row r="8777">
          <cell r="B8777" t="str">
            <v>FG04949</v>
          </cell>
          <cell r="C8777" t="str">
            <v>CLAMOXYL 1GR 12 CES DISPERSIBLES</v>
          </cell>
        </row>
        <row r="8778">
          <cell r="B8778" t="str">
            <v>FG04950</v>
          </cell>
          <cell r="C8778" t="str">
            <v>ACUPAN 20MG INJ B/5AMP</v>
          </cell>
        </row>
        <row r="8779">
          <cell r="B8779" t="str">
            <v>FG04951</v>
          </cell>
          <cell r="C8779" t="str">
            <v>NEUROBION B/20CES (EO)</v>
          </cell>
        </row>
        <row r="8780">
          <cell r="B8780" t="str">
            <v>FG04952</v>
          </cell>
          <cell r="C8780" t="str">
            <v>TANGANIL 500MG B/30CES (FR)</v>
          </cell>
        </row>
        <row r="8781">
          <cell r="B8781" t="str">
            <v>FG04953</v>
          </cell>
          <cell r="C8781" t="str">
            <v>DENK AIR 10MG B/28 CES</v>
          </cell>
        </row>
        <row r="8782">
          <cell r="B8782" t="str">
            <v>FG04954</v>
          </cell>
          <cell r="C8782" t="str">
            <v>FERCEFOL (FER+VIT.C) 30CES (FR)</v>
          </cell>
        </row>
        <row r="8783">
          <cell r="B8783" t="str">
            <v>FG04955</v>
          </cell>
          <cell r="C8783" t="str">
            <v>FLEMING 1GR 1AMP ( FR)</v>
          </cell>
        </row>
        <row r="8784">
          <cell r="B8784" t="str">
            <v>FG04956</v>
          </cell>
          <cell r="C8784" t="str">
            <v>DIFRAREL E 24CES ( EO)</v>
          </cell>
        </row>
        <row r="8785">
          <cell r="B8785" t="str">
            <v>FG04957</v>
          </cell>
          <cell r="C8785" t="str">
            <v>FLUDITEC 2% SIROP ENF FL/125ML</v>
          </cell>
        </row>
        <row r="8786">
          <cell r="B8786" t="str">
            <v>FG04958</v>
          </cell>
          <cell r="C8786" t="str">
            <v>FURADANTINE 21CES ( FR)</v>
          </cell>
        </row>
        <row r="8787">
          <cell r="B8787" t="str">
            <v>FG04959</v>
          </cell>
          <cell r="C8787" t="str">
            <v>PROFENID AMP/1 ( FR)</v>
          </cell>
        </row>
        <row r="8788">
          <cell r="B8788" t="str">
            <v>FG04960</v>
          </cell>
          <cell r="C8788" t="str">
            <v>STILNOX 10MG 20CES ( FR)</v>
          </cell>
        </row>
        <row r="8789">
          <cell r="B8789" t="str">
            <v>FG04961</v>
          </cell>
          <cell r="C8789" t="str">
            <v>APROVEL 150MG B/28 CES ( FR)</v>
          </cell>
        </row>
        <row r="8790">
          <cell r="B8790" t="str">
            <v>FG04962</v>
          </cell>
          <cell r="C8790" t="str">
            <v>APROVEL 300MG 28CES</v>
          </cell>
        </row>
        <row r="8791">
          <cell r="B8791" t="str">
            <v>FG04963</v>
          </cell>
          <cell r="C8791" t="str">
            <v>COFANTRINE AD 6CES</v>
          </cell>
        </row>
        <row r="8792">
          <cell r="B8792" t="str">
            <v>FG04964</v>
          </cell>
          <cell r="C8792" t="str">
            <v>RINOMICINE 10MG B/12SACH ( FR)</v>
          </cell>
        </row>
        <row r="8793">
          <cell r="B8793" t="str">
            <v>FG05056</v>
          </cell>
          <cell r="C8793" t="str">
            <v>TIMOLOL 0.50% CY 3.4MG/ML (FR)</v>
          </cell>
        </row>
        <row r="8794">
          <cell r="B8794" t="str">
            <v>FG05163</v>
          </cell>
          <cell r="C8794" t="str">
            <v>CLOMID 10 CES 50MG (FR)</v>
          </cell>
        </row>
        <row r="8795">
          <cell r="B8795" t="str">
            <v>FG05164</v>
          </cell>
          <cell r="C8795" t="str">
            <v>RISPERIDAL 2MG 20CES(FR)</v>
          </cell>
        </row>
        <row r="8796">
          <cell r="B8796" t="str">
            <v>FG05165</v>
          </cell>
          <cell r="C8796" t="str">
            <v>INEXIUM 20MG 14CES(FR)</v>
          </cell>
        </row>
        <row r="8797">
          <cell r="B8797" t="str">
            <v>FG05198</v>
          </cell>
          <cell r="C8797" t="str">
            <v>DIPROSTENE INJ AMP B+1 (FR)</v>
          </cell>
        </row>
        <row r="8798">
          <cell r="B8798" t="str">
            <v>FG05199</v>
          </cell>
          <cell r="C8798" t="str">
            <v>DOSTINEX 0.5MG B/8CES (FR)</v>
          </cell>
        </row>
        <row r="8799">
          <cell r="B8799" t="str">
            <v>FG05248</v>
          </cell>
          <cell r="C8799" t="str">
            <v>BRONQUIDIAZINA CR SIROP 150ML(FR)</v>
          </cell>
        </row>
        <row r="8800">
          <cell r="B8800" t="str">
            <v>FG05249</v>
          </cell>
          <cell r="C8800" t="str">
            <v>CELEBREX 200MG 10 GELULES (FR)</v>
          </cell>
        </row>
        <row r="8801">
          <cell r="B8801" t="str">
            <v>FG05250</v>
          </cell>
          <cell r="C8801" t="str">
            <v>CORTANCYL 20MG B/20CES (FR)</v>
          </cell>
        </row>
        <row r="8802">
          <cell r="B8802" t="str">
            <v>FG05251</v>
          </cell>
          <cell r="C8802" t="str">
            <v>ZINNAT 125MG SUSP 40ML (FR)</v>
          </cell>
        </row>
        <row r="8803">
          <cell r="B8803" t="str">
            <v>FG05252</v>
          </cell>
          <cell r="C8803" t="str">
            <v>AZOPT COLLYRE (FR)</v>
          </cell>
        </row>
        <row r="8804">
          <cell r="B8804" t="str">
            <v>FG05253</v>
          </cell>
          <cell r="C8804" t="str">
            <v>CHIBRO-PROSCAR 5MG 28CES (EO)</v>
          </cell>
        </row>
        <row r="8805">
          <cell r="B8805" t="str">
            <v>FG05254</v>
          </cell>
          <cell r="C8805" t="str">
            <v>DIFRAREL 100MG 20DRG (FR)</v>
          </cell>
        </row>
        <row r="8806">
          <cell r="B8806" t="str">
            <v>FG05255</v>
          </cell>
          <cell r="C8806" t="str">
            <v>DUOTRAV COLLYRE 40MCG (FR)</v>
          </cell>
        </row>
        <row r="8807">
          <cell r="B8807" t="str">
            <v>FG05256</v>
          </cell>
          <cell r="C8807" t="str">
            <v>HUMEX RHUME B/4GELULES (FR)</v>
          </cell>
        </row>
        <row r="8808">
          <cell r="B8808" t="str">
            <v>FG05257</v>
          </cell>
          <cell r="C8808" t="str">
            <v>LARGATIL 100MG 30CES (FR)</v>
          </cell>
        </row>
        <row r="8809">
          <cell r="B8809" t="str">
            <v>FG05258</v>
          </cell>
          <cell r="C8809" t="str">
            <v>LEPTICUR 10MG COMP B/30</v>
          </cell>
        </row>
        <row r="8810">
          <cell r="B8810" t="str">
            <v>FG05259</v>
          </cell>
          <cell r="C8810" t="str">
            <v>NASONEX 120DOSES(FR)</v>
          </cell>
        </row>
        <row r="8811">
          <cell r="B8811" t="str">
            <v>FG05260</v>
          </cell>
          <cell r="C8811" t="str">
            <v>ORELOX 50ML(FR)</v>
          </cell>
        </row>
        <row r="8812">
          <cell r="B8812" t="str">
            <v>FG05261</v>
          </cell>
          <cell r="C8812" t="str">
            <v>VISCERALGINE SP 150ML (FR)</v>
          </cell>
        </row>
        <row r="8813">
          <cell r="B8813" t="str">
            <v>FG05262</v>
          </cell>
          <cell r="C8813" t="str">
            <v>VITABACT COLLYRE 10ML (FR)</v>
          </cell>
        </row>
        <row r="8814">
          <cell r="B8814" t="str">
            <v>FG05263</v>
          </cell>
          <cell r="C8814" t="str">
            <v>VOGALENE 5MG 10SUPPOS (FR)</v>
          </cell>
        </row>
        <row r="8815">
          <cell r="B8815" t="str">
            <v>FG05265</v>
          </cell>
          <cell r="C8815" t="str">
            <v>NOZINAN 25MG 20CES (FR)</v>
          </cell>
        </row>
        <row r="8816">
          <cell r="B8816" t="str">
            <v>FG05285</v>
          </cell>
          <cell r="C8816" t="str">
            <v>GYNOSPAN B/10 SUPPO</v>
          </cell>
        </row>
        <row r="8817">
          <cell r="B8817" t="str">
            <v>FG05286</v>
          </cell>
          <cell r="C8817" t="str">
            <v>EUPHON 70 PASTI. SANS SUCRE (FR) $$</v>
          </cell>
        </row>
        <row r="8818">
          <cell r="B8818" t="str">
            <v>FG05287</v>
          </cell>
          <cell r="C8818" t="str">
            <v>LRJ COLLYRE 30MG 10ML (FR)</v>
          </cell>
        </row>
        <row r="8819">
          <cell r="B8819" t="str">
            <v>FG05288</v>
          </cell>
          <cell r="C8819" t="str">
            <v>DOLIMEX MIGRAINE EFF B/16CES</v>
          </cell>
        </row>
        <row r="8820">
          <cell r="B8820" t="str">
            <v>FG05289</v>
          </cell>
          <cell r="C8820" t="str">
            <v>FUCLO 500 (FLUCLOXACILLINE500) 500MG 24 GELULES</v>
          </cell>
        </row>
        <row r="8821">
          <cell r="B8821" t="str">
            <v>FG05296</v>
          </cell>
          <cell r="C8821" t="str">
            <v>VIAGRA 50MG CES B/1 (FR)</v>
          </cell>
        </row>
        <row r="8822">
          <cell r="B8822" t="str">
            <v>FG05297</v>
          </cell>
          <cell r="C8822" t="str">
            <v>PROXEED PLUS 5GR SACHETS B/30 (FR)</v>
          </cell>
        </row>
        <row r="8823">
          <cell r="B8823" t="str">
            <v>FG05298</v>
          </cell>
          <cell r="C8823" t="str">
            <v>EUPHON SIROP 150ML (FR) $$</v>
          </cell>
        </row>
        <row r="8824">
          <cell r="B8824" t="str">
            <v>FG05299</v>
          </cell>
          <cell r="C8824" t="str">
            <v>ZYRTEC 10MG BT/10CES</v>
          </cell>
        </row>
        <row r="8825">
          <cell r="B8825" t="str">
            <v>FG05331</v>
          </cell>
          <cell r="C8825" t="str">
            <v>DULOXETINE (GASTRO-RESISTANT) CAPSULES</v>
          </cell>
        </row>
        <row r="8826">
          <cell r="B8826" t="str">
            <v>FG05332</v>
          </cell>
          <cell r="C8826" t="str">
            <v>SERESTA (OXAZEPAM) 50MG B/20 CES</v>
          </cell>
        </row>
        <row r="8827">
          <cell r="B8827" t="str">
            <v>FG05343</v>
          </cell>
          <cell r="C8827" t="str">
            <v>DIPROSONE CREAME TB 30GR (FR)</v>
          </cell>
        </row>
        <row r="8828">
          <cell r="B8828" t="str">
            <v>FG05344</v>
          </cell>
          <cell r="C8828" t="str">
            <v>ADVIL 200MG 20CES(FR)</v>
          </cell>
        </row>
        <row r="8829">
          <cell r="B8829" t="str">
            <v>FG05352</v>
          </cell>
          <cell r="C8829" t="str">
            <v>DAFALGAN FOERT 1GR EFF B/32CES(FR)</v>
          </cell>
        </row>
        <row r="8830">
          <cell r="B8830" t="str">
            <v>FG05353</v>
          </cell>
          <cell r="C8830" t="str">
            <v>DEEP HEAT PD. 15GR.</v>
          </cell>
        </row>
        <row r="8831">
          <cell r="B8831" t="str">
            <v>FG05354</v>
          </cell>
          <cell r="C8831" t="str">
            <v>BETASERC (SERC) 8MG 90 CES</v>
          </cell>
        </row>
        <row r="8832">
          <cell r="B8832" t="str">
            <v>FG05355</v>
          </cell>
          <cell r="C8832" t="str">
            <v>TERRA-CORTIL ONG OPHT &amp; OTIQ.3.5GR(EO)</v>
          </cell>
        </row>
        <row r="8833">
          <cell r="B8833" t="str">
            <v>FG05356</v>
          </cell>
          <cell r="C8833" t="str">
            <v>ZANEXTRA 10MG B/30 CES (FR)</v>
          </cell>
        </row>
        <row r="8834">
          <cell r="B8834" t="str">
            <v>FG05357</v>
          </cell>
          <cell r="C8834" t="str">
            <v>ZANEXTRA 20MG B/30 CES (FR)</v>
          </cell>
        </row>
        <row r="8835">
          <cell r="B8835" t="str">
            <v>FG05358</v>
          </cell>
          <cell r="C8835" t="str">
            <v>ZANIDIP 10MG B/30 CES (FR)</v>
          </cell>
        </row>
        <row r="8836">
          <cell r="B8836" t="str">
            <v>FG05359</v>
          </cell>
          <cell r="C8836" t="str">
            <v>ZYRTEC 10MG 20CES (EO)</v>
          </cell>
        </row>
        <row r="8837">
          <cell r="B8837" t="str">
            <v>FG05360</v>
          </cell>
          <cell r="C8837" t="str">
            <v>AKINETON 2MG 20 CES (FR)</v>
          </cell>
        </row>
        <row r="8838">
          <cell r="B8838" t="str">
            <v>FG05361</v>
          </cell>
          <cell r="C8838" t="str">
            <v>NEO CODION 20CES (FR)</v>
          </cell>
        </row>
        <row r="8839">
          <cell r="B8839" t="str">
            <v>FG05372</v>
          </cell>
          <cell r="C8839" t="str">
            <v>CEDOCARD-5 B/60CES (FR)</v>
          </cell>
        </row>
        <row r="8840">
          <cell r="B8840" t="str">
            <v>FG05373</v>
          </cell>
          <cell r="C8840" t="str">
            <v>NOVONORM 1MG 120CES (FR)</v>
          </cell>
        </row>
        <row r="8841">
          <cell r="B8841" t="str">
            <v>FG05374</v>
          </cell>
          <cell r="C8841" t="str">
            <v>NOVONORM 2MG 90CES (FR)</v>
          </cell>
        </row>
        <row r="8842">
          <cell r="B8842" t="str">
            <v>FG05375</v>
          </cell>
          <cell r="C8842" t="str">
            <v>TEGRETOL CR 200MG 50CES (EO)</v>
          </cell>
        </row>
        <row r="8843">
          <cell r="B8843" t="str">
            <v>FG05376</v>
          </cell>
          <cell r="C8843" t="str">
            <v>VOLTAREN INJ 75MG 6AMP......-SP-...</v>
          </cell>
        </row>
        <row r="8844">
          <cell r="B8844" t="str">
            <v>FG05377</v>
          </cell>
          <cell r="C8844" t="str">
            <v>DAFALGAN CODEINE 500MG CRP BT 16 (FR)&amp;&amp;&amp;</v>
          </cell>
        </row>
        <row r="8845">
          <cell r="B8845" t="str">
            <v>FG05381</v>
          </cell>
          <cell r="C8845" t="str">
            <v>AVASTIN (BEVACIZUMAB) 25MG B/1 FLACON</v>
          </cell>
        </row>
        <row r="8846">
          <cell r="B8846" t="str">
            <v>FG07783</v>
          </cell>
          <cell r="C8846" t="str">
            <v>METHANOL 500ML</v>
          </cell>
        </row>
        <row r="8847">
          <cell r="B8847" t="str">
            <v>FG04976</v>
          </cell>
          <cell r="C8847" t="str">
            <v>BACTOX 500MG 12 GELULES (FR)</v>
          </cell>
        </row>
        <row r="8848">
          <cell r="B8848" t="str">
            <v>FG04977</v>
          </cell>
          <cell r="C8848" t="str">
            <v>DERMOBACTER SOLUTION PETIT M. 125ML</v>
          </cell>
        </row>
        <row r="8849">
          <cell r="B8849" t="str">
            <v>FG04978</v>
          </cell>
          <cell r="C8849" t="str">
            <v>ELLE TEST GROSSESSE 1TEST (EUROP)</v>
          </cell>
        </row>
        <row r="8850">
          <cell r="B8850" t="str">
            <v>FG04979</v>
          </cell>
          <cell r="C8850" t="str">
            <v>FERVEX ENF 8 SACHETS (FR)</v>
          </cell>
        </row>
        <row r="8851">
          <cell r="B8851" t="str">
            <v>FG04980</v>
          </cell>
          <cell r="C8851" t="str">
            <v>RELAXOL (PARA+THIOCOLCHIC) 500MG/2MG B/20CES (EO)</v>
          </cell>
        </row>
        <row r="8852">
          <cell r="B8852" t="str">
            <v>FG04981</v>
          </cell>
          <cell r="C8852" t="str">
            <v>SPASFON B/10SUPPOS (FR)</v>
          </cell>
        </row>
        <row r="8853">
          <cell r="B8853" t="str">
            <v>FG04982</v>
          </cell>
          <cell r="C8853" t="str">
            <v>STERIMAR AEROSOL POCHE 50ML</v>
          </cell>
        </row>
        <row r="8854">
          <cell r="B8854" t="str">
            <v>FG04983</v>
          </cell>
          <cell r="C8854" t="str">
            <v>BRUFEN SIROP PEDIATRIQUE 100ML (FR)</v>
          </cell>
        </row>
        <row r="8855">
          <cell r="B8855" t="str">
            <v>FG04984</v>
          </cell>
          <cell r="C8855" t="str">
            <v>FERTILO FORT DENK SACHETS B/30 (FR)</v>
          </cell>
        </row>
        <row r="8856">
          <cell r="B8856" t="str">
            <v>FG04986</v>
          </cell>
          <cell r="C8856" t="str">
            <v>SMECTA 10SACHETS</v>
          </cell>
        </row>
        <row r="8857">
          <cell r="B8857" t="str">
            <v>FG04987</v>
          </cell>
          <cell r="C8857" t="str">
            <v>FLUCAZOL 100MG 10GELULES (EO)</v>
          </cell>
        </row>
        <row r="8858">
          <cell r="B8858" t="str">
            <v>FG04990</v>
          </cell>
          <cell r="C8858" t="str">
            <v>CLOMID BT/5 CES***(FR)</v>
          </cell>
        </row>
        <row r="8859">
          <cell r="B8859" t="str">
            <v>FG04991</v>
          </cell>
          <cell r="C8859" t="str">
            <v>FLAGYL 4% SP BUV 120ML (FR)</v>
          </cell>
        </row>
        <row r="8860">
          <cell r="B8860" t="str">
            <v>FG04998</v>
          </cell>
          <cell r="C8860" t="str">
            <v>THIOBACTIN 250MG SUSP.BUVABLE 60ML (FR)</v>
          </cell>
        </row>
        <row r="8861">
          <cell r="B8861" t="str">
            <v>FG04999</v>
          </cell>
          <cell r="C8861" t="str">
            <v>TIMOPTOL SOL.OPHT.50% 3ML (EO)</v>
          </cell>
        </row>
        <row r="8862">
          <cell r="B8862" t="str">
            <v>FG05000</v>
          </cell>
          <cell r="C8862" t="str">
            <v>ZEBEN 400MG 1CP(FR)</v>
          </cell>
        </row>
        <row r="8863">
          <cell r="B8863" t="str">
            <v>FG05044</v>
          </cell>
          <cell r="C8863" t="str">
            <v>AMARYL M 2MG B/30 CES (FR)</v>
          </cell>
        </row>
        <row r="8864">
          <cell r="B8864" t="str">
            <v>FG05046</v>
          </cell>
          <cell r="C8864" t="str">
            <v>HEMATOLOGIE 3 PARTIES LYE-1 (500ML) - LYSE</v>
          </cell>
        </row>
        <row r="8865">
          <cell r="B8865" t="str">
            <v>FG05047</v>
          </cell>
          <cell r="C8865" t="str">
            <v>HEMATOLOGIE 5 PARTIES DIL-C (20L) - DILUENT</v>
          </cell>
        </row>
        <row r="8866">
          <cell r="B8866" t="str">
            <v>FG05084</v>
          </cell>
          <cell r="C8866" t="str">
            <v>CATACOL COLLYRE 10ML (FR)</v>
          </cell>
        </row>
        <row r="8867">
          <cell r="B8867" t="str">
            <v>FG05085</v>
          </cell>
          <cell r="C8867" t="str">
            <v>LEVO-DENK (LEVOFLOXOCIN) 500MG B/10CES</v>
          </cell>
        </row>
        <row r="8868">
          <cell r="B8868" t="str">
            <v>FG05194</v>
          </cell>
          <cell r="C8868" t="str">
            <v>ZINNAT 250MG BT/8CES (FR)</v>
          </cell>
        </row>
        <row r="8869">
          <cell r="B8869" t="str">
            <v>FG05195</v>
          </cell>
          <cell r="C8869" t="str">
            <v>APAZIDE 200MG B/16 GELLULES (EO)</v>
          </cell>
        </row>
        <row r="8870">
          <cell r="B8870" t="str">
            <v>FG05697</v>
          </cell>
          <cell r="C8870" t="str">
            <v>ENTIZOL B/6OVL (METRONIDAZOLE)</v>
          </cell>
        </row>
        <row r="8871">
          <cell r="B8871" t="str">
            <v>FG06683</v>
          </cell>
          <cell r="C8871" t="str">
            <v>AVICAP VIT A 30MG 30CES</v>
          </cell>
        </row>
        <row r="8872">
          <cell r="B8872" t="str">
            <v>FG06684</v>
          </cell>
          <cell r="C8872" t="str">
            <v>KAPTOPRIL 50MG B/50 CES</v>
          </cell>
        </row>
        <row r="8873">
          <cell r="B8873" t="str">
            <v>FG06685</v>
          </cell>
          <cell r="C8873" t="str">
            <v>KEPRA 100MG/ML SIROP 150ML</v>
          </cell>
        </row>
        <row r="8874">
          <cell r="B8874" t="str">
            <v>FG06686</v>
          </cell>
          <cell r="C8874" t="str">
            <v>ACP-PLUS B/10 CES</v>
          </cell>
        </row>
        <row r="8875">
          <cell r="B8875" t="str">
            <v>FG06687</v>
          </cell>
          <cell r="C8875" t="str">
            <v>LEOCON 500MG B/10 CES</v>
          </cell>
        </row>
        <row r="8876">
          <cell r="B8876" t="str">
            <v>FG06688</v>
          </cell>
          <cell r="C8876" t="str">
            <v>FUCANOL SUSP</v>
          </cell>
        </row>
        <row r="8877">
          <cell r="B8877" t="str">
            <v>FG06689</v>
          </cell>
          <cell r="C8877" t="str">
            <v>NARISOL 0.1% SPARAY</v>
          </cell>
        </row>
        <row r="8878">
          <cell r="B8878" t="str">
            <v>FG06690</v>
          </cell>
          <cell r="C8878" t="str">
            <v>MAIGRIX 60MG CAPSULE B/10</v>
          </cell>
        </row>
        <row r="8879">
          <cell r="B8879" t="str">
            <v>FG06691</v>
          </cell>
          <cell r="C8879" t="str">
            <v>NEOTONE SENSITIVE FL/30ML</v>
          </cell>
        </row>
        <row r="8880">
          <cell r="B8880" t="str">
            <v>FG06692</v>
          </cell>
          <cell r="C8880" t="str">
            <v>CEFPODOX PLUS SUSPENSION 60ML</v>
          </cell>
        </row>
        <row r="8881">
          <cell r="B8881" t="str">
            <v>FG06693</v>
          </cell>
          <cell r="C8881" t="str">
            <v>BETAMATE GOUTTE</v>
          </cell>
        </row>
        <row r="8882">
          <cell r="B8882" t="str">
            <v>FG06694</v>
          </cell>
          <cell r="C8882" t="str">
            <v>CEFTAMEX 1GM INJ</v>
          </cell>
        </row>
        <row r="8883">
          <cell r="B8883" t="str">
            <v>FG06695</v>
          </cell>
          <cell r="C8883" t="str">
            <v>CORT 40MG INJ</v>
          </cell>
        </row>
        <row r="8884">
          <cell r="B8884" t="str">
            <v>FG06696</v>
          </cell>
          <cell r="C8884" t="str">
            <v>CORT 80MG INJ</v>
          </cell>
        </row>
        <row r="8885">
          <cell r="B8885" t="str">
            <v>FG06697</v>
          </cell>
          <cell r="C8885" t="str">
            <v>HEMOREX PLUS 30MG OINTMENT</v>
          </cell>
        </row>
        <row r="8886">
          <cell r="B8886" t="str">
            <v>FG06698</v>
          </cell>
          <cell r="C8886" t="str">
            <v>MEROMEX (MEROPENEM) 1G INJ</v>
          </cell>
        </row>
        <row r="8887">
          <cell r="B8887" t="str">
            <v>FG06699</v>
          </cell>
          <cell r="C8887" t="str">
            <v>OMEXA-3 150ML SIROP</v>
          </cell>
        </row>
        <row r="8888">
          <cell r="B8888" t="str">
            <v>FG06700</v>
          </cell>
          <cell r="C8888" t="str">
            <v>PARAVE-PLUS B/10 SACHET</v>
          </cell>
        </row>
        <row r="8889">
          <cell r="B8889" t="str">
            <v>FG06701</v>
          </cell>
          <cell r="C8889" t="str">
            <v>PREGNERVE 75MG 30 CES</v>
          </cell>
        </row>
        <row r="8890">
          <cell r="B8890" t="str">
            <v>FG06702</v>
          </cell>
          <cell r="C8890" t="str">
            <v>VOGLITUS 0.2 30CES</v>
          </cell>
        </row>
        <row r="8891">
          <cell r="B8891" t="str">
            <v>FG06703</v>
          </cell>
          <cell r="C8891" t="str">
            <v>VOGLITUS 0.3 30CES</v>
          </cell>
        </row>
        <row r="8892">
          <cell r="B8892" t="str">
            <v>FG06704</v>
          </cell>
          <cell r="C8892" t="str">
            <v>DAVITRON-Z SYRUP 150ML</v>
          </cell>
        </row>
        <row r="8893">
          <cell r="B8893" t="str">
            <v>FG06705</v>
          </cell>
          <cell r="C8893" t="str">
            <v>PERFEN SUSPENSIONE</v>
          </cell>
        </row>
        <row r="8894">
          <cell r="B8894" t="str">
            <v>FG06706</v>
          </cell>
          <cell r="C8894" t="str">
            <v>HJSAFE-S INJ</v>
          </cell>
        </row>
        <row r="8895">
          <cell r="B8895" t="str">
            <v>FG06707</v>
          </cell>
          <cell r="C8895" t="str">
            <v>HJSAFE-TZ INJ</v>
          </cell>
        </row>
        <row r="8896">
          <cell r="B8896" t="str">
            <v>FG06708</v>
          </cell>
          <cell r="C8896" t="str">
            <v>VENATE 30MG INJ</v>
          </cell>
        </row>
        <row r="8897">
          <cell r="B8897" t="str">
            <v>FG06709</v>
          </cell>
          <cell r="C8897" t="str">
            <v>VENATE 60MG INJ</v>
          </cell>
        </row>
        <row r="8898">
          <cell r="B8898" t="str">
            <v>FG06710</v>
          </cell>
          <cell r="C8898" t="str">
            <v>VENATE 120MG INJ</v>
          </cell>
        </row>
        <row r="8899">
          <cell r="B8899" t="str">
            <v>FG06711</v>
          </cell>
          <cell r="C8899" t="str">
            <v>VENATE 150MG INJ</v>
          </cell>
        </row>
        <row r="8900">
          <cell r="B8900" t="str">
            <v>FG06712</v>
          </cell>
          <cell r="C8900" t="str">
            <v>VENATE 180MG INJ</v>
          </cell>
        </row>
        <row r="8901">
          <cell r="B8901" t="str">
            <v>FG06713</v>
          </cell>
          <cell r="C8901" t="str">
            <v>VENATE 240MG INJ</v>
          </cell>
        </row>
        <row r="8902">
          <cell r="B8902" t="str">
            <v>FG06714</v>
          </cell>
          <cell r="C8902" t="str">
            <v>FIEMOL (PARACETAMOL) 1GM/100ML INJ</v>
          </cell>
        </row>
        <row r="8903">
          <cell r="B8903" t="str">
            <v>FG06715</v>
          </cell>
          <cell r="C8903" t="str">
            <v>C-XONE 2G INJ B/1AMP</v>
          </cell>
        </row>
        <row r="8904">
          <cell r="B8904" t="str">
            <v>FG06716</v>
          </cell>
          <cell r="C8904" t="str">
            <v>OMEKAR INSTANT SACHETS B/1PCS</v>
          </cell>
        </row>
        <row r="8905">
          <cell r="B8905" t="str">
            <v>FG06738</v>
          </cell>
          <cell r="C8905" t="str">
            <v>RUCEF 1.5MG INJ (CEFTRIAXONE &amp; SULBACTM)</v>
          </cell>
        </row>
        <row r="8906">
          <cell r="B8906" t="str">
            <v>FG06739</v>
          </cell>
          <cell r="C8906" t="str">
            <v>RUCEF 1GM INJ (CEFTRIAXONE)</v>
          </cell>
        </row>
        <row r="8907">
          <cell r="B8907" t="str">
            <v>FG06740</v>
          </cell>
          <cell r="C8907" t="str">
            <v>RUCEF 750MG INJ (CEFTRIAXONE &amp; SALBACTM)</v>
          </cell>
        </row>
        <row r="8908">
          <cell r="B8908" t="str">
            <v>FG06741</v>
          </cell>
          <cell r="C8908" t="str">
            <v>RUCEF-TZ 1125 INJ (CEFTRAOXPME &amp; TAZOBACTM)</v>
          </cell>
        </row>
        <row r="8909">
          <cell r="B8909" t="str">
            <v>FG06742</v>
          </cell>
          <cell r="C8909" t="str">
            <v>RUNATE 120MG INJ</v>
          </cell>
        </row>
        <row r="8910">
          <cell r="B8910" t="str">
            <v>FG06743</v>
          </cell>
          <cell r="C8910" t="str">
            <v>RUNATE 150MG INJ</v>
          </cell>
        </row>
        <row r="8911">
          <cell r="B8911" t="str">
            <v>FG06744</v>
          </cell>
          <cell r="C8911" t="str">
            <v>RUNATE 180MG INJ</v>
          </cell>
        </row>
        <row r="8912">
          <cell r="B8912" t="str">
            <v>FG06745</v>
          </cell>
          <cell r="C8912" t="str">
            <v>RUNATE 240MG INJ</v>
          </cell>
        </row>
        <row r="8913">
          <cell r="B8913" t="str">
            <v>FG06747</v>
          </cell>
          <cell r="C8913" t="str">
            <v>RUNATE 90MG INJ</v>
          </cell>
        </row>
        <row r="8914">
          <cell r="B8914" t="str">
            <v>FG08051</v>
          </cell>
          <cell r="C8914" t="str">
            <v>LANCETTES 30G B/200PCS</v>
          </cell>
        </row>
        <row r="8915">
          <cell r="B8915" t="str">
            <v>FG05055</v>
          </cell>
          <cell r="C8915" t="str">
            <v>TADENAN 50MG B/30CAPS (EO)</v>
          </cell>
        </row>
        <row r="8916">
          <cell r="B8916" t="str">
            <v>FG05058</v>
          </cell>
          <cell r="C8916" t="str">
            <v>CLOTRI-DENK 1% CREAME 20GR</v>
          </cell>
        </row>
        <row r="8917">
          <cell r="B8917" t="str">
            <v>FG05200</v>
          </cell>
          <cell r="C8917" t="str">
            <v>PIPETTES EN PLASTIQUEB/250</v>
          </cell>
        </row>
        <row r="8918">
          <cell r="B8918" t="str">
            <v>FG05201</v>
          </cell>
          <cell r="C8918" t="str">
            <v>TEST RAPIDE HCV</v>
          </cell>
        </row>
        <row r="8919">
          <cell r="B8919" t="str">
            <v>FG05202</v>
          </cell>
          <cell r="C8919" t="str">
            <v>NYSTATINE SUSP ORAL 24ML (EO)</v>
          </cell>
        </row>
        <row r="8920">
          <cell r="B8920" t="str">
            <v>FG05203</v>
          </cell>
          <cell r="C8920" t="str">
            <v>CIPRONAT 200MG I/V 100ML</v>
          </cell>
        </row>
        <row r="8921">
          <cell r="B8921" t="str">
            <v>FG05204</v>
          </cell>
          <cell r="C8921" t="str">
            <v>XYLOCAINE SPRAY 10% 50ML (FR)......</v>
          </cell>
        </row>
        <row r="8922">
          <cell r="B8922" t="str">
            <v>FG05205</v>
          </cell>
          <cell r="C8922" t="str">
            <v>MICARDIS 40MG 28CES (FR)</v>
          </cell>
        </row>
        <row r="8923">
          <cell r="B8923" t="str">
            <v>FG05206</v>
          </cell>
          <cell r="C8923" t="str">
            <v>SERETIDE DISKUS 500MG/50MCG 60DOSES</v>
          </cell>
        </row>
        <row r="8924">
          <cell r="B8924" t="str">
            <v>FG05207</v>
          </cell>
          <cell r="C8924" t="str">
            <v>TABLE DE MAYO</v>
          </cell>
        </row>
        <row r="8925">
          <cell r="B8925" t="str">
            <v>FG05208</v>
          </cell>
          <cell r="C8925" t="str">
            <v>AMOXICLAV DENK 500MG B/16CES</v>
          </cell>
        </row>
        <row r="8926">
          <cell r="B8926" t="str">
            <v>FG05209</v>
          </cell>
          <cell r="C8926" t="str">
            <v>MICARDIS 80MG 28CES(FR)</v>
          </cell>
        </row>
        <row r="8927">
          <cell r="B8927" t="str">
            <v>FG05210</v>
          </cell>
          <cell r="C8927" t="str">
            <v>REDOXVITA CPR DOUBLE ACTION B/30CES</v>
          </cell>
        </row>
        <row r="8928">
          <cell r="B8928" t="str">
            <v>FG05211</v>
          </cell>
          <cell r="C8928" t="str">
            <v>ACLAV 500MG/62.5MG B/12SACHETS (FR)</v>
          </cell>
        </row>
        <row r="8929">
          <cell r="B8929" t="str">
            <v>FG05212</v>
          </cell>
          <cell r="C8929" t="str">
            <v>AMAREL 1MG 30CES (FR)</v>
          </cell>
        </row>
        <row r="8930">
          <cell r="B8930" t="str">
            <v>FG05213</v>
          </cell>
          <cell r="C8930" t="str">
            <v>BILAXTEN (BILASTINE) SIROP 120ML</v>
          </cell>
        </row>
        <row r="8931">
          <cell r="B8931" t="str">
            <v>FG05214</v>
          </cell>
          <cell r="C8931" t="str">
            <v>CARBOBEL SIMPLEX B/70GMCES</v>
          </cell>
        </row>
        <row r="8932">
          <cell r="B8932" t="str">
            <v>FG05215</v>
          </cell>
          <cell r="C8932" t="str">
            <v>DOLO DENK GEL T/50G (FR)</v>
          </cell>
        </row>
        <row r="8933">
          <cell r="B8933" t="str">
            <v>FG05216</v>
          </cell>
          <cell r="C8933" t="str">
            <v>DOLO DENK GEL T/20G (FR)</v>
          </cell>
        </row>
        <row r="8934">
          <cell r="B8934" t="str">
            <v>FG05217</v>
          </cell>
          <cell r="C8934" t="str">
            <v>FLUCONA-DENK 150MG B/1CAPS(FR)</v>
          </cell>
        </row>
        <row r="8935">
          <cell r="B8935" t="str">
            <v>FG05218</v>
          </cell>
          <cell r="C8935" t="str">
            <v>METFORMIN DENK 1000GR B/2 X 15 CES</v>
          </cell>
        </row>
        <row r="8936">
          <cell r="B8936" t="str">
            <v>FG05219</v>
          </cell>
          <cell r="C8936" t="str">
            <v>LEVOCIZINE (LEVOCITRIZINE) B/10 CES</v>
          </cell>
        </row>
        <row r="8937">
          <cell r="B8937" t="str">
            <v>FG05220</v>
          </cell>
          <cell r="C8937" t="str">
            <v>LEVOCIZINE (LEVOCITRIZINE) SIROP</v>
          </cell>
        </row>
        <row r="8938">
          <cell r="B8938" t="str">
            <v>FG05221</v>
          </cell>
          <cell r="C8938" t="str">
            <v>DEROXAT CES 20MG (FR) $$</v>
          </cell>
        </row>
        <row r="8939">
          <cell r="B8939" t="str">
            <v>FG05222</v>
          </cell>
          <cell r="C8939" t="str">
            <v>ERYTHROGEL B GEL DERM 4% 30G</v>
          </cell>
        </row>
        <row r="8940">
          <cell r="B8940" t="str">
            <v>FG05223</v>
          </cell>
          <cell r="C8940" t="str">
            <v>FURADANTINE 100MG 50CES (FR)</v>
          </cell>
        </row>
        <row r="8941">
          <cell r="B8941" t="str">
            <v>FG05224</v>
          </cell>
          <cell r="C8941" t="str">
            <v>COVERSYL 5MG 30CES (EO)</v>
          </cell>
        </row>
        <row r="8942">
          <cell r="B8942" t="str">
            <v>FG05225</v>
          </cell>
          <cell r="C8942" t="str">
            <v>COVERSYL PLUS 5/12.5MG B/30CES</v>
          </cell>
        </row>
        <row r="8943">
          <cell r="B8943" t="str">
            <v>FG05226</v>
          </cell>
          <cell r="C8943" t="str">
            <v>DAFALGAN CODEINE EFF. CES B/40 (EO)</v>
          </cell>
        </row>
        <row r="8944">
          <cell r="B8944" t="str">
            <v>FG05227</v>
          </cell>
          <cell r="C8944" t="str">
            <v>DIPROSALIC LOTION 30GR (FR)</v>
          </cell>
        </row>
        <row r="8945">
          <cell r="B8945" t="str">
            <v>FG05228</v>
          </cell>
          <cell r="C8945" t="str">
            <v>ENDOXAN 50MG CES B/50 (FR)</v>
          </cell>
        </row>
        <row r="8946">
          <cell r="B8946" t="str">
            <v>FG05229</v>
          </cell>
          <cell r="C8946" t="str">
            <v>GLYFERON 1000MG B/30 CES (FR)</v>
          </cell>
        </row>
        <row r="8947">
          <cell r="B8947" t="str">
            <v>FG05230</v>
          </cell>
          <cell r="C8947" t="str">
            <v>GLYFERON 850MG B/30CES (FR)</v>
          </cell>
        </row>
        <row r="8948">
          <cell r="B8948" t="str">
            <v>FG05231</v>
          </cell>
          <cell r="C8948" t="str">
            <v>GYNO-DAKTARIN CREAM 40GR</v>
          </cell>
        </row>
        <row r="8949">
          <cell r="B8949" t="str">
            <v>FG05232</v>
          </cell>
          <cell r="C8949" t="str">
            <v>KREDEX 6.25MG 56CES(FR)</v>
          </cell>
        </row>
        <row r="8950">
          <cell r="B8950" t="str">
            <v>FG05233</v>
          </cell>
          <cell r="C8950" t="str">
            <v>L-THYROXINE 0.50MG 112CES(FR)</v>
          </cell>
        </row>
        <row r="8951">
          <cell r="B8951" t="str">
            <v>FG05234</v>
          </cell>
          <cell r="C8951" t="str">
            <v>L-THYROXINE 0.100MG 112CES (FR)</v>
          </cell>
        </row>
        <row r="8952">
          <cell r="B8952" t="str">
            <v>FG05235</v>
          </cell>
          <cell r="C8952" t="str">
            <v>LYSOMUCIL 200MG B/30 SACHET</v>
          </cell>
        </row>
        <row r="8953">
          <cell r="B8953" t="str">
            <v>FG05236</v>
          </cell>
          <cell r="C8953" t="str">
            <v>NESIVINE 0.05% GTTES 15ML ENF (FR)</v>
          </cell>
        </row>
        <row r="8954">
          <cell r="B8954" t="str">
            <v>FG05237</v>
          </cell>
          <cell r="C8954" t="str">
            <v>NESIVINE 0.01% GTTES 5ML BABY (FR)</v>
          </cell>
        </row>
        <row r="8955">
          <cell r="B8955" t="str">
            <v>FG05238</v>
          </cell>
          <cell r="C8955" t="str">
            <v>NOOTROPIL 800MG PL/45CES (FR)</v>
          </cell>
        </row>
        <row r="8956">
          <cell r="B8956" t="str">
            <v>FG05239</v>
          </cell>
          <cell r="C8956" t="str">
            <v>PEVAGINE CREM 1% 30GR (FR)</v>
          </cell>
        </row>
        <row r="8957">
          <cell r="B8957" t="str">
            <v>FG05240</v>
          </cell>
          <cell r="C8957" t="str">
            <v>PRIMPERAN 6AMP(FR)</v>
          </cell>
        </row>
        <row r="8958">
          <cell r="B8958" t="str">
            <v>FG05241</v>
          </cell>
          <cell r="C8958" t="str">
            <v>PROFEMIGR 150 MG B/10 CES (FR)</v>
          </cell>
        </row>
        <row r="8959">
          <cell r="B8959" t="str">
            <v>FG05242</v>
          </cell>
          <cell r="C8959" t="str">
            <v>PROSTIGMINE 1ML ING B/6AMP (FR)</v>
          </cell>
        </row>
        <row r="8960">
          <cell r="B8960" t="str">
            <v>FG05243</v>
          </cell>
          <cell r="C8960" t="str">
            <v>STREPSILS SAN SUCRE FRAISE 36PASTILLES</v>
          </cell>
        </row>
        <row r="8961">
          <cell r="B8961" t="str">
            <v>FG05244</v>
          </cell>
          <cell r="C8961" t="str">
            <v>STREPSILS +LIDOCAINE B/36 PASTILLES</v>
          </cell>
        </row>
        <row r="8962">
          <cell r="B8962" t="str">
            <v>FG05245</v>
          </cell>
          <cell r="C8962" t="str">
            <v>STRUMAZOL 10MG B/100CES (FR)</v>
          </cell>
        </row>
        <row r="8963">
          <cell r="B8963" t="str">
            <v>FG05246</v>
          </cell>
          <cell r="C8963" t="str">
            <v>STUGERON 25MG 50CES(FR)</v>
          </cell>
        </row>
        <row r="8964">
          <cell r="B8964" t="str">
            <v>FG05247</v>
          </cell>
          <cell r="C8964" t="str">
            <v>DOXY DENK 200 B/8 CES</v>
          </cell>
        </row>
        <row r="8965">
          <cell r="B8965" t="str">
            <v>FG05264</v>
          </cell>
          <cell r="C8965" t="str">
            <v>TITANOREINE CREAM TB 20GR (FR)</v>
          </cell>
        </row>
        <row r="8966">
          <cell r="B8966" t="str">
            <v>FG05266</v>
          </cell>
          <cell r="C8966" t="str">
            <v>PRIMOLUT NOR FORT 30CES 10MG (FR)</v>
          </cell>
        </row>
        <row r="8967">
          <cell r="B8967" t="str">
            <v>FG05267</v>
          </cell>
          <cell r="C8967" t="str">
            <v>MONURIL 3GR 1 SACET (FR)</v>
          </cell>
        </row>
        <row r="8968">
          <cell r="B8968" t="str">
            <v>FG05268</v>
          </cell>
          <cell r="C8968" t="str">
            <v>TRAVATAN COLLYRE 2.5ML (FR)</v>
          </cell>
        </row>
        <row r="8969">
          <cell r="B8969" t="str">
            <v>FG05269</v>
          </cell>
          <cell r="C8969" t="str">
            <v>PROGESTOGEL GEL 80GR (FR)</v>
          </cell>
        </row>
        <row r="8970">
          <cell r="B8970" t="str">
            <v>FG05270</v>
          </cell>
          <cell r="C8970" t="str">
            <v>PRIMATIME TEST OVULATION 5 CARTES</v>
          </cell>
        </row>
        <row r="8971">
          <cell r="B8971" t="str">
            <v>FG05271</v>
          </cell>
          <cell r="C8971" t="str">
            <v>AUGMENTINE 100MG SP ENF 60ML (EO)</v>
          </cell>
        </row>
        <row r="8972">
          <cell r="B8972" t="str">
            <v>FG05273</v>
          </cell>
          <cell r="C8972" t="str">
            <v>CALCIUM SANDOZ 500MG 20CES EFF (FR)</v>
          </cell>
        </row>
        <row r="8973">
          <cell r="B8973" t="str">
            <v>FG05274</v>
          </cell>
          <cell r="C8973" t="str">
            <v>TRANXENE 10MG 30 GELULES (FR)</v>
          </cell>
        </row>
        <row r="8974">
          <cell r="B8974" t="str">
            <v>FG05275</v>
          </cell>
          <cell r="C8974" t="str">
            <v>URBANYL 10MG 30CES (EO)</v>
          </cell>
        </row>
        <row r="8975">
          <cell r="B8975" t="str">
            <v>FG05276</v>
          </cell>
          <cell r="C8975" t="str">
            <v>MARIMER BB HYGIENE NASAL 100ML</v>
          </cell>
        </row>
        <row r="8976">
          <cell r="B8976" t="str">
            <v>FG05277</v>
          </cell>
          <cell r="C8976" t="str">
            <v>MARIMER BBNEZ/BOUCHE 100ML</v>
          </cell>
        </row>
        <row r="8977">
          <cell r="B8977" t="str">
            <v>FG05278</v>
          </cell>
          <cell r="C8977" t="str">
            <v>MARIMER NEZ/BOUCHE 100ML</v>
          </cell>
        </row>
        <row r="8978">
          <cell r="B8978" t="str">
            <v>FG05279</v>
          </cell>
          <cell r="C8978" t="str">
            <v>PERDOLAN 350MG 12SUPPO ENF(FR)</v>
          </cell>
        </row>
        <row r="8979">
          <cell r="B8979" t="str">
            <v>FG05280</v>
          </cell>
          <cell r="C8979" t="str">
            <v>MAGNE B6 B/50CES (FR)</v>
          </cell>
        </row>
        <row r="8980">
          <cell r="B8980" t="str">
            <v>FG05281</v>
          </cell>
          <cell r="C8980" t="str">
            <v>C-CLAIRE CREAM 15GM</v>
          </cell>
        </row>
        <row r="8981">
          <cell r="B8981" t="str">
            <v>FG05282</v>
          </cell>
          <cell r="C8981" t="str">
            <v>C-CLAIRE CREAM 30GM</v>
          </cell>
        </row>
        <row r="8982">
          <cell r="B8982" t="str">
            <v>FG05283</v>
          </cell>
          <cell r="C8982" t="str">
            <v>C-CLAIRE POUDRE 50GM</v>
          </cell>
        </row>
        <row r="8983">
          <cell r="B8983" t="str">
            <v>FG05284</v>
          </cell>
          <cell r="C8983" t="str">
            <v>INCEFT (CEFOTAXIME 1G) ING</v>
          </cell>
        </row>
        <row r="8984">
          <cell r="B8984" t="str">
            <v>FG05290</v>
          </cell>
          <cell r="C8984" t="str">
            <v>COQUELUSEDAL NOURRISON 10 SUPPOSITOIRES</v>
          </cell>
        </row>
        <row r="8985">
          <cell r="B8985" t="str">
            <v>FG05291</v>
          </cell>
          <cell r="C8985" t="str">
            <v>PRO-CODION 100ML SANS SUCRE</v>
          </cell>
        </row>
        <row r="8986">
          <cell r="B8986" t="str">
            <v>FG05292</v>
          </cell>
          <cell r="C8986" t="str">
            <v>ONCO-TAIN (PACLITAXEL HOSPIRA 6ML/ML) B/1 FLACON</v>
          </cell>
        </row>
        <row r="8987">
          <cell r="B8987" t="str">
            <v>FG05293</v>
          </cell>
          <cell r="C8987" t="str">
            <v>PACLITAXEL KABI 6MG/ML INJ</v>
          </cell>
        </row>
        <row r="8988">
          <cell r="B8988" t="str">
            <v>FG05294</v>
          </cell>
          <cell r="C8988" t="str">
            <v>APPAREIL CODEFREE</v>
          </cell>
        </row>
        <row r="8989">
          <cell r="B8989" t="str">
            <v>FG05295</v>
          </cell>
          <cell r="C8989" t="str">
            <v>DEEP HEAT SPRAY 150ML</v>
          </cell>
        </row>
        <row r="8990">
          <cell r="B8990" t="str">
            <v>FG05333</v>
          </cell>
          <cell r="C8990" t="str">
            <v>BANDELETTE CODEFREEE B/50</v>
          </cell>
        </row>
        <row r="8991">
          <cell r="B8991" t="str">
            <v>FG05334</v>
          </cell>
          <cell r="C8991" t="str">
            <v>ALESE PROTECTION</v>
          </cell>
        </row>
        <row r="8992">
          <cell r="B8992" t="str">
            <v>FG05335</v>
          </cell>
          <cell r="C8992" t="str">
            <v>SACHAT JUNE 50LTR</v>
          </cell>
        </row>
        <row r="8993">
          <cell r="B8993" t="str">
            <v>FG05336</v>
          </cell>
          <cell r="C8993" t="str">
            <v>PINCE PORTE AIGUILLE DE MAYO 18CM</v>
          </cell>
        </row>
        <row r="8994">
          <cell r="B8994" t="str">
            <v>FG05337</v>
          </cell>
          <cell r="C8994" t="str">
            <v>ECATEUR VAGINAL 45X85MM</v>
          </cell>
        </row>
        <row r="8995">
          <cell r="B8995" t="str">
            <v>FG05338</v>
          </cell>
          <cell r="C8995" t="str">
            <v>SACHAT PLASTIC 10X40CM PKT/100</v>
          </cell>
        </row>
        <row r="8996">
          <cell r="B8996" t="str">
            <v>FG05339</v>
          </cell>
          <cell r="C8996" t="str">
            <v>PILE 1.5V 1PC</v>
          </cell>
        </row>
        <row r="8997">
          <cell r="B8997" t="str">
            <v>FG05340</v>
          </cell>
          <cell r="C8997" t="str">
            <v>LAME DE RASOIR 1PC</v>
          </cell>
        </row>
        <row r="8998">
          <cell r="B8998" t="str">
            <v>FG05341</v>
          </cell>
          <cell r="C8998" t="str">
            <v>BOITE A SPECULUM VAGINALE</v>
          </cell>
        </row>
        <row r="8999">
          <cell r="B8999" t="str">
            <v>FG05342</v>
          </cell>
          <cell r="C8999" t="str">
            <v>FLAGYL 0.5GR INJ 100ML /POCH</v>
          </cell>
        </row>
        <row r="9000">
          <cell r="B9000" t="str">
            <v>FG05345</v>
          </cell>
          <cell r="C9000" t="str">
            <v>GEL POUR LUBRIFIANT VAGINAL</v>
          </cell>
        </row>
        <row r="9001">
          <cell r="B9001" t="str">
            <v>FG05346</v>
          </cell>
          <cell r="C9001" t="str">
            <v>NIFLUGEL POMMADE 60GR (FR)</v>
          </cell>
        </row>
        <row r="9002">
          <cell r="B9002" t="str">
            <v>FG05347</v>
          </cell>
          <cell r="C9002" t="str">
            <v>BETOPTIC 0.5% COLLYRE 3ML (FR)</v>
          </cell>
        </row>
        <row r="9003">
          <cell r="B9003" t="str">
            <v>FG05348</v>
          </cell>
          <cell r="C9003" t="str">
            <v>FERCEFOL (FER+VIT.C) SP 150ML (FR)</v>
          </cell>
        </row>
        <row r="9004">
          <cell r="B9004" t="str">
            <v>FG05349</v>
          </cell>
          <cell r="C9004" t="str">
            <v>GINKOR FORT 30GELULES</v>
          </cell>
        </row>
        <row r="9005">
          <cell r="B9005" t="str">
            <v>FG05350</v>
          </cell>
          <cell r="C9005" t="str">
            <v>GYNO PEVARYL 3 OVULES 150MG (FR)</v>
          </cell>
        </row>
        <row r="9006">
          <cell r="B9006" t="str">
            <v>FG05351</v>
          </cell>
          <cell r="C9006" t="str">
            <v>HUILE DAMANDE DOUCE PURE 60ML (EO)</v>
          </cell>
        </row>
        <row r="9007">
          <cell r="B9007" t="str">
            <v>FG05362</v>
          </cell>
          <cell r="C9007" t="str">
            <v>BERLTHYROX 100UG B/50CES (FR)</v>
          </cell>
        </row>
        <row r="9008">
          <cell r="B9008" t="str">
            <v>FG05363</v>
          </cell>
          <cell r="C9008" t="str">
            <v>EMCONCOR 10MG 28CES (FR)</v>
          </cell>
        </row>
        <row r="9009">
          <cell r="B9009" t="str">
            <v>FG05364</v>
          </cell>
          <cell r="C9009" t="str">
            <v>ZITROMAX 1500MG/37.5ML 15ML</v>
          </cell>
        </row>
        <row r="9010">
          <cell r="B9010" t="str">
            <v>FG05365</v>
          </cell>
          <cell r="C9010" t="str">
            <v>GALVUS MET 50MG/1000MG B/60 CES (FR)</v>
          </cell>
        </row>
        <row r="9011">
          <cell r="B9011" t="str">
            <v>FG05366</v>
          </cell>
          <cell r="C9011" t="str">
            <v>KEPPRA 1000MG B/50MG (FR)</v>
          </cell>
        </row>
        <row r="9012">
          <cell r="B9012" t="str">
            <v>FG05367</v>
          </cell>
          <cell r="C9012" t="str">
            <v>KEPPRA (LEVETIRASTAM) 100MG/ML</v>
          </cell>
        </row>
        <row r="9013">
          <cell r="B9013" t="str">
            <v>FG05368</v>
          </cell>
          <cell r="C9013" t="str">
            <v>DEBRIDAT SUSP BUV ENF &amp; NOURR 125ML</v>
          </cell>
        </row>
        <row r="9014">
          <cell r="B9014" t="str">
            <v>FG05369</v>
          </cell>
          <cell r="C9014" t="str">
            <v>EXACYL 10ML BUV. BT/5AMP (FR)</v>
          </cell>
        </row>
        <row r="9015">
          <cell r="B9015" t="str">
            <v>FG05370</v>
          </cell>
          <cell r="C9015" t="str">
            <v>ANGI SPRY 90ML (FR)</v>
          </cell>
        </row>
        <row r="9016">
          <cell r="B9016" t="str">
            <v>FG05371</v>
          </cell>
          <cell r="C9016" t="str">
            <v>PRIMPERAN SOL BUV FL/200ML (FR)</v>
          </cell>
        </row>
        <row r="9017">
          <cell r="B9017" t="str">
            <v>FG05378</v>
          </cell>
          <cell r="C9017" t="str">
            <v>XARELTO 20MG B/14 CES (FR)</v>
          </cell>
        </row>
        <row r="9018">
          <cell r="B9018" t="str">
            <v>FG05379</v>
          </cell>
          <cell r="C9018" t="str">
            <v>CONTROLES HEMATOLOGIE 3ML*3 (L, N, H) DM-3D</v>
          </cell>
        </row>
        <row r="9019">
          <cell r="B9019" t="str">
            <v>FG05380</v>
          </cell>
          <cell r="C9019" t="str">
            <v>RICHTER 20SACHETS-TISANE AMAIGRISS</v>
          </cell>
        </row>
        <row r="9020">
          <cell r="B9020" t="str">
            <v>FG05414</v>
          </cell>
          <cell r="C9020" t="str">
            <v>AERIUS 5MG 20TAB</v>
          </cell>
        </row>
        <row r="9021">
          <cell r="B9021" t="str">
            <v>FG05415</v>
          </cell>
          <cell r="C9021" t="str">
            <v>AERIUS 5MG 30CES (FR)</v>
          </cell>
        </row>
        <row r="9022">
          <cell r="B9022" t="str">
            <v>FG05418</v>
          </cell>
          <cell r="C9022" t="str">
            <v>ALDACTAZINE 25MG 20CES(FR)</v>
          </cell>
        </row>
        <row r="9023">
          <cell r="B9023" t="str">
            <v>FG05419</v>
          </cell>
          <cell r="C9023" t="str">
            <v>ALDACTONE 50MG B/20CES*******</v>
          </cell>
        </row>
        <row r="9024">
          <cell r="B9024" t="str">
            <v>FG05420</v>
          </cell>
          <cell r="C9024" t="str">
            <v>ALDACTONE 75MG BT/20CES (FR)</v>
          </cell>
        </row>
        <row r="9025">
          <cell r="B9025" t="str">
            <v>FG05421</v>
          </cell>
          <cell r="C9025" t="str">
            <v>ALFAMOX 250MG/5ML SP FL/100ML</v>
          </cell>
        </row>
        <row r="9026">
          <cell r="B9026" t="str">
            <v>FG05423</v>
          </cell>
          <cell r="C9026" t="str">
            <v>AMLIBON 10MG 30CES(FR)</v>
          </cell>
        </row>
        <row r="9027">
          <cell r="B9027" t="str">
            <v>FG05424</v>
          </cell>
          <cell r="C9027" t="str">
            <v>AMLODIPININE BIOGARAN 10MG B/30 GELS</v>
          </cell>
        </row>
        <row r="9028">
          <cell r="B9028" t="str">
            <v>FG05425</v>
          </cell>
          <cell r="C9028" t="str">
            <v>AMLODIPININE BIOGARAN 5MG B/30 GELS</v>
          </cell>
        </row>
        <row r="9029">
          <cell r="B9029" t="str">
            <v>FG05426</v>
          </cell>
          <cell r="C9029" t="str">
            <v>ANAFRANIL 10MG B/60 CES (FR)</v>
          </cell>
        </row>
        <row r="9030">
          <cell r="B9030" t="str">
            <v>FG05427</v>
          </cell>
          <cell r="C9030" t="str">
            <v>ANAFRANIL 25MG BT/30CES (EO)</v>
          </cell>
        </row>
        <row r="9031">
          <cell r="B9031" t="str">
            <v>FG05428</v>
          </cell>
          <cell r="C9031" t="str">
            <v>ANAFRANIL 25MG INJ B/5 AMP (FR)</v>
          </cell>
        </row>
        <row r="9032">
          <cell r="B9032" t="str">
            <v>FG05429</v>
          </cell>
          <cell r="C9032" t="str">
            <v>ANALYSEUR D'HÉMATOLOGIE À DIFFÉ EN 3 PARTIES</v>
          </cell>
        </row>
        <row r="9033">
          <cell r="B9033" t="str">
            <v>FG05430</v>
          </cell>
          <cell r="C9033" t="str">
            <v>APRANAX 275MG CES B/30 (FR)</v>
          </cell>
        </row>
        <row r="9034">
          <cell r="B9034" t="str">
            <v>FG05431</v>
          </cell>
          <cell r="C9034" t="str">
            <v>ARTANE 2MG B/50CES (FR)</v>
          </cell>
        </row>
        <row r="9035">
          <cell r="B9035" t="str">
            <v>FG05432</v>
          </cell>
          <cell r="C9035" t="str">
            <v>ASAFLOW 160 MG 56CES (FR)</v>
          </cell>
        </row>
        <row r="9036">
          <cell r="B9036" t="str">
            <v>FG05433</v>
          </cell>
          <cell r="C9036" t="str">
            <v>ASPEGIC 0.5MG 6AMP(FR)</v>
          </cell>
        </row>
        <row r="9037">
          <cell r="B9037" t="str">
            <v>FG05434</v>
          </cell>
          <cell r="C9037" t="str">
            <v>ASPEGIC 1GR. INJECTION B/6AMP (FR)</v>
          </cell>
        </row>
        <row r="9038">
          <cell r="B9038" t="str">
            <v>FG05435</v>
          </cell>
          <cell r="C9038" t="str">
            <v>ATACAND 16MG B/28CES (FR)</v>
          </cell>
        </row>
        <row r="9039">
          <cell r="B9039" t="str">
            <v>FG05436</v>
          </cell>
          <cell r="C9039" t="str">
            <v>ATACAND 8MG 30CES(FR)</v>
          </cell>
        </row>
        <row r="9040">
          <cell r="B9040" t="str">
            <v>FG05437</v>
          </cell>
          <cell r="C9040" t="str">
            <v>ATENOLOL DENK 50 10CES</v>
          </cell>
        </row>
        <row r="9041">
          <cell r="B9041" t="str">
            <v>FG05438</v>
          </cell>
          <cell r="C9041" t="str">
            <v>AUGMATIN 1GR B/14 TABLET</v>
          </cell>
        </row>
        <row r="9042">
          <cell r="B9042" t="str">
            <v>FG05439</v>
          </cell>
          <cell r="C9042" t="str">
            <v>AVAZIR COLLYRE 10ML (FR)</v>
          </cell>
        </row>
        <row r="9043">
          <cell r="B9043" t="str">
            <v>FG05440</v>
          </cell>
          <cell r="C9043" t="str">
            <v>AZIX 500MG B/3CES (EO)</v>
          </cell>
        </row>
        <row r="9044">
          <cell r="B9044" t="str">
            <v>FG05441</v>
          </cell>
          <cell r="C9044" t="str">
            <v>BABYSOIN 20 UNIDOSES /5ML (FR)</v>
          </cell>
        </row>
        <row r="9045">
          <cell r="B9045" t="str">
            <v>FG05442</v>
          </cell>
          <cell r="C9045" t="str">
            <v>BACTROBAN PDE 15GR (FR)</v>
          </cell>
        </row>
        <row r="9046">
          <cell r="B9046" t="str">
            <v>FG05443</v>
          </cell>
          <cell r="C9046" t="str">
            <v>BALANCE PÈSE ADULTE ADE VARIANTE</v>
          </cell>
        </row>
        <row r="9047">
          <cell r="B9047" t="str">
            <v>FG05444</v>
          </cell>
          <cell r="C9047" t="str">
            <v>BALANCE PÈSE BÉBÉ</v>
          </cell>
        </row>
        <row r="9048">
          <cell r="B9048" t="str">
            <v>FG05445</v>
          </cell>
          <cell r="C9048" t="str">
            <v>BECLO-ASMA AERO 250MCG 200DOSES</v>
          </cell>
        </row>
        <row r="9049">
          <cell r="B9049" t="str">
            <v>FG05446</v>
          </cell>
          <cell r="C9049" t="str">
            <v>BECOZYME 30MG CES EFF</v>
          </cell>
        </row>
        <row r="9050">
          <cell r="B9050" t="str">
            <v>FG05447</v>
          </cell>
          <cell r="C9050" t="str">
            <v>BEPANTHOL CREAME 50ML (FR)</v>
          </cell>
        </row>
        <row r="9051">
          <cell r="B9051" t="str">
            <v>FG05448</v>
          </cell>
          <cell r="C9051" t="str">
            <v>BERLTHYROX 150UG B/50CES (FR)</v>
          </cell>
        </row>
        <row r="9052">
          <cell r="B9052" t="str">
            <v>FG05449</v>
          </cell>
          <cell r="C9052" t="str">
            <v>BERLTHYROX 50UG B/50CES (FR)</v>
          </cell>
        </row>
        <row r="9053">
          <cell r="B9053" t="str">
            <v>FG05450</v>
          </cell>
          <cell r="C9053" t="str">
            <v>BEROCCA(MAGNE,CALCIUM,ZINC,VITA,B,C)B/30EFF(EO)</v>
          </cell>
        </row>
        <row r="9054">
          <cell r="B9054" t="str">
            <v>FG05451</v>
          </cell>
          <cell r="C9054" t="str">
            <v>BETOPTIC 0.25% COLLYRE (FR)</v>
          </cell>
        </row>
        <row r="9055">
          <cell r="B9055" t="str">
            <v>FG05452</v>
          </cell>
          <cell r="C9055" t="str">
            <v>BIODROXYL 250MG/5ML SUSP. 60ML (FR)</v>
          </cell>
        </row>
        <row r="9056">
          <cell r="B9056" t="str">
            <v>FG05453</v>
          </cell>
          <cell r="C9056" t="str">
            <v>BIOFERON B/30 CAPS (FR)</v>
          </cell>
        </row>
        <row r="9057">
          <cell r="B9057" t="str">
            <v>FG05454</v>
          </cell>
          <cell r="C9057" t="str">
            <v>BIOFERON SIROP 200ML(FR)</v>
          </cell>
        </row>
        <row r="9058">
          <cell r="B9058" t="str">
            <v>FG05455</v>
          </cell>
          <cell r="C9058" t="str">
            <v>BISOPROLOL EG 10MG B/100CES (FR)</v>
          </cell>
        </row>
        <row r="9059">
          <cell r="B9059" t="str">
            <v>FG05456</v>
          </cell>
          <cell r="C9059" t="str">
            <v>BISOPROLOL EG 5MG B/100CES (FR)</v>
          </cell>
        </row>
        <row r="9060">
          <cell r="B9060" t="str">
            <v>FG05457</v>
          </cell>
          <cell r="C9060" t="str">
            <v>BOITE CHIRURGICALE ABDOMINALE</v>
          </cell>
        </row>
        <row r="9061">
          <cell r="B9061" t="str">
            <v>FG05458</v>
          </cell>
          <cell r="C9061" t="str">
            <v>BRUFEN FORTE 600MG 30CES (FR)</v>
          </cell>
        </row>
        <row r="9062">
          <cell r="B9062" t="str">
            <v>FG05459</v>
          </cell>
          <cell r="C9062" t="str">
            <v>BUTO-ASMA AEROSOL 0.2 FL/10ML</v>
          </cell>
        </row>
        <row r="9063">
          <cell r="B9063" t="str">
            <v>FG05460</v>
          </cell>
          <cell r="C9063" t="str">
            <v>CAFERGOT 20CES (EO)</v>
          </cell>
        </row>
        <row r="9064">
          <cell r="B9064" t="str">
            <v>FG05461</v>
          </cell>
          <cell r="C9064" t="str">
            <v>CAPTOPRIL DENK 25MG B/20CES</v>
          </cell>
        </row>
        <row r="9065">
          <cell r="B9065" t="str">
            <v>FG05462</v>
          </cell>
          <cell r="C9065" t="str">
            <v>CARDIO ASPIRINE 100MG B/30CES (FR)</v>
          </cell>
        </row>
        <row r="9066">
          <cell r="B9066" t="str">
            <v>FG05463</v>
          </cell>
          <cell r="C9066" t="str">
            <v>CARDULAR 2MG B/20CES (EO)</v>
          </cell>
        </row>
        <row r="9067">
          <cell r="B9067" t="str">
            <v>FG05464</v>
          </cell>
          <cell r="C9067" t="str">
            <v>CARVEDILOL 56CES 6.25MG (EO)***</v>
          </cell>
        </row>
        <row r="9068">
          <cell r="B9068" t="str">
            <v>FG05465</v>
          </cell>
          <cell r="C9068" t="str">
            <v>CASODEX 150MG 28 TAB</v>
          </cell>
        </row>
        <row r="9069">
          <cell r="B9069" t="str">
            <v>FG05466</v>
          </cell>
          <cell r="C9069" t="str">
            <v>C-CLAIRE CERAM 15GM</v>
          </cell>
        </row>
        <row r="9070">
          <cell r="B9070" t="str">
            <v>FG05467</v>
          </cell>
          <cell r="C9070" t="str">
            <v>C-CLAIRE CERAM 30GM</v>
          </cell>
        </row>
        <row r="9071">
          <cell r="B9071" t="str">
            <v>FG05468</v>
          </cell>
          <cell r="C9071" t="str">
            <v>CEDOCARD-@@ 20MG @@ B/100CES (FR)</v>
          </cell>
        </row>
        <row r="9072">
          <cell r="B9072" t="str">
            <v>FG05469</v>
          </cell>
          <cell r="C9072" t="str">
            <v>CEFTRIAXONE BIOGARAN IM 1G 3.5ML 1AMP</v>
          </cell>
        </row>
        <row r="9073">
          <cell r="B9073" t="str">
            <v>FG05470</v>
          </cell>
          <cell r="C9073" t="str">
            <v>CEFTRIAXONE BIOGARAN IV 1G 10ML 1AMP</v>
          </cell>
        </row>
        <row r="9074">
          <cell r="B9074" t="str">
            <v>FG05471</v>
          </cell>
          <cell r="C9074" t="str">
            <v>CENTRIFUGEUSE MANUELLE 4 TUBES</v>
          </cell>
        </row>
        <row r="9075">
          <cell r="B9075" t="str">
            <v>FG05472</v>
          </cell>
          <cell r="C9075" t="str">
            <v>CHLORAMPHENICOL 60ML SIROP</v>
          </cell>
        </row>
        <row r="9076">
          <cell r="B9076" t="str">
            <v>FG05473</v>
          </cell>
          <cell r="C9076" t="str">
            <v>CHOLESTROM 10MG B/30CES</v>
          </cell>
        </row>
        <row r="9077">
          <cell r="B9077" t="str">
            <v>FG05474</v>
          </cell>
          <cell r="C9077" t="str">
            <v>CIALIS 5MG 28 TAB</v>
          </cell>
        </row>
        <row r="9078">
          <cell r="B9078" t="str">
            <v>FG05475</v>
          </cell>
          <cell r="C9078" t="str">
            <v>CLAMOXYL 250MG/5ML SIROP 60ML</v>
          </cell>
        </row>
        <row r="9079">
          <cell r="B9079" t="str">
            <v>FG05476</v>
          </cell>
          <cell r="C9079" t="str">
            <v>CLARITHROMYCINE BIOGARAN 250MG B/10 CES</v>
          </cell>
        </row>
        <row r="9080">
          <cell r="B9080" t="str">
            <v>FG05477</v>
          </cell>
          <cell r="C9080" t="str">
            <v>CLARITHROMYCINE BIOGARAN 500MG B/10 CES</v>
          </cell>
        </row>
        <row r="9081">
          <cell r="B9081" t="str">
            <v>FG05478</v>
          </cell>
          <cell r="C9081" t="str">
            <v>CONTAMAL IM-IV 10AMP 100MG 2ML (EO)</v>
          </cell>
        </row>
        <row r="9082">
          <cell r="B9082" t="str">
            <v>FG05479</v>
          </cell>
          <cell r="C9082" t="str">
            <v>COTAREG 80MG/12.5MG 28CES (FR)</v>
          </cell>
        </row>
        <row r="9083">
          <cell r="B9083" t="str">
            <v>FG05480</v>
          </cell>
          <cell r="C9083" t="str">
            <v>COTAREG 160MG/25MG CES (FR)</v>
          </cell>
        </row>
        <row r="9084">
          <cell r="B9084" t="str">
            <v>FG05481</v>
          </cell>
          <cell r="C9084" t="str">
            <v>COVERAM 10/5MG 30 GELULES(FR) @@@@</v>
          </cell>
        </row>
        <row r="9085">
          <cell r="B9085" t="str">
            <v>FG05482</v>
          </cell>
          <cell r="C9085" t="str">
            <v>COVERSYL PLUS 10MG/12.5MG B/30 TAB</v>
          </cell>
        </row>
        <row r="9086">
          <cell r="B9086" t="str">
            <v>FG05483</v>
          </cell>
          <cell r="C9086" t="str">
            <v>COVERSYL PLUS 4MG CAPS B/30 (EO)</v>
          </cell>
        </row>
        <row r="9087">
          <cell r="B9087" t="str">
            <v>FG05484</v>
          </cell>
          <cell r="C9087" t="str">
            <v>CRISTAL 10 SUPPOS ADULTES (FR)</v>
          </cell>
        </row>
        <row r="9088">
          <cell r="B9088" t="str">
            <v>FG05485</v>
          </cell>
          <cell r="C9088" t="str">
            <v>CRISTAL BB SUPPO(FR)</v>
          </cell>
        </row>
        <row r="9089">
          <cell r="B9089" t="str">
            <v>FG05486</v>
          </cell>
          <cell r="C9089" t="str">
            <v>CURAM 500MG 12CES (EO)</v>
          </cell>
        </row>
        <row r="9090">
          <cell r="B9090" t="str">
            <v>FG05487</v>
          </cell>
          <cell r="C9090" t="str">
            <v>CYCLO-PROGYNOVA 21 DRJ</v>
          </cell>
        </row>
        <row r="9091">
          <cell r="B9091" t="str">
            <v>FG05488</v>
          </cell>
          <cell r="C9091" t="str">
            <v>DAFALGAN CODEINE EFF. CES B/16 (EO)</v>
          </cell>
        </row>
        <row r="9092">
          <cell r="B9092" t="str">
            <v>FG05489</v>
          </cell>
          <cell r="C9092" t="str">
            <v>DAFRACLAV 1000MG B/10CES (FR)</v>
          </cell>
        </row>
        <row r="9093">
          <cell r="B9093" t="str">
            <v>FG05490</v>
          </cell>
          <cell r="C9093" t="str">
            <v>DAFRACLAV 457MG SP (FR)</v>
          </cell>
        </row>
        <row r="9094">
          <cell r="B9094" t="str">
            <v>FG05491</v>
          </cell>
          <cell r="C9094" t="str">
            <v>DAKTARIN SPRAY</v>
          </cell>
        </row>
        <row r="9095">
          <cell r="B9095" t="str">
            <v>FG05492</v>
          </cell>
          <cell r="C9095" t="str">
            <v>DAONIL 5MG B/20CES (FR)</v>
          </cell>
        </row>
        <row r="9096">
          <cell r="B9096" t="str">
            <v>FG05493</v>
          </cell>
          <cell r="C9096" t="str">
            <v>DECAPETYL 3.75MG 1AMP(FR)</v>
          </cell>
        </row>
        <row r="9097">
          <cell r="B9097" t="str">
            <v>FG05494</v>
          </cell>
          <cell r="C9097" t="str">
            <v>DECODERM TRI CREME 25MG/500MG T/25GR (FR)</v>
          </cell>
        </row>
        <row r="9098">
          <cell r="B9098" t="str">
            <v>FG05495</v>
          </cell>
          <cell r="C9098" t="str">
            <v>DEEP HEAT CREME 35GR.</v>
          </cell>
        </row>
        <row r="9099">
          <cell r="B9099" t="str">
            <v>FG05496</v>
          </cell>
          <cell r="C9099" t="str">
            <v>DEFAL GOUTTES ORALES 13ML</v>
          </cell>
        </row>
        <row r="9100">
          <cell r="B9100" t="str">
            <v>FG05497</v>
          </cell>
          <cell r="C9100" t="str">
            <v>DEPO-PROVERA 150ML/1ML B/1AMP (EO)</v>
          </cell>
        </row>
        <row r="9101">
          <cell r="B9101" t="str">
            <v>FG05498</v>
          </cell>
          <cell r="C9101" t="str">
            <v>DESLOR 5MG 15CES (FR)</v>
          </cell>
        </row>
        <row r="9102">
          <cell r="B9102" t="str">
            <v>FG05499</v>
          </cell>
          <cell r="C9102" t="str">
            <v>DIABLE CORICIDE LIQUID 4ML</v>
          </cell>
        </row>
        <row r="9103">
          <cell r="B9103" t="str">
            <v>FG05500</v>
          </cell>
          <cell r="C9103" t="str">
            <v>DIABLE VERT EMPLATRES CORISIDE B/6</v>
          </cell>
        </row>
        <row r="9104">
          <cell r="B9104" t="str">
            <v>FG05501</v>
          </cell>
          <cell r="C9104" t="str">
            <v>DIALYSIS MACHINE</v>
          </cell>
        </row>
        <row r="9105">
          <cell r="B9105" t="str">
            <v>FG05502</v>
          </cell>
          <cell r="C9105" t="str">
            <v>DIANE 35 1 X 21 DRG...........</v>
          </cell>
        </row>
        <row r="9106">
          <cell r="B9106" t="str">
            <v>FG05503</v>
          </cell>
          <cell r="C9106" t="str">
            <v>DICLO DENK 50MG B/(10)CES</v>
          </cell>
        </row>
        <row r="9107">
          <cell r="B9107" t="str">
            <v>FG05504</v>
          </cell>
          <cell r="C9107" t="str">
            <v>DICLOWAL RETARD 100MG 10CES (FR)</v>
          </cell>
        </row>
        <row r="9108">
          <cell r="B9108" t="str">
            <v>FG05505</v>
          </cell>
          <cell r="C9108" t="str">
            <v>DICYNONE 250MG 20CES (FR)</v>
          </cell>
        </row>
        <row r="9109">
          <cell r="B9109" t="str">
            <v>FG05506</v>
          </cell>
          <cell r="C9109" t="str">
            <v>DIGOXINE NATIVELLE 6AMP INJ (FR)</v>
          </cell>
        </row>
        <row r="9110">
          <cell r="B9110" t="str">
            <v>FG05507</v>
          </cell>
          <cell r="C9110" t="str">
            <v>DOGMATIL SOL BUV FL/200ML (FR)</v>
          </cell>
        </row>
        <row r="9111">
          <cell r="B9111" t="str">
            <v>FG05508</v>
          </cell>
          <cell r="C9111" t="str">
            <v>DOPAMINE 40MG INJ B/1AMP ***</v>
          </cell>
        </row>
        <row r="9112">
          <cell r="B9112" t="str">
            <v>FG05509</v>
          </cell>
          <cell r="C9112" t="str">
            <v>DOXYNOR 100MG B/20CES (FR)</v>
          </cell>
        </row>
        <row r="9113">
          <cell r="B9113" t="str">
            <v>FG05510</v>
          </cell>
          <cell r="C9113" t="str">
            <v>ELICA 0.1% CR T/30G (FR)</v>
          </cell>
        </row>
        <row r="9114">
          <cell r="B9114" t="str">
            <v>FG05511</v>
          </cell>
          <cell r="C9114" t="str">
            <v>ELICA-M CREAM 30GR (FR)</v>
          </cell>
        </row>
        <row r="9115">
          <cell r="B9115" t="str">
            <v>FG05512</v>
          </cell>
          <cell r="C9115" t="str">
            <v>EMCONCOR 5MG 28CES (FR)</v>
          </cell>
        </row>
        <row r="9116">
          <cell r="B9116" t="str">
            <v>FG05513</v>
          </cell>
          <cell r="C9116" t="str">
            <v>ENTEROGEMINA SUSP BUV 10FLCS 5ML (FR)</v>
          </cell>
        </row>
        <row r="9117">
          <cell r="B9117" t="str">
            <v>FG05514</v>
          </cell>
          <cell r="C9117" t="str">
            <v>EURARTESIM (PIPERA+DIHYDRO) 320MG/40MG B9CES(FR)</v>
          </cell>
        </row>
        <row r="9118">
          <cell r="B9118" t="str">
            <v>FG05515</v>
          </cell>
          <cell r="C9118" t="str">
            <v>EXFOGE 10MG /160MG 28CES (FR)</v>
          </cell>
        </row>
        <row r="9119">
          <cell r="B9119" t="str">
            <v>FG05516</v>
          </cell>
          <cell r="C9119" t="str">
            <v>EXFORGE FACT 5MG/160MG B/28CES (EO)</v>
          </cell>
        </row>
        <row r="9120">
          <cell r="B9120" t="str">
            <v>FG05517</v>
          </cell>
          <cell r="C9120" t="str">
            <v>EXFORGE HCT ***160/12.5/10MG****B/28CES (FR)</v>
          </cell>
        </row>
        <row r="9121">
          <cell r="B9121" t="str">
            <v>FG05518</v>
          </cell>
          <cell r="C9121" t="str">
            <v>EZETIMIBLE 10MG B/28 TAB (FR)</v>
          </cell>
        </row>
        <row r="9122">
          <cell r="B9122" t="str">
            <v>FG05519</v>
          </cell>
          <cell r="C9122" t="str">
            <v>FELDENE 20MG/1ML IM B/2AMP</v>
          </cell>
        </row>
        <row r="9123">
          <cell r="B9123" t="str">
            <v>FG05520</v>
          </cell>
          <cell r="C9123" t="str">
            <v>FENISTIL GEL 30GR E.O. (FENIGEL)</v>
          </cell>
        </row>
        <row r="9124">
          <cell r="B9124" t="str">
            <v>FG05521</v>
          </cell>
          <cell r="C9124" t="str">
            <v>FENTANYL 0.05MG/2ML B/1AMP (EO)</v>
          </cell>
        </row>
        <row r="9125">
          <cell r="B9125" t="str">
            <v>FG05522</v>
          </cell>
          <cell r="C9125" t="str">
            <v>FERRO DENK B/50 CES</v>
          </cell>
        </row>
        <row r="9126">
          <cell r="B9126" t="str">
            <v>FG05523</v>
          </cell>
          <cell r="C9126" t="str">
            <v>FLUCA (FLUOROMETHOIONE) CY F/5ML</v>
          </cell>
        </row>
        <row r="9127">
          <cell r="B9127" t="str">
            <v>FG05524</v>
          </cell>
          <cell r="C9127" t="str">
            <v>FŒTOSCOPE EN BOIS</v>
          </cell>
        </row>
        <row r="9128">
          <cell r="B9128" t="str">
            <v>FG05525</v>
          </cell>
          <cell r="C9128" t="str">
            <v>FORMOL 40% LIQUID</v>
          </cell>
        </row>
        <row r="9129">
          <cell r="B9129" t="str">
            <v>FG05526</v>
          </cell>
          <cell r="C9129" t="str">
            <v>FUCIDINE 250MG 10CES</v>
          </cell>
        </row>
        <row r="9130">
          <cell r="B9130" t="str">
            <v>FG05527</v>
          </cell>
          <cell r="C9130" t="str">
            <v>FURO DENK 40MG 10X10 CES</v>
          </cell>
        </row>
        <row r="9131">
          <cell r="B9131" t="str">
            <v>FG05528</v>
          </cell>
          <cell r="C9131" t="str">
            <v>GASTISTAR COLLYRE 5 ML(FR)</v>
          </cell>
        </row>
        <row r="9132">
          <cell r="B9132" t="str">
            <v>FG05529</v>
          </cell>
          <cell r="C9132" t="str">
            <v>HERBESAN 24 FILTRETTES</v>
          </cell>
        </row>
        <row r="9133">
          <cell r="B9133" t="str">
            <v>FG05530</v>
          </cell>
          <cell r="C9133" t="str">
            <v>HUILE DE FOIE DE MORUE 150ML(COOPER)</v>
          </cell>
        </row>
        <row r="9134">
          <cell r="B9134" t="str">
            <v>FG05531</v>
          </cell>
          <cell r="C9134" t="str">
            <v>HYFRESH 0.2% SOL OPHT F/10ML (FR)</v>
          </cell>
        </row>
        <row r="9135">
          <cell r="B9135" t="str">
            <v>FG05532</v>
          </cell>
          <cell r="C9135" t="str">
            <v>IMODIUM SIROP 90ML (FR)</v>
          </cell>
        </row>
        <row r="9136">
          <cell r="B9136" t="str">
            <v>FG05533</v>
          </cell>
          <cell r="C9136" t="str">
            <v>INDERAL 10MG 50CES (FR)</v>
          </cell>
        </row>
        <row r="9137">
          <cell r="B9137" t="str">
            <v>FG05534</v>
          </cell>
          <cell r="C9137" t="str">
            <v>INEXIUM 28C#S 40MG (FR) $$</v>
          </cell>
        </row>
        <row r="9138">
          <cell r="B9138" t="str">
            <v>FG05535</v>
          </cell>
          <cell r="C9138" t="str">
            <v>INEXIUM 28CES 20MG (FR) $$</v>
          </cell>
        </row>
        <row r="9139">
          <cell r="B9139" t="str">
            <v>FG05536</v>
          </cell>
          <cell r="C9139" t="str">
            <v>INSULINE ACTRAPIDE 40UI 10ML(EO)</v>
          </cell>
        </row>
        <row r="9140">
          <cell r="B9140" t="str">
            <v>FG05537</v>
          </cell>
          <cell r="C9140" t="str">
            <v>INSULINE INSLATARD 40UI 10ML(EO)</v>
          </cell>
        </row>
        <row r="9141">
          <cell r="B9141" t="str">
            <v>FG05538</v>
          </cell>
          <cell r="C9141" t="str">
            <v>INSULINE MIXTARD 100UI 10ML (FR) $$</v>
          </cell>
        </row>
        <row r="9142">
          <cell r="B9142" t="str">
            <v>FG05539</v>
          </cell>
          <cell r="C9142" t="str">
            <v>INSULINE MIXTARD 40UI INJ FL/10ML</v>
          </cell>
        </row>
        <row r="9143">
          <cell r="B9143" t="str">
            <v>FG05540</v>
          </cell>
          <cell r="C9143" t="str">
            <v>IXPRIM 37.5MG/325MG. 20CES(FR)</v>
          </cell>
        </row>
        <row r="9144">
          <cell r="B9144" t="str">
            <v>FG05541</v>
          </cell>
          <cell r="C9144" t="str">
            <v>KAYEXALATE SODIUM 450GR (FR) $$</v>
          </cell>
        </row>
        <row r="9145">
          <cell r="B9145" t="str">
            <v>FG05542</v>
          </cell>
          <cell r="C9145" t="str">
            <v>KIT R.P.R.</v>
          </cell>
        </row>
        <row r="9146">
          <cell r="B9146" t="str">
            <v>FG05543</v>
          </cell>
          <cell r="C9146" t="str">
            <v>KONAKION PEDIAT. 5AMP 2MG/0.2ML</v>
          </cell>
        </row>
        <row r="9147">
          <cell r="B9147" t="str">
            <v>FG05544</v>
          </cell>
          <cell r="C9147" t="str">
            <v>KREDEX 25MG 56CES(FR)</v>
          </cell>
        </row>
        <row r="9148">
          <cell r="B9148" t="str">
            <v>FG05545</v>
          </cell>
          <cell r="C9148" t="str">
            <v>LAMPE D’EXAMEN FIXIBLE</v>
          </cell>
        </row>
        <row r="9149">
          <cell r="B9149" t="str">
            <v>FG05546</v>
          </cell>
          <cell r="C9149" t="str">
            <v>LANSOYL GELEE T/225G (FR)</v>
          </cell>
        </row>
        <row r="9150">
          <cell r="B9150" t="str">
            <v>FG05547</v>
          </cell>
          <cell r="C9150" t="str">
            <v>LARMBAK 0.9% COLLYRE 10ML</v>
          </cell>
        </row>
        <row r="9151">
          <cell r="B9151" t="str">
            <v>FG05548</v>
          </cell>
          <cell r="C9151" t="str">
            <v>LETROZOLE BIOGARAN LP 2.5MG B/30 CES</v>
          </cell>
        </row>
        <row r="9152">
          <cell r="B9152" t="str">
            <v>FG05549</v>
          </cell>
          <cell r="C9152" t="str">
            <v>LEXOMIL 6MG B/30CES (FR)</v>
          </cell>
        </row>
        <row r="9153">
          <cell r="B9153" t="str">
            <v>FG05550</v>
          </cell>
          <cell r="C9153" t="str">
            <v>LIBIDO LADV DENK (FR)</v>
          </cell>
        </row>
        <row r="9154">
          <cell r="B9154" t="str">
            <v>FG05551</v>
          </cell>
          <cell r="C9154" t="str">
            <v>LIPITOR 10MG B/28CES(FR)</v>
          </cell>
        </row>
        <row r="9155">
          <cell r="B9155" t="str">
            <v>FG05552</v>
          </cell>
          <cell r="C9155" t="str">
            <v>LIPITOR 40 MG B/30 TAB (FR)</v>
          </cell>
        </row>
        <row r="9156">
          <cell r="B9156" t="str">
            <v>FG05553</v>
          </cell>
          <cell r="C9156" t="str">
            <v>LIVOSTIN COLLYRE 4ML (FR)</v>
          </cell>
        </row>
        <row r="9157">
          <cell r="B9157" t="str">
            <v>FG05554</v>
          </cell>
          <cell r="C9157" t="str">
            <v>LOCACORTENE ONGUENT 30GR (FR)</v>
          </cell>
        </row>
        <row r="9158">
          <cell r="B9158" t="str">
            <v>FG05555</v>
          </cell>
          <cell r="C9158" t="str">
            <v>LOCASALANE POMMADE 15GR (FR)</v>
          </cell>
        </row>
        <row r="9159">
          <cell r="B9159" t="str">
            <v>FG05556</v>
          </cell>
          <cell r="C9159" t="str">
            <v>LOPRESSOR 100MG B/30CES (FR)</v>
          </cell>
        </row>
        <row r="9160">
          <cell r="B9160" t="str">
            <v>FG05557</v>
          </cell>
          <cell r="C9160" t="str">
            <v>LOVENOX 20MG 0.2ML B/2SERING(FR)</v>
          </cell>
        </row>
        <row r="9161">
          <cell r="B9161" t="str">
            <v>FG05558</v>
          </cell>
          <cell r="C9161" t="str">
            <v>LUDIOMIL 25MG B/50CES (EO)</v>
          </cell>
        </row>
        <row r="9162">
          <cell r="B9162" t="str">
            <v>FG05559</v>
          </cell>
          <cell r="C9162" t="str">
            <v>LUGOL</v>
          </cell>
        </row>
        <row r="9163">
          <cell r="B9163" t="str">
            <v>FG05560</v>
          </cell>
          <cell r="C9163" t="str">
            <v>LYRICA 75MG 56CES(FR)</v>
          </cell>
        </row>
        <row r="9164">
          <cell r="B9164" t="str">
            <v>FG05561</v>
          </cell>
          <cell r="C9164" t="str">
            <v>LYSOPAINE 18CES(FR)</v>
          </cell>
        </row>
        <row r="9165">
          <cell r="B9165" t="str">
            <v>FG05562</v>
          </cell>
          <cell r="C9165" t="str">
            <v>MAG-BIND RAN EXTRACTIONKIT 48 TESTS/KIT</v>
          </cell>
        </row>
        <row r="9166">
          <cell r="B9166" t="str">
            <v>FG05564</v>
          </cell>
          <cell r="C9166" t="str">
            <v>MALARONE 250MG B/12 CES (FR)</v>
          </cell>
        </row>
        <row r="9167">
          <cell r="B9167" t="str">
            <v>FG05565</v>
          </cell>
          <cell r="C9167" t="str">
            <v>MAXIDEX 0.1% COLLYRE 3ML (FR)</v>
          </cell>
        </row>
        <row r="9168">
          <cell r="B9168" t="str">
            <v>FG05566</v>
          </cell>
          <cell r="C9168" t="str">
            <v>MAXILASE 3000 U B/24CES (FR)</v>
          </cell>
        </row>
        <row r="9169">
          <cell r="B9169" t="str">
            <v>FG05568</v>
          </cell>
          <cell r="C9169" t="str">
            <v>MEDROL 4MG B/30CES (FR)</v>
          </cell>
        </row>
        <row r="9170">
          <cell r="B9170" t="str">
            <v>FG05569</v>
          </cell>
          <cell r="C9170" t="str">
            <v>METFORMINE BIOGARAN 1000MG B/90 CES</v>
          </cell>
        </row>
        <row r="9171">
          <cell r="B9171" t="str">
            <v>FG05570</v>
          </cell>
          <cell r="C9171" t="str">
            <v>METHERGIN INJ 5AMP 1ML (EO)</v>
          </cell>
        </row>
        <row r="9172">
          <cell r="B9172" t="str">
            <v>FG05571</v>
          </cell>
          <cell r="C9172" t="str">
            <v>METHOTREXATE (LEDERTREXATE)50MG B/1AMP</v>
          </cell>
        </row>
        <row r="9173">
          <cell r="B9173" t="str">
            <v>FG05572</v>
          </cell>
          <cell r="C9173" t="str">
            <v>MINOXIDIL 2% COOPER 3 FLACONS DE 60ML</v>
          </cell>
        </row>
        <row r="9174">
          <cell r="B9174" t="str">
            <v>FG05573</v>
          </cell>
          <cell r="C9174" t="str">
            <v>MINOXIDIL 5% COOPER 3 FLACONS DE 60ML</v>
          </cell>
        </row>
        <row r="9175">
          <cell r="B9175" t="str">
            <v>FG05575</v>
          </cell>
          <cell r="C9175" t="str">
            <v>MOMENTA CRM T/30G (FR)</v>
          </cell>
        </row>
        <row r="9176">
          <cell r="B9176" t="str">
            <v>FG05576</v>
          </cell>
          <cell r="C9176" t="str">
            <v>MOTILIUM 10MG 40CES (FR)</v>
          </cell>
        </row>
        <row r="9177">
          <cell r="B9177" t="str">
            <v>FG05577</v>
          </cell>
          <cell r="C9177" t="str">
            <v>NAPROSYNE 15CES 500MG (FR)</v>
          </cell>
        </row>
        <row r="9178">
          <cell r="B9178" t="str">
            <v>FG05579</v>
          </cell>
          <cell r="C9178" t="str">
            <v>NEOSTIGMIN 1ML 6 AMP</v>
          </cell>
        </row>
        <row r="9179">
          <cell r="B9179" t="str">
            <v>FG05580</v>
          </cell>
          <cell r="C9179" t="str">
            <v>NEOTONE GEL 150ML</v>
          </cell>
        </row>
        <row r="9180">
          <cell r="B9180" t="str">
            <v>FG05581</v>
          </cell>
          <cell r="C9180" t="str">
            <v>NEOTONE GEL FL/150ML</v>
          </cell>
        </row>
        <row r="9181">
          <cell r="B9181" t="str">
            <v>FG05582</v>
          </cell>
          <cell r="C9181" t="str">
            <v>NEOTONE RADIANCE SPF 50+30ML</v>
          </cell>
        </row>
        <row r="9182">
          <cell r="B9182" t="str">
            <v>FG05583</v>
          </cell>
          <cell r="C9182" t="str">
            <v>NEOTONE SERUM 25ML</v>
          </cell>
        </row>
        <row r="9183">
          <cell r="B9183" t="str">
            <v>FG05584</v>
          </cell>
          <cell r="C9183" t="str">
            <v>NERISONE CREME 30GR (GR)</v>
          </cell>
        </row>
        <row r="9184">
          <cell r="B9184" t="str">
            <v>FG05585</v>
          </cell>
          <cell r="C9184" t="str">
            <v>NERISONE PDE GRASSE 30G (FR)</v>
          </cell>
        </row>
        <row r="9185">
          <cell r="B9185" t="str">
            <v>FG05586</v>
          </cell>
          <cell r="C9185" t="str">
            <v>NESIVINE SPRAY 0.05%</v>
          </cell>
        </row>
        <row r="9186">
          <cell r="B9186" t="str">
            <v>FG05587</v>
          </cell>
          <cell r="C9186" t="str">
            <v>NEULEPTIL GOUTTES 4% 30ML (EO)</v>
          </cell>
        </row>
        <row r="9187">
          <cell r="B9187" t="str">
            <v>FG05588</v>
          </cell>
          <cell r="C9187" t="str">
            <v>NIDAZOL (METRONIDAZOLE) 500MG OVELE B/10 (FR)</v>
          </cell>
        </row>
        <row r="9188">
          <cell r="B9188" t="str">
            <v>FG05589</v>
          </cell>
          <cell r="C9188" t="str">
            <v>NIDAZOL 500MG CP B/20</v>
          </cell>
        </row>
        <row r="9189">
          <cell r="B9189" t="str">
            <v>FG05590</v>
          </cell>
          <cell r="C9189" t="str">
            <v>NIFEDI DENK 20MG RETARD PL/10CES</v>
          </cell>
        </row>
        <row r="9190">
          <cell r="B9190" t="str">
            <v>FG05591</v>
          </cell>
          <cell r="C9190" t="str">
            <v>NOBACTER MOUSSE SEVING FOM</v>
          </cell>
        </row>
        <row r="9191">
          <cell r="B9191" t="str">
            <v>FG05592</v>
          </cell>
          <cell r="C9191" t="str">
            <v>NOOTROPIL 12AMP. INJ. 1 GR. 5 ML (FR)</v>
          </cell>
        </row>
        <row r="9192">
          <cell r="B9192" t="str">
            <v>FG05593</v>
          </cell>
          <cell r="C9192" t="str">
            <v>NOOTROPIL 800MG 20CES........-SP-..</v>
          </cell>
        </row>
        <row r="9193">
          <cell r="B9193" t="str">
            <v>FG05594</v>
          </cell>
          <cell r="C9193" t="str">
            <v>NUROFEN 200MG B/48CES (E.O.)</v>
          </cell>
        </row>
        <row r="9194">
          <cell r="B9194" t="str">
            <v>FG05595</v>
          </cell>
          <cell r="C9194" t="str">
            <v>NUROFEN 400MG 30DRG ADALUTES (FR)</v>
          </cell>
        </row>
        <row r="9195">
          <cell r="B9195" t="str">
            <v>FG05596</v>
          </cell>
          <cell r="C9195" t="str">
            <v>OCAL COLLYRE 10 ML (FR)</v>
          </cell>
        </row>
        <row r="9196">
          <cell r="B9196" t="str">
            <v>FG05597</v>
          </cell>
          <cell r="C9196" t="str">
            <v>OFUSIDIC COLLYRE 5ML (FR)</v>
          </cell>
        </row>
        <row r="9197">
          <cell r="B9197" t="str">
            <v>FG05598</v>
          </cell>
          <cell r="C9197" t="str">
            <v>OLOPAT (OLOPATADINE) 0.3% COLLYRE FL /5ML</v>
          </cell>
        </row>
        <row r="9198">
          <cell r="B9198" t="str">
            <v>FG05599</v>
          </cell>
          <cell r="C9198" t="str">
            <v>OMEPRAZOLE BIOGARAN 20MG B/28 GELS</v>
          </cell>
        </row>
        <row r="9199">
          <cell r="B9199" t="str">
            <v>FG05600</v>
          </cell>
          <cell r="C9199" t="str">
            <v>OMNIBIONTA PRONATAL 60CAPS (EO)</v>
          </cell>
        </row>
        <row r="9200">
          <cell r="B9200" t="str">
            <v>FG05601</v>
          </cell>
          <cell r="C9200" t="str">
            <v>OPATANOL COLLYRE(FR)</v>
          </cell>
        </row>
        <row r="9201">
          <cell r="B9201" t="str">
            <v>FG05602</v>
          </cell>
          <cell r="C9201" t="str">
            <v>OPTIPRED 1% (PREDNISOLONE ACELETE) COLLYRE</v>
          </cell>
        </row>
        <row r="9202">
          <cell r="B9202" t="str">
            <v>FG05603</v>
          </cell>
          <cell r="C9202" t="str">
            <v>ORCHAPRED GEL OPHT 5GR</v>
          </cell>
        </row>
        <row r="9203">
          <cell r="B9203" t="str">
            <v>FG05604</v>
          </cell>
          <cell r="C9203" t="str">
            <v>OSPAMOX 1000MG CES B/12 (FR)</v>
          </cell>
        </row>
        <row r="9204">
          <cell r="B9204" t="str">
            <v>FG05605</v>
          </cell>
          <cell r="C9204" t="str">
            <v>OSPAMOX 500MG 12CES (EO)</v>
          </cell>
        </row>
        <row r="9205">
          <cell r="B9205" t="str">
            <v>FG05606</v>
          </cell>
          <cell r="C9205" t="str">
            <v>OSPAMOX 500MG 12CES DISPERSIBLE</v>
          </cell>
        </row>
        <row r="9206">
          <cell r="B9206" t="str">
            <v>FG05607</v>
          </cell>
          <cell r="C9206" t="str">
            <v>OTRIVINE 1% MENTHOL SPRAY (FR)</v>
          </cell>
        </row>
        <row r="9207">
          <cell r="B9207" t="str">
            <v>FG05608</v>
          </cell>
          <cell r="C9207" t="str">
            <v>OXALATE DAMMONIUM</v>
          </cell>
        </row>
        <row r="9208">
          <cell r="B9208" t="str">
            <v>FG05609</v>
          </cell>
          <cell r="C9208" t="str">
            <v>OZIBEN 100MG B/6 CES</v>
          </cell>
        </row>
        <row r="9209">
          <cell r="B9209" t="str">
            <v>FG05610</v>
          </cell>
          <cell r="C9209" t="str">
            <v>PABU (PARA+IBU) B/10 X 10 CES</v>
          </cell>
        </row>
        <row r="9210">
          <cell r="B9210" t="str">
            <v>FG05611</v>
          </cell>
          <cell r="C9210" t="str">
            <v>PANCURONIUM 4MG B/1 AMP</v>
          </cell>
        </row>
        <row r="9211">
          <cell r="B9211" t="str">
            <v>FG05612</v>
          </cell>
          <cell r="C9211" t="str">
            <v>PARA DENK 125 B/10SUPPOS</v>
          </cell>
        </row>
        <row r="9212">
          <cell r="B9212" t="str">
            <v>FG05613</v>
          </cell>
          <cell r="C9212" t="str">
            <v>PENTASA (MESALAZINE 500MG) B/100TAB (FR)</v>
          </cell>
        </row>
        <row r="9213">
          <cell r="B9213" t="str">
            <v>FG05614</v>
          </cell>
          <cell r="C9213" t="str">
            <v>PERFALGAN 1GR AD SOL. PERF. 100ML</v>
          </cell>
        </row>
        <row r="9214">
          <cell r="B9214" t="str">
            <v>FG05615</v>
          </cell>
          <cell r="C9214" t="str">
            <v>PETHIDINE 100MG B/1AMP</v>
          </cell>
        </row>
        <row r="9215">
          <cell r="B9215" t="str">
            <v>FG05616</v>
          </cell>
          <cell r="C9215" t="str">
            <v>PETITS CHAMP</v>
          </cell>
        </row>
        <row r="9216">
          <cell r="B9216" t="str">
            <v>FG05617</v>
          </cell>
          <cell r="C9216" t="str">
            <v>PEVARYL POUDRE 1% 30GRE(FR)</v>
          </cell>
        </row>
        <row r="9217">
          <cell r="B9217" t="str">
            <v>FG05618</v>
          </cell>
          <cell r="C9217" t="str">
            <v>PICO SPRAY 50ML ***</v>
          </cell>
        </row>
        <row r="9218">
          <cell r="B9218" t="str">
            <v>FG05619</v>
          </cell>
          <cell r="C9218" t="str">
            <v>PIVALONE 1% B/10ML (FR)</v>
          </cell>
        </row>
        <row r="9219">
          <cell r="B9219" t="str">
            <v>FG05620</v>
          </cell>
          <cell r="C9219" t="str">
            <v>PLAQUENIL 200MG NF 100CES (FR)</v>
          </cell>
        </row>
        <row r="9220">
          <cell r="B9220" t="str">
            <v>FG05621</v>
          </cell>
          <cell r="C9220" t="str">
            <v>POLARAMINE 5AMP(FR)</v>
          </cell>
        </row>
        <row r="9221">
          <cell r="B9221" t="str">
            <v>FG05622</v>
          </cell>
          <cell r="C9221" t="str">
            <v>POLYGYNAX VIRGO B/6OVULE (EO)</v>
          </cell>
        </row>
        <row r="9222">
          <cell r="B9222" t="str">
            <v>FG05623</v>
          </cell>
          <cell r="C9222" t="str">
            <v>POTENCIATOR 5GR AMP BUV B/20</v>
          </cell>
        </row>
        <row r="9223">
          <cell r="B9223" t="str">
            <v>FG05624</v>
          </cell>
          <cell r="C9223" t="str">
            <v>PREGNYL 1500UI 3AMP (EO)</v>
          </cell>
        </row>
        <row r="9224">
          <cell r="B9224" t="str">
            <v>FG05625</v>
          </cell>
          <cell r="C9224" t="str">
            <v>PREGNYL 5000 UI BT/1 AMP --(EO)</v>
          </cell>
        </row>
        <row r="9225">
          <cell r="B9225" t="str">
            <v>FG05626</v>
          </cell>
          <cell r="C9225" t="str">
            <v>PRIMOLUT NOR 5MG 20CES (FR)</v>
          </cell>
        </row>
        <row r="9226">
          <cell r="B9226" t="str">
            <v>FG05627</v>
          </cell>
          <cell r="C9226" t="str">
            <v>PROFENID LP 200MG 14GELULES (FR)</v>
          </cell>
        </row>
        <row r="9227">
          <cell r="B9227" t="str">
            <v>FG05628</v>
          </cell>
          <cell r="C9227" t="str">
            <v>PROVIRON 25MG CES B/20 (FR)</v>
          </cell>
        </row>
        <row r="9228">
          <cell r="B9228" t="str">
            <v>FG05629</v>
          </cell>
          <cell r="C9228" t="str">
            <v>PROXEED PLUS ''WOMEN''5GR SACHETS B/30 (FR)</v>
          </cell>
        </row>
        <row r="9229">
          <cell r="B9229" t="str">
            <v>FG05630</v>
          </cell>
          <cell r="C9229" t="str">
            <v>PULMICORT BUC 200 DOSES (FR)</v>
          </cell>
        </row>
        <row r="9230">
          <cell r="B9230" t="str">
            <v>FG05631</v>
          </cell>
          <cell r="C9230" t="str">
            <v>PYOSTACINE 500MG 16CES (FR)</v>
          </cell>
        </row>
        <row r="9231">
          <cell r="B9231" t="str">
            <v>FG05632</v>
          </cell>
          <cell r="C9231" t="str">
            <v>PYRALVEX</v>
          </cell>
        </row>
        <row r="9232">
          <cell r="B9232" t="str">
            <v>FG05633</v>
          </cell>
          <cell r="C9232" t="str">
            <v>PYRALVEX GEL 15GR(FR)</v>
          </cell>
        </row>
        <row r="9233">
          <cell r="B9233" t="str">
            <v>FG05634</v>
          </cell>
          <cell r="C9233" t="str">
            <v>RABEZOL 20MG B/14CES (FR)</v>
          </cell>
        </row>
        <row r="9234">
          <cell r="B9234" t="str">
            <v>FG05635</v>
          </cell>
          <cell r="C9234" t="str">
            <v>REDOXONE 30CES A SUCER 500MG</v>
          </cell>
        </row>
        <row r="9235">
          <cell r="B9235" t="str">
            <v>FG05636</v>
          </cell>
          <cell r="C9235" t="str">
            <v>REDOXONE+ZINC 30CES EFF. 1000MG</v>
          </cell>
        </row>
        <row r="9236">
          <cell r="B9236" t="str">
            <v>FG05637</v>
          </cell>
          <cell r="C9236" t="str">
            <v>RENITEC 5MG 28CES (FR)</v>
          </cell>
        </row>
        <row r="9237">
          <cell r="B9237" t="str">
            <v>FG05638</v>
          </cell>
          <cell r="C9237" t="str">
            <v>RHINAPHYTO 100ML</v>
          </cell>
        </row>
        <row r="9238">
          <cell r="B9238" t="str">
            <v>FG05639</v>
          </cell>
          <cell r="C9238" t="str">
            <v>RHINATHIOL ADULTES SIROP 125ML</v>
          </cell>
        </row>
        <row r="9239">
          <cell r="B9239" t="str">
            <v>FG05640</v>
          </cell>
          <cell r="C9239" t="str">
            <v>RHINOSPRAY+EUCALYPTUS SOLUTION 10ML (FR)</v>
          </cell>
        </row>
        <row r="9240">
          <cell r="B9240" t="str">
            <v>FG05641</v>
          </cell>
          <cell r="C9240" t="str">
            <v>RHOGAM</v>
          </cell>
        </row>
        <row r="9241">
          <cell r="B9241" t="str">
            <v>FG05642</v>
          </cell>
          <cell r="C9241" t="str">
            <v>ROCEPHINE 1GR...IM...B/1AMP</v>
          </cell>
        </row>
        <row r="9242">
          <cell r="B9242" t="str">
            <v>FG05643</v>
          </cell>
          <cell r="C9242" t="str">
            <v>RT-PCR SYSYEM Q1000+</v>
          </cell>
        </row>
        <row r="9243">
          <cell r="B9243" t="str">
            <v>FG05644</v>
          </cell>
          <cell r="C9243" t="str">
            <v>SARS-COV-2 FLUORECENT PCR 96 TETS/KIT</v>
          </cell>
        </row>
        <row r="9244">
          <cell r="B9244" t="str">
            <v>FG05646</v>
          </cell>
          <cell r="C9244" t="str">
            <v>SAVON PETIT MARS HAD 2 X 100GR (FR)</v>
          </cell>
        </row>
        <row r="9245">
          <cell r="B9245" t="str">
            <v>FG05647</v>
          </cell>
          <cell r="C9245" t="str">
            <v>SELSUN SHAMPOO 120ML (FR)</v>
          </cell>
        </row>
        <row r="9246">
          <cell r="B9246" t="str">
            <v>FG05648</v>
          </cell>
          <cell r="C9246" t="str">
            <v>SERINGUE DE CANNULA (ASPIRATER)</v>
          </cell>
        </row>
        <row r="9247">
          <cell r="B9247" t="str">
            <v>FG05649</v>
          </cell>
          <cell r="C9247" t="str">
            <v>SIBELIUM 10MG 28CES(FR)</v>
          </cell>
        </row>
        <row r="9248">
          <cell r="B9248" t="str">
            <v>FG05650</v>
          </cell>
          <cell r="C9248" t="str">
            <v>SOCOMOL (PARACETAMOL) 750MG/5ML INJ B/5 AMP</v>
          </cell>
        </row>
        <row r="9249">
          <cell r="B9249" t="str">
            <v>FG05651</v>
          </cell>
          <cell r="C9249" t="str">
            <v>SOLU-MEDROL 500MG 8ML (FR)</v>
          </cell>
        </row>
        <row r="9250">
          <cell r="B9250" t="str">
            <v>FG05652</v>
          </cell>
          <cell r="C9250" t="str">
            <v>SOMAZINA 500MG INJ B/5AMP (FR)</v>
          </cell>
        </row>
        <row r="9251">
          <cell r="B9251" t="str">
            <v>FG05653</v>
          </cell>
          <cell r="C9251" t="str">
            <v>STERILISATEUR POUPINEL 20L</v>
          </cell>
        </row>
        <row r="9252">
          <cell r="B9252" t="str">
            <v>FG05654</v>
          </cell>
          <cell r="C9252" t="str">
            <v>STEROVIT GOUTTE</v>
          </cell>
        </row>
        <row r="9253">
          <cell r="B9253" t="str">
            <v>FG05655</v>
          </cell>
          <cell r="C9253" t="str">
            <v>SUPRADYN VITAL 30CES (FR)</v>
          </cell>
        </row>
        <row r="9254">
          <cell r="B9254" t="str">
            <v>FG05656</v>
          </cell>
          <cell r="C9254" t="str">
            <v>SUPRADYN VITAL 30CES EFF. (FR)</v>
          </cell>
        </row>
        <row r="9255">
          <cell r="B9255" t="str">
            <v>FG05657</v>
          </cell>
          <cell r="C9255" t="str">
            <v>SUXAMETHONIUM 100MG AMP BT/1 AMP</v>
          </cell>
        </row>
        <row r="9256">
          <cell r="B9256" t="str">
            <v>FG05658</v>
          </cell>
          <cell r="C9256" t="str">
            <v>TAHOR 10MG (ATORVASTATINE) B/90 CAP</v>
          </cell>
        </row>
        <row r="9257">
          <cell r="B9257" t="str">
            <v>FG05659</v>
          </cell>
          <cell r="C9257" t="str">
            <v>TAREG 80MG 28CES ???***</v>
          </cell>
        </row>
        <row r="9258">
          <cell r="B9258" t="str">
            <v>FG05660</v>
          </cell>
          <cell r="C9258" t="str">
            <v>TAVANIC 500MG B/5CES</v>
          </cell>
        </row>
        <row r="9259">
          <cell r="B9259" t="str">
            <v>FG05661</v>
          </cell>
          <cell r="C9259" t="str">
            <v>TBM - H360 DIL 20 LIT 121740</v>
          </cell>
        </row>
        <row r="9260">
          <cell r="B9260" t="str">
            <v>FG05662</v>
          </cell>
          <cell r="C9260" t="str">
            <v>TBM H360 DIL20 LIT 121740 (ERBA ELITE H )</v>
          </cell>
        </row>
        <row r="9261">
          <cell r="B9261" t="str">
            <v>FG05666</v>
          </cell>
          <cell r="C9261" t="str">
            <v>TBM-ERBA ELITE H CLEAN 50 ML</v>
          </cell>
        </row>
        <row r="9262">
          <cell r="B9262" t="str">
            <v>FG05667</v>
          </cell>
          <cell r="C9262" t="str">
            <v>TEEN DERM GEL SENSITIVE GEL 250ML</v>
          </cell>
        </row>
        <row r="9263">
          <cell r="B9263" t="str">
            <v>FG05669</v>
          </cell>
          <cell r="C9263" t="str">
            <v>TEEN DERM HYDRA CREAM T40 ML</v>
          </cell>
        </row>
        <row r="9264">
          <cell r="B9264" t="str">
            <v>FG05670</v>
          </cell>
          <cell r="C9264" t="str">
            <v>TEGRETOL CR 400MG CES B/50 (FR)</v>
          </cell>
        </row>
        <row r="9265">
          <cell r="B9265" t="str">
            <v>FG05671</v>
          </cell>
          <cell r="C9265" t="str">
            <v>TENORETIC 100MG 56CES (FR)</v>
          </cell>
        </row>
        <row r="9266">
          <cell r="B9266" t="str">
            <v>FG05672</v>
          </cell>
          <cell r="C9266" t="str">
            <v>TENORETIC 50MG 30CES(FR)</v>
          </cell>
        </row>
        <row r="9267">
          <cell r="B9267" t="str">
            <v>FG05674</v>
          </cell>
          <cell r="C9267" t="str">
            <v>TENUE CHIRUGICALE ( BLOUSE &amp; PANTALON )</v>
          </cell>
        </row>
        <row r="9268">
          <cell r="B9268" t="str">
            <v>FG05675</v>
          </cell>
          <cell r="C9268" t="str">
            <v>TERRA-COTRIL PDE DERMIQUE 15GR (FR)</v>
          </cell>
        </row>
        <row r="9269">
          <cell r="B9269" t="str">
            <v>FG05676</v>
          </cell>
          <cell r="C9269" t="str">
            <v>TERRAMYCINE ONG. DERMIQUE 15GR SANS AMBA</v>
          </cell>
        </row>
        <row r="9270">
          <cell r="B9270" t="str">
            <v>FG05677</v>
          </cell>
          <cell r="C9270" t="str">
            <v>TIBERAL 3CES 500MG (FR)</v>
          </cell>
        </row>
        <row r="9271">
          <cell r="B9271" t="str">
            <v>FG05678</v>
          </cell>
          <cell r="C9271" t="str">
            <v>TIMOSOL SOLUTION OPHT.5ML</v>
          </cell>
        </row>
        <row r="9272">
          <cell r="B9272" t="str">
            <v>FG05679</v>
          </cell>
          <cell r="C9272" t="str">
            <v>TOPICREM D A BAUME EMOLLIENT 500ML</v>
          </cell>
        </row>
        <row r="9273">
          <cell r="B9273" t="str">
            <v>FG05680</v>
          </cell>
          <cell r="C9273" t="str">
            <v>TRANDATE 200MG 30CES (FR)</v>
          </cell>
        </row>
        <row r="9274">
          <cell r="B9274" t="str">
            <v>FG05681</v>
          </cell>
          <cell r="C9274" t="str">
            <v>TRIMETABOL SOL BUV 150ML (FR)</v>
          </cell>
        </row>
        <row r="9275">
          <cell r="B9275" t="str">
            <v>FG05682</v>
          </cell>
          <cell r="C9275" t="str">
            <v>TYMER 0.3% CY F/5ML (FR)</v>
          </cell>
        </row>
        <row r="9276">
          <cell r="B9276" t="str">
            <v>FG05683</v>
          </cell>
          <cell r="C9276" t="str">
            <v>URELLA 10 CREAM 150 ML</v>
          </cell>
        </row>
        <row r="9277">
          <cell r="B9277" t="str">
            <v>FG05684</v>
          </cell>
          <cell r="C9277" t="str">
            <v>URELLA 50 CREAM 40 ML</v>
          </cell>
        </row>
        <row r="9278">
          <cell r="B9278" t="str">
            <v>FG05685</v>
          </cell>
          <cell r="C9278" t="str">
            <v>UROGRAFIN 100ML INFUSION 76% (EO)</v>
          </cell>
        </row>
        <row r="9279">
          <cell r="B9279" t="str">
            <v>FG05686</v>
          </cell>
          <cell r="C9279" t="str">
            <v>VANCOMYCINE 1GR ING B/1AMP (FR)</v>
          </cell>
        </row>
        <row r="9280">
          <cell r="B9280" t="str">
            <v>FG05687</v>
          </cell>
          <cell r="C9280" t="str">
            <v>VASTAREL 20MG 60CES (FR)</v>
          </cell>
        </row>
        <row r="9281">
          <cell r="B9281" t="str">
            <v>FG05688</v>
          </cell>
          <cell r="C9281" t="str">
            <v>VEGEBOM SAVON 100GM</v>
          </cell>
        </row>
        <row r="9282">
          <cell r="B9282" t="str">
            <v>FG05689</v>
          </cell>
          <cell r="C9282" t="str">
            <v>VENTOLINE 2MG CRP B/40 (FR)</v>
          </cell>
        </row>
        <row r="9283">
          <cell r="B9283" t="str">
            <v>FG05690</v>
          </cell>
          <cell r="C9283" t="str">
            <v>VIAGRA 100MG CES B/4 (FR)</v>
          </cell>
        </row>
        <row r="9284">
          <cell r="B9284" t="str">
            <v>FG05691</v>
          </cell>
          <cell r="C9284" t="str">
            <v>VISIODIS COLLYRE 1MG 10MI (FR)</v>
          </cell>
        </row>
        <row r="9285">
          <cell r="B9285" t="str">
            <v>FG05692</v>
          </cell>
          <cell r="C9285" t="str">
            <v>VITASCORBOL VIT C 1000MG EFF 20 CES (EO)</v>
          </cell>
        </row>
        <row r="9286">
          <cell r="B9286" t="str">
            <v>FG05693</v>
          </cell>
          <cell r="C9286" t="str">
            <v>VITISKIN HYDROGEL 50ML</v>
          </cell>
        </row>
        <row r="9287">
          <cell r="B9287" t="str">
            <v>FG05694</v>
          </cell>
          <cell r="C9287" t="str">
            <v>VOGALENE 0.1% SOL BUV 150ML</v>
          </cell>
        </row>
        <row r="9288">
          <cell r="B9288" t="str">
            <v>FG05695</v>
          </cell>
          <cell r="C9288" t="str">
            <v>VOLTAREN 25MG 10SUPPO (FR)</v>
          </cell>
        </row>
        <row r="9289">
          <cell r="B9289" t="str">
            <v>FG05696</v>
          </cell>
          <cell r="C9289" t="str">
            <v>VOLTARENE 75MG 5AMP (GR)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ey Tellis" refreshedDate="46251.524639236108" createdVersion="8" refreshedVersion="8" minRefreshableVersion="3" recordCount="19" xr:uid="{8BE11B54-7FD4-45C2-BCFB-6D46BBB93737}">
  <cacheSource type="worksheet">
    <worksheetSource ref="A1:E20" sheet="Sheet1"/>
  </cacheSource>
  <cacheFields count="7">
    <cacheField name="PRF_No" numFmtId="0">
      <sharedItems containsSemiMixedTypes="0" containsString="0" containsNumber="1" minValue="1761.25" maxValue="1911.26"/>
    </cacheField>
    <cacheField name="PO_No" numFmtId="0">
      <sharedItems count="4">
        <s v="018/2026"/>
        <s v="019/2026"/>
        <s v="0141/2026"/>
        <s v="0104/2026"/>
      </sharedItems>
    </cacheField>
    <cacheField name="PO_Date" numFmtId="15">
      <sharedItems containsSemiMixedTypes="0" containsNonDate="0" containsDate="1" containsString="0" minDate="2026-01-22T00:00:00" maxDate="2026-07-03T00:00:00" count="3">
        <d v="2026-01-22T00:00:00"/>
        <d v="2026-07-02T00:00:00"/>
        <d v="2026-06-01T00:00:00"/>
      </sharedItems>
      <fieldGroup par="6"/>
    </cacheField>
    <cacheField name="PO_Total_Amount" numFmtId="0">
      <sharedItems containsSemiMixedTypes="0" containsString="0" containsNumber="1" minValue="3200" maxValue="54000"/>
    </cacheField>
    <cacheField name="Advance_Amount" numFmtId="0">
      <sharedItems containsSemiMixedTypes="0" containsString="0" containsNumber="1" minValue="960" maxValue="16200"/>
    </cacheField>
    <cacheField name="Days (PO_Date)" numFmtId="0" databaseField="0">
      <fieldGroup base="2">
        <rangePr groupBy="days" startDate="2026-01-22T00:00:00" endDate="2026-07-03T00:00:00"/>
        <groupItems count="368">
          <s v="&lt;22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7-2026"/>
        </groupItems>
      </fieldGroup>
    </cacheField>
    <cacheField name="Months (PO_Date)" numFmtId="0" databaseField="0">
      <fieldGroup base="2">
        <rangePr groupBy="months" startDate="2026-01-22T00:00:00" endDate="2026-07-03T00:00:00"/>
        <groupItems count="14">
          <s v="&lt;22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761.25"/>
    <x v="0"/>
    <x v="0"/>
    <n v="35200"/>
    <n v="10560"/>
  </r>
  <r>
    <n v="1761.25"/>
    <x v="0"/>
    <x v="0"/>
    <n v="21600"/>
    <n v="6480"/>
  </r>
  <r>
    <n v="1761.25"/>
    <x v="0"/>
    <x v="0"/>
    <n v="10000"/>
    <n v="3000"/>
  </r>
  <r>
    <n v="1772.26"/>
    <x v="0"/>
    <x v="0"/>
    <n v="11000"/>
    <n v="3300"/>
  </r>
  <r>
    <n v="1765.25"/>
    <x v="1"/>
    <x v="0"/>
    <n v="3240"/>
    <n v="972"/>
  </r>
  <r>
    <n v="1911.26"/>
    <x v="2"/>
    <x v="1"/>
    <n v="8300"/>
    <n v="2490"/>
  </r>
  <r>
    <n v="1911.26"/>
    <x v="2"/>
    <x v="1"/>
    <n v="4200"/>
    <n v="1260"/>
  </r>
  <r>
    <n v="1911.26"/>
    <x v="2"/>
    <x v="1"/>
    <n v="5699.9999999999991"/>
    <n v="1709.9999999999998"/>
  </r>
  <r>
    <n v="1877.26"/>
    <x v="3"/>
    <x v="2"/>
    <n v="39600"/>
    <n v="11880"/>
  </r>
  <r>
    <n v="1877.26"/>
    <x v="3"/>
    <x v="2"/>
    <n v="54000"/>
    <n v="16200"/>
  </r>
  <r>
    <n v="1877.26"/>
    <x v="3"/>
    <x v="2"/>
    <n v="3400"/>
    <n v="1020"/>
  </r>
  <r>
    <n v="1877.26"/>
    <x v="3"/>
    <x v="2"/>
    <n v="11000"/>
    <n v="3300"/>
  </r>
  <r>
    <n v="1877.26"/>
    <x v="3"/>
    <x v="2"/>
    <n v="3500"/>
    <n v="1050"/>
  </r>
  <r>
    <n v="1877.26"/>
    <x v="3"/>
    <x v="2"/>
    <n v="10500"/>
    <n v="3150"/>
  </r>
  <r>
    <n v="1877.26"/>
    <x v="3"/>
    <x v="2"/>
    <n v="11500"/>
    <n v="3450"/>
  </r>
  <r>
    <n v="1877.26"/>
    <x v="3"/>
    <x v="2"/>
    <n v="3200"/>
    <n v="960"/>
  </r>
  <r>
    <n v="1877.26"/>
    <x v="3"/>
    <x v="2"/>
    <n v="3500"/>
    <n v="1050"/>
  </r>
  <r>
    <n v="1877.26"/>
    <x v="3"/>
    <x v="2"/>
    <n v="5699.9999999999991"/>
    <n v="1709.9999999999998"/>
  </r>
  <r>
    <n v="1877.26"/>
    <x v="3"/>
    <x v="2"/>
    <n v="8750"/>
    <n v="2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B895C-B308-49EA-A53C-BD0C7933C8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2:O8" firstHeaderRow="1" firstDataRow="2" firstDataCol="2"/>
  <pivotFields count="7">
    <pivotField compact="0" outline="0" showAll="0" defaultSubtotal="0"/>
    <pivotField axis="axisRow" compact="0" outline="0" showAll="0" defaultSubtotal="0">
      <items count="4">
        <item x="3"/>
        <item x="2"/>
        <item x="0"/>
        <item x="1"/>
      </items>
    </pivotField>
    <pivotField axis="axisRow" compact="0" numFmtId="15" outline="0" showAll="0" defaultSubtotal="0">
      <items count="3">
        <item x="0"/>
        <item x="2"/>
        <item x="1"/>
      </items>
    </pivotField>
    <pivotField dataField="1" compact="0" outline="0" showAll="0" defaultSubtotal="0"/>
    <pivotField dataField="1" compact="0" outline="0" showAll="0" defaultSubtotal="0"/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"/>
    <field x="1"/>
  </rowFields>
  <rowItems count="5">
    <i>
      <x/>
      <x v="2"/>
    </i>
    <i r="1">
      <x v="3"/>
    </i>
    <i>
      <x v="1"/>
      <x/>
    </i>
    <i>
      <x v="2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_Total_Amount" fld="3" baseField="0" baseItem="0"/>
    <dataField name="Sum of Advance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T1048567"/>
  <sheetViews>
    <sheetView topLeftCell="AI1" zoomScaleNormal="100" workbookViewId="0">
      <pane ySplit="1" topLeftCell="A76" activePane="bottomLeft" state="frozen"/>
      <selection pane="bottomLeft" activeCell="AY76" sqref="AY76"/>
    </sheetView>
  </sheetViews>
  <sheetFormatPr defaultColWidth="9.140625" defaultRowHeight="15" x14ac:dyDescent="0.25"/>
  <cols>
    <col min="1" max="1" width="18.28515625" style="6" bestFit="1" customWidth="1"/>
    <col min="2" max="3" width="13.140625" style="6" bestFit="1" customWidth="1"/>
    <col min="4" max="4" width="11.7109375" style="6" bestFit="1" customWidth="1"/>
    <col min="5" max="5" width="14.5703125" style="37" bestFit="1" customWidth="1"/>
    <col min="6" max="6" width="22.5703125" style="38" bestFit="1" customWidth="1"/>
    <col min="7" max="7" width="18.85546875" style="6" bestFit="1" customWidth="1"/>
    <col min="8" max="8" width="22.140625" style="40" bestFit="1" customWidth="1"/>
    <col min="9" max="9" width="12.42578125" style="6" bestFit="1" customWidth="1"/>
    <col min="10" max="10" width="10.42578125" style="6" bestFit="1" customWidth="1"/>
    <col min="11" max="11" width="14.28515625" style="41" bestFit="1" customWidth="1"/>
    <col min="12" max="13" width="15.140625" style="42" customWidth="1"/>
    <col min="14" max="14" width="19.42578125" style="42" customWidth="1"/>
    <col min="15" max="15" width="15.140625" style="42" customWidth="1"/>
    <col min="16" max="16" width="15.28515625" style="42" bestFit="1" customWidth="1"/>
    <col min="17" max="17" width="11.7109375" style="38" bestFit="1" customWidth="1"/>
    <col min="18" max="18" width="13" style="6" customWidth="1"/>
    <col min="19" max="19" width="27.140625" style="6" bestFit="1" customWidth="1"/>
    <col min="20" max="20" width="10.42578125" style="50" bestFit="1" customWidth="1"/>
    <col min="21" max="21" width="73.5703125" style="6" bestFit="1" customWidth="1"/>
    <col min="22" max="22" width="14.28515625" style="41" bestFit="1" customWidth="1"/>
    <col min="23" max="23" width="8" style="41" bestFit="1" customWidth="1"/>
    <col min="24" max="24" width="8" style="44" bestFit="1" customWidth="1"/>
    <col min="25" max="25" width="14.42578125" style="42" customWidth="1"/>
    <col min="26" max="27" width="12.5703125" style="42" customWidth="1"/>
    <col min="28" max="28" width="12.7109375" style="45" customWidth="1"/>
    <col min="29" max="29" width="11.5703125" style="42" bestFit="1" customWidth="1"/>
    <col min="30" max="30" width="12.5703125" style="42" bestFit="1" customWidth="1"/>
    <col min="31" max="31" width="10.42578125" style="6" bestFit="1" customWidth="1"/>
    <col min="32" max="32" width="19.140625" style="6" bestFit="1" customWidth="1"/>
    <col min="33" max="33" width="13.28515625" style="41" bestFit="1" customWidth="1"/>
    <col min="34" max="35" width="13.28515625" style="41" customWidth="1"/>
    <col min="36" max="36" width="13.28515625" style="41" bestFit="1" customWidth="1"/>
    <col min="37" max="37" width="10.85546875" style="6" bestFit="1" customWidth="1"/>
    <col min="38" max="38" width="10.140625" style="6" bestFit="1" customWidth="1"/>
    <col min="39" max="39" width="20" style="6" bestFit="1" customWidth="1"/>
    <col min="40" max="40" width="7" style="41" bestFit="1" customWidth="1"/>
    <col min="41" max="41" width="12.5703125" style="42" bestFit="1" customWidth="1"/>
    <col min="42" max="45" width="12.5703125" style="42" customWidth="1"/>
    <col min="46" max="46" width="15.28515625" style="38" bestFit="1" customWidth="1"/>
    <col min="47" max="47" width="10.140625" style="6" bestFit="1" customWidth="1"/>
    <col min="48" max="48" width="34.140625" style="6" bestFit="1" customWidth="1"/>
    <col min="49" max="49" width="13.28515625" style="41" bestFit="1" customWidth="1"/>
    <col min="50" max="50" width="31.5703125" style="6" customWidth="1"/>
    <col min="51" max="51" width="10.140625" style="6" bestFit="1" customWidth="1"/>
    <col min="52" max="52" width="12.28515625" style="42" bestFit="1" customWidth="1"/>
    <col min="53" max="54" width="11.5703125" style="42" bestFit="1" customWidth="1"/>
    <col min="55" max="55" width="10.140625" style="42" customWidth="1"/>
    <col min="56" max="56" width="11.5703125" style="42" bestFit="1" customWidth="1"/>
    <col min="57" max="58" width="12.28515625" style="42" bestFit="1" customWidth="1"/>
    <col min="59" max="59" width="14.7109375" style="42" bestFit="1" customWidth="1"/>
    <col min="60" max="60" width="12.28515625" style="42" bestFit="1" customWidth="1"/>
    <col min="61" max="61" width="11.5703125" style="42" bestFit="1" customWidth="1"/>
    <col min="62" max="62" width="14.42578125" style="36" bestFit="1" customWidth="1"/>
    <col min="63" max="63" width="26.42578125" style="6" bestFit="1" customWidth="1"/>
    <col min="64" max="66" width="26.42578125" style="6" customWidth="1"/>
    <col min="67" max="67" width="26.42578125" style="42" customWidth="1"/>
    <col min="68" max="68" width="26.42578125" style="6" customWidth="1"/>
    <col min="69" max="69" width="14.7109375" style="6" customWidth="1"/>
    <col min="70" max="70" width="30.42578125" style="6" bestFit="1" customWidth="1"/>
    <col min="71" max="71" width="12.5703125" style="6" customWidth="1"/>
    <col min="72" max="72" width="15.85546875" style="6" customWidth="1"/>
    <col min="73" max="16384" width="9.140625" style="6"/>
  </cols>
  <sheetData>
    <row r="1" spans="1:72" s="35" customFormat="1" ht="45" x14ac:dyDescent="0.25">
      <c r="A1" s="33" t="s">
        <v>1</v>
      </c>
      <c r="B1" s="33" t="s">
        <v>19687</v>
      </c>
      <c r="C1" s="33" t="s">
        <v>19688</v>
      </c>
      <c r="D1" s="33" t="s">
        <v>19689</v>
      </c>
      <c r="E1" s="33" t="s">
        <v>20005</v>
      </c>
      <c r="F1" s="33" t="s">
        <v>20006</v>
      </c>
      <c r="G1" s="33" t="s">
        <v>20007</v>
      </c>
      <c r="H1" s="33" t="s">
        <v>20008</v>
      </c>
      <c r="I1" s="33" t="s">
        <v>20009</v>
      </c>
      <c r="J1" s="33" t="s">
        <v>20010</v>
      </c>
      <c r="K1" s="33" t="s">
        <v>20011</v>
      </c>
      <c r="L1" s="33" t="s">
        <v>20012</v>
      </c>
      <c r="M1" s="33" t="s">
        <v>20013</v>
      </c>
      <c r="N1" s="33" t="s">
        <v>20053</v>
      </c>
      <c r="O1" s="33" t="s">
        <v>20054</v>
      </c>
      <c r="P1" s="33" t="s">
        <v>20014</v>
      </c>
      <c r="Q1" s="33" t="s">
        <v>20015</v>
      </c>
      <c r="R1" s="33" t="s">
        <v>20016</v>
      </c>
      <c r="S1" s="33" t="s">
        <v>19690</v>
      </c>
      <c r="T1" s="33" t="s">
        <v>20017</v>
      </c>
      <c r="U1" s="34" t="s">
        <v>19692</v>
      </c>
      <c r="V1" s="33" t="s">
        <v>20018</v>
      </c>
      <c r="W1" s="33" t="s">
        <v>20019</v>
      </c>
      <c r="X1" s="33" t="s">
        <v>20020</v>
      </c>
      <c r="Y1" s="33" t="s">
        <v>20021</v>
      </c>
      <c r="Z1" s="33" t="s">
        <v>20055</v>
      </c>
      <c r="AA1" s="33" t="s">
        <v>20022</v>
      </c>
      <c r="AB1" s="33" t="s">
        <v>20023</v>
      </c>
      <c r="AC1" s="33" t="s">
        <v>20024</v>
      </c>
      <c r="AD1" s="33" t="s">
        <v>20025</v>
      </c>
      <c r="AE1" s="33" t="s">
        <v>20026</v>
      </c>
      <c r="AF1" s="33" t="s">
        <v>20027</v>
      </c>
      <c r="AG1" s="33" t="s">
        <v>20028</v>
      </c>
      <c r="AH1" s="33" t="s">
        <v>19712</v>
      </c>
      <c r="AI1" s="33" t="s">
        <v>20120</v>
      </c>
      <c r="AJ1" s="33" t="s">
        <v>20029</v>
      </c>
      <c r="AK1" s="33" t="s">
        <v>19693</v>
      </c>
      <c r="AL1" s="33" t="s">
        <v>20030</v>
      </c>
      <c r="AM1" s="33" t="s">
        <v>20031</v>
      </c>
      <c r="AN1" s="33" t="s">
        <v>20032</v>
      </c>
      <c r="AO1" s="33" t="s">
        <v>19701</v>
      </c>
      <c r="AP1" s="33" t="s">
        <v>19997</v>
      </c>
      <c r="AQ1" s="33" t="s">
        <v>20033</v>
      </c>
      <c r="AR1" s="33" t="s">
        <v>20034</v>
      </c>
      <c r="AS1" s="33" t="s">
        <v>20035</v>
      </c>
      <c r="AT1" s="33" t="s">
        <v>19694</v>
      </c>
      <c r="AU1" s="33" t="s">
        <v>20036</v>
      </c>
      <c r="AV1" s="33" t="s">
        <v>19695</v>
      </c>
      <c r="AW1" s="33" t="s">
        <v>19696</v>
      </c>
      <c r="AX1" s="33" t="s">
        <v>20037</v>
      </c>
      <c r="AY1" s="33" t="s">
        <v>20038</v>
      </c>
      <c r="AZ1" s="33" t="s">
        <v>20039</v>
      </c>
      <c r="BA1" s="33" t="s">
        <v>19698</v>
      </c>
      <c r="BB1" s="33" t="s">
        <v>20088</v>
      </c>
      <c r="BC1" s="33" t="s">
        <v>20040</v>
      </c>
      <c r="BD1" s="33" t="s">
        <v>19699</v>
      </c>
      <c r="BE1" s="33" t="s">
        <v>19697</v>
      </c>
      <c r="BF1" s="33" t="s">
        <v>19700</v>
      </c>
      <c r="BG1" s="33" t="s">
        <v>20041</v>
      </c>
      <c r="BH1" s="33" t="s">
        <v>19705</v>
      </c>
      <c r="BI1" s="33" t="s">
        <v>20042</v>
      </c>
      <c r="BJ1" s="33" t="s">
        <v>20043</v>
      </c>
      <c r="BK1" s="33" t="s">
        <v>20044</v>
      </c>
      <c r="BL1" s="33" t="s">
        <v>20045</v>
      </c>
      <c r="BM1" s="33" t="s">
        <v>20046</v>
      </c>
      <c r="BN1" s="33" t="s">
        <v>20047</v>
      </c>
      <c r="BO1" s="33" t="s">
        <v>20048</v>
      </c>
      <c r="BP1" s="33" t="s">
        <v>20049</v>
      </c>
      <c r="BQ1" s="33" t="s">
        <v>20050</v>
      </c>
      <c r="BR1" s="33" t="s">
        <v>19674</v>
      </c>
      <c r="BS1" s="33" t="s">
        <v>20051</v>
      </c>
      <c r="BT1" s="33" t="s">
        <v>20052</v>
      </c>
    </row>
    <row r="2" spans="1:72" hidden="1" x14ac:dyDescent="0.25">
      <c r="A2" s="6" t="s">
        <v>19436</v>
      </c>
      <c r="B2" s="6">
        <v>1932.26</v>
      </c>
      <c r="C2" s="36">
        <v>46188</v>
      </c>
      <c r="D2" s="6" t="s">
        <v>19438</v>
      </c>
      <c r="E2" s="37">
        <v>15000</v>
      </c>
      <c r="F2" s="38" t="s">
        <v>19589</v>
      </c>
      <c r="G2" s="39" t="str">
        <f>IF(AG2="","GRN Not Received",AW2/AG2)</f>
        <v>GRN Not Received</v>
      </c>
      <c r="H2" s="40" t="str">
        <f>IF(E2="PRF_Details_Not Availbale","PRF Qty Not Available",IF(G2="GRN Not Received","GRN Not Received",--E2*--G2))</f>
        <v>GRN Not Received</v>
      </c>
      <c r="I2" s="6" t="s">
        <v>19443</v>
      </c>
      <c r="J2" s="36">
        <v>46197</v>
      </c>
      <c r="K2" s="41">
        <v>300000</v>
      </c>
      <c r="L2" s="42">
        <v>0.13</v>
      </c>
      <c r="M2" s="42">
        <f>K2*L2</f>
        <v>39000</v>
      </c>
      <c r="N2" s="42">
        <v>0</v>
      </c>
      <c r="O2" s="42">
        <v>0</v>
      </c>
      <c r="P2" s="42">
        <f>M2+O2</f>
        <v>39000</v>
      </c>
      <c r="Q2" s="38" t="s">
        <v>19547</v>
      </c>
      <c r="R2" s="36">
        <v>46197</v>
      </c>
      <c r="S2" s="36" t="s">
        <v>19446</v>
      </c>
      <c r="T2" s="43" t="s">
        <v>19442</v>
      </c>
      <c r="U2" s="6" t="str">
        <f>IFERROR(VLOOKUP(T2,'item master'!B:C,2,0),"")</f>
        <v>DYNAMIQ20 AMP</v>
      </c>
      <c r="V2" s="6">
        <v>300000</v>
      </c>
      <c r="W2" s="6">
        <v>0</v>
      </c>
      <c r="X2" s="44">
        <v>0.13</v>
      </c>
      <c r="Y2" s="42">
        <f t="shared" ref="Y2:Y44" si="0">V2*X2</f>
        <v>39000</v>
      </c>
      <c r="Z2" s="42">
        <v>0</v>
      </c>
      <c r="AA2" s="42">
        <f>Y2+Z2</f>
        <v>39000</v>
      </c>
      <c r="AB2" s="45">
        <v>0.3</v>
      </c>
      <c r="AC2" s="42">
        <f t="shared" ref="AC2:AC12" si="1">Y2*AB2</f>
        <v>11700</v>
      </c>
      <c r="AD2" s="42">
        <v>11700</v>
      </c>
      <c r="AE2" s="36">
        <v>46203</v>
      </c>
      <c r="AF2" s="6" t="s">
        <v>19548</v>
      </c>
      <c r="AH2" s="41">
        <f>AG2</f>
        <v>0</v>
      </c>
      <c r="AJ2" s="6">
        <f t="shared" ref="AJ2:AJ39" si="2">V2-AG2</f>
        <v>300000</v>
      </c>
      <c r="AN2" s="6"/>
      <c r="AS2" s="42">
        <f>AO2+AP2+AQ2+AR2</f>
        <v>0</v>
      </c>
      <c r="AV2" s="6" t="s">
        <v>19584</v>
      </c>
      <c r="BA2" s="46">
        <f t="shared" ref="BA2:BA33" si="3">AD2+AZ2</f>
        <v>11700</v>
      </c>
      <c r="BB2" s="46">
        <v>0</v>
      </c>
      <c r="BC2" s="46">
        <v>0</v>
      </c>
      <c r="BD2" s="46" t="str">
        <f>IF(AK2&gt;0,BA2+BB2+BC2,"0")</f>
        <v>0</v>
      </c>
      <c r="BE2" s="46">
        <f>BA2-BD2</f>
        <v>11700</v>
      </c>
      <c r="BF2" s="42">
        <v>0</v>
      </c>
      <c r="BG2" s="47">
        <f t="shared" ref="BG2:BG8" si="4">BE2-BF2</f>
        <v>11700</v>
      </c>
      <c r="BH2" s="46">
        <f>AS2-BD2</f>
        <v>0</v>
      </c>
      <c r="BJ2" s="6"/>
      <c r="BO2" s="48">
        <f>BI2+BL2</f>
        <v>0</v>
      </c>
      <c r="BP2" s="48">
        <f>BH2-BO2</f>
        <v>0</v>
      </c>
      <c r="BQ2" s="6" t="str">
        <f t="shared" ref="BQ2:BQ65" si="5">IF(ROUND(BG2,2)&gt;0,"Advance With Supplier",IF(ROUND(BP2,2)&gt;0,"Payable Balance Supplier","Fully Paid"))</f>
        <v>Advance With Supplier</v>
      </c>
      <c r="BS2" s="6" t="str">
        <f t="shared" ref="BS2:BS33" si="6">IF(AX2&lt;&gt;"","Closed","Open")</f>
        <v>Open</v>
      </c>
      <c r="BT2" s="49">
        <f t="shared" ref="BT2:BT65" ca="1" si="7">IF(BS2="Open",TODAY()-J2,"Closed")</f>
        <v>66</v>
      </c>
    </row>
    <row r="3" spans="1:72" hidden="1" x14ac:dyDescent="0.25">
      <c r="A3" s="6" t="s">
        <v>19436</v>
      </c>
      <c r="B3" s="6">
        <v>1904.26</v>
      </c>
      <c r="C3" s="36">
        <v>46174</v>
      </c>
      <c r="D3" s="6" t="s">
        <v>19438</v>
      </c>
      <c r="E3" s="37">
        <v>24000</v>
      </c>
      <c r="F3" s="38" t="s">
        <v>19549</v>
      </c>
      <c r="G3" s="39" t="str">
        <f t="shared" ref="G3:G66" si="8">IF(AG3="","GRN Not Received",AW3/AG3)</f>
        <v>GRN Not Received</v>
      </c>
      <c r="H3" s="40" t="str">
        <f t="shared" ref="H3:H66" si="9">IF(E3="PRF_Details_Not Availbale","PRF Qty Not Available",IF(G3="GRN Not Received","GRN Not Received",--E3*--G3))</f>
        <v>GRN Not Received</v>
      </c>
      <c r="I3" s="6" t="s">
        <v>19552</v>
      </c>
      <c r="J3" s="36">
        <v>46211</v>
      </c>
      <c r="K3" s="41">
        <f t="shared" ref="K3:K8" si="10">E3</f>
        <v>24000</v>
      </c>
      <c r="L3" s="42">
        <v>0.28000000000000003</v>
      </c>
      <c r="M3" s="42">
        <f t="shared" ref="M3:M66" si="11">K3*L3</f>
        <v>6720.0000000000009</v>
      </c>
      <c r="N3" s="42">
        <v>0</v>
      </c>
      <c r="O3" s="42">
        <v>0</v>
      </c>
      <c r="P3" s="42">
        <f t="shared" ref="P3:P66" si="12">M3+O3</f>
        <v>6720.0000000000009</v>
      </c>
      <c r="Q3" s="38">
        <v>2062026</v>
      </c>
      <c r="R3" s="36">
        <v>46175</v>
      </c>
      <c r="S3" s="36" t="s">
        <v>19489</v>
      </c>
      <c r="T3" s="50" t="s">
        <v>16589</v>
      </c>
      <c r="U3" s="6" t="str">
        <f>IFERROR(VLOOKUP(T3,'item master'!B:C,2,0),"")</f>
        <v>DELABACT SAVON ***125GM***</v>
      </c>
      <c r="V3" s="6">
        <v>24000</v>
      </c>
      <c r="W3" s="6">
        <v>0</v>
      </c>
      <c r="X3" s="44">
        <v>0.28000000000000003</v>
      </c>
      <c r="Y3" s="42">
        <f t="shared" si="0"/>
        <v>6720.0000000000009</v>
      </c>
      <c r="Z3" s="42">
        <v>0</v>
      </c>
      <c r="AA3" s="42">
        <f t="shared" ref="AA3:AA66" si="13">Y3+Z3</f>
        <v>6720.0000000000009</v>
      </c>
      <c r="AB3" s="45">
        <v>0.5</v>
      </c>
      <c r="AC3" s="42">
        <f t="shared" si="1"/>
        <v>3360.0000000000005</v>
      </c>
      <c r="AD3" s="42">
        <f t="shared" ref="AD3:AD12" si="14">AC3</f>
        <v>3360.0000000000005</v>
      </c>
      <c r="AE3" s="36">
        <v>46216</v>
      </c>
      <c r="AF3" s="6" t="s">
        <v>19553</v>
      </c>
      <c r="AH3" s="41">
        <f t="shared" ref="AH3:AH66" si="15">AG3</f>
        <v>0</v>
      </c>
      <c r="AJ3" s="6">
        <f t="shared" si="2"/>
        <v>24000</v>
      </c>
      <c r="AN3" s="6"/>
      <c r="AS3" s="42">
        <f t="shared" ref="AS3:AS66" si="16">AO3+AP3+AQ3+AR3</f>
        <v>0</v>
      </c>
      <c r="AV3" s="6" t="s">
        <v>19584</v>
      </c>
      <c r="BA3" s="46">
        <f t="shared" si="3"/>
        <v>3360.0000000000005</v>
      </c>
      <c r="BB3" s="46">
        <v>0</v>
      </c>
      <c r="BC3" s="46">
        <v>0</v>
      </c>
      <c r="BD3" s="46" t="str">
        <f t="shared" ref="BD3:BD66" si="17">IF(AK3&gt;0,BA3+BB3+BC3,"0")</f>
        <v>0</v>
      </c>
      <c r="BE3" s="46">
        <f t="shared" ref="BE3:BE8" si="18">BA3-BD3</f>
        <v>3360.0000000000005</v>
      </c>
      <c r="BF3" s="42">
        <v>0</v>
      </c>
      <c r="BG3" s="47">
        <f t="shared" si="4"/>
        <v>3360.0000000000005</v>
      </c>
      <c r="BH3" s="46">
        <f t="shared" ref="BH3:BH66" si="19">AS3-BD3</f>
        <v>0</v>
      </c>
      <c r="BJ3" s="6"/>
      <c r="BO3" s="48">
        <f t="shared" ref="BO3:BO66" si="20">BI3+BL3</f>
        <v>0</v>
      </c>
      <c r="BP3" s="48">
        <f t="shared" ref="BP3:BP66" si="21">BH3-BO3</f>
        <v>0</v>
      </c>
      <c r="BQ3" s="6" t="str">
        <f t="shared" si="5"/>
        <v>Advance With Supplier</v>
      </c>
      <c r="BS3" s="6" t="str">
        <f t="shared" si="6"/>
        <v>Open</v>
      </c>
      <c r="BT3" s="49">
        <f t="shared" ca="1" si="7"/>
        <v>52</v>
      </c>
    </row>
    <row r="4" spans="1:72" hidden="1" x14ac:dyDescent="0.25">
      <c r="A4" s="6" t="s">
        <v>19436</v>
      </c>
      <c r="B4" s="6">
        <v>1904.26</v>
      </c>
      <c r="C4" s="36">
        <v>46174</v>
      </c>
      <c r="D4" s="6" t="s">
        <v>19438</v>
      </c>
      <c r="E4" s="37">
        <v>200000</v>
      </c>
      <c r="F4" s="38" t="s">
        <v>19550</v>
      </c>
      <c r="G4" s="39" t="str">
        <f t="shared" si="8"/>
        <v>GRN Not Received</v>
      </c>
      <c r="H4" s="40" t="str">
        <f t="shared" si="9"/>
        <v>GRN Not Received</v>
      </c>
      <c r="I4" s="6" t="s">
        <v>19552</v>
      </c>
      <c r="J4" s="36">
        <v>46211</v>
      </c>
      <c r="K4" s="41">
        <f t="shared" si="10"/>
        <v>200000</v>
      </c>
      <c r="L4" s="42">
        <v>0.2</v>
      </c>
      <c r="M4" s="42">
        <f t="shared" si="11"/>
        <v>40000</v>
      </c>
      <c r="N4" s="42">
        <v>0</v>
      </c>
      <c r="O4" s="42">
        <v>0</v>
      </c>
      <c r="P4" s="42">
        <f t="shared" si="12"/>
        <v>40000</v>
      </c>
      <c r="Q4" s="38">
        <v>2062026</v>
      </c>
      <c r="R4" s="36">
        <v>46175</v>
      </c>
      <c r="S4" s="36" t="s">
        <v>19489</v>
      </c>
      <c r="T4" s="50" t="s">
        <v>9730</v>
      </c>
      <c r="U4" s="6" t="str">
        <f>IFERROR(VLOOKUP(T4,'item master'!B:C,2,0),"")</f>
        <v>DELABACT SAVON 75GM</v>
      </c>
      <c r="V4" s="6">
        <v>200000</v>
      </c>
      <c r="W4" s="6">
        <v>0</v>
      </c>
      <c r="X4" s="44">
        <v>0.2</v>
      </c>
      <c r="Y4" s="42">
        <f t="shared" si="0"/>
        <v>40000</v>
      </c>
      <c r="Z4" s="42">
        <v>0</v>
      </c>
      <c r="AA4" s="42">
        <f t="shared" si="13"/>
        <v>40000</v>
      </c>
      <c r="AB4" s="45">
        <v>0.5</v>
      </c>
      <c r="AC4" s="42">
        <f t="shared" si="1"/>
        <v>20000</v>
      </c>
      <c r="AD4" s="42">
        <f t="shared" si="14"/>
        <v>20000</v>
      </c>
      <c r="AE4" s="36">
        <v>46216</v>
      </c>
      <c r="AF4" s="6" t="s">
        <v>19553</v>
      </c>
      <c r="AH4" s="41">
        <f t="shared" si="15"/>
        <v>0</v>
      </c>
      <c r="AJ4" s="6">
        <f t="shared" si="2"/>
        <v>200000</v>
      </c>
      <c r="AN4" s="6"/>
      <c r="AS4" s="42">
        <f t="shared" si="16"/>
        <v>0</v>
      </c>
      <c r="AV4" s="6" t="s">
        <v>19584</v>
      </c>
      <c r="BA4" s="46">
        <f t="shared" si="3"/>
        <v>20000</v>
      </c>
      <c r="BB4" s="46">
        <v>0</v>
      </c>
      <c r="BC4" s="46">
        <v>0</v>
      </c>
      <c r="BD4" s="46" t="str">
        <f t="shared" si="17"/>
        <v>0</v>
      </c>
      <c r="BE4" s="46">
        <f t="shared" si="18"/>
        <v>20000</v>
      </c>
      <c r="BF4" s="42">
        <v>0</v>
      </c>
      <c r="BG4" s="47">
        <f t="shared" si="4"/>
        <v>20000</v>
      </c>
      <c r="BH4" s="46">
        <f t="shared" si="19"/>
        <v>0</v>
      </c>
      <c r="BJ4" s="6"/>
      <c r="BO4" s="48">
        <f t="shared" si="20"/>
        <v>0</v>
      </c>
      <c r="BP4" s="48">
        <f t="shared" si="21"/>
        <v>0</v>
      </c>
      <c r="BQ4" s="6" t="str">
        <f t="shared" si="5"/>
        <v>Advance With Supplier</v>
      </c>
      <c r="BS4" s="6" t="str">
        <f t="shared" si="6"/>
        <v>Open</v>
      </c>
      <c r="BT4" s="49">
        <f t="shared" ca="1" si="7"/>
        <v>52</v>
      </c>
    </row>
    <row r="5" spans="1:72" hidden="1" x14ac:dyDescent="0.25">
      <c r="A5" s="6" t="s">
        <v>19436</v>
      </c>
      <c r="B5" s="6">
        <v>1904.26</v>
      </c>
      <c r="C5" s="36">
        <v>46174</v>
      </c>
      <c r="D5" s="6" t="s">
        <v>19438</v>
      </c>
      <c r="E5" s="37">
        <v>12000</v>
      </c>
      <c r="F5" s="38" t="s">
        <v>19550</v>
      </c>
      <c r="G5" s="39" t="str">
        <f t="shared" si="8"/>
        <v>GRN Not Received</v>
      </c>
      <c r="H5" s="40" t="str">
        <f t="shared" si="9"/>
        <v>GRN Not Received</v>
      </c>
      <c r="I5" s="6" t="s">
        <v>19552</v>
      </c>
      <c r="J5" s="36">
        <v>46211</v>
      </c>
      <c r="K5" s="41">
        <f t="shared" si="10"/>
        <v>12000</v>
      </c>
      <c r="L5" s="42">
        <v>0.19600000000000001</v>
      </c>
      <c r="M5" s="42">
        <f t="shared" si="11"/>
        <v>2352</v>
      </c>
      <c r="N5" s="42">
        <v>0</v>
      </c>
      <c r="O5" s="42">
        <v>0</v>
      </c>
      <c r="P5" s="42">
        <f t="shared" si="12"/>
        <v>2352</v>
      </c>
      <c r="Q5" s="38">
        <v>2062026</v>
      </c>
      <c r="R5" s="36">
        <v>46175</v>
      </c>
      <c r="S5" s="36" t="s">
        <v>19489</v>
      </c>
      <c r="T5" s="50" t="s">
        <v>17079</v>
      </c>
      <c r="U5" s="6" t="str">
        <f>IFERROR(VLOOKUP(T5,'item master'!B:C,2,0),"")</f>
        <v>20 DEGRE SAVON DE BEAUTE PAPAYE 75G</v>
      </c>
      <c r="V5" s="6">
        <v>12000</v>
      </c>
      <c r="W5" s="6">
        <v>0</v>
      </c>
      <c r="X5" s="44">
        <v>0.19600000000000001</v>
      </c>
      <c r="Y5" s="42">
        <f t="shared" si="0"/>
        <v>2352</v>
      </c>
      <c r="Z5" s="42">
        <v>0</v>
      </c>
      <c r="AA5" s="42">
        <f t="shared" si="13"/>
        <v>2352</v>
      </c>
      <c r="AB5" s="45">
        <v>0.5</v>
      </c>
      <c r="AC5" s="42">
        <f t="shared" si="1"/>
        <v>1176</v>
      </c>
      <c r="AD5" s="42">
        <f t="shared" si="14"/>
        <v>1176</v>
      </c>
      <c r="AE5" s="36">
        <v>46216</v>
      </c>
      <c r="AF5" s="6" t="s">
        <v>19553</v>
      </c>
      <c r="AH5" s="41">
        <f t="shared" si="15"/>
        <v>0</v>
      </c>
      <c r="AJ5" s="6">
        <f t="shared" si="2"/>
        <v>12000</v>
      </c>
      <c r="AN5" s="6"/>
      <c r="AS5" s="42">
        <f t="shared" si="16"/>
        <v>0</v>
      </c>
      <c r="AV5" s="6" t="s">
        <v>19584</v>
      </c>
      <c r="BA5" s="46">
        <f t="shared" si="3"/>
        <v>1176</v>
      </c>
      <c r="BB5" s="46">
        <v>0</v>
      </c>
      <c r="BC5" s="46">
        <v>0</v>
      </c>
      <c r="BD5" s="46" t="str">
        <f t="shared" si="17"/>
        <v>0</v>
      </c>
      <c r="BE5" s="46">
        <f t="shared" si="18"/>
        <v>1176</v>
      </c>
      <c r="BF5" s="42">
        <v>0</v>
      </c>
      <c r="BG5" s="47">
        <f t="shared" si="4"/>
        <v>1176</v>
      </c>
      <c r="BH5" s="46">
        <f t="shared" si="19"/>
        <v>0</v>
      </c>
      <c r="BJ5" s="6"/>
      <c r="BO5" s="48">
        <f t="shared" si="20"/>
        <v>0</v>
      </c>
      <c r="BP5" s="48">
        <f t="shared" si="21"/>
        <v>0</v>
      </c>
      <c r="BQ5" s="6" t="str">
        <f t="shared" si="5"/>
        <v>Advance With Supplier</v>
      </c>
      <c r="BS5" s="6" t="str">
        <f t="shared" si="6"/>
        <v>Open</v>
      </c>
      <c r="BT5" s="49">
        <f t="shared" ca="1" si="7"/>
        <v>52</v>
      </c>
    </row>
    <row r="6" spans="1:72" hidden="1" x14ac:dyDescent="0.25">
      <c r="A6" s="6" t="s">
        <v>19436</v>
      </c>
      <c r="B6" s="6">
        <v>1904.26</v>
      </c>
      <c r="C6" s="36">
        <v>46174</v>
      </c>
      <c r="D6" s="6" t="s">
        <v>19438</v>
      </c>
      <c r="E6" s="37">
        <v>12000</v>
      </c>
      <c r="F6" s="38" t="s">
        <v>19550</v>
      </c>
      <c r="G6" s="39" t="str">
        <f t="shared" si="8"/>
        <v>GRN Not Received</v>
      </c>
      <c r="H6" s="40" t="str">
        <f t="shared" si="9"/>
        <v>GRN Not Received</v>
      </c>
      <c r="I6" s="6" t="s">
        <v>19552</v>
      </c>
      <c r="J6" s="36">
        <v>46211</v>
      </c>
      <c r="K6" s="41">
        <f t="shared" si="10"/>
        <v>12000</v>
      </c>
      <c r="L6" s="42">
        <v>0.28000000000000003</v>
      </c>
      <c r="M6" s="42">
        <f t="shared" si="11"/>
        <v>3360.0000000000005</v>
      </c>
      <c r="N6" s="42">
        <v>0</v>
      </c>
      <c r="O6" s="42">
        <v>0</v>
      </c>
      <c r="P6" s="42">
        <f t="shared" si="12"/>
        <v>3360.0000000000005</v>
      </c>
      <c r="Q6" s="38">
        <v>2062026</v>
      </c>
      <c r="R6" s="36">
        <v>46175</v>
      </c>
      <c r="S6" s="36" t="s">
        <v>19489</v>
      </c>
      <c r="T6" s="50" t="s">
        <v>16591</v>
      </c>
      <c r="U6" s="6" t="str">
        <f>IFERROR(VLOOKUP(T6,'item master'!B:C,2,0),"")</f>
        <v>KETOMIZ SAVON 75GM</v>
      </c>
      <c r="V6" s="6">
        <v>12000</v>
      </c>
      <c r="W6" s="6">
        <v>0</v>
      </c>
      <c r="X6" s="44">
        <v>0.28000000000000003</v>
      </c>
      <c r="Y6" s="42">
        <f t="shared" si="0"/>
        <v>3360.0000000000005</v>
      </c>
      <c r="Z6" s="42">
        <v>0</v>
      </c>
      <c r="AA6" s="42">
        <f t="shared" si="13"/>
        <v>3360.0000000000005</v>
      </c>
      <c r="AB6" s="45">
        <v>0.5</v>
      </c>
      <c r="AC6" s="42">
        <f t="shared" si="1"/>
        <v>1680.0000000000002</v>
      </c>
      <c r="AD6" s="42">
        <f t="shared" si="14"/>
        <v>1680.0000000000002</v>
      </c>
      <c r="AE6" s="36">
        <v>46216</v>
      </c>
      <c r="AF6" s="6" t="s">
        <v>19553</v>
      </c>
      <c r="AH6" s="41">
        <f t="shared" si="15"/>
        <v>0</v>
      </c>
      <c r="AJ6" s="6">
        <f t="shared" si="2"/>
        <v>12000</v>
      </c>
      <c r="AN6" s="6"/>
      <c r="AS6" s="42">
        <f t="shared" si="16"/>
        <v>0</v>
      </c>
      <c r="AV6" s="6" t="s">
        <v>19584</v>
      </c>
      <c r="BA6" s="46">
        <f t="shared" si="3"/>
        <v>1680.0000000000002</v>
      </c>
      <c r="BB6" s="46">
        <v>0</v>
      </c>
      <c r="BC6" s="46">
        <v>0</v>
      </c>
      <c r="BD6" s="46" t="str">
        <f t="shared" si="17"/>
        <v>0</v>
      </c>
      <c r="BE6" s="46">
        <f t="shared" si="18"/>
        <v>1680.0000000000002</v>
      </c>
      <c r="BF6" s="42">
        <v>0</v>
      </c>
      <c r="BG6" s="47">
        <f t="shared" si="4"/>
        <v>1680.0000000000002</v>
      </c>
      <c r="BH6" s="46">
        <f t="shared" si="19"/>
        <v>0</v>
      </c>
      <c r="BJ6" s="6"/>
      <c r="BO6" s="48">
        <f t="shared" si="20"/>
        <v>0</v>
      </c>
      <c r="BP6" s="48">
        <f t="shared" si="21"/>
        <v>0</v>
      </c>
      <c r="BQ6" s="6" t="str">
        <f t="shared" si="5"/>
        <v>Advance With Supplier</v>
      </c>
      <c r="BS6" s="6" t="str">
        <f t="shared" si="6"/>
        <v>Open</v>
      </c>
      <c r="BT6" s="49">
        <f t="shared" ca="1" si="7"/>
        <v>52</v>
      </c>
    </row>
    <row r="7" spans="1:72" ht="13.5" hidden="1" customHeight="1" x14ac:dyDescent="0.25">
      <c r="A7" s="6" t="s">
        <v>19436</v>
      </c>
      <c r="B7" s="6">
        <v>1904.26</v>
      </c>
      <c r="C7" s="36">
        <v>46174</v>
      </c>
      <c r="D7" s="6" t="s">
        <v>19438</v>
      </c>
      <c r="E7" s="37">
        <v>12000</v>
      </c>
      <c r="F7" s="38" t="s">
        <v>19551</v>
      </c>
      <c r="G7" s="39" t="str">
        <f t="shared" si="8"/>
        <v>GRN Not Received</v>
      </c>
      <c r="H7" s="40" t="str">
        <f t="shared" si="9"/>
        <v>GRN Not Received</v>
      </c>
      <c r="I7" s="6" t="s">
        <v>19552</v>
      </c>
      <c r="J7" s="36">
        <v>46211</v>
      </c>
      <c r="K7" s="41">
        <f t="shared" si="10"/>
        <v>12000</v>
      </c>
      <c r="L7" s="42">
        <v>0.27600000000000002</v>
      </c>
      <c r="M7" s="42">
        <f t="shared" si="11"/>
        <v>3312.0000000000005</v>
      </c>
      <c r="N7" s="42">
        <v>0</v>
      </c>
      <c r="O7" s="42">
        <v>0</v>
      </c>
      <c r="P7" s="42">
        <f t="shared" si="12"/>
        <v>3312.0000000000005</v>
      </c>
      <c r="Q7" s="38">
        <v>2062026</v>
      </c>
      <c r="R7" s="36">
        <v>46175</v>
      </c>
      <c r="S7" s="36" t="s">
        <v>19489</v>
      </c>
      <c r="T7" s="50" t="s">
        <v>17077</v>
      </c>
      <c r="U7" s="6" t="str">
        <f>IFERROR(VLOOKUP(T7,'item master'!B:C,2,0),"")</f>
        <v>GERMITTOL SAVON 100 GM</v>
      </c>
      <c r="V7" s="6">
        <v>12000</v>
      </c>
      <c r="W7" s="6">
        <v>0</v>
      </c>
      <c r="X7" s="44">
        <v>0.27600000000000002</v>
      </c>
      <c r="Y7" s="42">
        <f t="shared" si="0"/>
        <v>3312.0000000000005</v>
      </c>
      <c r="Z7" s="42">
        <v>0</v>
      </c>
      <c r="AA7" s="42">
        <f t="shared" si="13"/>
        <v>3312.0000000000005</v>
      </c>
      <c r="AB7" s="45">
        <v>0.5</v>
      </c>
      <c r="AC7" s="42">
        <f t="shared" si="1"/>
        <v>1656.0000000000002</v>
      </c>
      <c r="AD7" s="42">
        <f t="shared" si="14"/>
        <v>1656.0000000000002</v>
      </c>
      <c r="AE7" s="36">
        <v>46216</v>
      </c>
      <c r="AF7" s="6" t="s">
        <v>19553</v>
      </c>
      <c r="AH7" s="41">
        <f t="shared" si="15"/>
        <v>0</v>
      </c>
      <c r="AJ7" s="6">
        <f t="shared" si="2"/>
        <v>12000</v>
      </c>
      <c r="AN7" s="6"/>
      <c r="AS7" s="42">
        <f t="shared" si="16"/>
        <v>0</v>
      </c>
      <c r="AV7" s="6" t="s">
        <v>19584</v>
      </c>
      <c r="BA7" s="46">
        <f t="shared" si="3"/>
        <v>1656.0000000000002</v>
      </c>
      <c r="BB7" s="46">
        <v>0</v>
      </c>
      <c r="BC7" s="46">
        <v>0</v>
      </c>
      <c r="BD7" s="46" t="str">
        <f t="shared" si="17"/>
        <v>0</v>
      </c>
      <c r="BE7" s="46">
        <f t="shared" si="18"/>
        <v>1656.0000000000002</v>
      </c>
      <c r="BF7" s="42">
        <v>0</v>
      </c>
      <c r="BG7" s="47">
        <f t="shared" si="4"/>
        <v>1656.0000000000002</v>
      </c>
      <c r="BH7" s="46">
        <f t="shared" si="19"/>
        <v>0</v>
      </c>
      <c r="BJ7" s="6"/>
      <c r="BO7" s="48">
        <f t="shared" si="20"/>
        <v>0</v>
      </c>
      <c r="BP7" s="48">
        <f t="shared" si="21"/>
        <v>0</v>
      </c>
      <c r="BQ7" s="6" t="str">
        <f t="shared" si="5"/>
        <v>Advance With Supplier</v>
      </c>
      <c r="BS7" s="6" t="str">
        <f t="shared" si="6"/>
        <v>Open</v>
      </c>
      <c r="BT7" s="49">
        <f t="shared" ca="1" si="7"/>
        <v>52</v>
      </c>
    </row>
    <row r="8" spans="1:72" hidden="1" x14ac:dyDescent="0.25">
      <c r="A8" s="6" t="s">
        <v>19436</v>
      </c>
      <c r="B8" s="6">
        <v>1904.26</v>
      </c>
      <c r="C8" s="36">
        <v>46174</v>
      </c>
      <c r="D8" s="6" t="s">
        <v>19438</v>
      </c>
      <c r="E8" s="37">
        <v>30000</v>
      </c>
      <c r="F8" s="38" t="s">
        <v>19551</v>
      </c>
      <c r="G8" s="39" t="str">
        <f t="shared" si="8"/>
        <v>GRN Not Received</v>
      </c>
      <c r="H8" s="40" t="str">
        <f t="shared" si="9"/>
        <v>GRN Not Received</v>
      </c>
      <c r="I8" s="6" t="s">
        <v>19552</v>
      </c>
      <c r="J8" s="36">
        <v>46211</v>
      </c>
      <c r="K8" s="41">
        <f t="shared" si="10"/>
        <v>30000</v>
      </c>
      <c r="L8" s="42">
        <v>0.24</v>
      </c>
      <c r="M8" s="42">
        <f t="shared" si="11"/>
        <v>7200</v>
      </c>
      <c r="N8" s="42">
        <v>0</v>
      </c>
      <c r="O8" s="42">
        <v>0</v>
      </c>
      <c r="P8" s="42">
        <f t="shared" si="12"/>
        <v>7200</v>
      </c>
      <c r="Q8" s="38">
        <v>2062026</v>
      </c>
      <c r="R8" s="36">
        <v>46175</v>
      </c>
      <c r="S8" s="36" t="s">
        <v>19489</v>
      </c>
      <c r="T8" s="50" t="s">
        <v>17091</v>
      </c>
      <c r="U8" s="6" t="str">
        <f>IFERROR(VLOOKUP(T8,'item master'!B:C,2,0),"")</f>
        <v>20 DEGRE TALC (NEEM+MENTHE) 100G</v>
      </c>
      <c r="V8" s="6">
        <v>30000</v>
      </c>
      <c r="W8" s="6">
        <v>0</v>
      </c>
      <c r="X8" s="44">
        <v>0.24</v>
      </c>
      <c r="Y8" s="42">
        <f t="shared" si="0"/>
        <v>7200</v>
      </c>
      <c r="Z8" s="42">
        <v>0</v>
      </c>
      <c r="AA8" s="42">
        <f t="shared" si="13"/>
        <v>7200</v>
      </c>
      <c r="AB8" s="45">
        <v>0.5</v>
      </c>
      <c r="AC8" s="42">
        <f t="shared" si="1"/>
        <v>3600</v>
      </c>
      <c r="AD8" s="42">
        <f t="shared" si="14"/>
        <v>3600</v>
      </c>
      <c r="AE8" s="36">
        <v>46216</v>
      </c>
      <c r="AF8" s="6" t="s">
        <v>19553</v>
      </c>
      <c r="AH8" s="41">
        <f t="shared" si="15"/>
        <v>0</v>
      </c>
      <c r="AJ8" s="6">
        <f t="shared" si="2"/>
        <v>30000</v>
      </c>
      <c r="AN8" s="6"/>
      <c r="AS8" s="42">
        <f t="shared" si="16"/>
        <v>0</v>
      </c>
      <c r="AV8" s="6" t="s">
        <v>19584</v>
      </c>
      <c r="BA8" s="46">
        <f t="shared" si="3"/>
        <v>3600</v>
      </c>
      <c r="BB8" s="46">
        <v>0</v>
      </c>
      <c r="BC8" s="46">
        <v>0</v>
      </c>
      <c r="BD8" s="46" t="str">
        <f t="shared" si="17"/>
        <v>0</v>
      </c>
      <c r="BE8" s="46">
        <f t="shared" si="18"/>
        <v>3600</v>
      </c>
      <c r="BF8" s="42">
        <v>0</v>
      </c>
      <c r="BG8" s="47">
        <f t="shared" si="4"/>
        <v>3600</v>
      </c>
      <c r="BH8" s="46">
        <f t="shared" si="19"/>
        <v>0</v>
      </c>
      <c r="BJ8" s="6"/>
      <c r="BO8" s="48">
        <f t="shared" si="20"/>
        <v>0</v>
      </c>
      <c r="BP8" s="48">
        <f t="shared" si="21"/>
        <v>0</v>
      </c>
      <c r="BQ8" s="6" t="str">
        <f t="shared" si="5"/>
        <v>Advance With Supplier</v>
      </c>
      <c r="BS8" s="6" t="str">
        <f t="shared" si="6"/>
        <v>Open</v>
      </c>
      <c r="BT8" s="49">
        <f t="shared" ca="1" si="7"/>
        <v>52</v>
      </c>
    </row>
    <row r="9" spans="1:72" hidden="1" x14ac:dyDescent="0.25">
      <c r="A9" s="6" t="s">
        <v>19437</v>
      </c>
      <c r="B9" s="6" t="s">
        <v>20097</v>
      </c>
      <c r="C9" s="6" t="s">
        <v>20097</v>
      </c>
      <c r="D9" s="6" t="s">
        <v>19438</v>
      </c>
      <c r="E9" s="6" t="s">
        <v>20097</v>
      </c>
      <c r="F9" s="38" t="s">
        <v>19605</v>
      </c>
      <c r="G9" s="39">
        <f t="shared" si="8"/>
        <v>10</v>
      </c>
      <c r="H9" s="40" t="str">
        <f t="shared" si="9"/>
        <v>PRF Qty Not Available</v>
      </c>
      <c r="I9" s="6" t="s">
        <v>19621</v>
      </c>
      <c r="J9" s="36">
        <v>45388</v>
      </c>
      <c r="K9" s="51">
        <v>4000</v>
      </c>
      <c r="L9" s="46">
        <v>4.4000000000000004</v>
      </c>
      <c r="M9" s="42">
        <f t="shared" si="11"/>
        <v>17600</v>
      </c>
      <c r="N9" s="42">
        <v>0</v>
      </c>
      <c r="O9" s="42">
        <v>0</v>
      </c>
      <c r="P9" s="42">
        <f t="shared" si="12"/>
        <v>17600</v>
      </c>
      <c r="Q9" s="38" t="s">
        <v>19622</v>
      </c>
      <c r="R9" s="36">
        <v>45381</v>
      </c>
      <c r="S9" s="36" t="s">
        <v>19499</v>
      </c>
      <c r="T9" s="52" t="s">
        <v>19568</v>
      </c>
      <c r="U9" s="6" t="str">
        <f>IFERROR(VLOOKUP(T9,'item master'!B:C,2,0),"")</f>
        <v>DIAZEPAM 10MG/2ML INJ B/10AMP</v>
      </c>
      <c r="V9" s="51">
        <f t="shared" ref="V9:V36" si="22">K9</f>
        <v>4000</v>
      </c>
      <c r="W9" s="6">
        <v>0</v>
      </c>
      <c r="X9" s="53">
        <f t="shared" ref="X9:X36" si="23">L9</f>
        <v>4.4000000000000004</v>
      </c>
      <c r="Y9" s="46">
        <f t="shared" si="0"/>
        <v>17600</v>
      </c>
      <c r="Z9" s="42">
        <v>0</v>
      </c>
      <c r="AA9" s="42">
        <f t="shared" si="13"/>
        <v>17600</v>
      </c>
      <c r="AB9" s="45">
        <v>0.3</v>
      </c>
      <c r="AC9" s="46">
        <f t="shared" si="1"/>
        <v>5280</v>
      </c>
      <c r="AD9" s="46">
        <f t="shared" si="14"/>
        <v>5280</v>
      </c>
      <c r="AE9" s="54">
        <v>45463</v>
      </c>
      <c r="AF9" s="6" t="s">
        <v>19642</v>
      </c>
      <c r="AG9" s="41">
        <v>4000</v>
      </c>
      <c r="AH9" s="41">
        <f t="shared" si="15"/>
        <v>4000</v>
      </c>
      <c r="AJ9" s="51">
        <f t="shared" si="2"/>
        <v>0</v>
      </c>
      <c r="AK9" s="6" t="s">
        <v>19628</v>
      </c>
      <c r="AL9" s="36">
        <v>45479</v>
      </c>
      <c r="AM9" s="6" t="s">
        <v>19580</v>
      </c>
      <c r="AN9" s="6">
        <v>4.4000000000000004</v>
      </c>
      <c r="AO9" s="46">
        <f t="shared" ref="AO9:AO40" si="24">AG9*AN9</f>
        <v>17600</v>
      </c>
      <c r="AP9" s="46"/>
      <c r="AQ9" s="46"/>
      <c r="AR9" s="46"/>
      <c r="AS9" s="42">
        <f t="shared" si="16"/>
        <v>17600</v>
      </c>
      <c r="AT9" s="38">
        <v>242156078</v>
      </c>
      <c r="AU9" s="36">
        <v>45525</v>
      </c>
      <c r="AV9" s="6" t="s">
        <v>19583</v>
      </c>
      <c r="AW9" s="51">
        <v>40000</v>
      </c>
      <c r="AX9" s="55" t="s">
        <v>19808</v>
      </c>
      <c r="AY9" s="36">
        <v>45573</v>
      </c>
      <c r="AZ9" s="46">
        <v>0</v>
      </c>
      <c r="BA9" s="46">
        <f t="shared" si="3"/>
        <v>5280</v>
      </c>
      <c r="BB9" s="46">
        <v>0</v>
      </c>
      <c r="BC9" s="46">
        <v>0</v>
      </c>
      <c r="BD9" s="46">
        <f t="shared" si="17"/>
        <v>5280</v>
      </c>
      <c r="BE9" s="46">
        <f>BA9-BD9</f>
        <v>0</v>
      </c>
      <c r="BF9" s="42">
        <v>0</v>
      </c>
      <c r="BG9" s="47">
        <f>BE9-BF9</f>
        <v>0</v>
      </c>
      <c r="BH9" s="46">
        <f t="shared" si="19"/>
        <v>12320</v>
      </c>
      <c r="BI9" s="46">
        <f>BH9</f>
        <v>12320</v>
      </c>
      <c r="BJ9" s="36">
        <v>45500</v>
      </c>
      <c r="BK9" s="6" t="s">
        <v>19629</v>
      </c>
      <c r="BO9" s="48">
        <f t="shared" si="20"/>
        <v>12320</v>
      </c>
      <c r="BP9" s="48">
        <f t="shared" si="21"/>
        <v>0</v>
      </c>
      <c r="BQ9" s="6" t="str">
        <f t="shared" si="5"/>
        <v>Fully Paid</v>
      </c>
      <c r="BS9" s="6" t="str">
        <f t="shared" si="6"/>
        <v>Closed</v>
      </c>
      <c r="BT9" s="49" t="str">
        <f t="shared" ca="1" si="7"/>
        <v>Closed</v>
      </c>
    </row>
    <row r="10" spans="1:72" hidden="1" x14ac:dyDescent="0.25">
      <c r="A10" s="6" t="s">
        <v>19437</v>
      </c>
      <c r="B10" s="6" t="s">
        <v>20097</v>
      </c>
      <c r="C10" s="6" t="s">
        <v>20097</v>
      </c>
      <c r="D10" s="6" t="s">
        <v>19438</v>
      </c>
      <c r="E10" s="6" t="s">
        <v>20097</v>
      </c>
      <c r="F10" s="38">
        <v>0</v>
      </c>
      <c r="G10" s="39">
        <f t="shared" si="8"/>
        <v>1</v>
      </c>
      <c r="H10" s="40" t="str">
        <f t="shared" si="9"/>
        <v>PRF Qty Not Available</v>
      </c>
      <c r="I10" s="6" t="s">
        <v>19621</v>
      </c>
      <c r="J10" s="36">
        <v>45388</v>
      </c>
      <c r="K10" s="51">
        <v>1000000</v>
      </c>
      <c r="L10" s="46">
        <v>0.09</v>
      </c>
      <c r="M10" s="42">
        <f t="shared" si="11"/>
        <v>90000</v>
      </c>
      <c r="N10" s="42">
        <v>0</v>
      </c>
      <c r="O10" s="42">
        <v>0</v>
      </c>
      <c r="P10" s="42">
        <f t="shared" si="12"/>
        <v>90000</v>
      </c>
      <c r="Q10" s="38" t="s">
        <v>19622</v>
      </c>
      <c r="R10" s="36">
        <v>45381</v>
      </c>
      <c r="S10" s="36" t="s">
        <v>19499</v>
      </c>
      <c r="T10" s="56" t="s">
        <v>2348</v>
      </c>
      <c r="U10" s="6" t="str">
        <f>IFERROR(VLOOKUP(T10,'item master'!B:C,2,0),"")</f>
        <v>LINCOMYCINE 600MG INJ.B/1 VIAL</v>
      </c>
      <c r="V10" s="51">
        <f t="shared" si="22"/>
        <v>1000000</v>
      </c>
      <c r="W10" s="6">
        <v>0</v>
      </c>
      <c r="X10" s="53">
        <f t="shared" si="23"/>
        <v>0.09</v>
      </c>
      <c r="Y10" s="46">
        <f t="shared" si="0"/>
        <v>90000</v>
      </c>
      <c r="Z10" s="42">
        <v>0</v>
      </c>
      <c r="AA10" s="42">
        <f t="shared" si="13"/>
        <v>90000</v>
      </c>
      <c r="AB10" s="45">
        <v>0.3</v>
      </c>
      <c r="AC10" s="46">
        <f t="shared" si="1"/>
        <v>27000</v>
      </c>
      <c r="AD10" s="46">
        <f t="shared" si="14"/>
        <v>27000</v>
      </c>
      <c r="AE10" s="54">
        <v>45463</v>
      </c>
      <c r="AF10" s="6" t="s">
        <v>19642</v>
      </c>
      <c r="AG10" s="41">
        <v>1011000</v>
      </c>
      <c r="AH10" s="41">
        <f t="shared" si="15"/>
        <v>1011000</v>
      </c>
      <c r="AJ10" s="51">
        <f t="shared" si="2"/>
        <v>-11000</v>
      </c>
      <c r="AK10" s="6" t="s">
        <v>19628</v>
      </c>
      <c r="AL10" s="36">
        <v>45479</v>
      </c>
      <c r="AM10" s="6" t="s">
        <v>19580</v>
      </c>
      <c r="AN10" s="6">
        <v>0.09</v>
      </c>
      <c r="AO10" s="46">
        <f t="shared" si="24"/>
        <v>90990</v>
      </c>
      <c r="AP10" s="46"/>
      <c r="AQ10" s="46"/>
      <c r="AR10" s="46"/>
      <c r="AS10" s="42">
        <f t="shared" si="16"/>
        <v>90990</v>
      </c>
      <c r="AT10" s="38">
        <v>242156078</v>
      </c>
      <c r="AU10" s="36">
        <v>45525</v>
      </c>
      <c r="AV10" s="6" t="s">
        <v>19583</v>
      </c>
      <c r="AW10" s="51">
        <f>926000+85000</f>
        <v>1011000</v>
      </c>
      <c r="AX10" s="55" t="s">
        <v>20117</v>
      </c>
      <c r="AY10" s="36" t="s">
        <v>20118</v>
      </c>
      <c r="AZ10" s="46">
        <v>0</v>
      </c>
      <c r="BA10" s="46">
        <f t="shared" si="3"/>
        <v>27000</v>
      </c>
      <c r="BB10" s="46">
        <v>0</v>
      </c>
      <c r="BC10" s="46">
        <v>297</v>
      </c>
      <c r="BD10" s="46">
        <f t="shared" si="17"/>
        <v>27297</v>
      </c>
      <c r="BE10" s="46">
        <f t="shared" ref="BE10:BF72" si="25">BA10-BD10</f>
        <v>-297</v>
      </c>
      <c r="BF10" s="42">
        <v>-297</v>
      </c>
      <c r="BG10" s="47">
        <f t="shared" ref="BG10:BG25" si="26">BE10-BF10</f>
        <v>0</v>
      </c>
      <c r="BH10" s="46">
        <f t="shared" si="19"/>
        <v>63693</v>
      </c>
      <c r="BI10" s="46">
        <f>BH10</f>
        <v>63693</v>
      </c>
      <c r="BJ10" s="36">
        <v>45500</v>
      </c>
      <c r="BK10" s="6" t="s">
        <v>19629</v>
      </c>
      <c r="BO10" s="48">
        <f t="shared" si="20"/>
        <v>63693</v>
      </c>
      <c r="BP10" s="48">
        <f t="shared" si="21"/>
        <v>0</v>
      </c>
      <c r="BQ10" s="6" t="str">
        <f t="shared" si="5"/>
        <v>Fully Paid</v>
      </c>
      <c r="BR10" s="6" t="s">
        <v>20119</v>
      </c>
      <c r="BS10" s="6" t="str">
        <f t="shared" si="6"/>
        <v>Closed</v>
      </c>
      <c r="BT10" s="49" t="str">
        <f t="shared" ca="1" si="7"/>
        <v>Closed</v>
      </c>
    </row>
    <row r="11" spans="1:72" hidden="1" x14ac:dyDescent="0.25">
      <c r="A11" s="6" t="s">
        <v>19437</v>
      </c>
      <c r="B11" s="6" t="s">
        <v>20097</v>
      </c>
      <c r="C11" s="6" t="s">
        <v>20097</v>
      </c>
      <c r="D11" s="6" t="s">
        <v>19438</v>
      </c>
      <c r="E11" s="6" t="s">
        <v>20097</v>
      </c>
      <c r="F11" s="38" t="s">
        <v>19605</v>
      </c>
      <c r="G11" s="39">
        <f t="shared" si="8"/>
        <v>10</v>
      </c>
      <c r="H11" s="40" t="str">
        <f t="shared" si="9"/>
        <v>PRF Qty Not Available</v>
      </c>
      <c r="I11" s="6" t="s">
        <v>19621</v>
      </c>
      <c r="J11" s="36">
        <v>45388</v>
      </c>
      <c r="K11" s="51">
        <v>2000</v>
      </c>
      <c r="L11" s="46">
        <v>5.3</v>
      </c>
      <c r="M11" s="42">
        <f t="shared" si="11"/>
        <v>10600</v>
      </c>
      <c r="N11" s="42">
        <v>0</v>
      </c>
      <c r="O11" s="42">
        <v>0</v>
      </c>
      <c r="P11" s="42">
        <f t="shared" si="12"/>
        <v>10600</v>
      </c>
      <c r="Q11" s="38" t="s">
        <v>19622</v>
      </c>
      <c r="R11" s="36">
        <v>45381</v>
      </c>
      <c r="S11" s="36" t="s">
        <v>19499</v>
      </c>
      <c r="T11" s="56" t="s">
        <v>10284</v>
      </c>
      <c r="U11" s="6" t="str">
        <f>IFERROR(VLOOKUP(T11,'item master'!B:C,2,0),"")</f>
        <v>ERGOMETRINE B/10AMP</v>
      </c>
      <c r="V11" s="51">
        <f t="shared" si="22"/>
        <v>2000</v>
      </c>
      <c r="W11" s="6">
        <v>0</v>
      </c>
      <c r="X11" s="53">
        <f t="shared" si="23"/>
        <v>5.3</v>
      </c>
      <c r="Y11" s="46">
        <f t="shared" si="0"/>
        <v>10600</v>
      </c>
      <c r="Z11" s="42">
        <v>0</v>
      </c>
      <c r="AA11" s="42">
        <f t="shared" si="13"/>
        <v>10600</v>
      </c>
      <c r="AB11" s="45">
        <v>0.3</v>
      </c>
      <c r="AC11" s="46">
        <f t="shared" si="1"/>
        <v>3180</v>
      </c>
      <c r="AD11" s="46">
        <f t="shared" si="14"/>
        <v>3180</v>
      </c>
      <c r="AE11" s="54">
        <v>45463</v>
      </c>
      <c r="AF11" s="6" t="s">
        <v>19642</v>
      </c>
      <c r="AG11" s="41">
        <v>2000</v>
      </c>
      <c r="AH11" s="41">
        <f t="shared" si="15"/>
        <v>2000</v>
      </c>
      <c r="AJ11" s="51">
        <f t="shared" si="2"/>
        <v>0</v>
      </c>
      <c r="AK11" s="6" t="s">
        <v>19625</v>
      </c>
      <c r="AL11" s="36">
        <v>45457</v>
      </c>
      <c r="AM11" s="6" t="s">
        <v>19580</v>
      </c>
      <c r="AN11" s="6">
        <v>5.3</v>
      </c>
      <c r="AO11" s="46">
        <f t="shared" si="24"/>
        <v>10600</v>
      </c>
      <c r="AP11" s="46"/>
      <c r="AQ11" s="46"/>
      <c r="AR11" s="46"/>
      <c r="AS11" s="42">
        <f t="shared" si="16"/>
        <v>10600</v>
      </c>
      <c r="AT11" s="38" t="s">
        <v>19626</v>
      </c>
      <c r="AU11" s="36">
        <v>45500</v>
      </c>
      <c r="AV11" s="6" t="s">
        <v>19583</v>
      </c>
      <c r="AW11" s="51">
        <v>20000</v>
      </c>
      <c r="AX11" s="57" t="s">
        <v>19627</v>
      </c>
      <c r="AY11" s="36">
        <v>45544</v>
      </c>
      <c r="AZ11" s="46">
        <v>0</v>
      </c>
      <c r="BA11" s="46">
        <f t="shared" si="3"/>
        <v>3180</v>
      </c>
      <c r="BB11" s="46">
        <v>0</v>
      </c>
      <c r="BC11" s="46">
        <v>0</v>
      </c>
      <c r="BD11" s="46">
        <f t="shared" si="17"/>
        <v>3180</v>
      </c>
      <c r="BE11" s="46">
        <f t="shared" si="25"/>
        <v>0</v>
      </c>
      <c r="BF11" s="42">
        <v>0</v>
      </c>
      <c r="BG11" s="47">
        <f t="shared" si="26"/>
        <v>0</v>
      </c>
      <c r="BH11" s="46">
        <f t="shared" si="19"/>
        <v>7420</v>
      </c>
      <c r="BI11" s="46">
        <f t="shared" ref="BI11:BI24" si="27">BH11</f>
        <v>7420</v>
      </c>
      <c r="BJ11" s="36">
        <v>45500</v>
      </c>
      <c r="BK11" s="6" t="s">
        <v>19629</v>
      </c>
      <c r="BO11" s="48">
        <f t="shared" si="20"/>
        <v>7420</v>
      </c>
      <c r="BP11" s="48">
        <f t="shared" si="21"/>
        <v>0</v>
      </c>
      <c r="BQ11" s="6" t="str">
        <f t="shared" si="5"/>
        <v>Fully Paid</v>
      </c>
      <c r="BS11" s="6" t="str">
        <f t="shared" si="6"/>
        <v>Closed</v>
      </c>
      <c r="BT11" s="49" t="str">
        <f t="shared" ca="1" si="7"/>
        <v>Closed</v>
      </c>
    </row>
    <row r="12" spans="1:72" hidden="1" x14ac:dyDescent="0.25">
      <c r="A12" s="6" t="s">
        <v>19437</v>
      </c>
      <c r="B12" s="6" t="s">
        <v>20097</v>
      </c>
      <c r="C12" s="6" t="s">
        <v>20097</v>
      </c>
      <c r="D12" s="6" t="s">
        <v>19438</v>
      </c>
      <c r="E12" s="6" t="s">
        <v>20097</v>
      </c>
      <c r="F12" s="38" t="s">
        <v>691</v>
      </c>
      <c r="G12" s="39">
        <f t="shared" si="8"/>
        <v>1</v>
      </c>
      <c r="H12" s="40" t="str">
        <f t="shared" si="9"/>
        <v>PRF Qty Not Available</v>
      </c>
      <c r="I12" s="6" t="s">
        <v>19621</v>
      </c>
      <c r="J12" s="36">
        <v>45388</v>
      </c>
      <c r="K12" s="51">
        <v>100000</v>
      </c>
      <c r="L12" s="46">
        <v>0.11</v>
      </c>
      <c r="M12" s="42">
        <f t="shared" si="11"/>
        <v>11000</v>
      </c>
      <c r="N12" s="42">
        <v>0</v>
      </c>
      <c r="O12" s="42">
        <v>0</v>
      </c>
      <c r="P12" s="42">
        <f t="shared" si="12"/>
        <v>11000</v>
      </c>
      <c r="Q12" s="38" t="s">
        <v>19622</v>
      </c>
      <c r="R12" s="36">
        <v>45381</v>
      </c>
      <c r="S12" s="36" t="s">
        <v>19499</v>
      </c>
      <c r="T12" s="56" t="s">
        <v>19624</v>
      </c>
      <c r="U12" s="6" t="str">
        <f>IFERROR(VLOOKUP(T12,'item master'!B:C,2,0),"")</f>
        <v>UNICAINE 2% (LIDOCAIN) INJ. FL/20ML</v>
      </c>
      <c r="V12" s="51">
        <f t="shared" si="22"/>
        <v>100000</v>
      </c>
      <c r="W12" s="6">
        <v>0</v>
      </c>
      <c r="X12" s="53">
        <f t="shared" si="23"/>
        <v>0.11</v>
      </c>
      <c r="Y12" s="46">
        <f t="shared" si="0"/>
        <v>11000</v>
      </c>
      <c r="Z12" s="42">
        <v>0</v>
      </c>
      <c r="AA12" s="42">
        <f t="shared" si="13"/>
        <v>11000</v>
      </c>
      <c r="AB12" s="45">
        <v>0.3</v>
      </c>
      <c r="AC12" s="46">
        <f t="shared" si="1"/>
        <v>3300</v>
      </c>
      <c r="AD12" s="46">
        <f t="shared" si="14"/>
        <v>3300</v>
      </c>
      <c r="AE12" s="54">
        <v>45463</v>
      </c>
      <c r="AF12" s="6" t="s">
        <v>19642</v>
      </c>
      <c r="AG12" s="41">
        <v>100000</v>
      </c>
      <c r="AH12" s="41">
        <f t="shared" si="15"/>
        <v>100000</v>
      </c>
      <c r="AJ12" s="51">
        <f t="shared" si="2"/>
        <v>0</v>
      </c>
      <c r="AK12" s="6" t="s">
        <v>19625</v>
      </c>
      <c r="AL12" s="36">
        <v>45457</v>
      </c>
      <c r="AM12" s="6" t="s">
        <v>19580</v>
      </c>
      <c r="AN12" s="6">
        <v>0.11</v>
      </c>
      <c r="AO12" s="46">
        <f t="shared" si="24"/>
        <v>11000</v>
      </c>
      <c r="AP12" s="46"/>
      <c r="AQ12" s="46"/>
      <c r="AR12" s="46"/>
      <c r="AS12" s="42">
        <f t="shared" si="16"/>
        <v>11000</v>
      </c>
      <c r="AT12" s="38" t="s">
        <v>19626</v>
      </c>
      <c r="AU12" s="36">
        <v>45500</v>
      </c>
      <c r="AV12" s="6" t="s">
        <v>19583</v>
      </c>
      <c r="AW12" s="51">
        <v>100000</v>
      </c>
      <c r="AX12" s="57" t="s">
        <v>19627</v>
      </c>
      <c r="AY12" s="36">
        <v>45544</v>
      </c>
      <c r="AZ12" s="46">
        <v>0</v>
      </c>
      <c r="BA12" s="46">
        <f t="shared" si="3"/>
        <v>3300</v>
      </c>
      <c r="BB12" s="46">
        <v>0</v>
      </c>
      <c r="BC12" s="46">
        <v>0</v>
      </c>
      <c r="BD12" s="46">
        <f t="shared" si="17"/>
        <v>3300</v>
      </c>
      <c r="BE12" s="46">
        <f t="shared" si="25"/>
        <v>0</v>
      </c>
      <c r="BF12" s="42">
        <v>0</v>
      </c>
      <c r="BG12" s="47">
        <f t="shared" si="26"/>
        <v>0</v>
      </c>
      <c r="BH12" s="46">
        <f t="shared" si="19"/>
        <v>7700</v>
      </c>
      <c r="BI12" s="46">
        <f t="shared" si="27"/>
        <v>7700</v>
      </c>
      <c r="BJ12" s="36">
        <v>45500</v>
      </c>
      <c r="BK12" s="6" t="s">
        <v>19629</v>
      </c>
      <c r="BO12" s="48">
        <f t="shared" si="20"/>
        <v>7700</v>
      </c>
      <c r="BP12" s="48">
        <f t="shared" si="21"/>
        <v>0</v>
      </c>
      <c r="BQ12" s="6" t="str">
        <f t="shared" si="5"/>
        <v>Fully Paid</v>
      </c>
      <c r="BS12" s="6" t="str">
        <f t="shared" si="6"/>
        <v>Closed</v>
      </c>
      <c r="BT12" s="49" t="str">
        <f t="shared" ca="1" si="7"/>
        <v>Closed</v>
      </c>
    </row>
    <row r="13" spans="1:72" hidden="1" x14ac:dyDescent="0.25">
      <c r="A13" s="6" t="s">
        <v>19437</v>
      </c>
      <c r="B13" s="6" t="s">
        <v>20097</v>
      </c>
      <c r="C13" s="6" t="s">
        <v>20097</v>
      </c>
      <c r="D13" s="6" t="s">
        <v>19438</v>
      </c>
      <c r="E13" s="6" t="s">
        <v>20097</v>
      </c>
      <c r="F13" s="38" t="s">
        <v>691</v>
      </c>
      <c r="G13" s="39">
        <f t="shared" si="8"/>
        <v>1</v>
      </c>
      <c r="H13" s="40" t="str">
        <f t="shared" si="9"/>
        <v>PRF Qty Not Available</v>
      </c>
      <c r="I13" s="6" t="s">
        <v>19621</v>
      </c>
      <c r="J13" s="36">
        <v>45388</v>
      </c>
      <c r="K13" s="51">
        <v>0</v>
      </c>
      <c r="L13" s="46">
        <v>0</v>
      </c>
      <c r="M13" s="42">
        <f t="shared" si="11"/>
        <v>0</v>
      </c>
      <c r="N13" s="42">
        <v>0</v>
      </c>
      <c r="O13" s="42">
        <v>0</v>
      </c>
      <c r="P13" s="42">
        <f t="shared" si="12"/>
        <v>0</v>
      </c>
      <c r="Q13" s="38" t="s">
        <v>19622</v>
      </c>
      <c r="R13" s="36">
        <v>45381</v>
      </c>
      <c r="S13" s="36" t="s">
        <v>19499</v>
      </c>
      <c r="T13" s="56" t="s">
        <v>19624</v>
      </c>
      <c r="U13" s="6" t="str">
        <f>IFERROR(VLOOKUP(T13,'item master'!B:C,2,0),"")</f>
        <v>UNICAINE 2% (LIDOCAIN) INJ. FL/20ML</v>
      </c>
      <c r="V13" s="51">
        <f t="shared" si="22"/>
        <v>0</v>
      </c>
      <c r="W13" s="6">
        <v>0</v>
      </c>
      <c r="X13" s="53">
        <f t="shared" si="23"/>
        <v>0</v>
      </c>
      <c r="Y13" s="46">
        <f t="shared" si="0"/>
        <v>0</v>
      </c>
      <c r="Z13" s="42">
        <v>0</v>
      </c>
      <c r="AA13" s="42">
        <f t="shared" si="13"/>
        <v>0</v>
      </c>
      <c r="AC13" s="46"/>
      <c r="AD13" s="46">
        <v>0</v>
      </c>
      <c r="AE13" s="54"/>
      <c r="AG13" s="41">
        <v>1600</v>
      </c>
      <c r="AH13" s="41">
        <f t="shared" si="15"/>
        <v>1600</v>
      </c>
      <c r="AJ13" s="51">
        <f t="shared" si="2"/>
        <v>-1600</v>
      </c>
      <c r="AK13" s="6" t="s">
        <v>19631</v>
      </c>
      <c r="AL13" s="36">
        <v>45668</v>
      </c>
      <c r="AM13" s="6" t="s">
        <v>19580</v>
      </c>
      <c r="AN13" s="6">
        <v>0.11</v>
      </c>
      <c r="AO13" s="46">
        <f t="shared" si="24"/>
        <v>176</v>
      </c>
      <c r="AP13" s="46"/>
      <c r="AQ13" s="46"/>
      <c r="AR13" s="46"/>
      <c r="AS13" s="42">
        <f t="shared" si="16"/>
        <v>176</v>
      </c>
      <c r="AT13" s="38" t="s">
        <v>19643</v>
      </c>
      <c r="AU13" s="36">
        <v>45700</v>
      </c>
      <c r="AV13" s="6" t="s">
        <v>19583</v>
      </c>
      <c r="AW13" s="51">
        <v>1600</v>
      </c>
      <c r="AX13" s="57" t="s">
        <v>19644</v>
      </c>
      <c r="AY13" s="36">
        <v>45747</v>
      </c>
      <c r="AZ13" s="46">
        <v>0</v>
      </c>
      <c r="BA13" s="46">
        <f t="shared" si="3"/>
        <v>0</v>
      </c>
      <c r="BB13" s="46">
        <v>0</v>
      </c>
      <c r="BC13" s="46">
        <v>0</v>
      </c>
      <c r="BD13" s="46">
        <f t="shared" si="17"/>
        <v>0</v>
      </c>
      <c r="BE13" s="46">
        <f t="shared" si="25"/>
        <v>0</v>
      </c>
      <c r="BF13" s="42">
        <v>0</v>
      </c>
      <c r="BG13" s="47">
        <f t="shared" si="26"/>
        <v>0</v>
      </c>
      <c r="BH13" s="46">
        <f t="shared" si="19"/>
        <v>176</v>
      </c>
      <c r="BI13" s="46">
        <f t="shared" si="27"/>
        <v>176</v>
      </c>
      <c r="BJ13" s="54">
        <v>45765</v>
      </c>
      <c r="BK13" s="6" t="s">
        <v>19672</v>
      </c>
      <c r="BO13" s="48">
        <f t="shared" si="20"/>
        <v>176</v>
      </c>
      <c r="BP13" s="48">
        <f t="shared" si="21"/>
        <v>0</v>
      </c>
      <c r="BQ13" s="6" t="str">
        <f t="shared" si="5"/>
        <v>Fully Paid</v>
      </c>
      <c r="BS13" s="6" t="str">
        <f t="shared" si="6"/>
        <v>Closed</v>
      </c>
      <c r="BT13" s="49" t="str">
        <f t="shared" ca="1" si="7"/>
        <v>Closed</v>
      </c>
    </row>
    <row r="14" spans="1:72" hidden="1" x14ac:dyDescent="0.25">
      <c r="A14" s="6" t="s">
        <v>19437</v>
      </c>
      <c r="B14" s="6" t="s">
        <v>20097</v>
      </c>
      <c r="C14" s="6" t="s">
        <v>20097</v>
      </c>
      <c r="D14" s="6" t="s">
        <v>19438</v>
      </c>
      <c r="E14" s="6" t="s">
        <v>20097</v>
      </c>
      <c r="F14" s="38" t="s">
        <v>19556</v>
      </c>
      <c r="G14" s="39">
        <f t="shared" si="8"/>
        <v>1</v>
      </c>
      <c r="H14" s="40" t="str">
        <f t="shared" si="9"/>
        <v>PRF Qty Not Available</v>
      </c>
      <c r="I14" s="6" t="s">
        <v>19621</v>
      </c>
      <c r="J14" s="36">
        <v>45388</v>
      </c>
      <c r="K14" s="51">
        <v>20000</v>
      </c>
      <c r="L14" s="46">
        <v>0.5</v>
      </c>
      <c r="M14" s="42">
        <f t="shared" si="11"/>
        <v>10000</v>
      </c>
      <c r="N14" s="42">
        <v>0</v>
      </c>
      <c r="O14" s="42">
        <v>0</v>
      </c>
      <c r="P14" s="42">
        <f t="shared" si="12"/>
        <v>10000</v>
      </c>
      <c r="Q14" s="38" t="s">
        <v>19622</v>
      </c>
      <c r="R14" s="36">
        <v>45381</v>
      </c>
      <c r="S14" s="36" t="s">
        <v>19499</v>
      </c>
      <c r="T14" s="56" t="s">
        <v>16180</v>
      </c>
      <c r="U14" s="6" t="str">
        <f>IFERROR(VLOOKUP(T14,'item master'!B:C,2,0),"")</f>
        <v>UNIKORT-80 (TRIAMCINOLONE) B/1 VIAL +SER</v>
      </c>
      <c r="V14" s="51">
        <f t="shared" si="22"/>
        <v>20000</v>
      </c>
      <c r="W14" s="6">
        <v>0</v>
      </c>
      <c r="X14" s="53">
        <f t="shared" si="23"/>
        <v>0.5</v>
      </c>
      <c r="Y14" s="46">
        <f t="shared" si="0"/>
        <v>10000</v>
      </c>
      <c r="Z14" s="42">
        <v>0</v>
      </c>
      <c r="AA14" s="42">
        <f t="shared" si="13"/>
        <v>10000</v>
      </c>
      <c r="AB14" s="45">
        <v>0.3</v>
      </c>
      <c r="AC14" s="46">
        <f t="shared" ref="AC14:AC44" si="28">Y14*AB14</f>
        <v>3000</v>
      </c>
      <c r="AD14" s="46">
        <f t="shared" ref="AD14:AD43" si="29">AC14</f>
        <v>3000</v>
      </c>
      <c r="AE14" s="54">
        <v>45463</v>
      </c>
      <c r="AF14" s="6" t="s">
        <v>19642</v>
      </c>
      <c r="AG14" s="41">
        <v>19800</v>
      </c>
      <c r="AH14" s="41">
        <f t="shared" si="15"/>
        <v>19800</v>
      </c>
      <c r="AJ14" s="51">
        <f t="shared" si="2"/>
        <v>200</v>
      </c>
      <c r="AK14" s="6" t="s">
        <v>19628</v>
      </c>
      <c r="AL14" s="36">
        <v>45457</v>
      </c>
      <c r="AM14" s="6" t="s">
        <v>19580</v>
      </c>
      <c r="AN14" s="6">
        <v>0.5</v>
      </c>
      <c r="AO14" s="46">
        <f t="shared" si="24"/>
        <v>9900</v>
      </c>
      <c r="AP14" s="46"/>
      <c r="AQ14" s="46"/>
      <c r="AR14" s="46"/>
      <c r="AS14" s="42">
        <f t="shared" si="16"/>
        <v>9900</v>
      </c>
      <c r="AT14" s="38">
        <v>242156078</v>
      </c>
      <c r="AU14" s="36">
        <v>45525</v>
      </c>
      <c r="AV14" s="6" t="s">
        <v>19583</v>
      </c>
      <c r="AW14" s="51">
        <v>19800</v>
      </c>
      <c r="AX14" s="55" t="s">
        <v>19808</v>
      </c>
      <c r="AY14" s="36">
        <v>45573</v>
      </c>
      <c r="AZ14" s="46">
        <v>0</v>
      </c>
      <c r="BA14" s="46">
        <f t="shared" si="3"/>
        <v>3000</v>
      </c>
      <c r="BB14" s="46">
        <v>0</v>
      </c>
      <c r="BC14" s="46">
        <v>-30</v>
      </c>
      <c r="BD14" s="46">
        <f t="shared" si="17"/>
        <v>2970</v>
      </c>
      <c r="BE14" s="46">
        <f t="shared" si="25"/>
        <v>30</v>
      </c>
      <c r="BF14" s="42">
        <v>30</v>
      </c>
      <c r="BG14" s="47">
        <f t="shared" si="26"/>
        <v>0</v>
      </c>
      <c r="BH14" s="46">
        <f t="shared" si="19"/>
        <v>6930</v>
      </c>
      <c r="BI14" s="46">
        <f t="shared" si="27"/>
        <v>6930</v>
      </c>
      <c r="BJ14" s="36">
        <v>45500</v>
      </c>
      <c r="BK14" s="6" t="s">
        <v>19629</v>
      </c>
      <c r="BO14" s="48">
        <f t="shared" si="20"/>
        <v>6930</v>
      </c>
      <c r="BP14" s="48">
        <f t="shared" si="21"/>
        <v>0</v>
      </c>
      <c r="BQ14" s="6" t="str">
        <f t="shared" si="5"/>
        <v>Fully Paid</v>
      </c>
      <c r="BS14" s="6" t="str">
        <f t="shared" si="6"/>
        <v>Closed</v>
      </c>
      <c r="BT14" s="49" t="str">
        <f t="shared" ca="1" si="7"/>
        <v>Closed</v>
      </c>
    </row>
    <row r="15" spans="1:72" hidden="1" x14ac:dyDescent="0.25">
      <c r="A15" s="6" t="s">
        <v>19437</v>
      </c>
      <c r="B15" s="6" t="s">
        <v>20097</v>
      </c>
      <c r="C15" s="6" t="s">
        <v>20097</v>
      </c>
      <c r="D15" s="6" t="s">
        <v>19438</v>
      </c>
      <c r="E15" s="6" t="s">
        <v>20097</v>
      </c>
      <c r="F15" s="38">
        <v>0</v>
      </c>
      <c r="G15" s="39">
        <f t="shared" si="8"/>
        <v>1</v>
      </c>
      <c r="H15" s="40" t="str">
        <f t="shared" si="9"/>
        <v>PRF Qty Not Available</v>
      </c>
      <c r="I15" s="6" t="s">
        <v>19621</v>
      </c>
      <c r="J15" s="36">
        <v>45388</v>
      </c>
      <c r="K15" s="51">
        <v>10000</v>
      </c>
      <c r="L15" s="46">
        <v>1.1000000000000001</v>
      </c>
      <c r="M15" s="42">
        <f t="shared" si="11"/>
        <v>11000</v>
      </c>
      <c r="N15" s="42">
        <v>0</v>
      </c>
      <c r="O15" s="42">
        <v>0</v>
      </c>
      <c r="P15" s="42">
        <f t="shared" si="12"/>
        <v>11000</v>
      </c>
      <c r="Q15" s="38" t="s">
        <v>19622</v>
      </c>
      <c r="R15" s="36">
        <v>45381</v>
      </c>
      <c r="S15" s="36" t="s">
        <v>19499</v>
      </c>
      <c r="T15" s="58" t="s">
        <v>16042</v>
      </c>
      <c r="U15" s="6" t="str">
        <f>IFERROR(VLOOKUP(T15,'item master'!B:C,2,0),"")</f>
        <v>HEPAQUE (HEPARIN) 25000UI/5ML INJ. B/1 VIAL</v>
      </c>
      <c r="V15" s="51">
        <f t="shared" si="22"/>
        <v>10000</v>
      </c>
      <c r="W15" s="6">
        <v>0</v>
      </c>
      <c r="X15" s="53">
        <f t="shared" si="23"/>
        <v>1.1000000000000001</v>
      </c>
      <c r="Y15" s="46">
        <f t="shared" si="0"/>
        <v>11000</v>
      </c>
      <c r="Z15" s="42">
        <v>0</v>
      </c>
      <c r="AA15" s="42">
        <f t="shared" si="13"/>
        <v>11000</v>
      </c>
      <c r="AB15" s="45">
        <v>0.3</v>
      </c>
      <c r="AC15" s="46">
        <f t="shared" si="28"/>
        <v>3300</v>
      </c>
      <c r="AD15" s="46">
        <f t="shared" si="29"/>
        <v>3300</v>
      </c>
      <c r="AE15" s="54">
        <v>45463</v>
      </c>
      <c r="AF15" s="6" t="s">
        <v>19642</v>
      </c>
      <c r="AG15" s="41">
        <v>9600</v>
      </c>
      <c r="AH15" s="41">
        <f t="shared" si="15"/>
        <v>9600</v>
      </c>
      <c r="AJ15" s="51">
        <f t="shared" si="2"/>
        <v>400</v>
      </c>
      <c r="AK15" s="6" t="s">
        <v>19638</v>
      </c>
      <c r="AL15" s="36">
        <v>45625</v>
      </c>
      <c r="AM15" s="6" t="s">
        <v>19580</v>
      </c>
      <c r="AN15" s="6">
        <f>X15</f>
        <v>1.1000000000000001</v>
      </c>
      <c r="AO15" s="46">
        <f t="shared" si="24"/>
        <v>10560</v>
      </c>
      <c r="AP15" s="46"/>
      <c r="AQ15" s="46"/>
      <c r="AR15" s="46"/>
      <c r="AS15" s="42">
        <f t="shared" si="16"/>
        <v>10560</v>
      </c>
      <c r="AT15" s="38" t="s">
        <v>19639</v>
      </c>
      <c r="AU15" s="36">
        <v>45667</v>
      </c>
      <c r="AV15" s="6" t="s">
        <v>19583</v>
      </c>
      <c r="AW15" s="51">
        <v>9600</v>
      </c>
      <c r="AX15" s="57" t="s">
        <v>19640</v>
      </c>
      <c r="AY15" s="36">
        <v>45721</v>
      </c>
      <c r="AZ15" s="46">
        <v>-297</v>
      </c>
      <c r="BA15" s="46">
        <f t="shared" si="3"/>
        <v>3003</v>
      </c>
      <c r="BB15" s="46">
        <v>450</v>
      </c>
      <c r="BC15" s="46">
        <v>80</v>
      </c>
      <c r="BD15" s="46">
        <f t="shared" si="17"/>
        <v>3533</v>
      </c>
      <c r="BE15" s="46">
        <f t="shared" si="25"/>
        <v>-530</v>
      </c>
      <c r="BF15" s="42">
        <v>-530</v>
      </c>
      <c r="BG15" s="47">
        <f t="shared" si="26"/>
        <v>0</v>
      </c>
      <c r="BH15" s="46">
        <f t="shared" si="19"/>
        <v>7027</v>
      </c>
      <c r="BI15" s="46">
        <f t="shared" si="27"/>
        <v>7027</v>
      </c>
      <c r="BJ15" s="54">
        <v>45765</v>
      </c>
      <c r="BK15" s="6" t="s">
        <v>19672</v>
      </c>
      <c r="BO15" s="48">
        <f t="shared" si="20"/>
        <v>7027</v>
      </c>
      <c r="BP15" s="48">
        <f t="shared" si="21"/>
        <v>0</v>
      </c>
      <c r="BQ15" s="6" t="str">
        <f t="shared" si="5"/>
        <v>Fully Paid</v>
      </c>
      <c r="BS15" s="6" t="str">
        <f t="shared" si="6"/>
        <v>Closed</v>
      </c>
      <c r="BT15" s="49" t="str">
        <f t="shared" ca="1" si="7"/>
        <v>Closed</v>
      </c>
    </row>
    <row r="16" spans="1:72" hidden="1" x14ac:dyDescent="0.25">
      <c r="A16" s="6" t="s">
        <v>19437</v>
      </c>
      <c r="B16" s="6" t="s">
        <v>20097</v>
      </c>
      <c r="C16" s="6" t="s">
        <v>20097</v>
      </c>
      <c r="D16" s="6" t="s">
        <v>19438</v>
      </c>
      <c r="E16" s="6" t="s">
        <v>20097</v>
      </c>
      <c r="F16" s="38" t="s">
        <v>19556</v>
      </c>
      <c r="G16" s="39">
        <f t="shared" si="8"/>
        <v>1</v>
      </c>
      <c r="H16" s="40" t="str">
        <f t="shared" si="9"/>
        <v>PRF Qty Not Available</v>
      </c>
      <c r="I16" s="6" t="s">
        <v>19621</v>
      </c>
      <c r="J16" s="36">
        <v>45388</v>
      </c>
      <c r="K16" s="51">
        <v>30000</v>
      </c>
      <c r="L16" s="46">
        <v>0.95</v>
      </c>
      <c r="M16" s="42">
        <f t="shared" si="11"/>
        <v>28500</v>
      </c>
      <c r="N16" s="42">
        <v>0</v>
      </c>
      <c r="O16" s="42">
        <v>0</v>
      </c>
      <c r="P16" s="42">
        <f t="shared" si="12"/>
        <v>28500</v>
      </c>
      <c r="Q16" s="38" t="s">
        <v>19622</v>
      </c>
      <c r="R16" s="36">
        <v>45381</v>
      </c>
      <c r="S16" s="36" t="s">
        <v>19499</v>
      </c>
      <c r="T16" s="56" t="s">
        <v>16164</v>
      </c>
      <c r="U16" s="6" t="str">
        <f>IFERROR(VLOOKUP(T16,'item master'!B:C,2,0),"")</f>
        <v>TROBINIQUE-2G(SPECTINOMYCIN) B/1VIAL+3.2MLE.D</v>
      </c>
      <c r="V16" s="51">
        <f t="shared" si="22"/>
        <v>30000</v>
      </c>
      <c r="W16" s="6">
        <v>0</v>
      </c>
      <c r="X16" s="53">
        <f t="shared" si="23"/>
        <v>0.95</v>
      </c>
      <c r="Y16" s="46">
        <f t="shared" si="0"/>
        <v>28500</v>
      </c>
      <c r="Z16" s="42">
        <v>0</v>
      </c>
      <c r="AA16" s="42">
        <f t="shared" si="13"/>
        <v>28500</v>
      </c>
      <c r="AB16" s="45">
        <v>0.3</v>
      </c>
      <c r="AC16" s="46">
        <f t="shared" si="28"/>
        <v>8550</v>
      </c>
      <c r="AD16" s="46">
        <f t="shared" si="29"/>
        <v>8550</v>
      </c>
      <c r="AE16" s="54">
        <v>45463</v>
      </c>
      <c r="AF16" s="6" t="s">
        <v>19642</v>
      </c>
      <c r="AG16" s="41">
        <v>30000</v>
      </c>
      <c r="AH16" s="41">
        <f t="shared" si="15"/>
        <v>30000</v>
      </c>
      <c r="AJ16" s="51">
        <f t="shared" si="2"/>
        <v>0</v>
      </c>
      <c r="AK16" s="6" t="s">
        <v>19628</v>
      </c>
      <c r="AL16" s="36">
        <v>45479</v>
      </c>
      <c r="AM16" s="6" t="s">
        <v>19580</v>
      </c>
      <c r="AN16" s="6">
        <v>0.95</v>
      </c>
      <c r="AO16" s="46">
        <f t="shared" si="24"/>
        <v>28500</v>
      </c>
      <c r="AP16" s="46"/>
      <c r="AQ16" s="46"/>
      <c r="AR16" s="46"/>
      <c r="AS16" s="42">
        <f t="shared" si="16"/>
        <v>28500</v>
      </c>
      <c r="AT16" s="38">
        <v>242156078</v>
      </c>
      <c r="AU16" s="36">
        <v>45525</v>
      </c>
      <c r="AV16" s="6" t="s">
        <v>19583</v>
      </c>
      <c r="AW16" s="51">
        <v>30000</v>
      </c>
      <c r="AX16" s="55" t="s">
        <v>19808</v>
      </c>
      <c r="AY16" s="36">
        <v>45573</v>
      </c>
      <c r="AZ16" s="46">
        <v>0</v>
      </c>
      <c r="BA16" s="46">
        <f t="shared" si="3"/>
        <v>8550</v>
      </c>
      <c r="BB16" s="46">
        <v>0</v>
      </c>
      <c r="BC16" s="46">
        <v>0</v>
      </c>
      <c r="BD16" s="46">
        <f t="shared" si="17"/>
        <v>8550</v>
      </c>
      <c r="BE16" s="46">
        <f t="shared" si="25"/>
        <v>0</v>
      </c>
      <c r="BF16" s="42">
        <v>0</v>
      </c>
      <c r="BG16" s="47">
        <f t="shared" si="26"/>
        <v>0</v>
      </c>
      <c r="BH16" s="46">
        <f t="shared" si="19"/>
        <v>19950</v>
      </c>
      <c r="BI16" s="46">
        <f t="shared" si="27"/>
        <v>19950</v>
      </c>
      <c r="BJ16" s="36">
        <v>45500</v>
      </c>
      <c r="BK16" s="6" t="s">
        <v>19629</v>
      </c>
      <c r="BO16" s="48">
        <f t="shared" si="20"/>
        <v>19950</v>
      </c>
      <c r="BP16" s="48">
        <f t="shared" si="21"/>
        <v>0</v>
      </c>
      <c r="BQ16" s="6" t="str">
        <f t="shared" si="5"/>
        <v>Fully Paid</v>
      </c>
      <c r="BS16" s="6" t="str">
        <f t="shared" si="6"/>
        <v>Closed</v>
      </c>
      <c r="BT16" s="49" t="str">
        <f t="shared" ca="1" si="7"/>
        <v>Closed</v>
      </c>
    </row>
    <row r="17" spans="1:72" hidden="1" x14ac:dyDescent="0.25">
      <c r="A17" s="6" t="s">
        <v>19437</v>
      </c>
      <c r="B17" s="6" t="s">
        <v>20097</v>
      </c>
      <c r="C17" s="6" t="s">
        <v>20097</v>
      </c>
      <c r="D17" s="6" t="s">
        <v>19438</v>
      </c>
      <c r="E17" s="6" t="s">
        <v>20097</v>
      </c>
      <c r="F17" s="38">
        <v>0</v>
      </c>
      <c r="G17" s="39">
        <f t="shared" si="8"/>
        <v>1</v>
      </c>
      <c r="H17" s="40" t="str">
        <f t="shared" si="9"/>
        <v>PRF Qty Not Available</v>
      </c>
      <c r="I17" s="6" t="s">
        <v>19621</v>
      </c>
      <c r="J17" s="36">
        <v>45388</v>
      </c>
      <c r="K17" s="51">
        <v>2000</v>
      </c>
      <c r="L17" s="46">
        <v>2.2000000000000002</v>
      </c>
      <c r="M17" s="42">
        <f t="shared" si="11"/>
        <v>4400</v>
      </c>
      <c r="N17" s="42">
        <v>0</v>
      </c>
      <c r="O17" s="42">
        <v>0</v>
      </c>
      <c r="P17" s="42">
        <f t="shared" si="12"/>
        <v>4400</v>
      </c>
      <c r="Q17" s="38" t="s">
        <v>19622</v>
      </c>
      <c r="R17" s="36">
        <v>45381</v>
      </c>
      <c r="S17" s="36" t="s">
        <v>19499</v>
      </c>
      <c r="T17" s="52" t="s">
        <v>16363</v>
      </c>
      <c r="U17" s="6" t="str">
        <f>IFERROR(VLOOKUP(T17,'item master'!B:C,2,0),"")</f>
        <v>PANCUR 4MG/2ML (PANCURONIUM) INJ. B/10 AMP</v>
      </c>
      <c r="V17" s="51">
        <f t="shared" si="22"/>
        <v>2000</v>
      </c>
      <c r="W17" s="6">
        <v>0</v>
      </c>
      <c r="X17" s="53">
        <f t="shared" si="23"/>
        <v>2.2000000000000002</v>
      </c>
      <c r="Y17" s="46">
        <f t="shared" si="0"/>
        <v>4400</v>
      </c>
      <c r="Z17" s="42">
        <v>0</v>
      </c>
      <c r="AA17" s="42">
        <f t="shared" si="13"/>
        <v>4400</v>
      </c>
      <c r="AB17" s="45">
        <v>0.3</v>
      </c>
      <c r="AC17" s="46">
        <f t="shared" si="28"/>
        <v>1320</v>
      </c>
      <c r="AD17" s="46">
        <f t="shared" si="29"/>
        <v>1320</v>
      </c>
      <c r="AE17" s="54">
        <v>45463</v>
      </c>
      <c r="AF17" s="6" t="s">
        <v>19642</v>
      </c>
      <c r="AG17" s="41">
        <v>1970</v>
      </c>
      <c r="AH17" s="41">
        <f t="shared" si="15"/>
        <v>1970</v>
      </c>
      <c r="AJ17" s="51">
        <f t="shared" si="2"/>
        <v>30</v>
      </c>
      <c r="AK17" s="6" t="s">
        <v>19632</v>
      </c>
      <c r="AL17" s="36">
        <v>45537</v>
      </c>
      <c r="AM17" s="6" t="s">
        <v>19580</v>
      </c>
      <c r="AN17" s="6">
        <v>2.2000000000000002</v>
      </c>
      <c r="AO17" s="46">
        <f t="shared" si="24"/>
        <v>4334</v>
      </c>
      <c r="AP17" s="46"/>
      <c r="AQ17" s="46"/>
      <c r="AR17" s="46"/>
      <c r="AS17" s="42">
        <f t="shared" si="16"/>
        <v>4334</v>
      </c>
      <c r="AT17" s="38">
        <v>244450371</v>
      </c>
      <c r="AV17" s="6" t="s">
        <v>19583</v>
      </c>
      <c r="AW17" s="51">
        <v>1970</v>
      </c>
      <c r="AX17" s="57" t="s">
        <v>19633</v>
      </c>
      <c r="AY17" s="36">
        <v>45608</v>
      </c>
      <c r="AZ17" s="46">
        <v>0</v>
      </c>
      <c r="BA17" s="46">
        <f t="shared" si="3"/>
        <v>1320</v>
      </c>
      <c r="BB17" s="46">
        <v>0</v>
      </c>
      <c r="BC17" s="46">
        <v>-19.8</v>
      </c>
      <c r="BD17" s="46">
        <f t="shared" si="17"/>
        <v>1300.2</v>
      </c>
      <c r="BE17" s="46">
        <f t="shared" si="25"/>
        <v>19.799999999999955</v>
      </c>
      <c r="BF17" s="42">
        <v>19.8</v>
      </c>
      <c r="BG17" s="47">
        <f t="shared" si="26"/>
        <v>-4.6185277824406512E-14</v>
      </c>
      <c r="BH17" s="46">
        <f t="shared" si="19"/>
        <v>3033.8</v>
      </c>
      <c r="BI17" s="46">
        <f t="shared" si="27"/>
        <v>3033.8</v>
      </c>
      <c r="BJ17" s="36">
        <v>45586</v>
      </c>
      <c r="BK17" s="6" t="s">
        <v>19634</v>
      </c>
      <c r="BO17" s="48">
        <f t="shared" si="20"/>
        <v>3033.8</v>
      </c>
      <c r="BP17" s="48">
        <f t="shared" si="21"/>
        <v>0</v>
      </c>
      <c r="BQ17" s="6" t="str">
        <f t="shared" si="5"/>
        <v>Fully Paid</v>
      </c>
      <c r="BS17" s="6" t="str">
        <f t="shared" si="6"/>
        <v>Closed</v>
      </c>
      <c r="BT17" s="49" t="str">
        <f t="shared" ca="1" si="7"/>
        <v>Closed</v>
      </c>
    </row>
    <row r="18" spans="1:72" hidden="1" x14ac:dyDescent="0.25">
      <c r="A18" s="6" t="s">
        <v>19437</v>
      </c>
      <c r="B18" s="6" t="s">
        <v>20097</v>
      </c>
      <c r="C18" s="6" t="s">
        <v>20097</v>
      </c>
      <c r="D18" s="6" t="s">
        <v>19438</v>
      </c>
      <c r="E18" s="6" t="s">
        <v>20097</v>
      </c>
      <c r="F18" s="38">
        <v>0</v>
      </c>
      <c r="G18" s="39">
        <f t="shared" si="8"/>
        <v>1</v>
      </c>
      <c r="H18" s="40" t="str">
        <f t="shared" si="9"/>
        <v>PRF Qty Not Available</v>
      </c>
      <c r="I18" s="6" t="s">
        <v>19621</v>
      </c>
      <c r="J18" s="36">
        <v>45388</v>
      </c>
      <c r="K18" s="51">
        <v>100000</v>
      </c>
      <c r="L18" s="46">
        <v>6.7500000000000004E-2</v>
      </c>
      <c r="M18" s="42">
        <f t="shared" si="11"/>
        <v>6750</v>
      </c>
      <c r="N18" s="42">
        <v>0</v>
      </c>
      <c r="O18" s="42">
        <v>0</v>
      </c>
      <c r="P18" s="42">
        <f t="shared" si="12"/>
        <v>6750</v>
      </c>
      <c r="Q18" s="38" t="s">
        <v>19622</v>
      </c>
      <c r="R18" s="36">
        <v>45381</v>
      </c>
      <c r="S18" s="36" t="s">
        <v>19499</v>
      </c>
      <c r="T18" s="56" t="s">
        <v>3411</v>
      </c>
      <c r="U18" s="6" t="str">
        <f>IFERROR(VLOOKUP(T18,'item master'!B:C,2,0),"")</f>
        <v>CHLORAMPHENICOL 0.5% COLLYRE 10ML</v>
      </c>
      <c r="V18" s="51">
        <f t="shared" si="22"/>
        <v>100000</v>
      </c>
      <c r="W18" s="6">
        <v>0</v>
      </c>
      <c r="X18" s="53">
        <f t="shared" si="23"/>
        <v>6.7500000000000004E-2</v>
      </c>
      <c r="Y18" s="46">
        <f t="shared" si="0"/>
        <v>6750</v>
      </c>
      <c r="Z18" s="42">
        <v>0</v>
      </c>
      <c r="AA18" s="42">
        <f t="shared" si="13"/>
        <v>6750</v>
      </c>
      <c r="AB18" s="45">
        <v>0.3</v>
      </c>
      <c r="AC18" s="46">
        <f t="shared" si="28"/>
        <v>2025</v>
      </c>
      <c r="AD18" s="46">
        <f t="shared" si="29"/>
        <v>2025</v>
      </c>
      <c r="AE18" s="54">
        <v>45463</v>
      </c>
      <c r="AF18" s="6" t="s">
        <v>19642</v>
      </c>
      <c r="AG18" s="41">
        <v>99320</v>
      </c>
      <c r="AH18" s="41">
        <f t="shared" si="15"/>
        <v>99320</v>
      </c>
      <c r="AJ18" s="51">
        <f t="shared" si="2"/>
        <v>680</v>
      </c>
      <c r="AK18" s="6" t="s">
        <v>19628</v>
      </c>
      <c r="AL18" s="36">
        <v>45479</v>
      </c>
      <c r="AM18" s="6" t="s">
        <v>19580</v>
      </c>
      <c r="AN18" s="6">
        <v>6.7500000000000004E-2</v>
      </c>
      <c r="AO18" s="46">
        <f t="shared" si="24"/>
        <v>6704.1</v>
      </c>
      <c r="AP18" s="46"/>
      <c r="AQ18" s="46"/>
      <c r="AR18" s="46"/>
      <c r="AS18" s="42">
        <f t="shared" si="16"/>
        <v>6704.1</v>
      </c>
      <c r="AT18" s="38">
        <v>242156078</v>
      </c>
      <c r="AU18" s="36">
        <v>45525</v>
      </c>
      <c r="AV18" s="6" t="s">
        <v>19583</v>
      </c>
      <c r="AW18" s="51">
        <v>99320</v>
      </c>
      <c r="AX18" s="55" t="s">
        <v>19808</v>
      </c>
      <c r="AY18" s="36">
        <v>45573</v>
      </c>
      <c r="AZ18" s="46">
        <v>0</v>
      </c>
      <c r="BA18" s="46">
        <f t="shared" si="3"/>
        <v>2025</v>
      </c>
      <c r="BB18" s="46">
        <v>0</v>
      </c>
      <c r="BC18" s="46">
        <v>-13.77</v>
      </c>
      <c r="BD18" s="46">
        <f t="shared" si="17"/>
        <v>2011.23</v>
      </c>
      <c r="BE18" s="46">
        <f t="shared" si="25"/>
        <v>13.769999999999982</v>
      </c>
      <c r="BF18" s="42">
        <v>13.77</v>
      </c>
      <c r="BG18" s="47">
        <f t="shared" si="26"/>
        <v>-1.7763568394002505E-14</v>
      </c>
      <c r="BH18" s="46">
        <f t="shared" si="19"/>
        <v>4692.8700000000008</v>
      </c>
      <c r="BI18" s="46">
        <f t="shared" si="27"/>
        <v>4692.8700000000008</v>
      </c>
      <c r="BJ18" s="36">
        <v>45500</v>
      </c>
      <c r="BK18" s="6" t="s">
        <v>19629</v>
      </c>
      <c r="BO18" s="48">
        <f t="shared" si="20"/>
        <v>4692.8700000000008</v>
      </c>
      <c r="BP18" s="48">
        <f t="shared" si="21"/>
        <v>0</v>
      </c>
      <c r="BQ18" s="6" t="str">
        <f t="shared" si="5"/>
        <v>Fully Paid</v>
      </c>
      <c r="BS18" s="6" t="str">
        <f t="shared" si="6"/>
        <v>Closed</v>
      </c>
      <c r="BT18" s="49" t="str">
        <f t="shared" ca="1" si="7"/>
        <v>Closed</v>
      </c>
    </row>
    <row r="19" spans="1:72" hidden="1" x14ac:dyDescent="0.25">
      <c r="A19" s="6" t="s">
        <v>19437</v>
      </c>
      <c r="B19" s="6" t="s">
        <v>20097</v>
      </c>
      <c r="C19" s="6" t="s">
        <v>20097</v>
      </c>
      <c r="D19" s="6" t="s">
        <v>19438</v>
      </c>
      <c r="E19" s="6" t="s">
        <v>20097</v>
      </c>
      <c r="F19" s="38">
        <v>0</v>
      </c>
      <c r="G19" s="39">
        <f t="shared" si="8"/>
        <v>1</v>
      </c>
      <c r="H19" s="40" t="str">
        <f t="shared" si="9"/>
        <v>PRF Qty Not Available</v>
      </c>
      <c r="I19" s="6" t="s">
        <v>19621</v>
      </c>
      <c r="J19" s="36">
        <v>45388</v>
      </c>
      <c r="K19" s="51">
        <v>5000</v>
      </c>
      <c r="L19" s="46">
        <v>0.52</v>
      </c>
      <c r="M19" s="42">
        <f t="shared" si="11"/>
        <v>2600</v>
      </c>
      <c r="N19" s="42">
        <v>0</v>
      </c>
      <c r="O19" s="42">
        <v>0</v>
      </c>
      <c r="P19" s="42">
        <f t="shared" si="12"/>
        <v>2600</v>
      </c>
      <c r="Q19" s="38" t="s">
        <v>19622</v>
      </c>
      <c r="R19" s="36">
        <v>45381</v>
      </c>
      <c r="S19" s="36" t="s">
        <v>19499</v>
      </c>
      <c r="T19" s="58" t="s">
        <v>16333</v>
      </c>
      <c r="U19" s="6" t="str">
        <f>IFERROR(VLOOKUP(T19,'item master'!B:C,2,0),"")</f>
        <v>HEMOSTAT 250MG/2ML (ETAMSYLATE) INJ.B/4 AMP.</v>
      </c>
      <c r="V19" s="51">
        <f t="shared" si="22"/>
        <v>5000</v>
      </c>
      <c r="W19" s="6">
        <v>0</v>
      </c>
      <c r="X19" s="53">
        <f t="shared" si="23"/>
        <v>0.52</v>
      </c>
      <c r="Y19" s="46">
        <f t="shared" si="0"/>
        <v>2600</v>
      </c>
      <c r="Z19" s="42">
        <v>0</v>
      </c>
      <c r="AA19" s="42">
        <f t="shared" si="13"/>
        <v>2600</v>
      </c>
      <c r="AB19" s="45">
        <v>0.3</v>
      </c>
      <c r="AC19" s="46">
        <f t="shared" si="28"/>
        <v>780</v>
      </c>
      <c r="AD19" s="46">
        <f t="shared" si="29"/>
        <v>780</v>
      </c>
      <c r="AE19" s="54">
        <v>45463</v>
      </c>
      <c r="AF19" s="6" t="s">
        <v>19642</v>
      </c>
      <c r="AG19" s="41">
        <v>5000</v>
      </c>
      <c r="AH19" s="41">
        <f t="shared" si="15"/>
        <v>5000</v>
      </c>
      <c r="AJ19" s="51">
        <f t="shared" si="2"/>
        <v>0</v>
      </c>
      <c r="AK19" s="6" t="s">
        <v>19645</v>
      </c>
      <c r="AL19" s="36">
        <v>45695</v>
      </c>
      <c r="AM19" s="6" t="s">
        <v>19580</v>
      </c>
      <c r="AN19" s="6">
        <v>0.52</v>
      </c>
      <c r="AO19" s="46">
        <f t="shared" si="24"/>
        <v>2600</v>
      </c>
      <c r="AP19" s="46"/>
      <c r="AQ19" s="46"/>
      <c r="AR19" s="46"/>
      <c r="AS19" s="42">
        <f t="shared" si="16"/>
        <v>2600</v>
      </c>
      <c r="AT19" s="38">
        <v>2515134444</v>
      </c>
      <c r="AV19" s="6" t="s">
        <v>19583</v>
      </c>
      <c r="AW19" s="51">
        <v>5000</v>
      </c>
      <c r="AX19" s="57" t="s">
        <v>19647</v>
      </c>
      <c r="AZ19" s="46">
        <v>19.8</v>
      </c>
      <c r="BA19" s="46">
        <f t="shared" si="3"/>
        <v>799.8</v>
      </c>
      <c r="BB19" s="46">
        <v>0</v>
      </c>
      <c r="BC19" s="46">
        <v>0</v>
      </c>
      <c r="BD19" s="46">
        <f t="shared" si="17"/>
        <v>799.8</v>
      </c>
      <c r="BE19" s="46">
        <f t="shared" si="25"/>
        <v>0</v>
      </c>
      <c r="BF19" s="42">
        <v>0</v>
      </c>
      <c r="BG19" s="47">
        <f t="shared" si="26"/>
        <v>0</v>
      </c>
      <c r="BH19" s="46">
        <f t="shared" si="19"/>
        <v>1800.2</v>
      </c>
      <c r="BI19" s="46">
        <f t="shared" si="27"/>
        <v>1800.2</v>
      </c>
      <c r="BJ19" s="54">
        <v>45765</v>
      </c>
      <c r="BK19" s="6" t="s">
        <v>19672</v>
      </c>
      <c r="BO19" s="48">
        <f t="shared" si="20"/>
        <v>1800.2</v>
      </c>
      <c r="BP19" s="48">
        <f t="shared" si="21"/>
        <v>0</v>
      </c>
      <c r="BQ19" s="6" t="str">
        <f t="shared" si="5"/>
        <v>Fully Paid</v>
      </c>
      <c r="BS19" s="6" t="str">
        <f t="shared" si="6"/>
        <v>Closed</v>
      </c>
      <c r="BT19" s="49" t="str">
        <f t="shared" ca="1" si="7"/>
        <v>Closed</v>
      </c>
    </row>
    <row r="20" spans="1:72" hidden="1" x14ac:dyDescent="0.25">
      <c r="A20" s="6" t="s">
        <v>19437</v>
      </c>
      <c r="B20" s="6" t="s">
        <v>20097</v>
      </c>
      <c r="C20" s="6" t="s">
        <v>20097</v>
      </c>
      <c r="D20" s="6" t="s">
        <v>19438</v>
      </c>
      <c r="E20" s="6" t="s">
        <v>20097</v>
      </c>
      <c r="F20" s="38">
        <v>0</v>
      </c>
      <c r="G20" s="39">
        <f t="shared" si="8"/>
        <v>1</v>
      </c>
      <c r="H20" s="40" t="str">
        <f t="shared" si="9"/>
        <v>PRF Qty Not Available</v>
      </c>
      <c r="I20" s="6" t="s">
        <v>19621</v>
      </c>
      <c r="J20" s="36">
        <v>45388</v>
      </c>
      <c r="K20" s="51">
        <v>20000</v>
      </c>
      <c r="L20" s="46">
        <v>0.22</v>
      </c>
      <c r="M20" s="42">
        <f t="shared" si="11"/>
        <v>4400</v>
      </c>
      <c r="N20" s="42">
        <v>0</v>
      </c>
      <c r="O20" s="42">
        <v>0</v>
      </c>
      <c r="P20" s="42">
        <f t="shared" si="12"/>
        <v>4400</v>
      </c>
      <c r="Q20" s="38" t="s">
        <v>19622</v>
      </c>
      <c r="R20" s="36">
        <v>45381</v>
      </c>
      <c r="S20" s="36" t="s">
        <v>19499</v>
      </c>
      <c r="T20" s="52" t="s">
        <v>16345</v>
      </c>
      <c r="U20" s="6" t="str">
        <f>IFERROR(VLOOKUP(T20,'item master'!B:C,2,0),"")</f>
        <v>VOMITRON 0.075 MG/1.5ML (PALONOSÉTRON) INJ. B/1 VIAL</v>
      </c>
      <c r="V20" s="51">
        <f t="shared" si="22"/>
        <v>20000</v>
      </c>
      <c r="W20" s="6">
        <v>0</v>
      </c>
      <c r="X20" s="53">
        <f t="shared" si="23"/>
        <v>0.22</v>
      </c>
      <c r="Y20" s="46">
        <f t="shared" si="0"/>
        <v>4400</v>
      </c>
      <c r="Z20" s="42">
        <v>0</v>
      </c>
      <c r="AA20" s="42">
        <f t="shared" si="13"/>
        <v>4400</v>
      </c>
      <c r="AB20" s="45">
        <v>0.3</v>
      </c>
      <c r="AC20" s="46">
        <f t="shared" si="28"/>
        <v>1320</v>
      </c>
      <c r="AD20" s="46">
        <f t="shared" si="29"/>
        <v>1320</v>
      </c>
      <c r="AE20" s="54">
        <v>45463</v>
      </c>
      <c r="AF20" s="6" t="s">
        <v>19642</v>
      </c>
      <c r="AG20" s="41">
        <v>19750</v>
      </c>
      <c r="AH20" s="41">
        <f t="shared" si="15"/>
        <v>19750</v>
      </c>
      <c r="AJ20" s="51">
        <f t="shared" si="2"/>
        <v>250</v>
      </c>
      <c r="AK20" s="6" t="s">
        <v>19632</v>
      </c>
      <c r="AL20" s="36">
        <v>45537</v>
      </c>
      <c r="AM20" s="6" t="s">
        <v>19580</v>
      </c>
      <c r="AN20" s="6">
        <v>0.22</v>
      </c>
      <c r="AO20" s="46">
        <f t="shared" si="24"/>
        <v>4345</v>
      </c>
      <c r="AP20" s="46"/>
      <c r="AQ20" s="46"/>
      <c r="AR20" s="46"/>
      <c r="AS20" s="42">
        <f t="shared" si="16"/>
        <v>4345</v>
      </c>
      <c r="AT20" s="38">
        <v>244450371</v>
      </c>
      <c r="AV20" s="6" t="s">
        <v>19583</v>
      </c>
      <c r="AW20" s="51">
        <v>19750</v>
      </c>
      <c r="AX20" s="57" t="s">
        <v>19633</v>
      </c>
      <c r="AY20" s="36">
        <v>45608</v>
      </c>
      <c r="AZ20" s="46">
        <v>0</v>
      </c>
      <c r="BA20" s="46">
        <f t="shared" si="3"/>
        <v>1320</v>
      </c>
      <c r="BB20" s="46">
        <v>0</v>
      </c>
      <c r="BC20" s="46">
        <v>-16.5</v>
      </c>
      <c r="BD20" s="46">
        <f t="shared" si="17"/>
        <v>1303.5</v>
      </c>
      <c r="BE20" s="46">
        <f t="shared" si="25"/>
        <v>16.5</v>
      </c>
      <c r="BF20" s="42">
        <v>16.5</v>
      </c>
      <c r="BG20" s="47">
        <f t="shared" si="26"/>
        <v>0</v>
      </c>
      <c r="BH20" s="46">
        <f t="shared" si="19"/>
        <v>3041.5</v>
      </c>
      <c r="BI20" s="46">
        <f t="shared" si="27"/>
        <v>3041.5</v>
      </c>
      <c r="BJ20" s="36">
        <v>45586</v>
      </c>
      <c r="BK20" s="6" t="s">
        <v>19634</v>
      </c>
      <c r="BO20" s="48">
        <f t="shared" si="20"/>
        <v>3041.5</v>
      </c>
      <c r="BP20" s="48">
        <f t="shared" si="21"/>
        <v>0</v>
      </c>
      <c r="BQ20" s="6" t="str">
        <f t="shared" si="5"/>
        <v>Fully Paid</v>
      </c>
      <c r="BS20" s="6" t="str">
        <f t="shared" si="6"/>
        <v>Closed</v>
      </c>
      <c r="BT20" s="49" t="str">
        <f t="shared" ca="1" si="7"/>
        <v>Closed</v>
      </c>
    </row>
    <row r="21" spans="1:72" hidden="1" x14ac:dyDescent="0.25">
      <c r="A21" s="6" t="s">
        <v>19437</v>
      </c>
      <c r="B21" s="6" t="s">
        <v>20097</v>
      </c>
      <c r="C21" s="6" t="s">
        <v>20097</v>
      </c>
      <c r="D21" s="6" t="s">
        <v>19438</v>
      </c>
      <c r="E21" s="6" t="s">
        <v>20097</v>
      </c>
      <c r="F21" s="38">
        <v>0</v>
      </c>
      <c r="G21" s="39">
        <f t="shared" si="8"/>
        <v>1</v>
      </c>
      <c r="H21" s="40" t="str">
        <f t="shared" si="9"/>
        <v>PRF Qty Not Available</v>
      </c>
      <c r="I21" s="6" t="s">
        <v>19621</v>
      </c>
      <c r="J21" s="36">
        <v>45388</v>
      </c>
      <c r="K21" s="51">
        <v>15000</v>
      </c>
      <c r="L21" s="46">
        <v>0.16</v>
      </c>
      <c r="M21" s="42">
        <f t="shared" si="11"/>
        <v>2400</v>
      </c>
      <c r="N21" s="42">
        <v>0</v>
      </c>
      <c r="O21" s="42">
        <v>0</v>
      </c>
      <c r="P21" s="42">
        <f t="shared" si="12"/>
        <v>2400</v>
      </c>
      <c r="Q21" s="38" t="s">
        <v>19622</v>
      </c>
      <c r="R21" s="36">
        <v>45381</v>
      </c>
      <c r="S21" s="36" t="s">
        <v>19499</v>
      </c>
      <c r="T21" s="58" t="s">
        <v>16341</v>
      </c>
      <c r="U21" s="6" t="str">
        <f>IFERROR(VLOOKUP(T21,'item master'!B:C,2,0),"")</f>
        <v>H-CID 20MG/2ML (FAMOTIDINE ) INJ. B/1 VIAL</v>
      </c>
      <c r="V21" s="51">
        <f t="shared" si="22"/>
        <v>15000</v>
      </c>
      <c r="W21" s="6">
        <v>0</v>
      </c>
      <c r="X21" s="53">
        <f t="shared" si="23"/>
        <v>0.16</v>
      </c>
      <c r="Y21" s="46">
        <f t="shared" si="0"/>
        <v>2400</v>
      </c>
      <c r="Z21" s="42">
        <v>0</v>
      </c>
      <c r="AA21" s="42">
        <f t="shared" si="13"/>
        <v>2400</v>
      </c>
      <c r="AB21" s="45">
        <v>0.3</v>
      </c>
      <c r="AC21" s="46">
        <f t="shared" si="28"/>
        <v>720</v>
      </c>
      <c r="AD21" s="46">
        <f t="shared" si="29"/>
        <v>720</v>
      </c>
      <c r="AE21" s="54">
        <v>45463</v>
      </c>
      <c r="AF21" s="6" t="s">
        <v>19642</v>
      </c>
      <c r="AG21" s="41">
        <v>15160</v>
      </c>
      <c r="AH21" s="41">
        <f t="shared" si="15"/>
        <v>15160</v>
      </c>
      <c r="AJ21" s="51">
        <f t="shared" si="2"/>
        <v>-160</v>
      </c>
      <c r="AK21" s="6" t="s">
        <v>19638</v>
      </c>
      <c r="AL21" s="36">
        <v>45625</v>
      </c>
      <c r="AM21" s="6" t="s">
        <v>19580</v>
      </c>
      <c r="AN21" s="6">
        <f>X21</f>
        <v>0.16</v>
      </c>
      <c r="AO21" s="46">
        <f t="shared" si="24"/>
        <v>2425.6</v>
      </c>
      <c r="AP21" s="46"/>
      <c r="AQ21" s="46"/>
      <c r="AR21" s="46"/>
      <c r="AS21" s="42">
        <f t="shared" si="16"/>
        <v>2425.6</v>
      </c>
      <c r="AT21" s="38" t="s">
        <v>19639</v>
      </c>
      <c r="AU21" s="36">
        <v>45667</v>
      </c>
      <c r="AV21" s="6" t="s">
        <v>19583</v>
      </c>
      <c r="AW21" s="51">
        <v>15160</v>
      </c>
      <c r="AX21" s="57" t="s">
        <v>19640</v>
      </c>
      <c r="AY21" s="36">
        <v>45721</v>
      </c>
      <c r="AZ21" s="46">
        <v>16.5</v>
      </c>
      <c r="BA21" s="46">
        <f t="shared" si="3"/>
        <v>736.5</v>
      </c>
      <c r="BB21" s="46">
        <v>828</v>
      </c>
      <c r="BC21" s="46">
        <v>0</v>
      </c>
      <c r="BD21" s="46">
        <f t="shared" si="17"/>
        <v>1564.5</v>
      </c>
      <c r="BE21" s="46">
        <f t="shared" si="25"/>
        <v>-828</v>
      </c>
      <c r="BF21" s="42">
        <v>-828</v>
      </c>
      <c r="BG21" s="47">
        <f t="shared" si="26"/>
        <v>0</v>
      </c>
      <c r="BH21" s="46">
        <f t="shared" si="19"/>
        <v>861.09999999999991</v>
      </c>
      <c r="BI21" s="46">
        <f t="shared" si="27"/>
        <v>861.09999999999991</v>
      </c>
      <c r="BJ21" s="54">
        <v>45765</v>
      </c>
      <c r="BK21" s="6" t="s">
        <v>19672</v>
      </c>
      <c r="BO21" s="48">
        <f t="shared" si="20"/>
        <v>861.09999999999991</v>
      </c>
      <c r="BP21" s="48">
        <f t="shared" si="21"/>
        <v>0</v>
      </c>
      <c r="BQ21" s="6" t="str">
        <f t="shared" si="5"/>
        <v>Fully Paid</v>
      </c>
      <c r="BS21" s="6" t="str">
        <f t="shared" si="6"/>
        <v>Closed</v>
      </c>
      <c r="BT21" s="49" t="str">
        <f t="shared" ca="1" si="7"/>
        <v>Closed</v>
      </c>
    </row>
    <row r="22" spans="1:72" hidden="1" x14ac:dyDescent="0.25">
      <c r="A22" s="6" t="s">
        <v>19437</v>
      </c>
      <c r="B22" s="6" t="s">
        <v>20097</v>
      </c>
      <c r="C22" s="6" t="s">
        <v>20097</v>
      </c>
      <c r="D22" s="6" t="s">
        <v>19438</v>
      </c>
      <c r="E22" s="6" t="s">
        <v>20097</v>
      </c>
      <c r="F22" s="38">
        <v>0</v>
      </c>
      <c r="G22" s="39">
        <f t="shared" si="8"/>
        <v>1</v>
      </c>
      <c r="H22" s="40" t="str">
        <f t="shared" si="9"/>
        <v>PRF Qty Not Available</v>
      </c>
      <c r="I22" s="6" t="s">
        <v>19621</v>
      </c>
      <c r="J22" s="36">
        <v>45388</v>
      </c>
      <c r="K22" s="51">
        <v>10000</v>
      </c>
      <c r="L22" s="46">
        <v>0.25</v>
      </c>
      <c r="M22" s="42">
        <f t="shared" si="11"/>
        <v>2500</v>
      </c>
      <c r="N22" s="42">
        <v>0</v>
      </c>
      <c r="O22" s="42">
        <v>0</v>
      </c>
      <c r="P22" s="42">
        <f t="shared" si="12"/>
        <v>2500</v>
      </c>
      <c r="Q22" s="38" t="s">
        <v>19622</v>
      </c>
      <c r="R22" s="36">
        <v>45381</v>
      </c>
      <c r="S22" s="36" t="s">
        <v>19499</v>
      </c>
      <c r="T22" s="52" t="s">
        <v>16351</v>
      </c>
      <c r="U22" s="6" t="str">
        <f>IFERROR(VLOOKUP(T22,'item master'!B:C,2,0),"")</f>
        <v>KETOFEN 100MG/2ML ( KÉTOPROFÈNE) INJ. B/5AMP</v>
      </c>
      <c r="V22" s="51">
        <f t="shared" si="22"/>
        <v>10000</v>
      </c>
      <c r="W22" s="6">
        <v>0</v>
      </c>
      <c r="X22" s="53">
        <f t="shared" si="23"/>
        <v>0.25</v>
      </c>
      <c r="Y22" s="46">
        <f t="shared" si="0"/>
        <v>2500</v>
      </c>
      <c r="Z22" s="42">
        <v>0</v>
      </c>
      <c r="AA22" s="42">
        <f t="shared" si="13"/>
        <v>2500</v>
      </c>
      <c r="AB22" s="45">
        <v>0.3</v>
      </c>
      <c r="AC22" s="46">
        <f t="shared" si="28"/>
        <v>750</v>
      </c>
      <c r="AD22" s="46">
        <f t="shared" si="29"/>
        <v>750</v>
      </c>
      <c r="AE22" s="54">
        <v>45463</v>
      </c>
      <c r="AF22" s="6" t="s">
        <v>19642</v>
      </c>
      <c r="AG22" s="41">
        <v>9000</v>
      </c>
      <c r="AH22" s="41">
        <f t="shared" si="15"/>
        <v>9000</v>
      </c>
      <c r="AJ22" s="51">
        <f t="shared" si="2"/>
        <v>1000</v>
      </c>
      <c r="AK22" s="6" t="s">
        <v>19632</v>
      </c>
      <c r="AL22" s="36">
        <v>45537</v>
      </c>
      <c r="AM22" s="6" t="s">
        <v>19580</v>
      </c>
      <c r="AN22" s="6">
        <v>0.25</v>
      </c>
      <c r="AO22" s="46">
        <f t="shared" si="24"/>
        <v>2250</v>
      </c>
      <c r="AP22" s="46"/>
      <c r="AQ22" s="46"/>
      <c r="AR22" s="46"/>
      <c r="AS22" s="42">
        <f t="shared" si="16"/>
        <v>2250</v>
      </c>
      <c r="AT22" s="38">
        <v>244450371</v>
      </c>
      <c r="AV22" s="6" t="s">
        <v>19583</v>
      </c>
      <c r="AW22" s="51">
        <v>9000</v>
      </c>
      <c r="AX22" s="57" t="s">
        <v>19633</v>
      </c>
      <c r="AY22" s="36">
        <v>45608</v>
      </c>
      <c r="AZ22" s="46">
        <v>0</v>
      </c>
      <c r="BA22" s="46">
        <f t="shared" si="3"/>
        <v>750</v>
      </c>
      <c r="BB22" s="46">
        <v>0</v>
      </c>
      <c r="BC22" s="46">
        <v>-75</v>
      </c>
      <c r="BD22" s="46">
        <f t="shared" si="17"/>
        <v>675</v>
      </c>
      <c r="BE22" s="46">
        <f t="shared" si="25"/>
        <v>75</v>
      </c>
      <c r="BF22" s="42">
        <v>75</v>
      </c>
      <c r="BG22" s="47">
        <f t="shared" si="26"/>
        <v>0</v>
      </c>
      <c r="BH22" s="46">
        <f t="shared" si="19"/>
        <v>1575</v>
      </c>
      <c r="BI22" s="46">
        <f t="shared" si="27"/>
        <v>1575</v>
      </c>
      <c r="BJ22" s="36">
        <v>45586</v>
      </c>
      <c r="BK22" s="6" t="s">
        <v>19634</v>
      </c>
      <c r="BO22" s="48">
        <f t="shared" si="20"/>
        <v>1575</v>
      </c>
      <c r="BP22" s="48">
        <f t="shared" si="21"/>
        <v>0</v>
      </c>
      <c r="BQ22" s="6" t="str">
        <f t="shared" si="5"/>
        <v>Fully Paid</v>
      </c>
      <c r="BS22" s="6" t="str">
        <f t="shared" si="6"/>
        <v>Closed</v>
      </c>
      <c r="BT22" s="49" t="str">
        <f t="shared" ca="1" si="7"/>
        <v>Closed</v>
      </c>
    </row>
    <row r="23" spans="1:72" hidden="1" x14ac:dyDescent="0.25">
      <c r="A23" s="6" t="s">
        <v>19437</v>
      </c>
      <c r="B23" s="6" t="s">
        <v>20097</v>
      </c>
      <c r="C23" s="6" t="s">
        <v>20097</v>
      </c>
      <c r="D23" s="6" t="s">
        <v>19438</v>
      </c>
      <c r="E23" s="6" t="s">
        <v>20097</v>
      </c>
      <c r="F23" s="38">
        <v>0</v>
      </c>
      <c r="G23" s="39">
        <f t="shared" si="8"/>
        <v>1</v>
      </c>
      <c r="H23" s="40" t="str">
        <f t="shared" si="9"/>
        <v>PRF Qty Not Available</v>
      </c>
      <c r="I23" s="6" t="s">
        <v>19621</v>
      </c>
      <c r="J23" s="36">
        <v>45388</v>
      </c>
      <c r="K23" s="51">
        <v>3000</v>
      </c>
      <c r="L23" s="46">
        <v>0.9</v>
      </c>
      <c r="M23" s="42">
        <f t="shared" si="11"/>
        <v>2700</v>
      </c>
      <c r="N23" s="42">
        <v>0</v>
      </c>
      <c r="O23" s="42">
        <v>0</v>
      </c>
      <c r="P23" s="42">
        <f t="shared" si="12"/>
        <v>2700</v>
      </c>
      <c r="Q23" s="38" t="s">
        <v>19622</v>
      </c>
      <c r="R23" s="36">
        <v>45381</v>
      </c>
      <c r="S23" s="36" t="s">
        <v>19499</v>
      </c>
      <c r="T23" s="52" t="s">
        <v>16361</v>
      </c>
      <c r="U23" s="6" t="str">
        <f>IFERROR(VLOOKUP(T23,'item master'!B:C,2,0),"")</f>
        <v>NIMOTRIX 10MG (NIMODIPINE) IV B/50ML VIAL</v>
      </c>
      <c r="V23" s="51">
        <f t="shared" si="22"/>
        <v>3000</v>
      </c>
      <c r="W23" s="6">
        <v>0</v>
      </c>
      <c r="X23" s="53">
        <f t="shared" si="23"/>
        <v>0.9</v>
      </c>
      <c r="Y23" s="46">
        <f t="shared" si="0"/>
        <v>2700</v>
      </c>
      <c r="Z23" s="42">
        <v>0</v>
      </c>
      <c r="AA23" s="42">
        <f t="shared" si="13"/>
        <v>2700</v>
      </c>
      <c r="AB23" s="45">
        <v>0.3</v>
      </c>
      <c r="AC23" s="46">
        <f t="shared" si="28"/>
        <v>810</v>
      </c>
      <c r="AD23" s="46">
        <f t="shared" si="29"/>
        <v>810</v>
      </c>
      <c r="AE23" s="54">
        <v>45463</v>
      </c>
      <c r="AF23" s="6" t="s">
        <v>19642</v>
      </c>
      <c r="AG23" s="41">
        <v>3050</v>
      </c>
      <c r="AH23" s="41">
        <f t="shared" si="15"/>
        <v>3050</v>
      </c>
      <c r="AJ23" s="51">
        <f t="shared" si="2"/>
        <v>-50</v>
      </c>
      <c r="AK23" s="6" t="s">
        <v>19632</v>
      </c>
      <c r="AL23" s="36">
        <v>45537</v>
      </c>
      <c r="AM23" s="6" t="s">
        <v>19580</v>
      </c>
      <c r="AN23" s="6">
        <v>0.9</v>
      </c>
      <c r="AO23" s="46">
        <f t="shared" si="24"/>
        <v>2745</v>
      </c>
      <c r="AP23" s="46"/>
      <c r="AQ23" s="46"/>
      <c r="AR23" s="46"/>
      <c r="AS23" s="42">
        <f t="shared" si="16"/>
        <v>2745</v>
      </c>
      <c r="AT23" s="38">
        <v>244450371</v>
      </c>
      <c r="AV23" s="6" t="s">
        <v>19583</v>
      </c>
      <c r="AW23" s="51">
        <v>3050</v>
      </c>
      <c r="AX23" s="57" t="s">
        <v>19633</v>
      </c>
      <c r="AY23" s="36">
        <v>45608</v>
      </c>
      <c r="AZ23" s="46">
        <v>0</v>
      </c>
      <c r="BA23" s="46">
        <f t="shared" si="3"/>
        <v>810</v>
      </c>
      <c r="BB23" s="46">
        <v>0</v>
      </c>
      <c r="BC23" s="46">
        <v>13.5</v>
      </c>
      <c r="BD23" s="46">
        <f t="shared" si="17"/>
        <v>823.5</v>
      </c>
      <c r="BE23" s="46">
        <f t="shared" si="25"/>
        <v>-13.5</v>
      </c>
      <c r="BF23" s="42">
        <v>-13.5</v>
      </c>
      <c r="BG23" s="47">
        <f t="shared" si="26"/>
        <v>0</v>
      </c>
      <c r="BH23" s="46">
        <f t="shared" si="19"/>
        <v>1921.5</v>
      </c>
      <c r="BI23" s="46">
        <f t="shared" si="27"/>
        <v>1921.5</v>
      </c>
      <c r="BJ23" s="36">
        <v>45586</v>
      </c>
      <c r="BK23" s="6" t="s">
        <v>19634</v>
      </c>
      <c r="BO23" s="48">
        <f t="shared" si="20"/>
        <v>1921.5</v>
      </c>
      <c r="BP23" s="48">
        <f t="shared" si="21"/>
        <v>0</v>
      </c>
      <c r="BQ23" s="6" t="str">
        <f t="shared" si="5"/>
        <v>Fully Paid</v>
      </c>
      <c r="BS23" s="6" t="str">
        <f t="shared" si="6"/>
        <v>Closed</v>
      </c>
      <c r="BT23" s="49" t="str">
        <f t="shared" ca="1" si="7"/>
        <v>Closed</v>
      </c>
    </row>
    <row r="24" spans="1:72" hidden="1" x14ac:dyDescent="0.25">
      <c r="A24" s="6" t="s">
        <v>19437</v>
      </c>
      <c r="B24" s="6" t="s">
        <v>20097</v>
      </c>
      <c r="C24" s="6" t="s">
        <v>20097</v>
      </c>
      <c r="D24" s="6" t="s">
        <v>19438</v>
      </c>
      <c r="E24" s="6" t="s">
        <v>20097</v>
      </c>
      <c r="F24" s="38">
        <v>0</v>
      </c>
      <c r="G24" s="39">
        <f t="shared" si="8"/>
        <v>1</v>
      </c>
      <c r="H24" s="40" t="str">
        <f t="shared" si="9"/>
        <v>PRF Qty Not Available</v>
      </c>
      <c r="I24" s="6" t="s">
        <v>19621</v>
      </c>
      <c r="J24" s="36">
        <v>45388</v>
      </c>
      <c r="K24" s="51">
        <v>3000</v>
      </c>
      <c r="L24" s="46">
        <v>0.5</v>
      </c>
      <c r="M24" s="42">
        <f t="shared" si="11"/>
        <v>1500</v>
      </c>
      <c r="N24" s="42">
        <v>0</v>
      </c>
      <c r="O24" s="42">
        <v>0</v>
      </c>
      <c r="P24" s="42">
        <f t="shared" si="12"/>
        <v>1500</v>
      </c>
      <c r="Q24" s="38" t="s">
        <v>19622</v>
      </c>
      <c r="R24" s="36">
        <v>45381</v>
      </c>
      <c r="S24" s="36" t="s">
        <v>19499</v>
      </c>
      <c r="T24" s="58" t="s">
        <v>16365</v>
      </c>
      <c r="U24" s="6" t="str">
        <f>IFERROR(VLOOKUP(T24,'item master'!B:C,2,0),"")</f>
        <v>PHAMINE 22,75MG/ML (MALÉATE DE PHÉNIRAMINE) 2ML INJ. B/10 AMP</v>
      </c>
      <c r="V24" s="51">
        <f t="shared" si="22"/>
        <v>3000</v>
      </c>
      <c r="W24" s="6">
        <v>0</v>
      </c>
      <c r="X24" s="53">
        <f t="shared" si="23"/>
        <v>0.5</v>
      </c>
      <c r="Y24" s="46">
        <f t="shared" si="0"/>
        <v>1500</v>
      </c>
      <c r="Z24" s="42">
        <v>0</v>
      </c>
      <c r="AA24" s="42">
        <f t="shared" si="13"/>
        <v>1500</v>
      </c>
      <c r="AB24" s="45">
        <v>0.3</v>
      </c>
      <c r="AC24" s="46">
        <f t="shared" si="28"/>
        <v>450</v>
      </c>
      <c r="AD24" s="46">
        <f t="shared" si="29"/>
        <v>450</v>
      </c>
      <c r="AE24" s="54">
        <v>45463</v>
      </c>
      <c r="AF24" s="6" t="s">
        <v>19642</v>
      </c>
      <c r="AG24" s="41">
        <v>3100</v>
      </c>
      <c r="AH24" s="41">
        <f t="shared" si="15"/>
        <v>3100</v>
      </c>
      <c r="AJ24" s="51">
        <f t="shared" si="2"/>
        <v>-100</v>
      </c>
      <c r="AK24" s="6" t="s">
        <v>19618</v>
      </c>
      <c r="AL24" s="36">
        <v>45804</v>
      </c>
      <c r="AM24" s="6" t="s">
        <v>19580</v>
      </c>
      <c r="AN24" s="6">
        <v>0.5</v>
      </c>
      <c r="AO24" s="46">
        <f t="shared" si="24"/>
        <v>1550</v>
      </c>
      <c r="AP24" s="46"/>
      <c r="AQ24" s="46"/>
      <c r="AR24" s="46"/>
      <c r="AS24" s="42">
        <f t="shared" si="16"/>
        <v>1550</v>
      </c>
      <c r="AT24" s="38">
        <v>255404858</v>
      </c>
      <c r="AV24" s="6" t="s">
        <v>19583</v>
      </c>
      <c r="AW24" s="51">
        <v>3100</v>
      </c>
      <c r="AX24" s="57" t="s">
        <v>19648</v>
      </c>
      <c r="AY24" s="36">
        <v>45891</v>
      </c>
      <c r="AZ24" s="46">
        <v>0</v>
      </c>
      <c r="BA24" s="46">
        <f t="shared" si="3"/>
        <v>450</v>
      </c>
      <c r="BB24" s="46">
        <v>0</v>
      </c>
      <c r="BC24" s="46">
        <v>0</v>
      </c>
      <c r="BD24" s="46">
        <f t="shared" si="17"/>
        <v>450</v>
      </c>
      <c r="BE24" s="46">
        <f t="shared" si="25"/>
        <v>0</v>
      </c>
      <c r="BF24" s="42">
        <v>0</v>
      </c>
      <c r="BG24" s="47">
        <f t="shared" si="26"/>
        <v>0</v>
      </c>
      <c r="BH24" s="46">
        <f t="shared" si="19"/>
        <v>1100</v>
      </c>
      <c r="BI24" s="46">
        <f t="shared" si="27"/>
        <v>1100</v>
      </c>
      <c r="BJ24" s="54">
        <v>45895</v>
      </c>
      <c r="BK24" s="6" t="s">
        <v>19671</v>
      </c>
      <c r="BO24" s="48">
        <f t="shared" si="20"/>
        <v>1100</v>
      </c>
      <c r="BP24" s="48">
        <f t="shared" si="21"/>
        <v>0</v>
      </c>
      <c r="BQ24" s="6" t="str">
        <f t="shared" si="5"/>
        <v>Fully Paid</v>
      </c>
      <c r="BS24" s="6" t="str">
        <f t="shared" si="6"/>
        <v>Closed</v>
      </c>
      <c r="BT24" s="49" t="str">
        <f t="shared" ca="1" si="7"/>
        <v>Closed</v>
      </c>
    </row>
    <row r="25" spans="1:72" hidden="1" x14ac:dyDescent="0.25">
      <c r="A25" s="6" t="s">
        <v>19437</v>
      </c>
      <c r="B25" s="6" t="s">
        <v>20097</v>
      </c>
      <c r="C25" s="6" t="s">
        <v>20097</v>
      </c>
      <c r="D25" s="6" t="s">
        <v>19438</v>
      </c>
      <c r="E25" s="6" t="s">
        <v>20097</v>
      </c>
      <c r="F25" s="38">
        <v>0</v>
      </c>
      <c r="G25" s="39">
        <f t="shared" si="8"/>
        <v>1</v>
      </c>
      <c r="H25" s="40" t="str">
        <f t="shared" si="9"/>
        <v>PRF Qty Not Available</v>
      </c>
      <c r="I25" s="6" t="s">
        <v>19621</v>
      </c>
      <c r="J25" s="36">
        <v>45388</v>
      </c>
      <c r="K25" s="51">
        <v>3000</v>
      </c>
      <c r="L25" s="46">
        <v>0.92</v>
      </c>
      <c r="M25" s="42">
        <f t="shared" si="11"/>
        <v>2760</v>
      </c>
      <c r="N25" s="42">
        <v>0</v>
      </c>
      <c r="O25" s="42">
        <v>0</v>
      </c>
      <c r="P25" s="42">
        <f t="shared" si="12"/>
        <v>2760</v>
      </c>
      <c r="Q25" s="38" t="s">
        <v>19622</v>
      </c>
      <c r="R25" s="36">
        <v>45381</v>
      </c>
      <c r="S25" s="36" t="s">
        <v>19499</v>
      </c>
      <c r="T25" s="50" t="s">
        <v>16337</v>
      </c>
      <c r="U25" s="6" t="str">
        <f>IFERROR(VLOOKUP(T25,'item master'!B:C,2,0),"")</f>
        <v>UNITRIM 480MG/5ML (CO-TRIMOXAZOLE) INJ. B/5 AMP.</v>
      </c>
      <c r="V25" s="51">
        <f t="shared" si="22"/>
        <v>3000</v>
      </c>
      <c r="W25" s="6">
        <v>0</v>
      </c>
      <c r="X25" s="53">
        <f t="shared" si="23"/>
        <v>0.92</v>
      </c>
      <c r="Y25" s="46">
        <f t="shared" si="0"/>
        <v>2760</v>
      </c>
      <c r="Z25" s="42">
        <v>0</v>
      </c>
      <c r="AA25" s="42">
        <f t="shared" si="13"/>
        <v>2760</v>
      </c>
      <c r="AB25" s="45">
        <v>0.3</v>
      </c>
      <c r="AC25" s="46">
        <f t="shared" si="28"/>
        <v>828</v>
      </c>
      <c r="AD25" s="46">
        <f t="shared" si="29"/>
        <v>828</v>
      </c>
      <c r="AE25" s="54">
        <v>45463</v>
      </c>
      <c r="AF25" s="6" t="s">
        <v>19642</v>
      </c>
      <c r="AG25" s="41">
        <v>2960</v>
      </c>
      <c r="AH25" s="41">
        <f t="shared" si="15"/>
        <v>2960</v>
      </c>
      <c r="AJ25" s="51">
        <f t="shared" si="2"/>
        <v>40</v>
      </c>
      <c r="AK25" s="6" t="s">
        <v>19662</v>
      </c>
      <c r="AL25" s="36">
        <v>46024</v>
      </c>
      <c r="AM25" s="6" t="s">
        <v>19580</v>
      </c>
      <c r="AN25" s="6">
        <v>0.92</v>
      </c>
      <c r="AO25" s="46">
        <f t="shared" si="24"/>
        <v>2723.2000000000003</v>
      </c>
      <c r="AP25" s="46"/>
      <c r="AQ25" s="46"/>
      <c r="AR25" s="46"/>
      <c r="AS25" s="42">
        <f t="shared" si="16"/>
        <v>2723.2000000000003</v>
      </c>
      <c r="AT25" s="38">
        <v>266199219</v>
      </c>
      <c r="AU25" s="36">
        <v>46091</v>
      </c>
      <c r="AV25" s="6" t="s">
        <v>19583</v>
      </c>
      <c r="AW25" s="51">
        <v>2960</v>
      </c>
      <c r="AX25" s="59" t="s">
        <v>19675</v>
      </c>
      <c r="AZ25" s="46">
        <v>-828</v>
      </c>
      <c r="BA25" s="46">
        <f t="shared" si="3"/>
        <v>0</v>
      </c>
      <c r="BB25" s="46">
        <v>0</v>
      </c>
      <c r="BC25" s="46">
        <v>0</v>
      </c>
      <c r="BD25" s="46">
        <f t="shared" si="17"/>
        <v>0</v>
      </c>
      <c r="BE25" s="46">
        <f t="shared" si="25"/>
        <v>0</v>
      </c>
      <c r="BF25" s="42">
        <v>0</v>
      </c>
      <c r="BG25" s="47">
        <f t="shared" si="26"/>
        <v>0</v>
      </c>
      <c r="BH25" s="46">
        <f t="shared" si="19"/>
        <v>2723.2000000000003</v>
      </c>
      <c r="BI25" s="46">
        <v>2723.2</v>
      </c>
      <c r="BJ25" s="54">
        <v>46234</v>
      </c>
      <c r="BO25" s="48">
        <f t="shared" si="20"/>
        <v>2723.2</v>
      </c>
      <c r="BP25" s="48">
        <f t="shared" si="21"/>
        <v>0</v>
      </c>
      <c r="BQ25" s="6" t="str">
        <f t="shared" si="5"/>
        <v>Fully Paid</v>
      </c>
      <c r="BS25" s="6" t="str">
        <f t="shared" si="6"/>
        <v>Closed</v>
      </c>
      <c r="BT25" s="49" t="str">
        <f t="shared" ca="1" si="7"/>
        <v>Closed</v>
      </c>
    </row>
    <row r="26" spans="1:72" hidden="1" x14ac:dyDescent="0.25">
      <c r="A26" s="6" t="s">
        <v>19437</v>
      </c>
      <c r="B26" s="6" t="s">
        <v>20097</v>
      </c>
      <c r="C26" s="6" t="s">
        <v>20097</v>
      </c>
      <c r="D26" s="6" t="s">
        <v>19438</v>
      </c>
      <c r="E26" s="6" t="s">
        <v>20097</v>
      </c>
      <c r="F26" s="38">
        <v>0</v>
      </c>
      <c r="G26" s="39">
        <f t="shared" si="8"/>
        <v>1</v>
      </c>
      <c r="H26" s="40" t="str">
        <f t="shared" si="9"/>
        <v>PRF Qty Not Available</v>
      </c>
      <c r="I26" s="6" t="s">
        <v>19621</v>
      </c>
      <c r="J26" s="36">
        <v>45388</v>
      </c>
      <c r="K26" s="51">
        <v>3000</v>
      </c>
      <c r="L26" s="46">
        <v>0.56000000000000005</v>
      </c>
      <c r="M26" s="42">
        <f t="shared" si="11"/>
        <v>1680.0000000000002</v>
      </c>
      <c r="N26" s="42">
        <v>0</v>
      </c>
      <c r="O26" s="42">
        <v>0</v>
      </c>
      <c r="P26" s="42">
        <f t="shared" si="12"/>
        <v>1680.0000000000002</v>
      </c>
      <c r="Q26" s="38" t="s">
        <v>19622</v>
      </c>
      <c r="R26" s="36">
        <v>45381</v>
      </c>
      <c r="S26" s="36" t="s">
        <v>19499</v>
      </c>
      <c r="T26" s="60" t="s">
        <v>16335</v>
      </c>
      <c r="U26" s="6" t="str">
        <f>IFERROR(VLOOKUP(T26,'item master'!B:C,2,0),"")</f>
        <v>ATARIUM 50MG/5ML (ATACURIUM ) INJ. B/5 AMP.</v>
      </c>
      <c r="V26" s="51">
        <f t="shared" si="22"/>
        <v>3000</v>
      </c>
      <c r="W26" s="6">
        <v>0</v>
      </c>
      <c r="X26" s="53">
        <f t="shared" si="23"/>
        <v>0.56000000000000005</v>
      </c>
      <c r="Y26" s="46">
        <f t="shared" si="0"/>
        <v>1680.0000000000002</v>
      </c>
      <c r="Z26" s="42">
        <v>0</v>
      </c>
      <c r="AA26" s="42">
        <f t="shared" si="13"/>
        <v>1680.0000000000002</v>
      </c>
      <c r="AB26" s="45">
        <v>0.3</v>
      </c>
      <c r="AC26" s="46">
        <f t="shared" si="28"/>
        <v>504.00000000000006</v>
      </c>
      <c r="AD26" s="46">
        <f t="shared" si="29"/>
        <v>504.00000000000006</v>
      </c>
      <c r="AE26" s="54">
        <v>45463</v>
      </c>
      <c r="AF26" s="6" t="s">
        <v>19642</v>
      </c>
      <c r="AG26" s="41">
        <v>2880</v>
      </c>
      <c r="AH26" s="41">
        <f t="shared" si="15"/>
        <v>2880</v>
      </c>
      <c r="AJ26" s="51">
        <f t="shared" si="2"/>
        <v>120</v>
      </c>
      <c r="AK26" s="6" t="s">
        <v>19635</v>
      </c>
      <c r="AL26" s="36">
        <v>45621</v>
      </c>
      <c r="AM26" s="6" t="s">
        <v>19580</v>
      </c>
      <c r="AN26" s="6">
        <v>0.56000000000000005</v>
      </c>
      <c r="AO26" s="46">
        <f t="shared" si="24"/>
        <v>1612.8000000000002</v>
      </c>
      <c r="AP26" s="46"/>
      <c r="AQ26" s="46"/>
      <c r="AR26" s="46"/>
      <c r="AS26" s="42">
        <f t="shared" si="16"/>
        <v>1612.8000000000002</v>
      </c>
      <c r="AT26" s="38" t="s">
        <v>19636</v>
      </c>
      <c r="AU26" s="36">
        <v>45624</v>
      </c>
      <c r="AV26" s="6" t="s">
        <v>19583</v>
      </c>
      <c r="AW26" s="51">
        <v>2880</v>
      </c>
      <c r="AX26" s="61" t="s">
        <v>19637</v>
      </c>
      <c r="AY26" s="36">
        <v>45654</v>
      </c>
      <c r="AZ26" s="46">
        <v>75</v>
      </c>
      <c r="BA26" s="46">
        <f t="shared" si="3"/>
        <v>579</v>
      </c>
      <c r="BB26" s="46">
        <v>0</v>
      </c>
      <c r="BC26" s="46">
        <v>0</v>
      </c>
      <c r="BD26" s="46">
        <f t="shared" si="17"/>
        <v>579</v>
      </c>
      <c r="BE26" s="46">
        <f t="shared" si="25"/>
        <v>0</v>
      </c>
      <c r="BF26" s="42">
        <v>0</v>
      </c>
      <c r="BG26" s="47">
        <f t="shared" ref="BG26:BG67" si="30">BE26-BF26</f>
        <v>0</v>
      </c>
      <c r="BH26" s="46">
        <f t="shared" si="19"/>
        <v>1033.8000000000002</v>
      </c>
      <c r="BI26" s="46">
        <f t="shared" ref="BI26:BI57" si="31">BH26</f>
        <v>1033.8000000000002</v>
      </c>
      <c r="BJ26" s="54">
        <v>45765</v>
      </c>
      <c r="BK26" s="6" t="s">
        <v>19672</v>
      </c>
      <c r="BO26" s="48">
        <f t="shared" si="20"/>
        <v>1033.8000000000002</v>
      </c>
      <c r="BP26" s="48">
        <f t="shared" si="21"/>
        <v>0</v>
      </c>
      <c r="BQ26" s="6" t="str">
        <f t="shared" si="5"/>
        <v>Fully Paid</v>
      </c>
      <c r="BS26" s="6" t="str">
        <f t="shared" si="6"/>
        <v>Closed</v>
      </c>
      <c r="BT26" s="49" t="str">
        <f t="shared" ca="1" si="7"/>
        <v>Closed</v>
      </c>
    </row>
    <row r="27" spans="1:72" hidden="1" x14ac:dyDescent="0.25">
      <c r="A27" s="6" t="s">
        <v>19437</v>
      </c>
      <c r="B27" s="6" t="s">
        <v>20097</v>
      </c>
      <c r="C27" s="6" t="s">
        <v>20097</v>
      </c>
      <c r="D27" s="6" t="s">
        <v>19438</v>
      </c>
      <c r="E27" s="6" t="s">
        <v>20097</v>
      </c>
      <c r="F27" s="38">
        <v>0</v>
      </c>
      <c r="G27" s="39">
        <f t="shared" si="8"/>
        <v>1</v>
      </c>
      <c r="H27" s="40" t="str">
        <f t="shared" si="9"/>
        <v>PRF Qty Not Available</v>
      </c>
      <c r="I27" s="6" t="s">
        <v>19621</v>
      </c>
      <c r="J27" s="36">
        <v>45388</v>
      </c>
      <c r="K27" s="51">
        <v>10000</v>
      </c>
      <c r="L27" s="46">
        <v>0.2</v>
      </c>
      <c r="M27" s="42">
        <f t="shared" si="11"/>
        <v>2000</v>
      </c>
      <c r="N27" s="42">
        <v>0</v>
      </c>
      <c r="O27" s="42">
        <v>0</v>
      </c>
      <c r="P27" s="42">
        <f t="shared" si="12"/>
        <v>2000</v>
      </c>
      <c r="Q27" s="38" t="s">
        <v>19622</v>
      </c>
      <c r="R27" s="36">
        <v>45381</v>
      </c>
      <c r="S27" s="36" t="s">
        <v>19499</v>
      </c>
      <c r="T27" s="58" t="s">
        <v>16339</v>
      </c>
      <c r="U27" s="6" t="str">
        <f>IFERROR(VLOOKUP(T27,'item master'!B:C,2,0),"")</f>
        <v>DICQUE AQUA 75MG/ML (DICLOFÉNAC ) INJ. B/5 AMP</v>
      </c>
      <c r="V27" s="51">
        <f t="shared" si="22"/>
        <v>10000</v>
      </c>
      <c r="W27" s="6">
        <v>0</v>
      </c>
      <c r="X27" s="53">
        <f t="shared" si="23"/>
        <v>0.2</v>
      </c>
      <c r="Y27" s="46">
        <f t="shared" si="0"/>
        <v>2000</v>
      </c>
      <c r="Z27" s="42">
        <v>0</v>
      </c>
      <c r="AA27" s="42">
        <f t="shared" si="13"/>
        <v>2000</v>
      </c>
      <c r="AB27" s="45">
        <v>0.3</v>
      </c>
      <c r="AC27" s="46">
        <f t="shared" si="28"/>
        <v>600</v>
      </c>
      <c r="AD27" s="46">
        <f t="shared" si="29"/>
        <v>600</v>
      </c>
      <c r="AE27" s="54">
        <v>45463</v>
      </c>
      <c r="AF27" s="6" t="s">
        <v>19642</v>
      </c>
      <c r="AG27" s="41">
        <v>8570</v>
      </c>
      <c r="AH27" s="41">
        <f t="shared" si="15"/>
        <v>8570</v>
      </c>
      <c r="AJ27" s="51">
        <f t="shared" si="2"/>
        <v>1430</v>
      </c>
      <c r="AK27" s="6" t="s">
        <v>19638</v>
      </c>
      <c r="AL27" s="36">
        <v>45625</v>
      </c>
      <c r="AM27" s="6" t="s">
        <v>19580</v>
      </c>
      <c r="AN27" s="6">
        <f>X27</f>
        <v>0.2</v>
      </c>
      <c r="AO27" s="46">
        <f t="shared" si="24"/>
        <v>1714</v>
      </c>
      <c r="AP27" s="46"/>
      <c r="AQ27" s="46"/>
      <c r="AR27" s="46"/>
      <c r="AS27" s="42">
        <f t="shared" si="16"/>
        <v>1714</v>
      </c>
      <c r="AT27" s="38" t="s">
        <v>19639</v>
      </c>
      <c r="AU27" s="36">
        <v>45667</v>
      </c>
      <c r="AV27" s="6" t="s">
        <v>19583</v>
      </c>
      <c r="AW27" s="51">
        <v>8570</v>
      </c>
      <c r="AX27" s="57" t="s">
        <v>19640</v>
      </c>
      <c r="AY27" s="36">
        <v>45721</v>
      </c>
      <c r="AZ27" s="46">
        <v>-13.5</v>
      </c>
      <c r="BA27" s="46">
        <f t="shared" si="3"/>
        <v>586.5</v>
      </c>
      <c r="BB27" s="46">
        <v>0</v>
      </c>
      <c r="BC27" s="46">
        <v>0</v>
      </c>
      <c r="BD27" s="46">
        <f t="shared" si="17"/>
        <v>586.5</v>
      </c>
      <c r="BE27" s="46">
        <f t="shared" si="25"/>
        <v>0</v>
      </c>
      <c r="BF27" s="42">
        <v>0</v>
      </c>
      <c r="BG27" s="47">
        <f t="shared" si="30"/>
        <v>0</v>
      </c>
      <c r="BH27" s="46">
        <f t="shared" si="19"/>
        <v>1127.5</v>
      </c>
      <c r="BI27" s="46">
        <f t="shared" si="31"/>
        <v>1127.5</v>
      </c>
      <c r="BJ27" s="54">
        <v>45765</v>
      </c>
      <c r="BK27" s="6" t="s">
        <v>19672</v>
      </c>
      <c r="BO27" s="48">
        <f t="shared" si="20"/>
        <v>1127.5</v>
      </c>
      <c r="BP27" s="48">
        <f t="shared" si="21"/>
        <v>0</v>
      </c>
      <c r="BQ27" s="6" t="str">
        <f t="shared" si="5"/>
        <v>Fully Paid</v>
      </c>
      <c r="BS27" s="6" t="str">
        <f t="shared" si="6"/>
        <v>Closed</v>
      </c>
      <c r="BT27" s="49" t="str">
        <f t="shared" ca="1" si="7"/>
        <v>Closed</v>
      </c>
    </row>
    <row r="28" spans="1:72" hidden="1" x14ac:dyDescent="0.25">
      <c r="A28" s="6" t="s">
        <v>19437</v>
      </c>
      <c r="B28" s="6" t="s">
        <v>20097</v>
      </c>
      <c r="C28" s="6" t="s">
        <v>20097</v>
      </c>
      <c r="D28" s="6" t="s">
        <v>19438</v>
      </c>
      <c r="E28" s="6" t="s">
        <v>20097</v>
      </c>
      <c r="F28" s="38">
        <v>0</v>
      </c>
      <c r="G28" s="39">
        <f t="shared" si="8"/>
        <v>1</v>
      </c>
      <c r="H28" s="40" t="str">
        <f t="shared" si="9"/>
        <v>PRF Qty Not Available</v>
      </c>
      <c r="I28" s="6" t="s">
        <v>19621</v>
      </c>
      <c r="J28" s="36">
        <v>45388</v>
      </c>
      <c r="K28" s="51">
        <v>10000</v>
      </c>
      <c r="L28" s="46">
        <v>0.43</v>
      </c>
      <c r="M28" s="42">
        <f t="shared" si="11"/>
        <v>4300</v>
      </c>
      <c r="N28" s="42">
        <v>0</v>
      </c>
      <c r="O28" s="42">
        <v>0</v>
      </c>
      <c r="P28" s="42">
        <f t="shared" si="12"/>
        <v>4300</v>
      </c>
      <c r="Q28" s="38" t="s">
        <v>19622</v>
      </c>
      <c r="R28" s="36">
        <v>45381</v>
      </c>
      <c r="S28" s="36" t="s">
        <v>19499</v>
      </c>
      <c r="T28" s="58" t="s">
        <v>16353</v>
      </c>
      <c r="U28" s="6" t="str">
        <f>IFERROR(VLOOKUP(T28,'item master'!B:C,2,0),"")</f>
        <v>LABTOL 5MG/ML (LABÉTALOL ) 5ML INJ. B/5 AMP</v>
      </c>
      <c r="V28" s="51">
        <f t="shared" si="22"/>
        <v>10000</v>
      </c>
      <c r="W28" s="6">
        <v>0</v>
      </c>
      <c r="X28" s="53">
        <f t="shared" si="23"/>
        <v>0.43</v>
      </c>
      <c r="Y28" s="46">
        <f t="shared" si="0"/>
        <v>4300</v>
      </c>
      <c r="Z28" s="42">
        <v>0</v>
      </c>
      <c r="AA28" s="42">
        <f t="shared" si="13"/>
        <v>4300</v>
      </c>
      <c r="AB28" s="45">
        <v>0.3</v>
      </c>
      <c r="AC28" s="46">
        <f t="shared" si="28"/>
        <v>1290</v>
      </c>
      <c r="AD28" s="46">
        <f t="shared" si="29"/>
        <v>1290</v>
      </c>
      <c r="AE28" s="54">
        <v>45463</v>
      </c>
      <c r="AF28" s="6" t="s">
        <v>19642</v>
      </c>
      <c r="AG28" s="41">
        <v>9250</v>
      </c>
      <c r="AH28" s="41">
        <f t="shared" si="15"/>
        <v>9250</v>
      </c>
      <c r="AJ28" s="51">
        <f t="shared" si="2"/>
        <v>750</v>
      </c>
      <c r="AK28" s="6" t="s">
        <v>19638</v>
      </c>
      <c r="AL28" s="36">
        <v>45625</v>
      </c>
      <c r="AM28" s="6" t="s">
        <v>19580</v>
      </c>
      <c r="AN28" s="6">
        <f>X28</f>
        <v>0.43</v>
      </c>
      <c r="AO28" s="46">
        <f t="shared" si="24"/>
        <v>3977.5</v>
      </c>
      <c r="AP28" s="46"/>
      <c r="AQ28" s="46"/>
      <c r="AR28" s="46"/>
      <c r="AS28" s="42">
        <f t="shared" si="16"/>
        <v>3977.5</v>
      </c>
      <c r="AT28" s="38" t="s">
        <v>19639</v>
      </c>
      <c r="AU28" s="36">
        <v>45667</v>
      </c>
      <c r="AV28" s="6" t="s">
        <v>19583</v>
      </c>
      <c r="AW28" s="51">
        <v>9250</v>
      </c>
      <c r="AX28" s="57" t="s">
        <v>19640</v>
      </c>
      <c r="AY28" s="36">
        <v>45721</v>
      </c>
      <c r="AZ28" s="46">
        <v>-30.6</v>
      </c>
      <c r="BA28" s="46">
        <f t="shared" si="3"/>
        <v>1259.4000000000001</v>
      </c>
      <c r="BB28" s="46">
        <v>0</v>
      </c>
      <c r="BC28" s="46">
        <v>0</v>
      </c>
      <c r="BD28" s="46">
        <f t="shared" si="17"/>
        <v>1259.4000000000001</v>
      </c>
      <c r="BE28" s="46">
        <f t="shared" si="25"/>
        <v>0</v>
      </c>
      <c r="BF28" s="42">
        <v>0</v>
      </c>
      <c r="BG28" s="47">
        <f t="shared" si="30"/>
        <v>0</v>
      </c>
      <c r="BH28" s="46">
        <f t="shared" si="19"/>
        <v>2718.1</v>
      </c>
      <c r="BI28" s="46">
        <f t="shared" si="31"/>
        <v>2718.1</v>
      </c>
      <c r="BJ28" s="54">
        <v>45765</v>
      </c>
      <c r="BK28" s="6" t="s">
        <v>19672</v>
      </c>
      <c r="BO28" s="48">
        <f t="shared" si="20"/>
        <v>2718.1</v>
      </c>
      <c r="BP28" s="48">
        <f t="shared" si="21"/>
        <v>0</v>
      </c>
      <c r="BQ28" s="6" t="str">
        <f t="shared" si="5"/>
        <v>Fully Paid</v>
      </c>
      <c r="BS28" s="6" t="str">
        <f t="shared" si="6"/>
        <v>Closed</v>
      </c>
      <c r="BT28" s="49" t="str">
        <f t="shared" ca="1" si="7"/>
        <v>Closed</v>
      </c>
    </row>
    <row r="29" spans="1:72" hidden="1" x14ac:dyDescent="0.25">
      <c r="A29" s="6" t="s">
        <v>19437</v>
      </c>
      <c r="B29" s="6" t="s">
        <v>20097</v>
      </c>
      <c r="C29" s="6" t="s">
        <v>20097</v>
      </c>
      <c r="D29" s="6" t="s">
        <v>19438</v>
      </c>
      <c r="E29" s="6" t="s">
        <v>20097</v>
      </c>
      <c r="F29" s="38">
        <v>0</v>
      </c>
      <c r="G29" s="39">
        <f t="shared" si="8"/>
        <v>1</v>
      </c>
      <c r="H29" s="40" t="str">
        <f t="shared" si="9"/>
        <v>PRF Qty Not Available</v>
      </c>
      <c r="I29" s="6" t="s">
        <v>19621</v>
      </c>
      <c r="J29" s="36">
        <v>45388</v>
      </c>
      <c r="K29" s="51">
        <v>10000</v>
      </c>
      <c r="L29" s="46">
        <v>0.3</v>
      </c>
      <c r="M29" s="42">
        <f t="shared" si="11"/>
        <v>3000</v>
      </c>
      <c r="N29" s="42">
        <v>0</v>
      </c>
      <c r="O29" s="42">
        <v>0</v>
      </c>
      <c r="P29" s="42">
        <f t="shared" si="12"/>
        <v>3000</v>
      </c>
      <c r="Q29" s="38" t="s">
        <v>19622</v>
      </c>
      <c r="R29" s="36">
        <v>45381</v>
      </c>
      <c r="S29" s="36" t="s">
        <v>19499</v>
      </c>
      <c r="T29" s="58" t="s">
        <v>16359</v>
      </c>
      <c r="U29" s="6" t="str">
        <f>IFERROR(VLOOKUP(T29,'item master'!B:C,2,0),"")</f>
        <v>UNISTIGMINE 0.5MG/ML (NÉOSTIGMINE) INJ. B/5 AMP</v>
      </c>
      <c r="V29" s="51">
        <f t="shared" si="22"/>
        <v>10000</v>
      </c>
      <c r="W29" s="6">
        <v>0</v>
      </c>
      <c r="X29" s="53">
        <f t="shared" si="23"/>
        <v>0.3</v>
      </c>
      <c r="Y29" s="46">
        <f t="shared" si="0"/>
        <v>3000</v>
      </c>
      <c r="Z29" s="42">
        <v>0</v>
      </c>
      <c r="AA29" s="42">
        <f t="shared" si="13"/>
        <v>3000</v>
      </c>
      <c r="AB29" s="45">
        <v>0.3</v>
      </c>
      <c r="AC29" s="46">
        <f t="shared" si="28"/>
        <v>900</v>
      </c>
      <c r="AD29" s="46">
        <f t="shared" si="29"/>
        <v>900</v>
      </c>
      <c r="AE29" s="54">
        <v>45463</v>
      </c>
      <c r="AF29" s="6" t="s">
        <v>19642</v>
      </c>
      <c r="AG29" s="41">
        <v>10360</v>
      </c>
      <c r="AH29" s="41">
        <f t="shared" si="15"/>
        <v>10360</v>
      </c>
      <c r="AJ29" s="51">
        <f t="shared" si="2"/>
        <v>-360</v>
      </c>
      <c r="AK29" s="6" t="s">
        <v>19638</v>
      </c>
      <c r="AL29" s="36">
        <v>45625</v>
      </c>
      <c r="AM29" s="6" t="s">
        <v>19580</v>
      </c>
      <c r="AN29" s="6">
        <f>X29</f>
        <v>0.3</v>
      </c>
      <c r="AO29" s="46">
        <f t="shared" si="24"/>
        <v>3108</v>
      </c>
      <c r="AP29" s="46"/>
      <c r="AQ29" s="46"/>
      <c r="AR29" s="46"/>
      <c r="AS29" s="42">
        <f t="shared" si="16"/>
        <v>3108</v>
      </c>
      <c r="AT29" s="38" t="s">
        <v>19639</v>
      </c>
      <c r="AU29" s="36">
        <v>45667</v>
      </c>
      <c r="AV29" s="6" t="s">
        <v>19583</v>
      </c>
      <c r="AW29" s="51">
        <v>10360</v>
      </c>
      <c r="AX29" s="57" t="s">
        <v>19640</v>
      </c>
      <c r="AY29" s="36">
        <v>45721</v>
      </c>
      <c r="AZ29" s="46">
        <v>-660</v>
      </c>
      <c r="BA29" s="46">
        <f t="shared" si="3"/>
        <v>240</v>
      </c>
      <c r="BB29" s="46">
        <v>0</v>
      </c>
      <c r="BC29" s="46">
        <v>0</v>
      </c>
      <c r="BD29" s="46">
        <f t="shared" si="17"/>
        <v>240</v>
      </c>
      <c r="BE29" s="46">
        <f t="shared" si="25"/>
        <v>0</v>
      </c>
      <c r="BF29" s="42">
        <v>0</v>
      </c>
      <c r="BG29" s="47">
        <f t="shared" si="30"/>
        <v>0</v>
      </c>
      <c r="BH29" s="46">
        <f t="shared" si="19"/>
        <v>2868</v>
      </c>
      <c r="BI29" s="46">
        <f t="shared" si="31"/>
        <v>2868</v>
      </c>
      <c r="BJ29" s="54">
        <v>45765</v>
      </c>
      <c r="BK29" s="6" t="s">
        <v>19672</v>
      </c>
      <c r="BO29" s="48">
        <f t="shared" si="20"/>
        <v>2868</v>
      </c>
      <c r="BP29" s="48">
        <f t="shared" si="21"/>
        <v>0</v>
      </c>
      <c r="BQ29" s="6" t="str">
        <f t="shared" si="5"/>
        <v>Fully Paid</v>
      </c>
      <c r="BS29" s="6" t="str">
        <f t="shared" si="6"/>
        <v>Closed</v>
      </c>
      <c r="BT29" s="49" t="str">
        <f t="shared" ca="1" si="7"/>
        <v>Closed</v>
      </c>
    </row>
    <row r="30" spans="1:72" hidden="1" x14ac:dyDescent="0.25">
      <c r="A30" s="6" t="s">
        <v>19437</v>
      </c>
      <c r="B30" s="6" t="s">
        <v>20097</v>
      </c>
      <c r="C30" s="6" t="s">
        <v>20097</v>
      </c>
      <c r="D30" s="6" t="s">
        <v>19438</v>
      </c>
      <c r="E30" s="6" t="s">
        <v>20097</v>
      </c>
      <c r="F30" s="38">
        <v>0</v>
      </c>
      <c r="G30" s="39">
        <f t="shared" si="8"/>
        <v>1</v>
      </c>
      <c r="H30" s="40" t="str">
        <f t="shared" si="9"/>
        <v>PRF Qty Not Available</v>
      </c>
      <c r="I30" s="6" t="s">
        <v>19621</v>
      </c>
      <c r="J30" s="36">
        <v>45388</v>
      </c>
      <c r="K30" s="51">
        <v>10000</v>
      </c>
      <c r="L30" s="46">
        <v>0.2</v>
      </c>
      <c r="M30" s="42">
        <f t="shared" si="11"/>
        <v>2000</v>
      </c>
      <c r="N30" s="42">
        <v>0</v>
      </c>
      <c r="O30" s="42">
        <v>0</v>
      </c>
      <c r="P30" s="42">
        <f t="shared" si="12"/>
        <v>2000</v>
      </c>
      <c r="Q30" s="38" t="s">
        <v>19622</v>
      </c>
      <c r="R30" s="36">
        <v>45381</v>
      </c>
      <c r="S30" s="36" t="s">
        <v>19499</v>
      </c>
      <c r="T30" s="58" t="s">
        <v>16367</v>
      </c>
      <c r="U30" s="6" t="str">
        <f>IFERROR(VLOOKUP(T30,'item master'!B:C,2,0),"")</f>
        <v>FELOXAM 20MG/ML (PIROXICAM) INJ. B/2AMP</v>
      </c>
      <c r="V30" s="51">
        <f t="shared" si="22"/>
        <v>10000</v>
      </c>
      <c r="W30" s="6">
        <v>0</v>
      </c>
      <c r="X30" s="53">
        <f t="shared" si="23"/>
        <v>0.2</v>
      </c>
      <c r="Y30" s="46">
        <f t="shared" si="0"/>
        <v>2000</v>
      </c>
      <c r="Z30" s="42">
        <v>0</v>
      </c>
      <c r="AA30" s="42">
        <f t="shared" si="13"/>
        <v>2000</v>
      </c>
      <c r="AB30" s="45">
        <v>0.3</v>
      </c>
      <c r="AC30" s="46">
        <f t="shared" si="28"/>
        <v>600</v>
      </c>
      <c r="AD30" s="46">
        <f t="shared" si="29"/>
        <v>600</v>
      </c>
      <c r="AE30" s="54">
        <v>45463</v>
      </c>
      <c r="AF30" s="6" t="s">
        <v>19642</v>
      </c>
      <c r="AG30" s="41">
        <v>11085</v>
      </c>
      <c r="AH30" s="41">
        <f t="shared" si="15"/>
        <v>11085</v>
      </c>
      <c r="AJ30" s="51">
        <f t="shared" si="2"/>
        <v>-1085</v>
      </c>
      <c r="AK30" s="6" t="s">
        <v>19645</v>
      </c>
      <c r="AL30" s="36">
        <v>45695</v>
      </c>
      <c r="AM30" s="6" t="s">
        <v>19580</v>
      </c>
      <c r="AN30" s="6">
        <v>0.2</v>
      </c>
      <c r="AO30" s="46">
        <f t="shared" si="24"/>
        <v>2217</v>
      </c>
      <c r="AP30" s="46"/>
      <c r="AQ30" s="46"/>
      <c r="AR30" s="46"/>
      <c r="AS30" s="42">
        <f t="shared" si="16"/>
        <v>2217</v>
      </c>
      <c r="AT30" s="38">
        <v>2515134444</v>
      </c>
      <c r="AV30" s="6" t="s">
        <v>19583</v>
      </c>
      <c r="AW30" s="51">
        <v>11085</v>
      </c>
      <c r="AX30" s="57" t="s">
        <v>19647</v>
      </c>
      <c r="AZ30" s="46">
        <v>13.77</v>
      </c>
      <c r="BA30" s="46">
        <f t="shared" si="3"/>
        <v>613.77</v>
      </c>
      <c r="BB30" s="46">
        <v>0</v>
      </c>
      <c r="BC30" s="46">
        <v>0</v>
      </c>
      <c r="BD30" s="46">
        <f t="shared" si="17"/>
        <v>613.77</v>
      </c>
      <c r="BE30" s="46">
        <f t="shared" si="25"/>
        <v>0</v>
      </c>
      <c r="BF30" s="42">
        <v>0</v>
      </c>
      <c r="BG30" s="47">
        <f t="shared" si="30"/>
        <v>0</v>
      </c>
      <c r="BH30" s="46">
        <f t="shared" si="19"/>
        <v>1603.23</v>
      </c>
      <c r="BI30" s="46">
        <f t="shared" si="31"/>
        <v>1603.23</v>
      </c>
      <c r="BJ30" s="54">
        <v>45765</v>
      </c>
      <c r="BK30" s="6" t="s">
        <v>19672</v>
      </c>
      <c r="BO30" s="48">
        <f t="shared" si="20"/>
        <v>1603.23</v>
      </c>
      <c r="BP30" s="48">
        <f t="shared" si="21"/>
        <v>0</v>
      </c>
      <c r="BQ30" s="6" t="str">
        <f t="shared" si="5"/>
        <v>Fully Paid</v>
      </c>
      <c r="BS30" s="6" t="str">
        <f t="shared" si="6"/>
        <v>Closed</v>
      </c>
      <c r="BT30" s="49" t="str">
        <f t="shared" ca="1" si="7"/>
        <v>Closed</v>
      </c>
    </row>
    <row r="31" spans="1:72" hidden="1" x14ac:dyDescent="0.25">
      <c r="A31" s="6" t="s">
        <v>19437</v>
      </c>
      <c r="B31" s="6" t="s">
        <v>20097</v>
      </c>
      <c r="C31" s="6" t="s">
        <v>20097</v>
      </c>
      <c r="D31" s="6" t="s">
        <v>19438</v>
      </c>
      <c r="E31" s="6" t="s">
        <v>20097</v>
      </c>
      <c r="F31" s="38">
        <v>0</v>
      </c>
      <c r="G31" s="39">
        <f t="shared" si="8"/>
        <v>1</v>
      </c>
      <c r="H31" s="40" t="str">
        <f t="shared" si="9"/>
        <v>PRF Qty Not Available</v>
      </c>
      <c r="I31" s="6" t="s">
        <v>19621</v>
      </c>
      <c r="J31" s="36">
        <v>45388</v>
      </c>
      <c r="K31" s="51">
        <v>3000</v>
      </c>
      <c r="L31" s="46">
        <v>0.75</v>
      </c>
      <c r="M31" s="42">
        <f t="shared" si="11"/>
        <v>2250</v>
      </c>
      <c r="N31" s="42">
        <v>0</v>
      </c>
      <c r="O31" s="42">
        <v>0</v>
      </c>
      <c r="P31" s="42">
        <f t="shared" si="12"/>
        <v>2250</v>
      </c>
      <c r="Q31" s="38" t="s">
        <v>19622</v>
      </c>
      <c r="R31" s="36">
        <v>45381</v>
      </c>
      <c r="S31" s="36" t="s">
        <v>19499</v>
      </c>
      <c r="T31" s="58" t="s">
        <v>16349</v>
      </c>
      <c r="U31" s="6" t="str">
        <f>IFERROR(VLOOKUP(T31,'item master'!B:C,2,0),"")</f>
        <v>HALDOQUE 5MG/ML (HALOPÉRIDOLUM) INJ. B/5 AMP</v>
      </c>
      <c r="V31" s="51">
        <f t="shared" si="22"/>
        <v>3000</v>
      </c>
      <c r="W31" s="6">
        <v>0</v>
      </c>
      <c r="X31" s="53">
        <f t="shared" si="23"/>
        <v>0.75</v>
      </c>
      <c r="Y31" s="46">
        <f t="shared" si="0"/>
        <v>2250</v>
      </c>
      <c r="Z31" s="42">
        <v>0</v>
      </c>
      <c r="AA31" s="42">
        <f t="shared" si="13"/>
        <v>2250</v>
      </c>
      <c r="AB31" s="45">
        <v>0.3</v>
      </c>
      <c r="AC31" s="46">
        <f t="shared" si="28"/>
        <v>675</v>
      </c>
      <c r="AD31" s="46">
        <f t="shared" si="29"/>
        <v>675</v>
      </c>
      <c r="AE31" s="54">
        <v>45463</v>
      </c>
      <c r="AF31" s="6" t="s">
        <v>19642</v>
      </c>
      <c r="AG31" s="41">
        <v>2580</v>
      </c>
      <c r="AH31" s="41">
        <f t="shared" si="15"/>
        <v>2580</v>
      </c>
      <c r="AJ31" s="51">
        <f t="shared" si="2"/>
        <v>420</v>
      </c>
      <c r="AK31" s="6" t="s">
        <v>19638</v>
      </c>
      <c r="AL31" s="36">
        <v>45625</v>
      </c>
      <c r="AM31" s="6" t="s">
        <v>19580</v>
      </c>
      <c r="AN31" s="6">
        <f>X31</f>
        <v>0.75</v>
      </c>
      <c r="AO31" s="46">
        <f t="shared" si="24"/>
        <v>1935</v>
      </c>
      <c r="AP31" s="46"/>
      <c r="AQ31" s="46"/>
      <c r="AR31" s="46"/>
      <c r="AS31" s="42">
        <f t="shared" si="16"/>
        <v>1935</v>
      </c>
      <c r="AT31" s="38" t="s">
        <v>19639</v>
      </c>
      <c r="AU31" s="36">
        <v>45667</v>
      </c>
      <c r="AV31" s="6" t="s">
        <v>19583</v>
      </c>
      <c r="AW31" s="51">
        <v>2580</v>
      </c>
      <c r="AX31" s="57" t="s">
        <v>19640</v>
      </c>
      <c r="AY31" s="36">
        <v>45721</v>
      </c>
      <c r="AZ31" s="46">
        <v>30</v>
      </c>
      <c r="BA31" s="46">
        <f t="shared" si="3"/>
        <v>705</v>
      </c>
      <c r="BB31" s="46">
        <v>0</v>
      </c>
      <c r="BC31" s="46">
        <v>0</v>
      </c>
      <c r="BD31" s="46">
        <f t="shared" si="17"/>
        <v>705</v>
      </c>
      <c r="BE31" s="46">
        <f t="shared" si="25"/>
        <v>0</v>
      </c>
      <c r="BF31" s="42">
        <v>0</v>
      </c>
      <c r="BG31" s="47">
        <f t="shared" si="30"/>
        <v>0</v>
      </c>
      <c r="BH31" s="46">
        <f t="shared" si="19"/>
        <v>1230</v>
      </c>
      <c r="BI31" s="46">
        <f t="shared" si="31"/>
        <v>1230</v>
      </c>
      <c r="BJ31" s="54">
        <v>45765</v>
      </c>
      <c r="BK31" s="6" t="s">
        <v>19672</v>
      </c>
      <c r="BO31" s="48">
        <f t="shared" si="20"/>
        <v>1230</v>
      </c>
      <c r="BP31" s="48">
        <f t="shared" si="21"/>
        <v>0</v>
      </c>
      <c r="BQ31" s="6" t="str">
        <f t="shared" si="5"/>
        <v>Fully Paid</v>
      </c>
      <c r="BS31" s="6" t="str">
        <f t="shared" si="6"/>
        <v>Closed</v>
      </c>
      <c r="BT31" s="49" t="str">
        <f t="shared" ca="1" si="7"/>
        <v>Closed</v>
      </c>
    </row>
    <row r="32" spans="1:72" hidden="1" x14ac:dyDescent="0.25">
      <c r="A32" s="6" t="s">
        <v>19437</v>
      </c>
      <c r="B32" s="6" t="s">
        <v>20097</v>
      </c>
      <c r="C32" s="6" t="s">
        <v>20097</v>
      </c>
      <c r="D32" s="6" t="s">
        <v>19438</v>
      </c>
      <c r="E32" s="6" t="s">
        <v>20097</v>
      </c>
      <c r="F32" s="38">
        <v>0</v>
      </c>
      <c r="G32" s="39">
        <f t="shared" si="8"/>
        <v>1</v>
      </c>
      <c r="H32" s="40" t="str">
        <f t="shared" si="9"/>
        <v>PRF Qty Not Available</v>
      </c>
      <c r="I32" s="6" t="s">
        <v>19621</v>
      </c>
      <c r="J32" s="36">
        <v>45388</v>
      </c>
      <c r="K32" s="51">
        <v>2000</v>
      </c>
      <c r="L32" s="46">
        <v>0.89</v>
      </c>
      <c r="M32" s="42">
        <f t="shared" si="11"/>
        <v>1780</v>
      </c>
      <c r="N32" s="42">
        <v>0</v>
      </c>
      <c r="O32" s="42">
        <v>0</v>
      </c>
      <c r="P32" s="42">
        <f t="shared" si="12"/>
        <v>1780</v>
      </c>
      <c r="Q32" s="38" t="s">
        <v>19622</v>
      </c>
      <c r="R32" s="36">
        <v>45381</v>
      </c>
      <c r="S32" s="36" t="s">
        <v>19499</v>
      </c>
      <c r="T32" s="58" t="s">
        <v>16347</v>
      </c>
      <c r="U32" s="6" t="str">
        <f>IFERROR(VLOOKUP(T32,'item master'!B:C,2,0),"")</f>
        <v>HALDOQUE DECONOAS 50MG/ML (HALOPÉRIDOL) INJ.B/5 AMP</v>
      </c>
      <c r="V32" s="51">
        <f t="shared" si="22"/>
        <v>2000</v>
      </c>
      <c r="W32" s="6">
        <v>0</v>
      </c>
      <c r="X32" s="53">
        <f t="shared" si="23"/>
        <v>0.89</v>
      </c>
      <c r="Y32" s="46">
        <f t="shared" si="0"/>
        <v>1780</v>
      </c>
      <c r="Z32" s="42">
        <v>0</v>
      </c>
      <c r="AA32" s="42">
        <f t="shared" si="13"/>
        <v>1780</v>
      </c>
      <c r="AB32" s="45">
        <v>0.3</v>
      </c>
      <c r="AC32" s="46">
        <f t="shared" si="28"/>
        <v>534</v>
      </c>
      <c r="AD32" s="46">
        <f t="shared" si="29"/>
        <v>534</v>
      </c>
      <c r="AE32" s="54">
        <v>45463</v>
      </c>
      <c r="AF32" s="6" t="s">
        <v>19642</v>
      </c>
      <c r="AG32" s="41">
        <v>1660</v>
      </c>
      <c r="AH32" s="41">
        <f t="shared" si="15"/>
        <v>1660</v>
      </c>
      <c r="AJ32" s="51">
        <f t="shared" si="2"/>
        <v>340</v>
      </c>
      <c r="AK32" s="6" t="s">
        <v>19638</v>
      </c>
      <c r="AL32" s="36">
        <v>45625</v>
      </c>
      <c r="AM32" s="6" t="s">
        <v>19580</v>
      </c>
      <c r="AN32" s="6">
        <f>X32</f>
        <v>0.89</v>
      </c>
      <c r="AO32" s="46">
        <f t="shared" si="24"/>
        <v>1477.4</v>
      </c>
      <c r="AP32" s="46"/>
      <c r="AQ32" s="46"/>
      <c r="AR32" s="46"/>
      <c r="AS32" s="42">
        <f t="shared" si="16"/>
        <v>1477.4</v>
      </c>
      <c r="AT32" s="38" t="s">
        <v>19639</v>
      </c>
      <c r="AU32" s="36">
        <v>45667</v>
      </c>
      <c r="AV32" s="6" t="s">
        <v>19583</v>
      </c>
      <c r="AW32" s="51">
        <v>1660</v>
      </c>
      <c r="AX32" s="57" t="s">
        <v>19640</v>
      </c>
      <c r="AY32" s="36">
        <v>45721</v>
      </c>
      <c r="AZ32" s="46">
        <v>0</v>
      </c>
      <c r="BA32" s="46">
        <f t="shared" si="3"/>
        <v>534</v>
      </c>
      <c r="BB32" s="46">
        <v>0</v>
      </c>
      <c r="BC32" s="46">
        <v>0</v>
      </c>
      <c r="BD32" s="46">
        <f t="shared" si="17"/>
        <v>534</v>
      </c>
      <c r="BE32" s="46">
        <f t="shared" si="25"/>
        <v>0</v>
      </c>
      <c r="BF32" s="42">
        <v>0</v>
      </c>
      <c r="BG32" s="47">
        <f t="shared" si="30"/>
        <v>0</v>
      </c>
      <c r="BH32" s="46">
        <f t="shared" si="19"/>
        <v>943.40000000000009</v>
      </c>
      <c r="BI32" s="46">
        <f t="shared" si="31"/>
        <v>943.40000000000009</v>
      </c>
      <c r="BJ32" s="54">
        <v>45765</v>
      </c>
      <c r="BK32" s="6" t="s">
        <v>19672</v>
      </c>
      <c r="BO32" s="48">
        <f t="shared" si="20"/>
        <v>943.40000000000009</v>
      </c>
      <c r="BP32" s="48">
        <f t="shared" si="21"/>
        <v>0</v>
      </c>
      <c r="BQ32" s="6" t="str">
        <f t="shared" si="5"/>
        <v>Fully Paid</v>
      </c>
      <c r="BS32" s="6" t="str">
        <f t="shared" si="6"/>
        <v>Closed</v>
      </c>
      <c r="BT32" s="49" t="str">
        <f t="shared" ca="1" si="7"/>
        <v>Closed</v>
      </c>
    </row>
    <row r="33" spans="1:72" hidden="1" x14ac:dyDescent="0.25">
      <c r="A33" s="6" t="s">
        <v>19437</v>
      </c>
      <c r="B33" s="6" t="s">
        <v>20097</v>
      </c>
      <c r="C33" s="6" t="s">
        <v>20097</v>
      </c>
      <c r="D33" s="6" t="s">
        <v>19438</v>
      </c>
      <c r="E33" s="6" t="s">
        <v>20097</v>
      </c>
      <c r="F33" s="38">
        <v>0</v>
      </c>
      <c r="G33" s="39">
        <f t="shared" si="8"/>
        <v>1</v>
      </c>
      <c r="H33" s="40" t="str">
        <f t="shared" si="9"/>
        <v>PRF Qty Not Available</v>
      </c>
      <c r="I33" s="6" t="s">
        <v>19621</v>
      </c>
      <c r="J33" s="36">
        <v>45388</v>
      </c>
      <c r="K33" s="51">
        <v>5000</v>
      </c>
      <c r="L33" s="46">
        <v>0.42</v>
      </c>
      <c r="M33" s="42">
        <f t="shared" si="11"/>
        <v>2100</v>
      </c>
      <c r="N33" s="42">
        <v>0</v>
      </c>
      <c r="O33" s="42">
        <v>0</v>
      </c>
      <c r="P33" s="42">
        <f t="shared" si="12"/>
        <v>2100</v>
      </c>
      <c r="Q33" s="38" t="s">
        <v>19622</v>
      </c>
      <c r="R33" s="36">
        <v>45381</v>
      </c>
      <c r="S33" s="36" t="s">
        <v>19499</v>
      </c>
      <c r="T33" s="58" t="s">
        <v>16357</v>
      </c>
      <c r="U33" s="6" t="str">
        <f>IFERROR(VLOOKUP(T33,'item master'!B:C,2,0),"")</f>
        <v>SOLU-PREDNOL 40MG (METHYLPREDNISOLONE) INJ.B/1 VIAL+SOLVENT 2ML</v>
      </c>
      <c r="V33" s="51">
        <f t="shared" si="22"/>
        <v>5000</v>
      </c>
      <c r="W33" s="6">
        <v>0</v>
      </c>
      <c r="X33" s="53">
        <f t="shared" si="23"/>
        <v>0.42</v>
      </c>
      <c r="Y33" s="46">
        <f t="shared" si="0"/>
        <v>2100</v>
      </c>
      <c r="Z33" s="42">
        <v>0</v>
      </c>
      <c r="AA33" s="42">
        <f t="shared" si="13"/>
        <v>2100</v>
      </c>
      <c r="AB33" s="45">
        <v>0.3</v>
      </c>
      <c r="AC33" s="46">
        <f t="shared" si="28"/>
        <v>630</v>
      </c>
      <c r="AD33" s="46">
        <f t="shared" si="29"/>
        <v>630</v>
      </c>
      <c r="AE33" s="54">
        <v>45463</v>
      </c>
      <c r="AF33" s="6" t="s">
        <v>19642</v>
      </c>
      <c r="AG33" s="41">
        <v>4800</v>
      </c>
      <c r="AH33" s="41">
        <f t="shared" si="15"/>
        <v>4800</v>
      </c>
      <c r="AJ33" s="51">
        <f t="shared" si="2"/>
        <v>200</v>
      </c>
      <c r="AK33" s="6" t="s">
        <v>19638</v>
      </c>
      <c r="AL33" s="36">
        <v>45625</v>
      </c>
      <c r="AM33" s="6" t="s">
        <v>19580</v>
      </c>
      <c r="AN33" s="6">
        <v>0.42</v>
      </c>
      <c r="AO33" s="46">
        <f t="shared" si="24"/>
        <v>2016</v>
      </c>
      <c r="AP33" s="46"/>
      <c r="AQ33" s="46"/>
      <c r="AR33" s="46"/>
      <c r="AS33" s="42">
        <f t="shared" si="16"/>
        <v>2016</v>
      </c>
      <c r="AT33" s="38" t="s">
        <v>19639</v>
      </c>
      <c r="AU33" s="36">
        <v>45667</v>
      </c>
      <c r="AV33" s="6" t="s">
        <v>19583</v>
      </c>
      <c r="AW33" s="51">
        <v>4800</v>
      </c>
      <c r="AX33" s="57" t="s">
        <v>19640</v>
      </c>
      <c r="AY33" s="36">
        <v>45721</v>
      </c>
      <c r="AZ33" s="46">
        <v>0</v>
      </c>
      <c r="BA33" s="46">
        <f t="shared" si="3"/>
        <v>630</v>
      </c>
      <c r="BB33" s="46">
        <v>0</v>
      </c>
      <c r="BC33" s="46">
        <v>0</v>
      </c>
      <c r="BD33" s="46">
        <f t="shared" si="17"/>
        <v>630</v>
      </c>
      <c r="BE33" s="46">
        <f t="shared" si="25"/>
        <v>0</v>
      </c>
      <c r="BF33" s="42">
        <v>0</v>
      </c>
      <c r="BG33" s="47">
        <f t="shared" si="30"/>
        <v>0</v>
      </c>
      <c r="BH33" s="46">
        <f t="shared" si="19"/>
        <v>1386</v>
      </c>
      <c r="BI33" s="46">
        <f t="shared" si="31"/>
        <v>1386</v>
      </c>
      <c r="BJ33" s="54">
        <v>45765</v>
      </c>
      <c r="BK33" s="6" t="s">
        <v>19672</v>
      </c>
      <c r="BO33" s="48">
        <f t="shared" si="20"/>
        <v>1386</v>
      </c>
      <c r="BP33" s="48">
        <f t="shared" si="21"/>
        <v>0</v>
      </c>
      <c r="BQ33" s="6" t="str">
        <f t="shared" si="5"/>
        <v>Fully Paid</v>
      </c>
      <c r="BS33" s="6" t="str">
        <f t="shared" si="6"/>
        <v>Closed</v>
      </c>
      <c r="BT33" s="49" t="str">
        <f t="shared" ca="1" si="7"/>
        <v>Closed</v>
      </c>
    </row>
    <row r="34" spans="1:72" hidden="1" x14ac:dyDescent="0.25">
      <c r="A34" s="6" t="s">
        <v>19437</v>
      </c>
      <c r="B34" s="6" t="s">
        <v>20097</v>
      </c>
      <c r="C34" s="6" t="s">
        <v>20097</v>
      </c>
      <c r="D34" s="6" t="s">
        <v>19438</v>
      </c>
      <c r="E34" s="6" t="s">
        <v>20097</v>
      </c>
      <c r="F34" s="38">
        <v>0</v>
      </c>
      <c r="G34" s="39">
        <f t="shared" si="8"/>
        <v>1</v>
      </c>
      <c r="H34" s="40" t="str">
        <f t="shared" si="9"/>
        <v>PRF Qty Not Available</v>
      </c>
      <c r="I34" s="6" t="s">
        <v>19621</v>
      </c>
      <c r="J34" s="36">
        <v>45388</v>
      </c>
      <c r="K34" s="51">
        <v>5000</v>
      </c>
      <c r="L34" s="46">
        <v>0.83</v>
      </c>
      <c r="M34" s="42">
        <f t="shared" si="11"/>
        <v>4150</v>
      </c>
      <c r="N34" s="42">
        <v>0</v>
      </c>
      <c r="O34" s="42">
        <v>0</v>
      </c>
      <c r="P34" s="42">
        <f t="shared" si="12"/>
        <v>4150</v>
      </c>
      <c r="Q34" s="38" t="s">
        <v>19622</v>
      </c>
      <c r="R34" s="36">
        <v>45381</v>
      </c>
      <c r="S34" s="36" t="s">
        <v>19499</v>
      </c>
      <c r="T34" s="58" t="s">
        <v>16355</v>
      </c>
      <c r="U34" s="6" t="str">
        <f>IFERROR(VLOOKUP(T34,'item master'!B:C,2,0),"")</f>
        <v>SOLU-PREDNOL 125MG (MÉTHYLPREDNISOLONE) INJ.B/1 VIAL + SOLVENT 2ML</v>
      </c>
      <c r="V34" s="51">
        <f t="shared" si="22"/>
        <v>5000</v>
      </c>
      <c r="W34" s="6">
        <v>0</v>
      </c>
      <c r="X34" s="53">
        <f t="shared" si="23"/>
        <v>0.83</v>
      </c>
      <c r="Y34" s="46">
        <f t="shared" si="0"/>
        <v>4150</v>
      </c>
      <c r="Z34" s="42">
        <v>0</v>
      </c>
      <c r="AA34" s="42">
        <f t="shared" si="13"/>
        <v>4150</v>
      </c>
      <c r="AB34" s="45">
        <v>0.3</v>
      </c>
      <c r="AC34" s="46">
        <f t="shared" si="28"/>
        <v>1245</v>
      </c>
      <c r="AD34" s="46">
        <f t="shared" si="29"/>
        <v>1245</v>
      </c>
      <c r="AE34" s="54">
        <v>45463</v>
      </c>
      <c r="AF34" s="6" t="s">
        <v>19642</v>
      </c>
      <c r="AG34" s="41">
        <v>4000</v>
      </c>
      <c r="AH34" s="41">
        <f t="shared" si="15"/>
        <v>4000</v>
      </c>
      <c r="AJ34" s="51">
        <f t="shared" si="2"/>
        <v>1000</v>
      </c>
      <c r="AK34" s="6" t="s">
        <v>19638</v>
      </c>
      <c r="AL34" s="36">
        <v>45625</v>
      </c>
      <c r="AM34" s="6" t="s">
        <v>19580</v>
      </c>
      <c r="AN34" s="6">
        <v>0.83</v>
      </c>
      <c r="AO34" s="46">
        <f t="shared" si="24"/>
        <v>3320</v>
      </c>
      <c r="AP34" s="46"/>
      <c r="AQ34" s="46"/>
      <c r="AR34" s="46"/>
      <c r="AS34" s="42">
        <f t="shared" si="16"/>
        <v>3320</v>
      </c>
      <c r="AT34" s="38" t="s">
        <v>19639</v>
      </c>
      <c r="AU34" s="36">
        <v>45667</v>
      </c>
      <c r="AV34" s="6" t="s">
        <v>19583</v>
      </c>
      <c r="AW34" s="51">
        <v>4000</v>
      </c>
      <c r="AX34" s="57" t="s">
        <v>19640</v>
      </c>
      <c r="AY34" s="36">
        <v>45721</v>
      </c>
      <c r="AZ34" s="46">
        <v>0</v>
      </c>
      <c r="BA34" s="46">
        <f t="shared" ref="BA34:BA65" si="32">AD34+AZ34</f>
        <v>1245</v>
      </c>
      <c r="BB34" s="46">
        <v>0</v>
      </c>
      <c r="BC34" s="46">
        <v>0</v>
      </c>
      <c r="BD34" s="46">
        <f t="shared" si="17"/>
        <v>1245</v>
      </c>
      <c r="BE34" s="46">
        <f t="shared" si="25"/>
        <v>0</v>
      </c>
      <c r="BF34" s="42">
        <v>0</v>
      </c>
      <c r="BG34" s="47">
        <f t="shared" si="30"/>
        <v>0</v>
      </c>
      <c r="BH34" s="46">
        <f t="shared" si="19"/>
        <v>2075</v>
      </c>
      <c r="BI34" s="46">
        <f t="shared" si="31"/>
        <v>2075</v>
      </c>
      <c r="BJ34" s="54">
        <v>45765</v>
      </c>
      <c r="BK34" s="6" t="s">
        <v>19672</v>
      </c>
      <c r="BO34" s="48">
        <f t="shared" si="20"/>
        <v>2075</v>
      </c>
      <c r="BP34" s="48">
        <f t="shared" si="21"/>
        <v>0</v>
      </c>
      <c r="BQ34" s="6" t="str">
        <f t="shared" si="5"/>
        <v>Fully Paid</v>
      </c>
      <c r="BS34" s="6" t="str">
        <f t="shared" ref="BS34:BS65" si="33">IF(AX34&lt;&gt;"","Closed","Open")</f>
        <v>Closed</v>
      </c>
      <c r="BT34" s="49" t="str">
        <f t="shared" ca="1" si="7"/>
        <v>Closed</v>
      </c>
    </row>
    <row r="35" spans="1:72" hidden="1" x14ac:dyDescent="0.25">
      <c r="A35" s="6" t="s">
        <v>19437</v>
      </c>
      <c r="B35" s="6" t="s">
        <v>20097</v>
      </c>
      <c r="C35" s="6" t="s">
        <v>20097</v>
      </c>
      <c r="D35" s="6" t="s">
        <v>19438</v>
      </c>
      <c r="E35" s="6" t="s">
        <v>20097</v>
      </c>
      <c r="F35" s="38">
        <v>0</v>
      </c>
      <c r="G35" s="39">
        <f t="shared" si="8"/>
        <v>1</v>
      </c>
      <c r="H35" s="40" t="str">
        <f t="shared" si="9"/>
        <v>PRF Qty Not Available</v>
      </c>
      <c r="I35" s="6" t="s">
        <v>19621</v>
      </c>
      <c r="J35" s="36">
        <v>45388</v>
      </c>
      <c r="K35" s="51">
        <v>20000</v>
      </c>
      <c r="L35" s="46">
        <v>0.3</v>
      </c>
      <c r="M35" s="42">
        <f t="shared" si="11"/>
        <v>6000</v>
      </c>
      <c r="N35" s="42">
        <v>0</v>
      </c>
      <c r="O35" s="42">
        <v>0</v>
      </c>
      <c r="P35" s="42">
        <f t="shared" si="12"/>
        <v>6000</v>
      </c>
      <c r="Q35" s="38" t="s">
        <v>19622</v>
      </c>
      <c r="R35" s="36">
        <v>45381</v>
      </c>
      <c r="S35" s="36" t="s">
        <v>19499</v>
      </c>
      <c r="T35" s="52" t="s">
        <v>16343</v>
      </c>
      <c r="U35" s="6" t="str">
        <f>IFERROR(VLOOKUP(T35,'item master'!B:C,2,0),"")</f>
        <v>SPASMOSTOP 40MG/2ML ( DROTAVÉRINE ) INJ. B/5 AMP</v>
      </c>
      <c r="V35" s="51">
        <f t="shared" si="22"/>
        <v>20000</v>
      </c>
      <c r="W35" s="6">
        <v>0</v>
      </c>
      <c r="X35" s="53">
        <f t="shared" si="23"/>
        <v>0.3</v>
      </c>
      <c r="Y35" s="46">
        <f t="shared" si="0"/>
        <v>6000</v>
      </c>
      <c r="Z35" s="42">
        <v>0</v>
      </c>
      <c r="AA35" s="42">
        <f t="shared" si="13"/>
        <v>6000</v>
      </c>
      <c r="AB35" s="45">
        <v>0.3</v>
      </c>
      <c r="AC35" s="46">
        <f t="shared" si="28"/>
        <v>1800</v>
      </c>
      <c r="AD35" s="46">
        <f t="shared" si="29"/>
        <v>1800</v>
      </c>
      <c r="AE35" s="54">
        <v>45463</v>
      </c>
      <c r="AF35" s="6" t="s">
        <v>19642</v>
      </c>
      <c r="AG35" s="41">
        <v>20340</v>
      </c>
      <c r="AH35" s="41">
        <f t="shared" si="15"/>
        <v>20340</v>
      </c>
      <c r="AJ35" s="51">
        <f t="shared" si="2"/>
        <v>-340</v>
      </c>
      <c r="AK35" s="6" t="s">
        <v>19632</v>
      </c>
      <c r="AL35" s="36">
        <v>45537</v>
      </c>
      <c r="AM35" s="6" t="s">
        <v>19580</v>
      </c>
      <c r="AN35" s="6">
        <v>0.3</v>
      </c>
      <c r="AO35" s="46">
        <f t="shared" si="24"/>
        <v>6102</v>
      </c>
      <c r="AP35" s="46"/>
      <c r="AQ35" s="46"/>
      <c r="AR35" s="46"/>
      <c r="AS35" s="42">
        <f t="shared" si="16"/>
        <v>6102</v>
      </c>
      <c r="AT35" s="38">
        <v>244450371</v>
      </c>
      <c r="AV35" s="6" t="s">
        <v>19583</v>
      </c>
      <c r="AW35" s="51">
        <v>20340</v>
      </c>
      <c r="AX35" s="57" t="s">
        <v>19633</v>
      </c>
      <c r="AY35" s="36">
        <v>45608</v>
      </c>
      <c r="AZ35" s="46">
        <v>0</v>
      </c>
      <c r="BA35" s="46">
        <f t="shared" si="32"/>
        <v>1800</v>
      </c>
      <c r="BB35" s="46">
        <v>0</v>
      </c>
      <c r="BC35" s="46">
        <v>30.6</v>
      </c>
      <c r="BD35" s="46">
        <f t="shared" si="17"/>
        <v>1830.6</v>
      </c>
      <c r="BE35" s="46">
        <f t="shared" si="25"/>
        <v>-30.599999999999909</v>
      </c>
      <c r="BF35" s="42">
        <v>-30.6</v>
      </c>
      <c r="BG35" s="47">
        <f t="shared" si="30"/>
        <v>9.2370555648813024E-14</v>
      </c>
      <c r="BH35" s="46">
        <f t="shared" si="19"/>
        <v>4271.3999999999996</v>
      </c>
      <c r="BI35" s="46">
        <f t="shared" si="31"/>
        <v>4271.3999999999996</v>
      </c>
      <c r="BJ35" s="36">
        <v>45586</v>
      </c>
      <c r="BK35" s="6" t="s">
        <v>19634</v>
      </c>
      <c r="BO35" s="48">
        <f t="shared" si="20"/>
        <v>4271.3999999999996</v>
      </c>
      <c r="BP35" s="48">
        <f t="shared" si="21"/>
        <v>0</v>
      </c>
      <c r="BQ35" s="6" t="str">
        <f t="shared" si="5"/>
        <v>Fully Paid</v>
      </c>
      <c r="BS35" s="6" t="str">
        <f t="shared" si="33"/>
        <v>Closed</v>
      </c>
      <c r="BT35" s="49" t="str">
        <f t="shared" ca="1" si="7"/>
        <v>Closed</v>
      </c>
    </row>
    <row r="36" spans="1:72" hidden="1" x14ac:dyDescent="0.25">
      <c r="A36" s="6" t="s">
        <v>19437</v>
      </c>
      <c r="B36" s="6">
        <v>1293.24</v>
      </c>
      <c r="C36" s="36">
        <v>45381</v>
      </c>
      <c r="D36" s="6" t="s">
        <v>19438</v>
      </c>
      <c r="E36" s="62">
        <v>500000</v>
      </c>
      <c r="F36" s="38" t="s">
        <v>19641</v>
      </c>
      <c r="G36" s="39">
        <f t="shared" si="8"/>
        <v>1</v>
      </c>
      <c r="H36" s="40">
        <f t="shared" si="9"/>
        <v>500000</v>
      </c>
      <c r="I36" s="6" t="s">
        <v>19621</v>
      </c>
      <c r="J36" s="36">
        <v>45388</v>
      </c>
      <c r="K36" s="51">
        <v>500000</v>
      </c>
      <c r="L36" s="46">
        <v>0.2</v>
      </c>
      <c r="M36" s="42">
        <f t="shared" si="11"/>
        <v>100000</v>
      </c>
      <c r="N36" s="42">
        <v>0</v>
      </c>
      <c r="O36" s="42">
        <v>0</v>
      </c>
      <c r="P36" s="42">
        <f t="shared" si="12"/>
        <v>100000</v>
      </c>
      <c r="Q36" s="38" t="s">
        <v>19623</v>
      </c>
      <c r="R36" s="36">
        <v>45381</v>
      </c>
      <c r="S36" s="36" t="s">
        <v>19499</v>
      </c>
      <c r="T36" s="56" t="s">
        <v>1533</v>
      </c>
      <c r="U36" s="6" t="str">
        <f>IFERROR(VLOOKUP(T36,'item master'!B:C,2,0),"")</f>
        <v>ARTEMETHER 80MG/ML INJ B/6AMP</v>
      </c>
      <c r="V36" s="51">
        <f t="shared" si="22"/>
        <v>500000</v>
      </c>
      <c r="W36" s="6">
        <v>0</v>
      </c>
      <c r="X36" s="53">
        <f t="shared" si="23"/>
        <v>0.2</v>
      </c>
      <c r="Y36" s="46">
        <f t="shared" si="0"/>
        <v>100000</v>
      </c>
      <c r="Z36" s="42">
        <v>0</v>
      </c>
      <c r="AA36" s="42">
        <f t="shared" si="13"/>
        <v>100000</v>
      </c>
      <c r="AB36" s="45">
        <v>0.3</v>
      </c>
      <c r="AC36" s="46">
        <f t="shared" si="28"/>
        <v>30000</v>
      </c>
      <c r="AD36" s="46">
        <f t="shared" si="29"/>
        <v>30000</v>
      </c>
      <c r="AE36" s="54">
        <v>45463</v>
      </c>
      <c r="AF36" s="6" t="s">
        <v>19642</v>
      </c>
      <c r="AG36" s="41">
        <v>511000</v>
      </c>
      <c r="AH36" s="41">
        <f t="shared" si="15"/>
        <v>511000</v>
      </c>
      <c r="AJ36" s="51">
        <f t="shared" si="2"/>
        <v>-11000</v>
      </c>
      <c r="AK36" s="6" t="s">
        <v>19625</v>
      </c>
      <c r="AL36" s="36">
        <v>45457</v>
      </c>
      <c r="AM36" s="6" t="s">
        <v>19580</v>
      </c>
      <c r="AN36" s="6">
        <v>0.2</v>
      </c>
      <c r="AO36" s="46">
        <f t="shared" si="24"/>
        <v>102200</v>
      </c>
      <c r="AP36" s="46"/>
      <c r="AQ36" s="46"/>
      <c r="AR36" s="46"/>
      <c r="AS36" s="42">
        <f t="shared" si="16"/>
        <v>102200</v>
      </c>
      <c r="AT36" s="38" t="s">
        <v>19626</v>
      </c>
      <c r="AU36" s="36">
        <v>45500</v>
      </c>
      <c r="AV36" s="6" t="s">
        <v>19583</v>
      </c>
      <c r="AW36" s="51">
        <v>511000</v>
      </c>
      <c r="AX36" s="57" t="s">
        <v>19627</v>
      </c>
      <c r="AY36" s="36">
        <v>45544</v>
      </c>
      <c r="AZ36" s="46">
        <v>0</v>
      </c>
      <c r="BA36" s="46">
        <f t="shared" si="32"/>
        <v>30000</v>
      </c>
      <c r="BB36" s="46">
        <v>0</v>
      </c>
      <c r="BC36" s="46">
        <v>660</v>
      </c>
      <c r="BD36" s="46">
        <f t="shared" si="17"/>
        <v>30660</v>
      </c>
      <c r="BE36" s="46">
        <f t="shared" si="25"/>
        <v>-660</v>
      </c>
      <c r="BF36" s="42">
        <v>-660</v>
      </c>
      <c r="BG36" s="47">
        <f t="shared" si="30"/>
        <v>0</v>
      </c>
      <c r="BH36" s="46">
        <f t="shared" si="19"/>
        <v>71540</v>
      </c>
      <c r="BI36" s="46">
        <f t="shared" si="31"/>
        <v>71540</v>
      </c>
      <c r="BJ36" s="36">
        <v>45500</v>
      </c>
      <c r="BK36" s="6" t="s">
        <v>19629</v>
      </c>
      <c r="BO36" s="48">
        <f t="shared" si="20"/>
        <v>71540</v>
      </c>
      <c r="BP36" s="48">
        <f t="shared" si="21"/>
        <v>0</v>
      </c>
      <c r="BQ36" s="6" t="str">
        <f t="shared" si="5"/>
        <v>Fully Paid</v>
      </c>
      <c r="BS36" s="6" t="str">
        <f t="shared" si="33"/>
        <v>Closed</v>
      </c>
      <c r="BT36" s="49" t="str">
        <f t="shared" ca="1" si="7"/>
        <v>Closed</v>
      </c>
    </row>
    <row r="37" spans="1:72" hidden="1" x14ac:dyDescent="0.25">
      <c r="A37" s="6" t="s">
        <v>19437</v>
      </c>
      <c r="B37" s="6">
        <v>1384.24</v>
      </c>
      <c r="C37" s="36">
        <v>45553</v>
      </c>
      <c r="D37" s="6" t="s">
        <v>19438</v>
      </c>
      <c r="E37" s="62">
        <v>4000</v>
      </c>
      <c r="F37" s="38" t="s">
        <v>19591</v>
      </c>
      <c r="G37" s="39">
        <f t="shared" si="8"/>
        <v>1</v>
      </c>
      <c r="H37" s="40">
        <f t="shared" si="9"/>
        <v>4000</v>
      </c>
      <c r="I37" s="6" t="s">
        <v>19619</v>
      </c>
      <c r="J37" s="36">
        <v>45555</v>
      </c>
      <c r="K37" s="51">
        <v>4000</v>
      </c>
      <c r="L37" s="46">
        <v>0.74</v>
      </c>
      <c r="M37" s="42">
        <f t="shared" si="11"/>
        <v>2960</v>
      </c>
      <c r="N37" s="42">
        <v>0</v>
      </c>
      <c r="O37" s="42">
        <v>0</v>
      </c>
      <c r="P37" s="42">
        <f t="shared" si="12"/>
        <v>2960</v>
      </c>
      <c r="Q37" s="38" t="s">
        <v>19620</v>
      </c>
      <c r="R37" s="36">
        <v>45553</v>
      </c>
      <c r="S37" s="36" t="s">
        <v>19499</v>
      </c>
      <c r="T37" s="50" t="s">
        <v>8916</v>
      </c>
      <c r="U37" s="6" t="str">
        <f>IFERROR(VLOOKUP(T37,'item master'!B:C,2,0),"")</f>
        <v>CAFEINE B/10AMP</v>
      </c>
      <c r="V37" s="51">
        <v>4000</v>
      </c>
      <c r="W37" s="6">
        <v>0</v>
      </c>
      <c r="X37" s="53">
        <v>0.74</v>
      </c>
      <c r="Y37" s="46">
        <f t="shared" si="0"/>
        <v>2960</v>
      </c>
      <c r="Z37" s="42">
        <v>0</v>
      </c>
      <c r="AA37" s="42">
        <f t="shared" si="13"/>
        <v>2960</v>
      </c>
      <c r="AB37" s="45">
        <v>0.3</v>
      </c>
      <c r="AC37" s="46">
        <f t="shared" si="28"/>
        <v>888</v>
      </c>
      <c r="AD37" s="46">
        <f t="shared" si="29"/>
        <v>888</v>
      </c>
      <c r="AE37" s="36">
        <v>45568</v>
      </c>
      <c r="AF37" s="6" t="s">
        <v>19630</v>
      </c>
      <c r="AG37" s="41">
        <v>3090</v>
      </c>
      <c r="AH37" s="41">
        <f t="shared" si="15"/>
        <v>3090</v>
      </c>
      <c r="AJ37" s="51">
        <f t="shared" si="2"/>
        <v>910</v>
      </c>
      <c r="AK37" s="6" t="s">
        <v>19631</v>
      </c>
      <c r="AL37" s="36">
        <v>45668</v>
      </c>
      <c r="AM37" s="6" t="s">
        <v>19580</v>
      </c>
      <c r="AN37" s="6">
        <v>0.74</v>
      </c>
      <c r="AO37" s="46">
        <f t="shared" si="24"/>
        <v>2286.6</v>
      </c>
      <c r="AP37" s="46"/>
      <c r="AQ37" s="46"/>
      <c r="AR37" s="46"/>
      <c r="AS37" s="42">
        <f t="shared" si="16"/>
        <v>2286.6</v>
      </c>
      <c r="AT37" s="38" t="s">
        <v>19643</v>
      </c>
      <c r="AU37" s="36">
        <v>45700</v>
      </c>
      <c r="AV37" s="6" t="s">
        <v>19583</v>
      </c>
      <c r="AW37" s="51">
        <v>3090</v>
      </c>
      <c r="AX37" s="57" t="s">
        <v>19644</v>
      </c>
      <c r="AY37" s="36">
        <v>45747</v>
      </c>
      <c r="AZ37" s="46">
        <v>0</v>
      </c>
      <c r="BA37" s="46">
        <f t="shared" si="32"/>
        <v>888</v>
      </c>
      <c r="BB37" s="46">
        <v>0</v>
      </c>
      <c r="BC37" s="46">
        <v>0</v>
      </c>
      <c r="BD37" s="46">
        <f t="shared" si="17"/>
        <v>888</v>
      </c>
      <c r="BE37" s="46">
        <f t="shared" si="25"/>
        <v>0</v>
      </c>
      <c r="BF37" s="42">
        <v>0</v>
      </c>
      <c r="BG37" s="47">
        <f t="shared" si="30"/>
        <v>0</v>
      </c>
      <c r="BH37" s="46">
        <f t="shared" si="19"/>
        <v>1398.6</v>
      </c>
      <c r="BI37" s="46">
        <f t="shared" si="31"/>
        <v>1398.6</v>
      </c>
      <c r="BJ37" s="54">
        <v>45765</v>
      </c>
      <c r="BK37" s="6" t="s">
        <v>19672</v>
      </c>
      <c r="BO37" s="48">
        <f t="shared" si="20"/>
        <v>1398.6</v>
      </c>
      <c r="BP37" s="48">
        <f t="shared" si="21"/>
        <v>0</v>
      </c>
      <c r="BQ37" s="6" t="str">
        <f t="shared" si="5"/>
        <v>Fully Paid</v>
      </c>
      <c r="BS37" s="6" t="str">
        <f t="shared" si="33"/>
        <v>Closed</v>
      </c>
      <c r="BT37" s="49" t="str">
        <f t="shared" ca="1" si="7"/>
        <v>Closed</v>
      </c>
    </row>
    <row r="38" spans="1:72" hidden="1" x14ac:dyDescent="0.25">
      <c r="A38" s="6" t="s">
        <v>19437</v>
      </c>
      <c r="B38" s="6">
        <v>1384.24</v>
      </c>
      <c r="C38" s="36">
        <v>45553</v>
      </c>
      <c r="D38" s="6" t="s">
        <v>19438</v>
      </c>
      <c r="E38" s="62">
        <v>200000</v>
      </c>
      <c r="F38" s="38" t="s">
        <v>19588</v>
      </c>
      <c r="G38" s="39">
        <f t="shared" si="8"/>
        <v>1</v>
      </c>
      <c r="H38" s="40">
        <f t="shared" si="9"/>
        <v>200000</v>
      </c>
      <c r="I38" s="6" t="s">
        <v>19619</v>
      </c>
      <c r="J38" s="36">
        <v>45555</v>
      </c>
      <c r="K38" s="51">
        <v>200000</v>
      </c>
      <c r="L38" s="46">
        <v>6.7500000000000004E-2</v>
      </c>
      <c r="M38" s="42">
        <f t="shared" si="11"/>
        <v>13500</v>
      </c>
      <c r="N38" s="42">
        <v>0</v>
      </c>
      <c r="O38" s="42">
        <v>0</v>
      </c>
      <c r="P38" s="42">
        <f t="shared" si="12"/>
        <v>13500</v>
      </c>
      <c r="Q38" s="38" t="s">
        <v>19620</v>
      </c>
      <c r="R38" s="36">
        <v>45553</v>
      </c>
      <c r="S38" s="36" t="s">
        <v>19499</v>
      </c>
      <c r="T38" s="58" t="s">
        <v>3411</v>
      </c>
      <c r="U38" s="6" t="str">
        <f>IFERROR(VLOOKUP(T38,'item master'!B:C,2,0),"")</f>
        <v>CHLORAMPHENICOL 0.5% COLLYRE 10ML</v>
      </c>
      <c r="V38" s="51">
        <v>200000</v>
      </c>
      <c r="W38" s="6">
        <v>0</v>
      </c>
      <c r="X38" s="53">
        <v>6.7500000000000004E-2</v>
      </c>
      <c r="Y38" s="46">
        <f t="shared" si="0"/>
        <v>13500</v>
      </c>
      <c r="Z38" s="42">
        <v>0</v>
      </c>
      <c r="AA38" s="42">
        <f t="shared" si="13"/>
        <v>13500</v>
      </c>
      <c r="AB38" s="45">
        <v>0.3</v>
      </c>
      <c r="AC38" s="46">
        <f t="shared" si="28"/>
        <v>4050</v>
      </c>
      <c r="AD38" s="46">
        <f t="shared" si="29"/>
        <v>4050</v>
      </c>
      <c r="AE38" s="36">
        <v>45568</v>
      </c>
      <c r="AF38" s="6" t="s">
        <v>19630</v>
      </c>
      <c r="AG38" s="41">
        <v>200000</v>
      </c>
      <c r="AH38" s="41">
        <f t="shared" si="15"/>
        <v>200000</v>
      </c>
      <c r="AJ38" s="51">
        <f t="shared" si="2"/>
        <v>0</v>
      </c>
      <c r="AK38" s="6" t="s">
        <v>19645</v>
      </c>
      <c r="AL38" s="36">
        <v>45695</v>
      </c>
      <c r="AM38" s="6" t="s">
        <v>19580</v>
      </c>
      <c r="AN38" s="6">
        <v>6.7500000000000004E-2</v>
      </c>
      <c r="AO38" s="46">
        <f t="shared" si="24"/>
        <v>13500</v>
      </c>
      <c r="AP38" s="46"/>
      <c r="AQ38" s="46"/>
      <c r="AR38" s="46"/>
      <c r="AS38" s="42">
        <f t="shared" si="16"/>
        <v>13500</v>
      </c>
      <c r="AT38" s="38">
        <v>2515134444</v>
      </c>
      <c r="AV38" s="6" t="s">
        <v>19583</v>
      </c>
      <c r="AW38" s="51">
        <v>200000</v>
      </c>
      <c r="AX38" s="57" t="s">
        <v>19647</v>
      </c>
      <c r="AZ38" s="46">
        <v>0</v>
      </c>
      <c r="BA38" s="46">
        <f t="shared" si="32"/>
        <v>4050</v>
      </c>
      <c r="BB38" s="46">
        <v>0</v>
      </c>
      <c r="BC38" s="46">
        <v>0</v>
      </c>
      <c r="BD38" s="46">
        <f t="shared" si="17"/>
        <v>4050</v>
      </c>
      <c r="BE38" s="46">
        <f t="shared" si="25"/>
        <v>0</v>
      </c>
      <c r="BF38" s="42">
        <v>0</v>
      </c>
      <c r="BG38" s="47">
        <f t="shared" si="30"/>
        <v>0</v>
      </c>
      <c r="BH38" s="46">
        <f t="shared" si="19"/>
        <v>9450</v>
      </c>
      <c r="BI38" s="46">
        <f t="shared" si="31"/>
        <v>9450</v>
      </c>
      <c r="BJ38" s="54">
        <v>45765</v>
      </c>
      <c r="BK38" s="6" t="s">
        <v>19672</v>
      </c>
      <c r="BO38" s="48">
        <f t="shared" si="20"/>
        <v>9450</v>
      </c>
      <c r="BP38" s="48">
        <f t="shared" si="21"/>
        <v>0</v>
      </c>
      <c r="BQ38" s="6" t="str">
        <f t="shared" si="5"/>
        <v>Fully Paid</v>
      </c>
      <c r="BS38" s="6" t="str">
        <f t="shared" si="33"/>
        <v>Closed</v>
      </c>
      <c r="BT38" s="49" t="str">
        <f t="shared" ca="1" si="7"/>
        <v>Closed</v>
      </c>
    </row>
    <row r="39" spans="1:72" hidden="1" x14ac:dyDescent="0.25">
      <c r="A39" s="6" t="s">
        <v>19437</v>
      </c>
      <c r="B39" s="6">
        <v>1384.24</v>
      </c>
      <c r="C39" s="36">
        <v>45553</v>
      </c>
      <c r="D39" s="6" t="s">
        <v>19438</v>
      </c>
      <c r="E39" s="62">
        <v>4000</v>
      </c>
      <c r="F39" s="38" t="s">
        <v>19605</v>
      </c>
      <c r="G39" s="39">
        <f t="shared" si="8"/>
        <v>10</v>
      </c>
      <c r="H39" s="40">
        <f t="shared" si="9"/>
        <v>40000</v>
      </c>
      <c r="I39" s="6" t="s">
        <v>19619</v>
      </c>
      <c r="J39" s="36">
        <v>45555</v>
      </c>
      <c r="K39" s="51">
        <v>4000</v>
      </c>
      <c r="L39" s="46">
        <v>4.4000000000000004</v>
      </c>
      <c r="M39" s="42">
        <f t="shared" si="11"/>
        <v>17600</v>
      </c>
      <c r="N39" s="42">
        <v>0</v>
      </c>
      <c r="O39" s="42">
        <v>0</v>
      </c>
      <c r="P39" s="42">
        <f t="shared" si="12"/>
        <v>17600</v>
      </c>
      <c r="Q39" s="38" t="s">
        <v>19620</v>
      </c>
      <c r="R39" s="36">
        <v>45553</v>
      </c>
      <c r="S39" s="36" t="s">
        <v>19499</v>
      </c>
      <c r="T39" s="52" t="s">
        <v>19568</v>
      </c>
      <c r="U39" s="6" t="str">
        <f>IFERROR(VLOOKUP(T39,'item master'!B:C,2,0),"")</f>
        <v>DIAZEPAM 10MG/2ML INJ B/10AMP</v>
      </c>
      <c r="V39" s="51">
        <v>4000</v>
      </c>
      <c r="W39" s="6">
        <v>0</v>
      </c>
      <c r="X39" s="53">
        <v>4.4000000000000004</v>
      </c>
      <c r="Y39" s="46">
        <f t="shared" si="0"/>
        <v>17600</v>
      </c>
      <c r="Z39" s="42">
        <v>0</v>
      </c>
      <c r="AA39" s="42">
        <f t="shared" si="13"/>
        <v>17600</v>
      </c>
      <c r="AB39" s="45">
        <v>0.3</v>
      </c>
      <c r="AC39" s="46">
        <f t="shared" si="28"/>
        <v>5280</v>
      </c>
      <c r="AD39" s="46">
        <f t="shared" si="29"/>
        <v>5280</v>
      </c>
      <c r="AE39" s="36">
        <v>45568</v>
      </c>
      <c r="AF39" s="6" t="s">
        <v>19630</v>
      </c>
      <c r="AG39" s="41">
        <v>3926</v>
      </c>
      <c r="AH39" s="41">
        <f t="shared" si="15"/>
        <v>3926</v>
      </c>
      <c r="AJ39" s="51">
        <f t="shared" si="2"/>
        <v>74</v>
      </c>
      <c r="AK39" s="6" t="s">
        <v>19631</v>
      </c>
      <c r="AL39" s="36">
        <v>45668</v>
      </c>
      <c r="AM39" s="6" t="s">
        <v>19580</v>
      </c>
      <c r="AN39" s="6">
        <v>4.4000000000000004</v>
      </c>
      <c r="AO39" s="46">
        <f t="shared" si="24"/>
        <v>17274.400000000001</v>
      </c>
      <c r="AP39" s="46"/>
      <c r="AQ39" s="46"/>
      <c r="AR39" s="46"/>
      <c r="AS39" s="42">
        <f t="shared" si="16"/>
        <v>17274.400000000001</v>
      </c>
      <c r="AT39" s="38" t="s">
        <v>19643</v>
      </c>
      <c r="AU39" s="36">
        <v>45700</v>
      </c>
      <c r="AV39" s="6" t="s">
        <v>19583</v>
      </c>
      <c r="AW39" s="51">
        <v>39260</v>
      </c>
      <c r="AX39" s="57" t="s">
        <v>19644</v>
      </c>
      <c r="AY39" s="36">
        <v>45747</v>
      </c>
      <c r="AZ39" s="46">
        <v>0</v>
      </c>
      <c r="BA39" s="46">
        <f t="shared" si="32"/>
        <v>5280</v>
      </c>
      <c r="BB39" s="46">
        <v>0</v>
      </c>
      <c r="BC39" s="46">
        <v>0</v>
      </c>
      <c r="BD39" s="46">
        <f t="shared" si="17"/>
        <v>5280</v>
      </c>
      <c r="BE39" s="46">
        <f t="shared" si="25"/>
        <v>0</v>
      </c>
      <c r="BF39" s="42">
        <v>0</v>
      </c>
      <c r="BG39" s="47">
        <f t="shared" si="30"/>
        <v>0</v>
      </c>
      <c r="BH39" s="46">
        <f t="shared" si="19"/>
        <v>11994.400000000001</v>
      </c>
      <c r="BI39" s="46">
        <f t="shared" si="31"/>
        <v>11994.400000000001</v>
      </c>
      <c r="BJ39" s="54">
        <v>45765</v>
      </c>
      <c r="BK39" s="6" t="s">
        <v>19672</v>
      </c>
      <c r="BO39" s="48">
        <f t="shared" si="20"/>
        <v>11994.400000000001</v>
      </c>
      <c r="BP39" s="48">
        <f t="shared" si="21"/>
        <v>0</v>
      </c>
      <c r="BQ39" s="6" t="str">
        <f t="shared" si="5"/>
        <v>Fully Paid</v>
      </c>
      <c r="BS39" s="6" t="str">
        <f t="shared" si="33"/>
        <v>Closed</v>
      </c>
      <c r="BT39" s="49" t="str">
        <f t="shared" ca="1" si="7"/>
        <v>Closed</v>
      </c>
    </row>
    <row r="40" spans="1:72" hidden="1" x14ac:dyDescent="0.25">
      <c r="A40" s="6" t="s">
        <v>19437</v>
      </c>
      <c r="B40" s="6">
        <v>1384.24</v>
      </c>
      <c r="C40" s="36">
        <v>45553</v>
      </c>
      <c r="D40" s="6" t="s">
        <v>19438</v>
      </c>
      <c r="E40" s="62">
        <v>100000</v>
      </c>
      <c r="F40" s="38">
        <v>0</v>
      </c>
      <c r="G40" s="39">
        <f t="shared" si="8"/>
        <v>1</v>
      </c>
      <c r="H40" s="40">
        <f t="shared" si="9"/>
        <v>100000</v>
      </c>
      <c r="I40" s="6" t="s">
        <v>19619</v>
      </c>
      <c r="J40" s="36">
        <v>45555</v>
      </c>
      <c r="K40" s="51">
        <v>1000000</v>
      </c>
      <c r="L40" s="46">
        <v>0.1</v>
      </c>
      <c r="M40" s="42">
        <f t="shared" si="11"/>
        <v>100000</v>
      </c>
      <c r="N40" s="42">
        <v>0</v>
      </c>
      <c r="O40" s="42">
        <v>0</v>
      </c>
      <c r="P40" s="42">
        <f t="shared" si="12"/>
        <v>100000</v>
      </c>
      <c r="Q40" s="38" t="s">
        <v>19620</v>
      </c>
      <c r="R40" s="36">
        <v>45553</v>
      </c>
      <c r="S40" s="36" t="s">
        <v>19499</v>
      </c>
      <c r="T40" s="58" t="s">
        <v>2348</v>
      </c>
      <c r="U40" s="6" t="str">
        <f>IFERROR(VLOOKUP(T40,'item master'!B:C,2,0),"")</f>
        <v>LINCOMYCINE 600MG INJ.B/1 VIAL</v>
      </c>
      <c r="V40" s="51">
        <v>1000000</v>
      </c>
      <c r="W40" s="6">
        <v>0</v>
      </c>
      <c r="X40" s="53">
        <v>0.1</v>
      </c>
      <c r="Y40" s="46">
        <f t="shared" si="0"/>
        <v>100000</v>
      </c>
      <c r="Z40" s="42">
        <v>0</v>
      </c>
      <c r="AA40" s="42">
        <f t="shared" si="13"/>
        <v>100000</v>
      </c>
      <c r="AB40" s="45">
        <v>0.3</v>
      </c>
      <c r="AC40" s="46">
        <f t="shared" si="28"/>
        <v>30000</v>
      </c>
      <c r="AD40" s="46">
        <f t="shared" si="29"/>
        <v>30000</v>
      </c>
      <c r="AE40" s="36">
        <v>45568</v>
      </c>
      <c r="AF40" s="6" t="s">
        <v>19630</v>
      </c>
      <c r="AG40" s="41">
        <v>568000</v>
      </c>
      <c r="AH40" s="41">
        <f t="shared" si="15"/>
        <v>568000</v>
      </c>
      <c r="AJ40" s="51">
        <v>0</v>
      </c>
      <c r="AK40" s="6" t="s">
        <v>19645</v>
      </c>
      <c r="AL40" s="36">
        <v>45695</v>
      </c>
      <c r="AM40" s="6" t="s">
        <v>19580</v>
      </c>
      <c r="AN40" s="6">
        <v>0.1</v>
      </c>
      <c r="AO40" s="46">
        <f t="shared" si="24"/>
        <v>56800</v>
      </c>
      <c r="AP40" s="46"/>
      <c r="AQ40" s="46"/>
      <c r="AR40" s="46"/>
      <c r="AS40" s="42">
        <f t="shared" si="16"/>
        <v>56800</v>
      </c>
      <c r="AT40" s="38">
        <v>2515134444</v>
      </c>
      <c r="AV40" s="6" t="s">
        <v>19583</v>
      </c>
      <c r="AW40" s="51">
        <v>568000</v>
      </c>
      <c r="AX40" s="57" t="s">
        <v>19647</v>
      </c>
      <c r="AY40" s="36">
        <v>45785</v>
      </c>
      <c r="AZ40" s="46">
        <v>0</v>
      </c>
      <c r="BA40" s="46">
        <f t="shared" si="32"/>
        <v>30000</v>
      </c>
      <c r="BB40" s="46">
        <v>660</v>
      </c>
      <c r="BC40" s="46">
        <v>0</v>
      </c>
      <c r="BD40" s="46">
        <f t="shared" si="17"/>
        <v>30660</v>
      </c>
      <c r="BE40" s="46">
        <f t="shared" si="25"/>
        <v>-660</v>
      </c>
      <c r="BF40" s="42">
        <v>-660</v>
      </c>
      <c r="BG40" s="47">
        <f t="shared" si="30"/>
        <v>0</v>
      </c>
      <c r="BH40" s="46">
        <f t="shared" si="19"/>
        <v>26140</v>
      </c>
      <c r="BI40" s="46">
        <f t="shared" si="31"/>
        <v>26140</v>
      </c>
      <c r="BJ40" s="54">
        <v>45765</v>
      </c>
      <c r="BK40" s="6" t="s">
        <v>19672</v>
      </c>
      <c r="BO40" s="48">
        <f t="shared" si="20"/>
        <v>26140</v>
      </c>
      <c r="BP40" s="48">
        <f t="shared" si="21"/>
        <v>0</v>
      </c>
      <c r="BQ40" s="6" t="str">
        <f t="shared" si="5"/>
        <v>Fully Paid</v>
      </c>
      <c r="BS40" s="6" t="str">
        <f t="shared" si="33"/>
        <v>Closed</v>
      </c>
      <c r="BT40" s="49" t="str">
        <f t="shared" ca="1" si="7"/>
        <v>Closed</v>
      </c>
    </row>
    <row r="41" spans="1:72" hidden="1" x14ac:dyDescent="0.25">
      <c r="A41" s="6" t="s">
        <v>19437</v>
      </c>
      <c r="B41" s="6">
        <v>1384.24</v>
      </c>
      <c r="C41" s="36">
        <v>45553</v>
      </c>
      <c r="D41" s="6" t="s">
        <v>19438</v>
      </c>
      <c r="E41" s="62"/>
      <c r="F41" s="38">
        <v>0</v>
      </c>
      <c r="G41" s="39">
        <f t="shared" si="8"/>
        <v>1</v>
      </c>
      <c r="H41" s="40">
        <f t="shared" si="9"/>
        <v>0</v>
      </c>
      <c r="I41" s="6" t="s">
        <v>19619</v>
      </c>
      <c r="J41" s="36">
        <v>45555</v>
      </c>
      <c r="K41" s="51">
        <v>0</v>
      </c>
      <c r="L41" s="46">
        <v>0</v>
      </c>
      <c r="M41" s="42">
        <f t="shared" si="11"/>
        <v>0</v>
      </c>
      <c r="N41" s="42">
        <v>0</v>
      </c>
      <c r="O41" s="42">
        <v>0</v>
      </c>
      <c r="P41" s="42">
        <f t="shared" si="12"/>
        <v>0</v>
      </c>
      <c r="Q41" s="38" t="s">
        <v>19620</v>
      </c>
      <c r="R41" s="36">
        <v>45553</v>
      </c>
      <c r="S41" s="36" t="s">
        <v>19499</v>
      </c>
      <c r="T41" s="58" t="s">
        <v>2348</v>
      </c>
      <c r="U41" s="6" t="str">
        <f>IFERROR(VLOOKUP(T41,'item master'!B:C,2,0),"")</f>
        <v>LINCOMYCINE 600MG INJ.B/1 VIAL</v>
      </c>
      <c r="V41" s="51">
        <v>0</v>
      </c>
      <c r="W41" s="6">
        <v>0</v>
      </c>
      <c r="X41" s="53">
        <v>0</v>
      </c>
      <c r="Y41" s="46">
        <f t="shared" si="0"/>
        <v>0</v>
      </c>
      <c r="Z41" s="42">
        <v>0</v>
      </c>
      <c r="AA41" s="42">
        <f t="shared" si="13"/>
        <v>0</v>
      </c>
      <c r="AB41" s="45">
        <v>0.3</v>
      </c>
      <c r="AC41" s="46">
        <f t="shared" si="28"/>
        <v>0</v>
      </c>
      <c r="AD41" s="46">
        <f t="shared" si="29"/>
        <v>0</v>
      </c>
      <c r="AE41" s="36"/>
      <c r="AF41" s="6" t="s">
        <v>19630</v>
      </c>
      <c r="AG41" s="41">
        <v>436000</v>
      </c>
      <c r="AH41" s="41">
        <f t="shared" si="15"/>
        <v>436000</v>
      </c>
      <c r="AJ41" s="51">
        <v>0</v>
      </c>
      <c r="AK41" s="6" t="s">
        <v>19646</v>
      </c>
      <c r="AL41" s="36">
        <v>45721</v>
      </c>
      <c r="AM41" s="6" t="s">
        <v>19580</v>
      </c>
      <c r="AN41" s="6">
        <v>0.1</v>
      </c>
      <c r="AO41" s="46">
        <f t="shared" ref="AO41:AO72" si="34">AG41*AN41</f>
        <v>43600</v>
      </c>
      <c r="AP41" s="46"/>
      <c r="AQ41" s="46"/>
      <c r="AR41" s="46"/>
      <c r="AS41" s="42">
        <f t="shared" si="16"/>
        <v>43600</v>
      </c>
      <c r="AT41" s="38">
        <v>2515134444</v>
      </c>
      <c r="AV41" s="6" t="s">
        <v>19583</v>
      </c>
      <c r="AW41" s="51">
        <v>436000</v>
      </c>
      <c r="AX41" s="57" t="s">
        <v>19647</v>
      </c>
      <c r="AY41" s="36">
        <v>45785</v>
      </c>
      <c r="AZ41" s="46">
        <v>0</v>
      </c>
      <c r="BA41" s="46">
        <f t="shared" si="32"/>
        <v>0</v>
      </c>
      <c r="BB41" s="46">
        <v>0</v>
      </c>
      <c r="BC41" s="46">
        <v>0</v>
      </c>
      <c r="BD41" s="46">
        <f t="shared" si="17"/>
        <v>0</v>
      </c>
      <c r="BE41" s="46">
        <f t="shared" si="25"/>
        <v>0</v>
      </c>
      <c r="BF41" s="42">
        <v>0</v>
      </c>
      <c r="BG41" s="47">
        <f t="shared" si="30"/>
        <v>0</v>
      </c>
      <c r="BH41" s="46">
        <f t="shared" si="19"/>
        <v>43600</v>
      </c>
      <c r="BI41" s="46">
        <f t="shared" si="31"/>
        <v>43600</v>
      </c>
      <c r="BJ41" s="54">
        <v>45895</v>
      </c>
      <c r="BK41" s="6" t="s">
        <v>19671</v>
      </c>
      <c r="BO41" s="48">
        <f t="shared" si="20"/>
        <v>43600</v>
      </c>
      <c r="BP41" s="48">
        <f t="shared" si="21"/>
        <v>0</v>
      </c>
      <c r="BQ41" s="6" t="str">
        <f t="shared" si="5"/>
        <v>Fully Paid</v>
      </c>
      <c r="BS41" s="6" t="str">
        <f t="shared" si="33"/>
        <v>Closed</v>
      </c>
      <c r="BT41" s="49" t="str">
        <f t="shared" ca="1" si="7"/>
        <v>Closed</v>
      </c>
    </row>
    <row r="42" spans="1:72" hidden="1" x14ac:dyDescent="0.25">
      <c r="A42" s="6" t="s">
        <v>19437</v>
      </c>
      <c r="B42" s="6">
        <v>1384.24</v>
      </c>
      <c r="C42" s="36">
        <v>45553</v>
      </c>
      <c r="D42" s="6" t="s">
        <v>19438</v>
      </c>
      <c r="E42" s="62">
        <v>30000</v>
      </c>
      <c r="F42" s="38" t="s">
        <v>19556</v>
      </c>
      <c r="G42" s="39">
        <f t="shared" si="8"/>
        <v>1</v>
      </c>
      <c r="H42" s="40">
        <f t="shared" si="9"/>
        <v>30000</v>
      </c>
      <c r="I42" s="6" t="s">
        <v>19619</v>
      </c>
      <c r="J42" s="36">
        <v>45555</v>
      </c>
      <c r="K42" s="51">
        <v>30000</v>
      </c>
      <c r="L42" s="46">
        <v>0.31</v>
      </c>
      <c r="M42" s="42">
        <f t="shared" si="11"/>
        <v>9300</v>
      </c>
      <c r="N42" s="42">
        <v>0</v>
      </c>
      <c r="O42" s="42">
        <v>0</v>
      </c>
      <c r="P42" s="42">
        <f t="shared" si="12"/>
        <v>9300</v>
      </c>
      <c r="Q42" s="38" t="s">
        <v>19620</v>
      </c>
      <c r="R42" s="36">
        <v>45553</v>
      </c>
      <c r="S42" s="36" t="s">
        <v>19499</v>
      </c>
      <c r="T42" s="60" t="s">
        <v>16178</v>
      </c>
      <c r="U42" s="6" t="str">
        <f>IFERROR(VLOOKUP(T42,'item master'!B:C,2,0),"")</f>
        <v>UNIKORT-40 (TRIAMCINOLONE) B/1 VIAL+SER</v>
      </c>
      <c r="V42" s="51">
        <v>30000</v>
      </c>
      <c r="W42" s="6">
        <v>0</v>
      </c>
      <c r="X42" s="53">
        <v>0.31</v>
      </c>
      <c r="Y42" s="46">
        <f t="shared" si="0"/>
        <v>9300</v>
      </c>
      <c r="Z42" s="42">
        <v>0</v>
      </c>
      <c r="AA42" s="42">
        <f t="shared" si="13"/>
        <v>9300</v>
      </c>
      <c r="AB42" s="45">
        <v>0.3</v>
      </c>
      <c r="AC42" s="46">
        <f t="shared" si="28"/>
        <v>2790</v>
      </c>
      <c r="AD42" s="46">
        <f t="shared" si="29"/>
        <v>2790</v>
      </c>
      <c r="AE42" s="36">
        <v>45568</v>
      </c>
      <c r="AF42" s="6" t="s">
        <v>19630</v>
      </c>
      <c r="AG42" s="41">
        <v>30900</v>
      </c>
      <c r="AH42" s="41">
        <f t="shared" si="15"/>
        <v>30900</v>
      </c>
      <c r="AJ42" s="51">
        <f t="shared" ref="AJ42:AJ105" si="35">V42-AG42</f>
        <v>-900</v>
      </c>
      <c r="AK42" s="6" t="s">
        <v>19631</v>
      </c>
      <c r="AL42" s="36">
        <v>45668</v>
      </c>
      <c r="AM42" s="6" t="s">
        <v>19580</v>
      </c>
      <c r="AN42" s="6">
        <v>0.31</v>
      </c>
      <c r="AO42" s="46">
        <f t="shared" si="34"/>
        <v>9579</v>
      </c>
      <c r="AP42" s="46"/>
      <c r="AQ42" s="46"/>
      <c r="AR42" s="46"/>
      <c r="AS42" s="42">
        <f t="shared" si="16"/>
        <v>9579</v>
      </c>
      <c r="AT42" s="38" t="s">
        <v>19643</v>
      </c>
      <c r="AU42" s="36">
        <v>45700</v>
      </c>
      <c r="AV42" s="6" t="s">
        <v>19583</v>
      </c>
      <c r="AW42" s="51">
        <v>30900</v>
      </c>
      <c r="AX42" s="57" t="s">
        <v>19644</v>
      </c>
      <c r="AY42" s="36">
        <v>45747</v>
      </c>
      <c r="AZ42" s="46">
        <v>0</v>
      </c>
      <c r="BA42" s="46">
        <f t="shared" si="32"/>
        <v>2790</v>
      </c>
      <c r="BB42" s="46">
        <v>1350</v>
      </c>
      <c r="BC42" s="46">
        <v>0</v>
      </c>
      <c r="BD42" s="46">
        <f t="shared" si="17"/>
        <v>4140</v>
      </c>
      <c r="BE42" s="46">
        <f t="shared" si="25"/>
        <v>-1350</v>
      </c>
      <c r="BF42" s="42">
        <v>-1350</v>
      </c>
      <c r="BG42" s="47">
        <f t="shared" si="30"/>
        <v>0</v>
      </c>
      <c r="BH42" s="46">
        <f t="shared" si="19"/>
        <v>5439</v>
      </c>
      <c r="BI42" s="46">
        <f t="shared" si="31"/>
        <v>5439</v>
      </c>
      <c r="BJ42" s="54">
        <v>45765</v>
      </c>
      <c r="BK42" s="6" t="s">
        <v>19672</v>
      </c>
      <c r="BO42" s="48">
        <f t="shared" si="20"/>
        <v>5439</v>
      </c>
      <c r="BP42" s="48">
        <f t="shared" si="21"/>
        <v>0</v>
      </c>
      <c r="BQ42" s="6" t="str">
        <f t="shared" si="5"/>
        <v>Fully Paid</v>
      </c>
      <c r="BS42" s="6" t="str">
        <f t="shared" si="33"/>
        <v>Closed</v>
      </c>
      <c r="BT42" s="49" t="str">
        <f t="shared" ca="1" si="7"/>
        <v>Closed</v>
      </c>
    </row>
    <row r="43" spans="1:72" hidden="1" x14ac:dyDescent="0.25">
      <c r="A43" s="6" t="s">
        <v>19437</v>
      </c>
      <c r="B43" s="6">
        <v>1384.24</v>
      </c>
      <c r="C43" s="36">
        <v>45553</v>
      </c>
      <c r="D43" s="6" t="s">
        <v>19438</v>
      </c>
      <c r="E43" s="62">
        <v>40000</v>
      </c>
      <c r="F43" s="38" t="s">
        <v>19556</v>
      </c>
      <c r="G43" s="39">
        <f t="shared" si="8"/>
        <v>1</v>
      </c>
      <c r="H43" s="40">
        <f t="shared" si="9"/>
        <v>40000</v>
      </c>
      <c r="I43" s="6" t="s">
        <v>19619</v>
      </c>
      <c r="J43" s="36">
        <v>45555</v>
      </c>
      <c r="K43" s="51">
        <v>40000</v>
      </c>
      <c r="L43" s="46">
        <v>0.5</v>
      </c>
      <c r="M43" s="42">
        <f t="shared" si="11"/>
        <v>20000</v>
      </c>
      <c r="N43" s="42">
        <v>0</v>
      </c>
      <c r="O43" s="42">
        <v>0</v>
      </c>
      <c r="P43" s="42">
        <f t="shared" si="12"/>
        <v>20000</v>
      </c>
      <c r="Q43" s="38" t="s">
        <v>19620</v>
      </c>
      <c r="R43" s="36">
        <v>45553</v>
      </c>
      <c r="S43" s="36" t="s">
        <v>19499</v>
      </c>
      <c r="T43" s="60" t="s">
        <v>16180</v>
      </c>
      <c r="U43" s="6" t="str">
        <f>IFERROR(VLOOKUP(T43,'item master'!B:C,2,0),"")</f>
        <v>UNIKORT-80 (TRIAMCINOLONE) B/1 VIAL +SER</v>
      </c>
      <c r="V43" s="51">
        <v>40000</v>
      </c>
      <c r="W43" s="6">
        <v>0</v>
      </c>
      <c r="X43" s="53">
        <v>0.5</v>
      </c>
      <c r="Y43" s="46">
        <f t="shared" si="0"/>
        <v>20000</v>
      </c>
      <c r="Z43" s="42">
        <v>0</v>
      </c>
      <c r="AA43" s="42">
        <f t="shared" si="13"/>
        <v>20000</v>
      </c>
      <c r="AB43" s="45">
        <v>0.3</v>
      </c>
      <c r="AC43" s="46">
        <f t="shared" si="28"/>
        <v>6000</v>
      </c>
      <c r="AD43" s="46">
        <f t="shared" si="29"/>
        <v>6000</v>
      </c>
      <c r="AE43" s="36">
        <v>45568</v>
      </c>
      <c r="AF43" s="6" t="s">
        <v>19630</v>
      </c>
      <c r="AG43" s="41">
        <v>40200</v>
      </c>
      <c r="AH43" s="41">
        <f t="shared" si="15"/>
        <v>40200</v>
      </c>
      <c r="AJ43" s="51">
        <f t="shared" si="35"/>
        <v>-200</v>
      </c>
      <c r="AK43" s="6" t="s">
        <v>19631</v>
      </c>
      <c r="AL43" s="36">
        <v>45668</v>
      </c>
      <c r="AM43" s="6" t="s">
        <v>19580</v>
      </c>
      <c r="AN43" s="6">
        <v>0.5</v>
      </c>
      <c r="AO43" s="46">
        <f t="shared" si="34"/>
        <v>20100</v>
      </c>
      <c r="AP43" s="46"/>
      <c r="AQ43" s="46"/>
      <c r="AR43" s="46"/>
      <c r="AS43" s="42">
        <f t="shared" si="16"/>
        <v>20100</v>
      </c>
      <c r="AT43" s="38" t="s">
        <v>19643</v>
      </c>
      <c r="AU43" s="36">
        <v>45700</v>
      </c>
      <c r="AV43" s="6" t="s">
        <v>19583</v>
      </c>
      <c r="AW43" s="51">
        <v>40200</v>
      </c>
      <c r="AX43" s="57" t="s">
        <v>19644</v>
      </c>
      <c r="AY43" s="36">
        <v>45747</v>
      </c>
      <c r="AZ43" s="46">
        <v>0</v>
      </c>
      <c r="BA43" s="46">
        <f t="shared" si="32"/>
        <v>6000</v>
      </c>
      <c r="BB43" s="46">
        <v>2460</v>
      </c>
      <c r="BC43" s="46">
        <v>0</v>
      </c>
      <c r="BD43" s="46">
        <f t="shared" si="17"/>
        <v>8460</v>
      </c>
      <c r="BE43" s="46">
        <f t="shared" si="25"/>
        <v>-2460</v>
      </c>
      <c r="BF43" s="42">
        <v>-2460</v>
      </c>
      <c r="BG43" s="47">
        <f t="shared" si="30"/>
        <v>0</v>
      </c>
      <c r="BH43" s="46">
        <f t="shared" si="19"/>
        <v>11640</v>
      </c>
      <c r="BI43" s="46">
        <f t="shared" si="31"/>
        <v>11640</v>
      </c>
      <c r="BJ43" s="54">
        <v>45765</v>
      </c>
      <c r="BK43" s="6" t="s">
        <v>19672</v>
      </c>
      <c r="BO43" s="48">
        <f t="shared" si="20"/>
        <v>11640</v>
      </c>
      <c r="BP43" s="48">
        <f t="shared" si="21"/>
        <v>0</v>
      </c>
      <c r="BQ43" s="6" t="str">
        <f t="shared" si="5"/>
        <v>Fully Paid</v>
      </c>
      <c r="BS43" s="6" t="str">
        <f t="shared" si="33"/>
        <v>Closed</v>
      </c>
      <c r="BT43" s="49" t="str">
        <f t="shared" ca="1" si="7"/>
        <v>Closed</v>
      </c>
    </row>
    <row r="44" spans="1:72" hidden="1" x14ac:dyDescent="0.25">
      <c r="A44" s="6" t="s">
        <v>19437</v>
      </c>
      <c r="B44" s="6">
        <v>1400.24</v>
      </c>
      <c r="C44" s="36">
        <v>45583</v>
      </c>
      <c r="D44" s="6" t="s">
        <v>19438</v>
      </c>
      <c r="E44" s="62">
        <v>20000</v>
      </c>
      <c r="F44" s="38" t="s">
        <v>19556</v>
      </c>
      <c r="G44" s="39">
        <f t="shared" si="8"/>
        <v>1</v>
      </c>
      <c r="H44" s="40">
        <f t="shared" si="9"/>
        <v>20000</v>
      </c>
      <c r="I44" s="6" t="s">
        <v>19615</v>
      </c>
      <c r="J44" s="36">
        <v>45567</v>
      </c>
      <c r="K44" s="51">
        <v>20000</v>
      </c>
      <c r="L44" s="46">
        <v>0.11</v>
      </c>
      <c r="M44" s="42">
        <f t="shared" si="11"/>
        <v>2200</v>
      </c>
      <c r="N44" s="42">
        <v>0</v>
      </c>
      <c r="O44" s="42">
        <v>0</v>
      </c>
      <c r="P44" s="42">
        <f t="shared" si="12"/>
        <v>2200</v>
      </c>
      <c r="Q44" s="38" t="s">
        <v>19616</v>
      </c>
      <c r="R44" s="36">
        <v>45582</v>
      </c>
      <c r="S44" s="36" t="s">
        <v>19499</v>
      </c>
      <c r="T44" s="58" t="s">
        <v>17377</v>
      </c>
      <c r="U44" s="6" t="str">
        <f>IFERROR(VLOOKUP(T44,'item master'!B:C,2,0),"")</f>
        <v>UNIDEX – DEXAMETHASONE + NEOMYCINE GOUTTES OCULAIRES / OTIQUES 10 ML</v>
      </c>
      <c r="V44" s="51">
        <f>K44</f>
        <v>20000</v>
      </c>
      <c r="W44" s="6">
        <v>0</v>
      </c>
      <c r="X44" s="53">
        <f>L44</f>
        <v>0.11</v>
      </c>
      <c r="Y44" s="46">
        <f t="shared" si="0"/>
        <v>2200</v>
      </c>
      <c r="Z44" s="42">
        <v>0</v>
      </c>
      <c r="AA44" s="42">
        <f t="shared" si="13"/>
        <v>2200</v>
      </c>
      <c r="AB44" s="45">
        <v>0.3</v>
      </c>
      <c r="AC44" s="46">
        <f t="shared" si="28"/>
        <v>660</v>
      </c>
      <c r="AD44" s="46">
        <v>660</v>
      </c>
      <c r="AE44" s="36">
        <v>45614</v>
      </c>
      <c r="AF44" s="6" t="s">
        <v>19617</v>
      </c>
      <c r="AG44" s="41">
        <v>18720</v>
      </c>
      <c r="AH44" s="41">
        <f t="shared" si="15"/>
        <v>18720</v>
      </c>
      <c r="AJ44" s="51">
        <f t="shared" si="35"/>
        <v>1280</v>
      </c>
      <c r="AK44" s="6" t="s">
        <v>19618</v>
      </c>
      <c r="AL44" s="36">
        <v>45804</v>
      </c>
      <c r="AM44" s="6" t="s">
        <v>19580</v>
      </c>
      <c r="AN44" s="6">
        <v>0.11</v>
      </c>
      <c r="AO44" s="46">
        <f t="shared" si="34"/>
        <v>2059.1999999999998</v>
      </c>
      <c r="AP44" s="46"/>
      <c r="AQ44" s="46"/>
      <c r="AR44" s="46"/>
      <c r="AS44" s="42">
        <f t="shared" si="16"/>
        <v>2059.1999999999998</v>
      </c>
      <c r="AT44" s="38">
        <v>255404858</v>
      </c>
      <c r="AV44" s="6" t="s">
        <v>19583</v>
      </c>
      <c r="AW44" s="51">
        <v>18720</v>
      </c>
      <c r="AX44" s="57" t="s">
        <v>19648</v>
      </c>
      <c r="AY44" s="36">
        <v>45891</v>
      </c>
      <c r="AZ44" s="46">
        <v>-660</v>
      </c>
      <c r="BA44" s="46">
        <f t="shared" si="32"/>
        <v>0</v>
      </c>
      <c r="BB44" s="46">
        <v>6360</v>
      </c>
      <c r="BC44" s="46">
        <v>0</v>
      </c>
      <c r="BD44" s="46">
        <f t="shared" si="17"/>
        <v>6360</v>
      </c>
      <c r="BE44" s="46">
        <f t="shared" si="25"/>
        <v>-6360</v>
      </c>
      <c r="BF44" s="42">
        <v>-6360</v>
      </c>
      <c r="BG44" s="47">
        <f t="shared" si="30"/>
        <v>0</v>
      </c>
      <c r="BH44" s="46">
        <f t="shared" si="19"/>
        <v>-4300.8</v>
      </c>
      <c r="BI44" s="46">
        <f t="shared" si="31"/>
        <v>-4300.8</v>
      </c>
      <c r="BJ44" s="54">
        <v>45895</v>
      </c>
      <c r="BK44" s="6" t="s">
        <v>19671</v>
      </c>
      <c r="BO44" s="48">
        <f t="shared" si="20"/>
        <v>-4300.8</v>
      </c>
      <c r="BP44" s="48">
        <f t="shared" si="21"/>
        <v>0</v>
      </c>
      <c r="BQ44" s="6" t="str">
        <f t="shared" si="5"/>
        <v>Fully Paid</v>
      </c>
      <c r="BS44" s="6" t="str">
        <f t="shared" si="33"/>
        <v>Closed</v>
      </c>
      <c r="BT44" s="49" t="str">
        <f t="shared" ca="1" si="7"/>
        <v>Closed</v>
      </c>
    </row>
    <row r="45" spans="1:72" hidden="1" x14ac:dyDescent="0.25">
      <c r="A45" s="6" t="s">
        <v>19437</v>
      </c>
      <c r="B45" s="6">
        <v>1400.24</v>
      </c>
      <c r="C45" s="36">
        <v>45583</v>
      </c>
      <c r="D45" s="6" t="s">
        <v>19438</v>
      </c>
      <c r="E45" s="62">
        <v>5000</v>
      </c>
      <c r="F45" s="38" t="s">
        <v>19590</v>
      </c>
      <c r="G45" s="39">
        <f t="shared" si="8"/>
        <v>1</v>
      </c>
      <c r="H45" s="40">
        <f t="shared" si="9"/>
        <v>5000</v>
      </c>
      <c r="I45" s="6" t="s">
        <v>19615</v>
      </c>
      <c r="J45" s="36">
        <v>45567</v>
      </c>
      <c r="K45" s="51"/>
      <c r="L45" s="46"/>
      <c r="M45" s="42">
        <f t="shared" si="11"/>
        <v>0</v>
      </c>
      <c r="N45" s="42">
        <v>0</v>
      </c>
      <c r="O45" s="42">
        <v>0</v>
      </c>
      <c r="P45" s="42">
        <f t="shared" si="12"/>
        <v>0</v>
      </c>
      <c r="Q45" s="38" t="s">
        <v>19616</v>
      </c>
      <c r="R45" s="36">
        <v>45582</v>
      </c>
      <c r="S45" s="36" t="s">
        <v>19499</v>
      </c>
      <c r="T45" s="58" t="s">
        <v>17297</v>
      </c>
      <c r="U45" s="6" t="str">
        <f>IFERROR(VLOOKUP(T45,'item master'!B:C,2,0),"")</f>
        <v>ACUPAQUE (NEFOPAM 20MG/2 ML IV/IM) SOL. INJ. B/5AMP</v>
      </c>
      <c r="V45" s="51"/>
      <c r="W45" s="6">
        <v>0</v>
      </c>
      <c r="X45" s="53"/>
      <c r="Y45" s="46"/>
      <c r="Z45" s="42">
        <v>0</v>
      </c>
      <c r="AA45" s="42">
        <f t="shared" si="13"/>
        <v>0</v>
      </c>
      <c r="AC45" s="46"/>
      <c r="AD45" s="46"/>
      <c r="AE45" s="36"/>
      <c r="AG45" s="41">
        <v>3000</v>
      </c>
      <c r="AH45" s="41">
        <f t="shared" si="15"/>
        <v>3000</v>
      </c>
      <c r="AJ45" s="51">
        <f t="shared" si="35"/>
        <v>-3000</v>
      </c>
      <c r="AK45" s="6" t="s">
        <v>19658</v>
      </c>
      <c r="AL45" s="36">
        <v>45958</v>
      </c>
      <c r="AM45" s="6" t="s">
        <v>19580</v>
      </c>
      <c r="AN45" s="6">
        <v>0.9</v>
      </c>
      <c r="AO45" s="46">
        <f t="shared" si="34"/>
        <v>2700</v>
      </c>
      <c r="AP45" s="46"/>
      <c r="AQ45" s="46"/>
      <c r="AR45" s="46"/>
      <c r="AS45" s="42">
        <f t="shared" si="16"/>
        <v>2700</v>
      </c>
      <c r="AT45" s="38" t="s">
        <v>19656</v>
      </c>
      <c r="AV45" s="6" t="s">
        <v>19583</v>
      </c>
      <c r="AW45" s="51">
        <v>3000</v>
      </c>
      <c r="AX45" s="57" t="s">
        <v>19657</v>
      </c>
      <c r="AY45" s="36">
        <v>46030</v>
      </c>
      <c r="AZ45" s="46">
        <v>0</v>
      </c>
      <c r="BA45" s="46">
        <f t="shared" si="32"/>
        <v>0</v>
      </c>
      <c r="BB45" s="46">
        <v>0</v>
      </c>
      <c r="BC45" s="46">
        <v>0</v>
      </c>
      <c r="BD45" s="46">
        <f t="shared" si="17"/>
        <v>0</v>
      </c>
      <c r="BE45" s="46">
        <f t="shared" si="25"/>
        <v>0</v>
      </c>
      <c r="BG45" s="47">
        <f t="shared" si="30"/>
        <v>0</v>
      </c>
      <c r="BH45" s="46">
        <f t="shared" si="19"/>
        <v>2700</v>
      </c>
      <c r="BI45" s="46">
        <f t="shared" si="31"/>
        <v>2700</v>
      </c>
      <c r="BJ45" s="54">
        <v>45989</v>
      </c>
      <c r="BK45" s="63" t="s">
        <v>19673</v>
      </c>
      <c r="BL45" s="63"/>
      <c r="BM45" s="63"/>
      <c r="BN45" s="63"/>
      <c r="BO45" s="48">
        <f t="shared" si="20"/>
        <v>2700</v>
      </c>
      <c r="BP45" s="48">
        <f t="shared" si="21"/>
        <v>0</v>
      </c>
      <c r="BQ45" s="6" t="str">
        <f t="shared" si="5"/>
        <v>Fully Paid</v>
      </c>
      <c r="BS45" s="6" t="str">
        <f t="shared" si="33"/>
        <v>Closed</v>
      </c>
      <c r="BT45" s="49" t="str">
        <f t="shared" ca="1" si="7"/>
        <v>Closed</v>
      </c>
    </row>
    <row r="46" spans="1:72" hidden="1" x14ac:dyDescent="0.25">
      <c r="A46" s="6" t="s">
        <v>19437</v>
      </c>
      <c r="B46" s="6">
        <v>1400.24</v>
      </c>
      <c r="C46" s="36">
        <v>45583</v>
      </c>
      <c r="D46" s="6" t="s">
        <v>19438</v>
      </c>
      <c r="E46" s="62"/>
      <c r="F46" s="38" t="s">
        <v>19590</v>
      </c>
      <c r="G46" s="39">
        <f t="shared" si="8"/>
        <v>1</v>
      </c>
      <c r="H46" s="40">
        <f t="shared" si="9"/>
        <v>0</v>
      </c>
      <c r="I46" s="6" t="s">
        <v>19615</v>
      </c>
      <c r="J46" s="36">
        <v>45567</v>
      </c>
      <c r="K46" s="51">
        <v>5000</v>
      </c>
      <c r="L46" s="46">
        <v>0.9</v>
      </c>
      <c r="M46" s="42">
        <f t="shared" si="11"/>
        <v>4500</v>
      </c>
      <c r="N46" s="42">
        <v>0</v>
      </c>
      <c r="O46" s="42">
        <v>0</v>
      </c>
      <c r="P46" s="42">
        <f t="shared" si="12"/>
        <v>4500</v>
      </c>
      <c r="Q46" s="38" t="s">
        <v>19616</v>
      </c>
      <c r="R46" s="36">
        <v>45582</v>
      </c>
      <c r="S46" s="36" t="s">
        <v>19499</v>
      </c>
      <c r="T46" s="58" t="s">
        <v>17297</v>
      </c>
      <c r="U46" s="6" t="str">
        <f>IFERROR(VLOOKUP(T46,'item master'!B:C,2,0),"")</f>
        <v>ACUPAQUE (NEFOPAM 20MG/2 ML IV/IM) SOL. INJ. B/5AMP</v>
      </c>
      <c r="V46" s="51">
        <f t="shared" ref="V46:V53" si="36">K46</f>
        <v>5000</v>
      </c>
      <c r="W46" s="6">
        <v>0</v>
      </c>
      <c r="X46" s="53">
        <f t="shared" ref="X46:X53" si="37">L46</f>
        <v>0.9</v>
      </c>
      <c r="Y46" s="46">
        <f t="shared" ref="Y46:Y77" si="38">V46*X46</f>
        <v>4500</v>
      </c>
      <c r="Z46" s="42">
        <v>0</v>
      </c>
      <c r="AA46" s="42">
        <f t="shared" si="13"/>
        <v>4500</v>
      </c>
      <c r="AB46" s="45">
        <v>0.3</v>
      </c>
      <c r="AC46" s="46">
        <f t="shared" ref="AC46:AC77" si="39">Y46*AB46</f>
        <v>1350</v>
      </c>
      <c r="AD46" s="46">
        <v>1350</v>
      </c>
      <c r="AE46" s="36">
        <v>45614</v>
      </c>
      <c r="AF46" s="6" t="s">
        <v>19617</v>
      </c>
      <c r="AG46" s="41">
        <v>5270</v>
      </c>
      <c r="AH46" s="41">
        <f t="shared" si="15"/>
        <v>5270</v>
      </c>
      <c r="AJ46" s="51">
        <f t="shared" si="35"/>
        <v>-270</v>
      </c>
      <c r="AK46" s="6" t="s">
        <v>19649</v>
      </c>
      <c r="AL46" s="36">
        <v>45870</v>
      </c>
      <c r="AM46" s="6" t="s">
        <v>19580</v>
      </c>
      <c r="AN46" s="6">
        <v>0.9</v>
      </c>
      <c r="AO46" s="46">
        <f t="shared" si="34"/>
        <v>4743</v>
      </c>
      <c r="AP46" s="46"/>
      <c r="AQ46" s="46"/>
      <c r="AR46" s="46"/>
      <c r="AS46" s="42">
        <f t="shared" si="16"/>
        <v>4743</v>
      </c>
      <c r="AT46" s="38">
        <v>2519141100</v>
      </c>
      <c r="AV46" s="6" t="s">
        <v>19583</v>
      </c>
      <c r="AW46" s="51">
        <v>5270</v>
      </c>
      <c r="AX46" s="57" t="s">
        <v>19650</v>
      </c>
      <c r="AY46" s="36">
        <v>45962</v>
      </c>
      <c r="AZ46" s="46">
        <v>-1350</v>
      </c>
      <c r="BA46" s="46">
        <f t="shared" si="32"/>
        <v>0</v>
      </c>
      <c r="BB46" s="46">
        <v>2400</v>
      </c>
      <c r="BC46" s="46">
        <v>0</v>
      </c>
      <c r="BD46" s="46">
        <f t="shared" si="17"/>
        <v>2400</v>
      </c>
      <c r="BE46" s="46">
        <f t="shared" si="25"/>
        <v>-2400</v>
      </c>
      <c r="BF46" s="42">
        <v>-2400</v>
      </c>
      <c r="BG46" s="47">
        <f t="shared" si="30"/>
        <v>0</v>
      </c>
      <c r="BH46" s="46">
        <f t="shared" si="19"/>
        <v>2343</v>
      </c>
      <c r="BI46" s="46">
        <f t="shared" si="31"/>
        <v>2343</v>
      </c>
      <c r="BJ46" s="54">
        <v>45895</v>
      </c>
      <c r="BK46" s="6" t="s">
        <v>19671</v>
      </c>
      <c r="BO46" s="48">
        <f t="shared" si="20"/>
        <v>2343</v>
      </c>
      <c r="BP46" s="48">
        <f t="shared" si="21"/>
        <v>0</v>
      </c>
      <c r="BQ46" s="6" t="str">
        <f t="shared" si="5"/>
        <v>Fully Paid</v>
      </c>
      <c r="BS46" s="6" t="str">
        <f t="shared" si="33"/>
        <v>Closed</v>
      </c>
      <c r="BT46" s="49" t="str">
        <f t="shared" ca="1" si="7"/>
        <v>Closed</v>
      </c>
    </row>
    <row r="47" spans="1:72" hidden="1" x14ac:dyDescent="0.25">
      <c r="A47" s="6" t="s">
        <v>19437</v>
      </c>
      <c r="B47" s="6">
        <v>1400.24</v>
      </c>
      <c r="C47" s="36">
        <v>45583</v>
      </c>
      <c r="D47" s="6" t="s">
        <v>19438</v>
      </c>
      <c r="E47" s="62">
        <v>10000</v>
      </c>
      <c r="F47" s="38" t="s">
        <v>19590</v>
      </c>
      <c r="G47" s="39">
        <f t="shared" si="8"/>
        <v>1</v>
      </c>
      <c r="H47" s="40">
        <f t="shared" si="9"/>
        <v>10000</v>
      </c>
      <c r="I47" s="6" t="s">
        <v>19615</v>
      </c>
      <c r="J47" s="36">
        <v>45567</v>
      </c>
      <c r="K47" s="51">
        <v>10000</v>
      </c>
      <c r="L47" s="46">
        <v>0.82</v>
      </c>
      <c r="M47" s="42">
        <f t="shared" si="11"/>
        <v>8200</v>
      </c>
      <c r="N47" s="42">
        <v>0</v>
      </c>
      <c r="O47" s="42">
        <v>0</v>
      </c>
      <c r="P47" s="42">
        <f t="shared" si="12"/>
        <v>8200</v>
      </c>
      <c r="Q47" s="38" t="s">
        <v>19616</v>
      </c>
      <c r="R47" s="36">
        <v>45582</v>
      </c>
      <c r="S47" s="36" t="s">
        <v>19499</v>
      </c>
      <c r="T47" s="58" t="s">
        <v>17299</v>
      </c>
      <c r="U47" s="6" t="str">
        <f>IFERROR(VLOOKUP(T47,'item master'!B:C,2,0),"")</f>
        <v>CATA 150 (CHLORHYDRATE DE CLONIDINE 150 MCG/1 ML) – 5 AMPOULES DE 1 ML</v>
      </c>
      <c r="V47" s="51">
        <f t="shared" si="36"/>
        <v>10000</v>
      </c>
      <c r="W47" s="6">
        <v>0</v>
      </c>
      <c r="X47" s="53">
        <f t="shared" si="37"/>
        <v>0.82</v>
      </c>
      <c r="Y47" s="46">
        <f t="shared" si="38"/>
        <v>8200</v>
      </c>
      <c r="Z47" s="42">
        <v>0</v>
      </c>
      <c r="AA47" s="42">
        <f t="shared" si="13"/>
        <v>8200</v>
      </c>
      <c r="AB47" s="45">
        <v>0.3</v>
      </c>
      <c r="AC47" s="46">
        <f t="shared" si="39"/>
        <v>2460</v>
      </c>
      <c r="AD47" s="46">
        <v>2460</v>
      </c>
      <c r="AE47" s="36">
        <v>45614</v>
      </c>
      <c r="AF47" s="6" t="s">
        <v>19617</v>
      </c>
      <c r="AG47" s="41">
        <v>9630</v>
      </c>
      <c r="AH47" s="41">
        <f t="shared" si="15"/>
        <v>9630</v>
      </c>
      <c r="AJ47" s="51">
        <f t="shared" si="35"/>
        <v>370</v>
      </c>
      <c r="AK47" s="6" t="s">
        <v>19618</v>
      </c>
      <c r="AL47" s="36">
        <v>45804</v>
      </c>
      <c r="AM47" s="6" t="s">
        <v>19580</v>
      </c>
      <c r="AN47" s="6">
        <v>0.82</v>
      </c>
      <c r="AO47" s="46">
        <f t="shared" si="34"/>
        <v>7896.5999999999995</v>
      </c>
      <c r="AP47" s="46"/>
      <c r="AQ47" s="46"/>
      <c r="AR47" s="46"/>
      <c r="AS47" s="42">
        <f t="shared" si="16"/>
        <v>7896.5999999999995</v>
      </c>
      <c r="AT47" s="38">
        <v>255404858</v>
      </c>
      <c r="AV47" s="6" t="s">
        <v>19583</v>
      </c>
      <c r="AW47" s="51">
        <v>9630</v>
      </c>
      <c r="AX47" s="57" t="s">
        <v>19648</v>
      </c>
      <c r="AY47" s="36">
        <v>45891</v>
      </c>
      <c r="AZ47" s="46">
        <v>-2460</v>
      </c>
      <c r="BA47" s="46">
        <f t="shared" si="32"/>
        <v>0</v>
      </c>
      <c r="BB47" s="46">
        <v>10560</v>
      </c>
      <c r="BC47" s="46">
        <v>0</v>
      </c>
      <c r="BD47" s="46">
        <f t="shared" si="17"/>
        <v>10560</v>
      </c>
      <c r="BE47" s="46">
        <f t="shared" si="25"/>
        <v>-10560</v>
      </c>
      <c r="BF47" s="42">
        <v>-10560</v>
      </c>
      <c r="BG47" s="47">
        <f t="shared" si="30"/>
        <v>0</v>
      </c>
      <c r="BH47" s="46">
        <f t="shared" si="19"/>
        <v>-2663.4000000000005</v>
      </c>
      <c r="BI47" s="46">
        <f t="shared" si="31"/>
        <v>-2663.4000000000005</v>
      </c>
      <c r="BJ47" s="54">
        <v>45895</v>
      </c>
      <c r="BK47" s="6" t="s">
        <v>19671</v>
      </c>
      <c r="BO47" s="48">
        <f t="shared" si="20"/>
        <v>-2663.4000000000005</v>
      </c>
      <c r="BP47" s="48">
        <f t="shared" si="21"/>
        <v>0</v>
      </c>
      <c r="BQ47" s="6" t="str">
        <f t="shared" si="5"/>
        <v>Fully Paid</v>
      </c>
      <c r="BS47" s="6" t="str">
        <f t="shared" si="33"/>
        <v>Closed</v>
      </c>
      <c r="BT47" s="49" t="str">
        <f t="shared" ca="1" si="7"/>
        <v>Closed</v>
      </c>
    </row>
    <row r="48" spans="1:72" hidden="1" x14ac:dyDescent="0.25">
      <c r="A48" s="6" t="s">
        <v>19437</v>
      </c>
      <c r="B48" s="6">
        <v>1476.25</v>
      </c>
      <c r="C48" s="36">
        <v>45702</v>
      </c>
      <c r="D48" s="6" t="s">
        <v>19438</v>
      </c>
      <c r="E48" s="62">
        <v>4000</v>
      </c>
      <c r="F48" s="38" t="s">
        <v>19605</v>
      </c>
      <c r="G48" s="39">
        <f t="shared" si="8"/>
        <v>10</v>
      </c>
      <c r="H48" s="40">
        <f t="shared" si="9"/>
        <v>40000</v>
      </c>
      <c r="I48" s="6" t="s">
        <v>19613</v>
      </c>
      <c r="J48" s="36">
        <v>45706</v>
      </c>
      <c r="K48" s="51">
        <v>4000</v>
      </c>
      <c r="L48" s="46">
        <v>5.3</v>
      </c>
      <c r="M48" s="42">
        <f t="shared" si="11"/>
        <v>21200</v>
      </c>
      <c r="N48" s="42">
        <v>0</v>
      </c>
      <c r="O48" s="42">
        <v>0</v>
      </c>
      <c r="P48" s="42">
        <f t="shared" si="12"/>
        <v>21200</v>
      </c>
      <c r="Q48" s="38" t="s">
        <v>19610</v>
      </c>
      <c r="R48" s="36">
        <v>45702</v>
      </c>
      <c r="S48" s="36" t="s">
        <v>19499</v>
      </c>
      <c r="T48" s="56" t="s">
        <v>10284</v>
      </c>
      <c r="U48" s="6" t="str">
        <f>IFERROR(VLOOKUP(T48,'item master'!B:C,2,0),"")</f>
        <v>ERGOMETRINE B/10AMP</v>
      </c>
      <c r="V48" s="51">
        <f t="shared" si="36"/>
        <v>4000</v>
      </c>
      <c r="W48" s="6">
        <v>0</v>
      </c>
      <c r="X48" s="53">
        <f t="shared" si="37"/>
        <v>5.3</v>
      </c>
      <c r="Y48" s="46">
        <f t="shared" si="38"/>
        <v>21200</v>
      </c>
      <c r="Z48" s="42">
        <v>0</v>
      </c>
      <c r="AA48" s="42">
        <f t="shared" si="13"/>
        <v>21200</v>
      </c>
      <c r="AB48" s="45">
        <v>0.3</v>
      </c>
      <c r="AC48" s="46">
        <f t="shared" si="39"/>
        <v>6360</v>
      </c>
      <c r="AD48" s="46">
        <v>6360</v>
      </c>
      <c r="AE48" s="36">
        <v>45755</v>
      </c>
      <c r="AF48" s="6" t="s">
        <v>19614</v>
      </c>
      <c r="AG48" s="41">
        <v>4000</v>
      </c>
      <c r="AH48" s="41">
        <f t="shared" si="15"/>
        <v>4000</v>
      </c>
      <c r="AJ48" s="51">
        <f t="shared" si="35"/>
        <v>0</v>
      </c>
      <c r="AK48" s="6" t="s">
        <v>19658</v>
      </c>
      <c r="AL48" s="36">
        <v>45958</v>
      </c>
      <c r="AM48" s="6" t="s">
        <v>19580</v>
      </c>
      <c r="AN48" s="6">
        <v>5.3</v>
      </c>
      <c r="AO48" s="46">
        <f t="shared" si="34"/>
        <v>21200</v>
      </c>
      <c r="AP48" s="46"/>
      <c r="AQ48" s="46"/>
      <c r="AR48" s="46"/>
      <c r="AS48" s="42">
        <f t="shared" si="16"/>
        <v>21200</v>
      </c>
      <c r="AT48" s="38" t="s">
        <v>19656</v>
      </c>
      <c r="AU48" s="36">
        <v>45987</v>
      </c>
      <c r="AV48" s="6" t="s">
        <v>19583</v>
      </c>
      <c r="AW48" s="51">
        <v>40000</v>
      </c>
      <c r="AX48" s="57" t="s">
        <v>19657</v>
      </c>
      <c r="AY48" s="36">
        <v>46030</v>
      </c>
      <c r="AZ48" s="46">
        <v>-828</v>
      </c>
      <c r="BA48" s="46">
        <f t="shared" si="32"/>
        <v>5532</v>
      </c>
      <c r="BB48" s="46">
        <v>0</v>
      </c>
      <c r="BC48" s="46">
        <v>0</v>
      </c>
      <c r="BD48" s="46">
        <f t="shared" si="17"/>
        <v>5532</v>
      </c>
      <c r="BE48" s="46">
        <f t="shared" si="25"/>
        <v>0</v>
      </c>
      <c r="BG48" s="47">
        <f t="shared" si="30"/>
        <v>0</v>
      </c>
      <c r="BH48" s="46">
        <f t="shared" si="19"/>
        <v>15668</v>
      </c>
      <c r="BI48" s="46">
        <f t="shared" si="31"/>
        <v>15668</v>
      </c>
      <c r="BJ48" s="54">
        <v>45989</v>
      </c>
      <c r="BK48" s="63" t="s">
        <v>19673</v>
      </c>
      <c r="BL48" s="63"/>
      <c r="BM48" s="63"/>
      <c r="BN48" s="63"/>
      <c r="BO48" s="48">
        <f t="shared" si="20"/>
        <v>15668</v>
      </c>
      <c r="BP48" s="48">
        <f t="shared" si="21"/>
        <v>0</v>
      </c>
      <c r="BQ48" s="6" t="str">
        <f t="shared" si="5"/>
        <v>Fully Paid</v>
      </c>
      <c r="BS48" s="6" t="str">
        <f t="shared" si="33"/>
        <v>Closed</v>
      </c>
      <c r="BT48" s="49" t="str">
        <f t="shared" ca="1" si="7"/>
        <v>Closed</v>
      </c>
    </row>
    <row r="49" spans="1:72" hidden="1" x14ac:dyDescent="0.25">
      <c r="A49" s="6" t="s">
        <v>19437</v>
      </c>
      <c r="B49" s="6">
        <v>1476.25</v>
      </c>
      <c r="C49" s="36">
        <v>45702</v>
      </c>
      <c r="D49" s="6" t="s">
        <v>19438</v>
      </c>
      <c r="E49" s="62">
        <v>5280</v>
      </c>
      <c r="F49" s="38" t="s">
        <v>19586</v>
      </c>
      <c r="G49" s="39">
        <f t="shared" si="8"/>
        <v>1</v>
      </c>
      <c r="H49" s="40">
        <f t="shared" si="9"/>
        <v>5280</v>
      </c>
      <c r="I49" s="6" t="s">
        <v>19613</v>
      </c>
      <c r="J49" s="36">
        <v>45706</v>
      </c>
      <c r="K49" s="51">
        <v>5280</v>
      </c>
      <c r="L49" s="46">
        <v>0.5</v>
      </c>
      <c r="M49" s="42">
        <f t="shared" si="11"/>
        <v>2640</v>
      </c>
      <c r="N49" s="42">
        <v>0</v>
      </c>
      <c r="O49" s="42">
        <v>0</v>
      </c>
      <c r="P49" s="42">
        <f t="shared" si="12"/>
        <v>2640</v>
      </c>
      <c r="Q49" s="38" t="s">
        <v>19610</v>
      </c>
      <c r="R49" s="36">
        <v>45702</v>
      </c>
      <c r="S49" s="36" t="s">
        <v>19499</v>
      </c>
      <c r="T49" s="50" t="s">
        <v>16172</v>
      </c>
      <c r="U49" s="6" t="str">
        <f>IFERROR(VLOOKUP(T49,'item master'!B:C,2,0),"")</f>
        <v>MOX PLUS VISION (MOX+DEX+HYDRO) COLLYRE 5ML</v>
      </c>
      <c r="V49" s="51">
        <f t="shared" si="36"/>
        <v>5280</v>
      </c>
      <c r="W49" s="6">
        <v>0</v>
      </c>
      <c r="X49" s="53">
        <f t="shared" si="37"/>
        <v>0.5</v>
      </c>
      <c r="Y49" s="46">
        <f t="shared" si="38"/>
        <v>2640</v>
      </c>
      <c r="Z49" s="42">
        <v>0</v>
      </c>
      <c r="AA49" s="42">
        <f t="shared" si="13"/>
        <v>2640</v>
      </c>
      <c r="AB49" s="45">
        <v>0.3</v>
      </c>
      <c r="AC49" s="46">
        <f t="shared" si="39"/>
        <v>792</v>
      </c>
      <c r="AD49" s="46">
        <v>792</v>
      </c>
      <c r="AE49" s="36">
        <v>45755</v>
      </c>
      <c r="AF49" s="6" t="s">
        <v>19614</v>
      </c>
      <c r="AG49" s="41">
        <v>5280</v>
      </c>
      <c r="AH49" s="41">
        <f t="shared" si="15"/>
        <v>5280</v>
      </c>
      <c r="AJ49" s="51">
        <f t="shared" si="35"/>
        <v>0</v>
      </c>
      <c r="AK49" s="6" t="s">
        <v>19618</v>
      </c>
      <c r="AL49" s="36">
        <v>45804</v>
      </c>
      <c r="AM49" s="6" t="s">
        <v>19580</v>
      </c>
      <c r="AN49" s="6">
        <v>0.5</v>
      </c>
      <c r="AO49" s="46">
        <f t="shared" si="34"/>
        <v>2640</v>
      </c>
      <c r="AP49" s="46"/>
      <c r="AQ49" s="46"/>
      <c r="AR49" s="46"/>
      <c r="AS49" s="42">
        <f t="shared" si="16"/>
        <v>2640</v>
      </c>
      <c r="AT49" s="38">
        <v>255404858</v>
      </c>
      <c r="AV49" s="6" t="s">
        <v>19583</v>
      </c>
      <c r="AW49" s="51">
        <v>5280</v>
      </c>
      <c r="AX49" s="57" t="s">
        <v>19648</v>
      </c>
      <c r="AY49" s="36">
        <v>45891</v>
      </c>
      <c r="AZ49" s="46">
        <v>-530</v>
      </c>
      <c r="BA49" s="46">
        <f t="shared" si="32"/>
        <v>262</v>
      </c>
      <c r="BB49" s="46">
        <v>2850</v>
      </c>
      <c r="BC49" s="46">
        <v>0</v>
      </c>
      <c r="BD49" s="46">
        <f t="shared" si="17"/>
        <v>3112</v>
      </c>
      <c r="BE49" s="46">
        <f t="shared" si="25"/>
        <v>-2850</v>
      </c>
      <c r="BF49" s="42">
        <v>-2850</v>
      </c>
      <c r="BG49" s="47">
        <f t="shared" si="30"/>
        <v>0</v>
      </c>
      <c r="BH49" s="46">
        <f t="shared" si="19"/>
        <v>-472</v>
      </c>
      <c r="BI49" s="46">
        <f t="shared" si="31"/>
        <v>-472</v>
      </c>
      <c r="BJ49" s="54">
        <v>45895</v>
      </c>
      <c r="BK49" s="6" t="s">
        <v>19671</v>
      </c>
      <c r="BO49" s="48">
        <f t="shared" si="20"/>
        <v>-472</v>
      </c>
      <c r="BP49" s="48">
        <f t="shared" si="21"/>
        <v>0</v>
      </c>
      <c r="BQ49" s="6" t="str">
        <f t="shared" si="5"/>
        <v>Fully Paid</v>
      </c>
      <c r="BS49" s="6" t="str">
        <f t="shared" si="33"/>
        <v>Closed</v>
      </c>
      <c r="BT49" s="49" t="str">
        <f t="shared" ca="1" si="7"/>
        <v>Closed</v>
      </c>
    </row>
    <row r="50" spans="1:72" hidden="1" x14ac:dyDescent="0.25">
      <c r="A50" s="6" t="s">
        <v>19437</v>
      </c>
      <c r="B50" s="6">
        <v>1476.25</v>
      </c>
      <c r="C50" s="36">
        <v>45702</v>
      </c>
      <c r="D50" s="6" t="s">
        <v>19438</v>
      </c>
      <c r="E50" s="62">
        <v>5280</v>
      </c>
      <c r="F50" s="38" t="s">
        <v>19611</v>
      </c>
      <c r="G50" s="39">
        <f t="shared" si="8"/>
        <v>1</v>
      </c>
      <c r="H50" s="40">
        <f t="shared" si="9"/>
        <v>5280</v>
      </c>
      <c r="I50" s="6" t="s">
        <v>19613</v>
      </c>
      <c r="J50" s="36">
        <v>45706</v>
      </c>
      <c r="K50" s="51">
        <v>5280</v>
      </c>
      <c r="L50" s="46">
        <v>0.35</v>
      </c>
      <c r="M50" s="42">
        <f t="shared" si="11"/>
        <v>1847.9999999999998</v>
      </c>
      <c r="N50" s="42">
        <v>0</v>
      </c>
      <c r="O50" s="42">
        <v>0</v>
      </c>
      <c r="P50" s="42">
        <f t="shared" si="12"/>
        <v>1847.9999999999998</v>
      </c>
      <c r="Q50" s="38" t="s">
        <v>19610</v>
      </c>
      <c r="R50" s="36">
        <v>45702</v>
      </c>
      <c r="S50" s="36" t="s">
        <v>19499</v>
      </c>
      <c r="T50" s="58" t="s">
        <v>16160</v>
      </c>
      <c r="U50" s="6" t="str">
        <f>IFERROR(VLOOKUP(T50,'item master'!B:C,2,0),"")</f>
        <v>MOX VISION (MOXYFLOXACIN) COLLYRE 10ML</v>
      </c>
      <c r="V50" s="51">
        <f t="shared" si="36"/>
        <v>5280</v>
      </c>
      <c r="W50" s="6">
        <v>0</v>
      </c>
      <c r="X50" s="53">
        <f t="shared" si="37"/>
        <v>0.35</v>
      </c>
      <c r="Y50" s="46">
        <f t="shared" si="38"/>
        <v>1847.9999999999998</v>
      </c>
      <c r="Z50" s="42">
        <v>0</v>
      </c>
      <c r="AA50" s="42">
        <f t="shared" si="13"/>
        <v>1847.9999999999998</v>
      </c>
      <c r="AB50" s="45">
        <v>0.3</v>
      </c>
      <c r="AC50" s="46">
        <f t="shared" si="39"/>
        <v>554.39999999999986</v>
      </c>
      <c r="AD50" s="46">
        <v>554.4</v>
      </c>
      <c r="AE50" s="36">
        <v>45755</v>
      </c>
      <c r="AF50" s="6" t="s">
        <v>19614</v>
      </c>
      <c r="AG50" s="41">
        <v>5220</v>
      </c>
      <c r="AH50" s="41">
        <f t="shared" si="15"/>
        <v>5220</v>
      </c>
      <c r="AJ50" s="51">
        <f t="shared" si="35"/>
        <v>60</v>
      </c>
      <c r="AK50" s="6" t="s">
        <v>19618</v>
      </c>
      <c r="AL50" s="36">
        <v>45804</v>
      </c>
      <c r="AM50" s="6" t="s">
        <v>19580</v>
      </c>
      <c r="AN50" s="6">
        <v>0.35</v>
      </c>
      <c r="AO50" s="46">
        <f t="shared" si="34"/>
        <v>1826.9999999999998</v>
      </c>
      <c r="AP50" s="46"/>
      <c r="AQ50" s="46"/>
      <c r="AR50" s="46"/>
      <c r="AS50" s="42">
        <f t="shared" si="16"/>
        <v>1826.9999999999998</v>
      </c>
      <c r="AT50" s="38">
        <v>255404858</v>
      </c>
      <c r="AV50" s="6" t="s">
        <v>19583</v>
      </c>
      <c r="AW50" s="51">
        <v>5220</v>
      </c>
      <c r="AX50" s="57" t="s">
        <v>19648</v>
      </c>
      <c r="AY50" s="36">
        <v>45891</v>
      </c>
      <c r="AZ50" s="46">
        <v>-828</v>
      </c>
      <c r="BA50" s="46">
        <f t="shared" si="32"/>
        <v>-273.60000000000002</v>
      </c>
      <c r="BB50" s="46">
        <v>1800</v>
      </c>
      <c r="BC50" s="46">
        <v>0</v>
      </c>
      <c r="BD50" s="46">
        <f t="shared" si="17"/>
        <v>1526.4</v>
      </c>
      <c r="BE50" s="46">
        <f t="shared" si="25"/>
        <v>-1800</v>
      </c>
      <c r="BF50" s="42">
        <v>-1800</v>
      </c>
      <c r="BG50" s="47">
        <f t="shared" si="30"/>
        <v>0</v>
      </c>
      <c r="BH50" s="46">
        <f t="shared" si="19"/>
        <v>300.59999999999968</v>
      </c>
      <c r="BI50" s="46">
        <f t="shared" si="31"/>
        <v>300.59999999999968</v>
      </c>
      <c r="BJ50" s="54">
        <v>45895</v>
      </c>
      <c r="BK50" s="6" t="s">
        <v>19671</v>
      </c>
      <c r="BO50" s="48">
        <f t="shared" si="20"/>
        <v>300.59999999999968</v>
      </c>
      <c r="BP50" s="48">
        <f t="shared" si="21"/>
        <v>0</v>
      </c>
      <c r="BQ50" s="6" t="str">
        <f t="shared" si="5"/>
        <v>Fully Paid</v>
      </c>
      <c r="BS50" s="6" t="str">
        <f t="shared" si="33"/>
        <v>Closed</v>
      </c>
      <c r="BT50" s="49" t="str">
        <f t="shared" ca="1" si="7"/>
        <v>Closed</v>
      </c>
    </row>
    <row r="51" spans="1:72" hidden="1" x14ac:dyDescent="0.25">
      <c r="A51" s="6" t="s">
        <v>19437</v>
      </c>
      <c r="B51" s="6">
        <v>1476.25</v>
      </c>
      <c r="C51" s="36">
        <v>45702</v>
      </c>
      <c r="D51" s="6" t="s">
        <v>19438</v>
      </c>
      <c r="E51" s="62">
        <v>5280</v>
      </c>
      <c r="F51" s="38" t="s">
        <v>19612</v>
      </c>
      <c r="G51" s="39">
        <f t="shared" si="8"/>
        <v>1</v>
      </c>
      <c r="H51" s="40">
        <f t="shared" si="9"/>
        <v>5280</v>
      </c>
      <c r="I51" s="6" t="s">
        <v>19613</v>
      </c>
      <c r="J51" s="36">
        <v>45706</v>
      </c>
      <c r="K51" s="51">
        <v>5280</v>
      </c>
      <c r="L51" s="46">
        <v>0.68</v>
      </c>
      <c r="M51" s="42">
        <f t="shared" si="11"/>
        <v>3590.4</v>
      </c>
      <c r="N51" s="42">
        <v>0</v>
      </c>
      <c r="O51" s="42">
        <v>0</v>
      </c>
      <c r="P51" s="42">
        <f t="shared" si="12"/>
        <v>3590.4</v>
      </c>
      <c r="Q51" s="38" t="s">
        <v>19610</v>
      </c>
      <c r="R51" s="36">
        <v>45702</v>
      </c>
      <c r="S51" s="36" t="s">
        <v>19499</v>
      </c>
      <c r="T51" s="58" t="s">
        <v>16170</v>
      </c>
      <c r="U51" s="6" t="str">
        <f>IFERROR(VLOOKUP(T51,'item master'!B:C,2,0),"")</f>
        <v>NATAQ VISION (NATAMYCINE) 5% COLLYRE 5ML</v>
      </c>
      <c r="V51" s="51">
        <f t="shared" si="36"/>
        <v>5280</v>
      </c>
      <c r="W51" s="6">
        <v>0</v>
      </c>
      <c r="X51" s="53">
        <f t="shared" si="37"/>
        <v>0.68</v>
      </c>
      <c r="Y51" s="46">
        <f t="shared" si="38"/>
        <v>3590.4</v>
      </c>
      <c r="Z51" s="42">
        <v>0</v>
      </c>
      <c r="AA51" s="42">
        <f t="shared" si="13"/>
        <v>3590.4</v>
      </c>
      <c r="AB51" s="45">
        <v>0.3</v>
      </c>
      <c r="AC51" s="46">
        <f t="shared" si="39"/>
        <v>1077.1199999999999</v>
      </c>
      <c r="AD51" s="46">
        <v>1077.1199999999999</v>
      </c>
      <c r="AE51" s="36">
        <v>45755</v>
      </c>
      <c r="AF51" s="6" t="s">
        <v>19614</v>
      </c>
      <c r="AG51" s="41">
        <v>5110</v>
      </c>
      <c r="AH51" s="41">
        <f t="shared" si="15"/>
        <v>5110</v>
      </c>
      <c r="AJ51" s="51">
        <f t="shared" si="35"/>
        <v>170</v>
      </c>
      <c r="AK51" s="6" t="s">
        <v>19618</v>
      </c>
      <c r="AL51" s="36">
        <v>45804</v>
      </c>
      <c r="AM51" s="6" t="s">
        <v>19580</v>
      </c>
      <c r="AN51" s="6">
        <v>0.68</v>
      </c>
      <c r="AO51" s="46">
        <f t="shared" si="34"/>
        <v>3474.8</v>
      </c>
      <c r="AP51" s="46"/>
      <c r="AQ51" s="46"/>
      <c r="AR51" s="46"/>
      <c r="AS51" s="42">
        <f t="shared" si="16"/>
        <v>3474.8</v>
      </c>
      <c r="AT51" s="38">
        <v>255404858</v>
      </c>
      <c r="AV51" s="6" t="s">
        <v>19583</v>
      </c>
      <c r="AW51" s="51">
        <v>5110</v>
      </c>
      <c r="AX51" s="57" t="s">
        <v>19648</v>
      </c>
      <c r="AY51" s="36">
        <v>45891</v>
      </c>
      <c r="AZ51" s="46">
        <v>0</v>
      </c>
      <c r="BA51" s="46">
        <f t="shared" si="32"/>
        <v>1077.1199999999999</v>
      </c>
      <c r="BB51" s="46">
        <v>828</v>
      </c>
      <c r="BC51" s="46">
        <v>0</v>
      </c>
      <c r="BD51" s="46">
        <f t="shared" si="17"/>
        <v>1905.12</v>
      </c>
      <c r="BE51" s="46">
        <f t="shared" si="25"/>
        <v>-828</v>
      </c>
      <c r="BF51" s="42">
        <v>-828</v>
      </c>
      <c r="BG51" s="47">
        <f t="shared" si="30"/>
        <v>0</v>
      </c>
      <c r="BH51" s="46">
        <f t="shared" si="19"/>
        <v>1569.6800000000003</v>
      </c>
      <c r="BI51" s="46">
        <f t="shared" si="31"/>
        <v>1569.6800000000003</v>
      </c>
      <c r="BJ51" s="54">
        <v>45895</v>
      </c>
      <c r="BK51" s="6" t="s">
        <v>19671</v>
      </c>
      <c r="BO51" s="48">
        <f t="shared" si="20"/>
        <v>1569.6800000000003</v>
      </c>
      <c r="BP51" s="48">
        <f t="shared" si="21"/>
        <v>0</v>
      </c>
      <c r="BQ51" s="6" t="str">
        <f t="shared" si="5"/>
        <v>Fully Paid</v>
      </c>
      <c r="BS51" s="6" t="str">
        <f t="shared" si="33"/>
        <v>Closed</v>
      </c>
      <c r="BT51" s="49" t="str">
        <f t="shared" ca="1" si="7"/>
        <v>Closed</v>
      </c>
    </row>
    <row r="52" spans="1:72" hidden="1" x14ac:dyDescent="0.25">
      <c r="A52" s="6" t="s">
        <v>19437</v>
      </c>
      <c r="B52" s="6">
        <v>1476.25</v>
      </c>
      <c r="C52" s="36">
        <v>45702</v>
      </c>
      <c r="D52" s="6" t="s">
        <v>19438</v>
      </c>
      <c r="E52" s="62">
        <v>5280</v>
      </c>
      <c r="F52" s="38" t="s">
        <v>19587</v>
      </c>
      <c r="G52" s="39">
        <f t="shared" si="8"/>
        <v>1</v>
      </c>
      <c r="H52" s="40">
        <f t="shared" si="9"/>
        <v>5280</v>
      </c>
      <c r="I52" s="6" t="s">
        <v>19613</v>
      </c>
      <c r="J52" s="36">
        <v>45706</v>
      </c>
      <c r="K52" s="51">
        <v>5280</v>
      </c>
      <c r="L52" s="46">
        <v>0.38</v>
      </c>
      <c r="M52" s="42">
        <f t="shared" si="11"/>
        <v>2006.4</v>
      </c>
      <c r="N52" s="42">
        <v>0</v>
      </c>
      <c r="O52" s="42">
        <v>0</v>
      </c>
      <c r="P52" s="42">
        <f t="shared" si="12"/>
        <v>2006.4</v>
      </c>
      <c r="Q52" s="38" t="s">
        <v>19610</v>
      </c>
      <c r="R52" s="36">
        <v>45702</v>
      </c>
      <c r="S52" s="36" t="s">
        <v>19499</v>
      </c>
      <c r="T52" s="58" t="s">
        <v>16174</v>
      </c>
      <c r="U52" s="6" t="str">
        <f>IFERROR(VLOOKUP(T52,'item master'!B:C,2,0),"")</f>
        <v>TRIPI FORTE VISION (TROP+PHENYLE) COLLYRE 5ML</v>
      </c>
      <c r="V52" s="51">
        <f t="shared" si="36"/>
        <v>5280</v>
      </c>
      <c r="W52" s="6">
        <v>0</v>
      </c>
      <c r="X52" s="53">
        <f t="shared" si="37"/>
        <v>0.38</v>
      </c>
      <c r="Y52" s="46">
        <f t="shared" si="38"/>
        <v>2006.4</v>
      </c>
      <c r="Z52" s="42">
        <v>0</v>
      </c>
      <c r="AA52" s="42">
        <f t="shared" si="13"/>
        <v>2006.4</v>
      </c>
      <c r="AB52" s="45">
        <v>0.3</v>
      </c>
      <c r="AC52" s="46">
        <f t="shared" si="39"/>
        <v>601.91999999999996</v>
      </c>
      <c r="AD52" s="46">
        <v>601.91999999999996</v>
      </c>
      <c r="AE52" s="36">
        <v>45755</v>
      </c>
      <c r="AF52" s="6" t="s">
        <v>19614</v>
      </c>
      <c r="AG52" s="41">
        <v>5530</v>
      </c>
      <c r="AH52" s="41">
        <f t="shared" si="15"/>
        <v>5530</v>
      </c>
      <c r="AJ52" s="51">
        <f t="shared" si="35"/>
        <v>-250</v>
      </c>
      <c r="AK52" s="6" t="s">
        <v>19618</v>
      </c>
      <c r="AL52" s="36">
        <v>45804</v>
      </c>
      <c r="AM52" s="6" t="s">
        <v>19580</v>
      </c>
      <c r="AN52" s="6">
        <v>0.38</v>
      </c>
      <c r="AO52" s="46">
        <f t="shared" si="34"/>
        <v>2101.4</v>
      </c>
      <c r="AP52" s="46"/>
      <c r="AQ52" s="46"/>
      <c r="AR52" s="46"/>
      <c r="AS52" s="42">
        <f t="shared" si="16"/>
        <v>2101.4</v>
      </c>
      <c r="AT52" s="38">
        <v>255404858</v>
      </c>
      <c r="AV52" s="6" t="s">
        <v>19583</v>
      </c>
      <c r="AW52" s="51">
        <f>5280+250</f>
        <v>5530</v>
      </c>
      <c r="AX52" s="57" t="s">
        <v>19648</v>
      </c>
      <c r="AY52" s="36">
        <v>45891</v>
      </c>
      <c r="AZ52" s="46">
        <v>0</v>
      </c>
      <c r="BA52" s="46">
        <f t="shared" si="32"/>
        <v>601.91999999999996</v>
      </c>
      <c r="BB52" s="46">
        <v>0</v>
      </c>
      <c r="BC52" s="46">
        <v>0</v>
      </c>
      <c r="BD52" s="46">
        <f t="shared" si="17"/>
        <v>601.91999999999996</v>
      </c>
      <c r="BE52" s="46">
        <f t="shared" si="25"/>
        <v>0</v>
      </c>
      <c r="BF52" s="46">
        <f t="shared" si="25"/>
        <v>0</v>
      </c>
      <c r="BG52" s="47">
        <f t="shared" si="30"/>
        <v>0</v>
      </c>
      <c r="BH52" s="46">
        <f t="shared" si="19"/>
        <v>1499.48</v>
      </c>
      <c r="BI52" s="46">
        <f t="shared" si="31"/>
        <v>1499.48</v>
      </c>
      <c r="BJ52" s="54">
        <v>45895</v>
      </c>
      <c r="BK52" s="6" t="s">
        <v>19671</v>
      </c>
      <c r="BO52" s="48">
        <f t="shared" si="20"/>
        <v>1499.48</v>
      </c>
      <c r="BP52" s="48">
        <f t="shared" si="21"/>
        <v>0</v>
      </c>
      <c r="BQ52" s="6" t="str">
        <f t="shared" si="5"/>
        <v>Fully Paid</v>
      </c>
      <c r="BS52" s="6" t="str">
        <f t="shared" si="33"/>
        <v>Closed</v>
      </c>
      <c r="BT52" s="49" t="str">
        <f t="shared" ca="1" si="7"/>
        <v>Closed</v>
      </c>
    </row>
    <row r="53" spans="1:72" hidden="1" x14ac:dyDescent="0.25">
      <c r="A53" s="6" t="s">
        <v>19437</v>
      </c>
      <c r="B53" s="6">
        <v>1476.25</v>
      </c>
      <c r="C53" s="36">
        <v>45702</v>
      </c>
      <c r="D53" s="6" t="s">
        <v>19438</v>
      </c>
      <c r="E53" s="62">
        <v>10000</v>
      </c>
      <c r="F53" s="38" t="s">
        <v>19556</v>
      </c>
      <c r="G53" s="39">
        <f t="shared" si="8"/>
        <v>1</v>
      </c>
      <c r="H53" s="40">
        <f t="shared" si="9"/>
        <v>10000</v>
      </c>
      <c r="I53" s="6" t="s">
        <v>19613</v>
      </c>
      <c r="J53" s="36">
        <v>45706</v>
      </c>
      <c r="K53" s="51">
        <v>10000</v>
      </c>
      <c r="L53" s="46">
        <v>0.31</v>
      </c>
      <c r="M53" s="42">
        <f t="shared" si="11"/>
        <v>3100</v>
      </c>
      <c r="N53" s="42">
        <v>0</v>
      </c>
      <c r="O53" s="42">
        <v>0</v>
      </c>
      <c r="P53" s="42">
        <f t="shared" si="12"/>
        <v>3100</v>
      </c>
      <c r="Q53" s="38" t="s">
        <v>19610</v>
      </c>
      <c r="R53" s="36">
        <v>45702</v>
      </c>
      <c r="S53" s="36" t="s">
        <v>19499</v>
      </c>
      <c r="T53" s="60" t="s">
        <v>16178</v>
      </c>
      <c r="U53" s="6" t="str">
        <f>IFERROR(VLOOKUP(T53,'item master'!B:C,2,0),"")</f>
        <v>UNIKORT-40 (TRIAMCINOLONE) B/1 VIAL+SER</v>
      </c>
      <c r="V53" s="51">
        <f t="shared" si="36"/>
        <v>10000</v>
      </c>
      <c r="W53" s="6">
        <v>0</v>
      </c>
      <c r="X53" s="53">
        <f t="shared" si="37"/>
        <v>0.31</v>
      </c>
      <c r="Y53" s="46">
        <f t="shared" si="38"/>
        <v>3100</v>
      </c>
      <c r="Z53" s="42">
        <v>0</v>
      </c>
      <c r="AA53" s="42">
        <f t="shared" si="13"/>
        <v>3100</v>
      </c>
      <c r="AB53" s="45">
        <v>0.3</v>
      </c>
      <c r="AC53" s="46">
        <f t="shared" si="39"/>
        <v>930</v>
      </c>
      <c r="AD53" s="46">
        <v>930</v>
      </c>
      <c r="AE53" s="36">
        <v>45755</v>
      </c>
      <c r="AF53" s="6" t="s">
        <v>19614</v>
      </c>
      <c r="AG53" s="41">
        <v>10200</v>
      </c>
      <c r="AH53" s="41">
        <f t="shared" si="15"/>
        <v>10200</v>
      </c>
      <c r="AJ53" s="51">
        <f t="shared" si="35"/>
        <v>-200</v>
      </c>
      <c r="AK53" s="6" t="s">
        <v>19649</v>
      </c>
      <c r="AL53" s="36">
        <v>45870</v>
      </c>
      <c r="AM53" s="6" t="s">
        <v>19580</v>
      </c>
      <c r="AN53" s="6">
        <v>0.31</v>
      </c>
      <c r="AO53" s="46">
        <f t="shared" si="34"/>
        <v>3162</v>
      </c>
      <c r="AP53" s="46"/>
      <c r="AQ53" s="46"/>
      <c r="AR53" s="46"/>
      <c r="AS53" s="42">
        <f t="shared" si="16"/>
        <v>3162</v>
      </c>
      <c r="AT53" s="38">
        <v>2519141100</v>
      </c>
      <c r="AV53" s="6" t="s">
        <v>19583</v>
      </c>
      <c r="AW53" s="51">
        <v>10200</v>
      </c>
      <c r="AX53" s="57" t="s">
        <v>19650</v>
      </c>
      <c r="AY53" s="36">
        <v>45962</v>
      </c>
      <c r="AZ53" s="46">
        <v>0</v>
      </c>
      <c r="BA53" s="46">
        <f t="shared" si="32"/>
        <v>930</v>
      </c>
      <c r="BB53" s="46">
        <v>0</v>
      </c>
      <c r="BC53" s="46">
        <v>0</v>
      </c>
      <c r="BD53" s="46">
        <f t="shared" si="17"/>
        <v>930</v>
      </c>
      <c r="BE53" s="46">
        <f t="shared" si="25"/>
        <v>0</v>
      </c>
      <c r="BF53" s="46">
        <f t="shared" si="25"/>
        <v>0</v>
      </c>
      <c r="BG53" s="47">
        <f t="shared" si="30"/>
        <v>0</v>
      </c>
      <c r="BH53" s="46">
        <f t="shared" si="19"/>
        <v>2232</v>
      </c>
      <c r="BI53" s="46">
        <f t="shared" si="31"/>
        <v>2232</v>
      </c>
      <c r="BJ53" s="54">
        <v>45895</v>
      </c>
      <c r="BK53" s="6" t="s">
        <v>19671</v>
      </c>
      <c r="BO53" s="48">
        <f t="shared" si="20"/>
        <v>2232</v>
      </c>
      <c r="BP53" s="48">
        <f t="shared" si="21"/>
        <v>0</v>
      </c>
      <c r="BQ53" s="6" t="str">
        <f t="shared" si="5"/>
        <v>Fully Paid</v>
      </c>
      <c r="BS53" s="6" t="str">
        <f t="shared" si="33"/>
        <v>Closed</v>
      </c>
      <c r="BT53" s="49" t="str">
        <f t="shared" ca="1" si="7"/>
        <v>Closed</v>
      </c>
    </row>
    <row r="54" spans="1:72" hidden="1" x14ac:dyDescent="0.25">
      <c r="A54" s="6" t="s">
        <v>19437</v>
      </c>
      <c r="B54" s="6">
        <v>1526.25</v>
      </c>
      <c r="C54" s="36">
        <v>45758</v>
      </c>
      <c r="D54" s="6" t="s">
        <v>19438</v>
      </c>
      <c r="E54" s="62">
        <v>5000</v>
      </c>
      <c r="F54" s="38" t="s">
        <v>19590</v>
      </c>
      <c r="G54" s="39">
        <f t="shared" si="8"/>
        <v>1</v>
      </c>
      <c r="H54" s="40">
        <f t="shared" si="9"/>
        <v>5000</v>
      </c>
      <c r="I54" s="6" t="s">
        <v>19604</v>
      </c>
      <c r="J54" s="36">
        <v>45764</v>
      </c>
      <c r="K54" s="51">
        <v>5000</v>
      </c>
      <c r="L54" s="46">
        <v>1.6</v>
      </c>
      <c r="M54" s="42">
        <f t="shared" si="11"/>
        <v>8000</v>
      </c>
      <c r="N54" s="42">
        <v>0</v>
      </c>
      <c r="O54" s="42">
        <v>0</v>
      </c>
      <c r="P54" s="42">
        <f t="shared" si="12"/>
        <v>8000</v>
      </c>
      <c r="Q54" s="38" t="s">
        <v>19606</v>
      </c>
      <c r="R54" s="36">
        <v>45758</v>
      </c>
      <c r="S54" s="36" t="s">
        <v>19499</v>
      </c>
      <c r="T54" s="50" t="s">
        <v>16335</v>
      </c>
      <c r="U54" s="6" t="str">
        <f>IFERROR(VLOOKUP(T54,'item master'!B:C,2,0),"")</f>
        <v>ATARIUM 50MG/5ML (ATACURIUM ) INJ. B/5 AMP.</v>
      </c>
      <c r="V54" s="51">
        <v>5000</v>
      </c>
      <c r="W54" s="6">
        <v>0</v>
      </c>
      <c r="X54" s="53">
        <v>1.6</v>
      </c>
      <c r="Y54" s="46">
        <f t="shared" si="38"/>
        <v>8000</v>
      </c>
      <c r="Z54" s="42">
        <v>0</v>
      </c>
      <c r="AA54" s="42">
        <f t="shared" si="13"/>
        <v>8000</v>
      </c>
      <c r="AB54" s="45">
        <v>0.3</v>
      </c>
      <c r="AC54" s="46">
        <f t="shared" si="39"/>
        <v>2400</v>
      </c>
      <c r="AD54" s="46">
        <v>2400</v>
      </c>
      <c r="AE54" s="36">
        <v>45777</v>
      </c>
      <c r="AF54" s="6" t="s">
        <v>19607</v>
      </c>
      <c r="AG54" s="41">
        <v>4680</v>
      </c>
      <c r="AH54" s="41">
        <f t="shared" si="15"/>
        <v>4680</v>
      </c>
      <c r="AJ54" s="51">
        <f t="shared" si="35"/>
        <v>320</v>
      </c>
      <c r="AK54" s="6" t="s">
        <v>19651</v>
      </c>
      <c r="AL54" s="36">
        <v>45925</v>
      </c>
      <c r="AM54" s="6" t="s">
        <v>19580</v>
      </c>
      <c r="AN54" s="6">
        <v>1.6</v>
      </c>
      <c r="AO54" s="46">
        <f t="shared" si="34"/>
        <v>7488</v>
      </c>
      <c r="AP54" s="46"/>
      <c r="AQ54" s="46"/>
      <c r="AR54" s="46"/>
      <c r="AS54" s="42">
        <f t="shared" si="16"/>
        <v>7488</v>
      </c>
      <c r="AT54" s="38" t="s">
        <v>19652</v>
      </c>
      <c r="AU54" s="36">
        <v>45926</v>
      </c>
      <c r="AV54" s="6" t="s">
        <v>19583</v>
      </c>
      <c r="AW54" s="51">
        <v>4680</v>
      </c>
      <c r="AX54" s="57" t="s">
        <v>19653</v>
      </c>
      <c r="AY54" s="36">
        <v>45951</v>
      </c>
      <c r="AZ54" s="46">
        <v>-6360</v>
      </c>
      <c r="BA54" s="46">
        <f t="shared" si="32"/>
        <v>-3960</v>
      </c>
      <c r="BB54" s="46">
        <v>0</v>
      </c>
      <c r="BC54" s="46">
        <v>0</v>
      </c>
      <c r="BD54" s="46">
        <f t="shared" si="17"/>
        <v>-3960</v>
      </c>
      <c r="BE54" s="46">
        <f t="shared" si="25"/>
        <v>0</v>
      </c>
      <c r="BF54" s="46">
        <f t="shared" si="25"/>
        <v>0</v>
      </c>
      <c r="BG54" s="47">
        <f t="shared" si="30"/>
        <v>0</v>
      </c>
      <c r="BH54" s="46">
        <f t="shared" si="19"/>
        <v>11448</v>
      </c>
      <c r="BI54" s="46">
        <f t="shared" si="31"/>
        <v>11448</v>
      </c>
      <c r="BJ54" s="54">
        <v>45989</v>
      </c>
      <c r="BK54" s="63" t="s">
        <v>19673</v>
      </c>
      <c r="BL54" s="63"/>
      <c r="BM54" s="63"/>
      <c r="BN54" s="63"/>
      <c r="BO54" s="48">
        <f t="shared" si="20"/>
        <v>11448</v>
      </c>
      <c r="BP54" s="48">
        <f t="shared" si="21"/>
        <v>0</v>
      </c>
      <c r="BQ54" s="6" t="str">
        <f t="shared" si="5"/>
        <v>Fully Paid</v>
      </c>
      <c r="BS54" s="6" t="str">
        <f t="shared" si="33"/>
        <v>Closed</v>
      </c>
      <c r="BT54" s="49" t="str">
        <f t="shared" ca="1" si="7"/>
        <v>Closed</v>
      </c>
    </row>
    <row r="55" spans="1:72" hidden="1" x14ac:dyDescent="0.25">
      <c r="A55" s="6" t="s">
        <v>19437</v>
      </c>
      <c r="B55" s="6">
        <v>1526.25</v>
      </c>
      <c r="C55" s="36">
        <v>45758</v>
      </c>
      <c r="D55" s="6" t="s">
        <v>19438</v>
      </c>
      <c r="E55" s="62">
        <v>8000</v>
      </c>
      <c r="F55" s="38" t="s">
        <v>19605</v>
      </c>
      <c r="G55" s="39">
        <f t="shared" si="8"/>
        <v>10</v>
      </c>
      <c r="H55" s="40">
        <f t="shared" si="9"/>
        <v>80000</v>
      </c>
      <c r="I55" s="6" t="s">
        <v>19604</v>
      </c>
      <c r="J55" s="36">
        <v>45764</v>
      </c>
      <c r="K55" s="51">
        <v>8000</v>
      </c>
      <c r="L55" s="46">
        <v>4.4000000000000004</v>
      </c>
      <c r="M55" s="42">
        <f t="shared" si="11"/>
        <v>35200</v>
      </c>
      <c r="N55" s="42">
        <v>0</v>
      </c>
      <c r="O55" s="42">
        <v>0</v>
      </c>
      <c r="P55" s="42">
        <f t="shared" si="12"/>
        <v>35200</v>
      </c>
      <c r="Q55" s="38" t="s">
        <v>19606</v>
      </c>
      <c r="R55" s="36">
        <v>45758</v>
      </c>
      <c r="S55" s="36" t="s">
        <v>19499</v>
      </c>
      <c r="T55" s="50" t="s">
        <v>19568</v>
      </c>
      <c r="U55" s="6" t="str">
        <f>IFERROR(VLOOKUP(T55,'item master'!B:C,2,0),"")</f>
        <v>DIAZEPAM 10MG/2ML INJ B/10AMP</v>
      </c>
      <c r="V55" s="51">
        <v>8000</v>
      </c>
      <c r="W55" s="6">
        <v>0</v>
      </c>
      <c r="X55" s="53">
        <v>4.4000000000000004</v>
      </c>
      <c r="Y55" s="46">
        <f t="shared" si="38"/>
        <v>35200</v>
      </c>
      <c r="Z55" s="42">
        <v>0</v>
      </c>
      <c r="AA55" s="42">
        <f t="shared" si="13"/>
        <v>35200</v>
      </c>
      <c r="AB55" s="45">
        <v>0.3</v>
      </c>
      <c r="AC55" s="46">
        <f t="shared" si="39"/>
        <v>10560</v>
      </c>
      <c r="AD55" s="46">
        <v>10560</v>
      </c>
      <c r="AE55" s="36">
        <v>45777</v>
      </c>
      <c r="AF55" s="6" t="s">
        <v>19607</v>
      </c>
      <c r="AG55" s="41">
        <v>8000</v>
      </c>
      <c r="AH55" s="41">
        <f t="shared" si="15"/>
        <v>8000</v>
      </c>
      <c r="AJ55" s="51">
        <f t="shared" si="35"/>
        <v>0</v>
      </c>
      <c r="AK55" s="6" t="s">
        <v>19655</v>
      </c>
      <c r="AL55" s="36">
        <v>45943</v>
      </c>
      <c r="AM55" s="6" t="s">
        <v>19580</v>
      </c>
      <c r="AN55" s="6">
        <v>4.4000000000000004</v>
      </c>
      <c r="AO55" s="46">
        <f t="shared" si="34"/>
        <v>35200</v>
      </c>
      <c r="AP55" s="46"/>
      <c r="AQ55" s="46"/>
      <c r="AR55" s="46"/>
      <c r="AS55" s="42">
        <f t="shared" si="16"/>
        <v>35200</v>
      </c>
      <c r="AT55" s="38" t="s">
        <v>19656</v>
      </c>
      <c r="AU55" s="36">
        <v>45987</v>
      </c>
      <c r="AV55" s="6" t="s">
        <v>19583</v>
      </c>
      <c r="AW55" s="51">
        <v>80000</v>
      </c>
      <c r="AX55" s="57" t="s">
        <v>19657</v>
      </c>
      <c r="AY55" s="36">
        <v>46030</v>
      </c>
      <c r="AZ55" s="46">
        <v>-2400</v>
      </c>
      <c r="BA55" s="46">
        <f t="shared" si="32"/>
        <v>8160</v>
      </c>
      <c r="BB55" s="46">
        <v>0</v>
      </c>
      <c r="BC55" s="46">
        <v>0</v>
      </c>
      <c r="BD55" s="46">
        <f t="shared" si="17"/>
        <v>8160</v>
      </c>
      <c r="BE55" s="46">
        <f t="shared" si="25"/>
        <v>0</v>
      </c>
      <c r="BF55" s="46">
        <f t="shared" si="25"/>
        <v>0</v>
      </c>
      <c r="BG55" s="47">
        <f t="shared" si="30"/>
        <v>0</v>
      </c>
      <c r="BH55" s="46">
        <f t="shared" si="19"/>
        <v>27040</v>
      </c>
      <c r="BI55" s="46">
        <f t="shared" si="31"/>
        <v>27040</v>
      </c>
      <c r="BJ55" s="54">
        <v>45989</v>
      </c>
      <c r="BK55" s="63" t="s">
        <v>19673</v>
      </c>
      <c r="BL55" s="63"/>
      <c r="BM55" s="63"/>
      <c r="BN55" s="63"/>
      <c r="BO55" s="48">
        <f t="shared" si="20"/>
        <v>27040</v>
      </c>
      <c r="BP55" s="48">
        <f t="shared" si="21"/>
        <v>0</v>
      </c>
      <c r="BQ55" s="6" t="str">
        <f t="shared" si="5"/>
        <v>Fully Paid</v>
      </c>
      <c r="BS55" s="6" t="str">
        <f t="shared" si="33"/>
        <v>Closed</v>
      </c>
      <c r="BT55" s="49" t="str">
        <f t="shared" ca="1" si="7"/>
        <v>Closed</v>
      </c>
    </row>
    <row r="56" spans="1:72" hidden="1" x14ac:dyDescent="0.25">
      <c r="A56" s="6" t="s">
        <v>19437</v>
      </c>
      <c r="B56" s="6">
        <v>1526.25</v>
      </c>
      <c r="C56" s="36">
        <v>45758</v>
      </c>
      <c r="D56" s="6" t="s">
        <v>19438</v>
      </c>
      <c r="E56" s="62">
        <v>10000</v>
      </c>
      <c r="F56" s="38" t="s">
        <v>19676</v>
      </c>
      <c r="G56" s="39">
        <f t="shared" si="8"/>
        <v>1</v>
      </c>
      <c r="H56" s="40">
        <f t="shared" si="9"/>
        <v>10000</v>
      </c>
      <c r="I56" s="6" t="s">
        <v>19604</v>
      </c>
      <c r="J56" s="36">
        <v>45764</v>
      </c>
      <c r="K56" s="51">
        <v>10000</v>
      </c>
      <c r="L56" s="46">
        <v>0.95</v>
      </c>
      <c r="M56" s="42">
        <f t="shared" si="11"/>
        <v>9500</v>
      </c>
      <c r="N56" s="42">
        <v>0</v>
      </c>
      <c r="O56" s="42">
        <v>0</v>
      </c>
      <c r="P56" s="42">
        <f t="shared" si="12"/>
        <v>9500</v>
      </c>
      <c r="Q56" s="38" t="s">
        <v>19606</v>
      </c>
      <c r="R56" s="36">
        <v>45758</v>
      </c>
      <c r="S56" s="36" t="s">
        <v>19499</v>
      </c>
      <c r="T56" s="50" t="s">
        <v>6350</v>
      </c>
      <c r="U56" s="6" t="str">
        <f>IFERROR(VLOOKUP(T56,'item master'!B:C,2,0),"")</f>
        <v>NOTROFIT (PIRACETAM) 1G/5ML INJ B/12 AMP***</v>
      </c>
      <c r="V56" s="51">
        <v>10000</v>
      </c>
      <c r="W56" s="6">
        <v>0</v>
      </c>
      <c r="X56" s="53">
        <v>0.95</v>
      </c>
      <c r="Y56" s="46">
        <f t="shared" si="38"/>
        <v>9500</v>
      </c>
      <c r="Z56" s="42">
        <v>0</v>
      </c>
      <c r="AA56" s="42">
        <f t="shared" si="13"/>
        <v>9500</v>
      </c>
      <c r="AB56" s="45">
        <v>0.3</v>
      </c>
      <c r="AC56" s="46">
        <f t="shared" si="39"/>
        <v>2850</v>
      </c>
      <c r="AD56" s="46">
        <v>2850</v>
      </c>
      <c r="AE56" s="36">
        <v>45777</v>
      </c>
      <c r="AF56" s="6" t="s">
        <v>19607</v>
      </c>
      <c r="AG56" s="41">
        <v>10045</v>
      </c>
      <c r="AH56" s="41">
        <f t="shared" si="15"/>
        <v>10045</v>
      </c>
      <c r="AJ56" s="51">
        <f t="shared" si="35"/>
        <v>-45</v>
      </c>
      <c r="AK56" s="6" t="s">
        <v>19608</v>
      </c>
      <c r="AL56" s="36">
        <v>45918</v>
      </c>
      <c r="AM56" s="6" t="s">
        <v>19580</v>
      </c>
      <c r="AN56" s="6">
        <v>0.95</v>
      </c>
      <c r="AO56" s="46">
        <f t="shared" si="34"/>
        <v>9542.75</v>
      </c>
      <c r="AP56" s="46"/>
      <c r="AQ56" s="46"/>
      <c r="AR56" s="46"/>
      <c r="AS56" s="42">
        <f t="shared" si="16"/>
        <v>9542.75</v>
      </c>
      <c r="AT56" s="38">
        <v>261172994</v>
      </c>
      <c r="AU56" s="36">
        <v>45990</v>
      </c>
      <c r="AV56" s="6" t="s">
        <v>19583</v>
      </c>
      <c r="AW56" s="51">
        <v>10045</v>
      </c>
      <c r="AX56" s="57" t="s">
        <v>19609</v>
      </c>
      <c r="AY56" s="36">
        <v>46037</v>
      </c>
      <c r="AZ56" s="46">
        <v>-10560</v>
      </c>
      <c r="BA56" s="46">
        <f t="shared" si="32"/>
        <v>-7710</v>
      </c>
      <c r="BB56" s="46">
        <f>16308-20</f>
        <v>16288</v>
      </c>
      <c r="BC56" s="46">
        <v>0</v>
      </c>
      <c r="BD56" s="46">
        <f t="shared" si="17"/>
        <v>8578</v>
      </c>
      <c r="BE56" s="46">
        <f t="shared" si="25"/>
        <v>-16288</v>
      </c>
      <c r="BF56" s="46">
        <v>-16288</v>
      </c>
      <c r="BG56" s="47">
        <f t="shared" si="30"/>
        <v>0</v>
      </c>
      <c r="BH56" s="46">
        <f t="shared" si="19"/>
        <v>964.75</v>
      </c>
      <c r="BI56" s="46">
        <f t="shared" si="31"/>
        <v>964.75</v>
      </c>
      <c r="BJ56" s="54">
        <v>45989</v>
      </c>
      <c r="BK56" s="63" t="s">
        <v>19673</v>
      </c>
      <c r="BL56" s="63"/>
      <c r="BM56" s="63"/>
      <c r="BN56" s="63"/>
      <c r="BO56" s="48">
        <f t="shared" si="20"/>
        <v>964.75</v>
      </c>
      <c r="BP56" s="48">
        <f t="shared" si="21"/>
        <v>0</v>
      </c>
      <c r="BQ56" s="6" t="str">
        <f t="shared" si="5"/>
        <v>Fully Paid</v>
      </c>
      <c r="BS56" s="6" t="str">
        <f t="shared" si="33"/>
        <v>Closed</v>
      </c>
      <c r="BT56" s="49" t="str">
        <f t="shared" ca="1" si="7"/>
        <v>Closed</v>
      </c>
    </row>
    <row r="57" spans="1:72" hidden="1" x14ac:dyDescent="0.25">
      <c r="A57" s="6" t="s">
        <v>19437</v>
      </c>
      <c r="B57" s="6">
        <v>1526.25</v>
      </c>
      <c r="C57" s="36">
        <v>45758</v>
      </c>
      <c r="D57" s="6" t="s">
        <v>19438</v>
      </c>
      <c r="E57" s="62">
        <v>20000</v>
      </c>
      <c r="F57" s="38" t="s">
        <v>19590</v>
      </c>
      <c r="G57" s="39">
        <f t="shared" si="8"/>
        <v>1</v>
      </c>
      <c r="H57" s="40">
        <f t="shared" si="9"/>
        <v>20000</v>
      </c>
      <c r="I57" s="6" t="s">
        <v>19604</v>
      </c>
      <c r="J57" s="36">
        <v>45764</v>
      </c>
      <c r="K57" s="51">
        <v>20000</v>
      </c>
      <c r="L57" s="46">
        <v>0.3</v>
      </c>
      <c r="M57" s="42">
        <f t="shared" si="11"/>
        <v>6000</v>
      </c>
      <c r="N57" s="42">
        <v>0</v>
      </c>
      <c r="O57" s="42">
        <v>0</v>
      </c>
      <c r="P57" s="42">
        <f t="shared" si="12"/>
        <v>6000</v>
      </c>
      <c r="Q57" s="38" t="s">
        <v>19606</v>
      </c>
      <c r="R57" s="36">
        <v>45758</v>
      </c>
      <c r="S57" s="36" t="s">
        <v>19499</v>
      </c>
      <c r="T57" s="50" t="s">
        <v>16343</v>
      </c>
      <c r="U57" s="6" t="str">
        <f>IFERROR(VLOOKUP(T57,'item master'!B:C,2,0),"")</f>
        <v>SPASMOSTOP 40MG/2ML ( DROTAVÉRINE ) INJ. B/5 AMP</v>
      </c>
      <c r="V57" s="51">
        <v>20000</v>
      </c>
      <c r="W57" s="6">
        <v>0</v>
      </c>
      <c r="X57" s="53">
        <v>0.3</v>
      </c>
      <c r="Y57" s="46">
        <f t="shared" si="38"/>
        <v>6000</v>
      </c>
      <c r="Z57" s="42">
        <v>0</v>
      </c>
      <c r="AA57" s="42">
        <f t="shared" si="13"/>
        <v>6000</v>
      </c>
      <c r="AB57" s="45">
        <v>0.3</v>
      </c>
      <c r="AC57" s="46">
        <f t="shared" si="39"/>
        <v>1800</v>
      </c>
      <c r="AD57" s="46">
        <v>1800</v>
      </c>
      <c r="AE57" s="36">
        <v>45777</v>
      </c>
      <c r="AF57" s="6" t="s">
        <v>19607</v>
      </c>
      <c r="AG57" s="41">
        <v>20000</v>
      </c>
      <c r="AH57" s="41">
        <f t="shared" si="15"/>
        <v>20000</v>
      </c>
      <c r="AJ57" s="51">
        <f t="shared" si="35"/>
        <v>0</v>
      </c>
      <c r="AK57" s="6" t="s">
        <v>19608</v>
      </c>
      <c r="AL57" s="36">
        <v>45918</v>
      </c>
      <c r="AM57" s="6" t="s">
        <v>19580</v>
      </c>
      <c r="AN57" s="6">
        <v>0.3</v>
      </c>
      <c r="AO57" s="46">
        <f t="shared" si="34"/>
        <v>6000</v>
      </c>
      <c r="AP57" s="46"/>
      <c r="AQ57" s="46"/>
      <c r="AR57" s="46"/>
      <c r="AS57" s="42">
        <f t="shared" si="16"/>
        <v>6000</v>
      </c>
      <c r="AT57" s="38">
        <v>261172994</v>
      </c>
      <c r="AU57" s="36">
        <v>45990</v>
      </c>
      <c r="AV57" s="6" t="s">
        <v>19583</v>
      </c>
      <c r="AW57" s="51">
        <v>20000</v>
      </c>
      <c r="AX57" s="57" t="s">
        <v>19609</v>
      </c>
      <c r="AY57" s="36">
        <v>46037</v>
      </c>
      <c r="AZ57" s="46">
        <v>-2850</v>
      </c>
      <c r="BA57" s="46">
        <f t="shared" si="32"/>
        <v>-1050</v>
      </c>
      <c r="BB57" s="46">
        <v>0</v>
      </c>
      <c r="BC57" s="46">
        <v>0</v>
      </c>
      <c r="BD57" s="46">
        <f t="shared" si="17"/>
        <v>-1050</v>
      </c>
      <c r="BE57" s="46">
        <f t="shared" si="25"/>
        <v>0</v>
      </c>
      <c r="BF57" s="46">
        <f t="shared" si="25"/>
        <v>0</v>
      </c>
      <c r="BG57" s="47">
        <f t="shared" si="30"/>
        <v>0</v>
      </c>
      <c r="BH57" s="46">
        <f t="shared" si="19"/>
        <v>7050</v>
      </c>
      <c r="BI57" s="46">
        <f t="shared" si="31"/>
        <v>7050</v>
      </c>
      <c r="BJ57" s="54">
        <v>45989</v>
      </c>
      <c r="BK57" s="63" t="s">
        <v>19673</v>
      </c>
      <c r="BL57" s="63"/>
      <c r="BM57" s="63"/>
      <c r="BN57" s="63"/>
      <c r="BO57" s="48">
        <f t="shared" si="20"/>
        <v>7050</v>
      </c>
      <c r="BP57" s="48">
        <f t="shared" si="21"/>
        <v>0</v>
      </c>
      <c r="BQ57" s="6" t="str">
        <f t="shared" si="5"/>
        <v>Fully Paid</v>
      </c>
      <c r="BS57" s="6" t="str">
        <f t="shared" si="33"/>
        <v>Closed</v>
      </c>
      <c r="BT57" s="49" t="str">
        <f t="shared" ca="1" si="7"/>
        <v>Closed</v>
      </c>
    </row>
    <row r="58" spans="1:72" hidden="1" x14ac:dyDescent="0.25">
      <c r="A58" s="6" t="s">
        <v>19437</v>
      </c>
      <c r="B58" s="6">
        <v>1597.25</v>
      </c>
      <c r="C58" s="36">
        <v>45887</v>
      </c>
      <c r="D58" s="6" t="s">
        <v>19438</v>
      </c>
      <c r="E58" s="62">
        <v>10000</v>
      </c>
      <c r="F58" s="38" t="s">
        <v>19590</v>
      </c>
      <c r="G58" s="39">
        <f t="shared" si="8"/>
        <v>1</v>
      </c>
      <c r="H58" s="40">
        <f t="shared" si="9"/>
        <v>10000</v>
      </c>
      <c r="I58" s="6" t="s">
        <v>19603</v>
      </c>
      <c r="J58" s="36">
        <v>45892</v>
      </c>
      <c r="K58" s="51">
        <v>5000</v>
      </c>
      <c r="L58" s="46">
        <v>0.2</v>
      </c>
      <c r="M58" s="42">
        <f t="shared" si="11"/>
        <v>1000</v>
      </c>
      <c r="N58" s="42">
        <v>0</v>
      </c>
      <c r="O58" s="42">
        <v>0</v>
      </c>
      <c r="P58" s="42">
        <f t="shared" si="12"/>
        <v>1000</v>
      </c>
      <c r="Q58" s="38" t="s">
        <v>19577</v>
      </c>
      <c r="R58" s="36">
        <v>45897</v>
      </c>
      <c r="S58" s="36" t="s">
        <v>19499</v>
      </c>
      <c r="T58" s="50" t="s">
        <v>16339</v>
      </c>
      <c r="U58" s="6" t="str">
        <f>IFERROR(VLOOKUP(T58,'item master'!B:C,2,0),"")</f>
        <v>DICQUE AQUA 75MG/ML (DICLOFÉNAC ) INJ. B/5 AMP</v>
      </c>
      <c r="V58" s="51">
        <v>5000</v>
      </c>
      <c r="W58" s="6">
        <v>0</v>
      </c>
      <c r="X58" s="53">
        <v>0.2</v>
      </c>
      <c r="Y58" s="46">
        <f t="shared" si="38"/>
        <v>1000</v>
      </c>
      <c r="Z58" s="42">
        <v>0</v>
      </c>
      <c r="AA58" s="42">
        <f t="shared" si="13"/>
        <v>1000</v>
      </c>
      <c r="AB58" s="45">
        <v>0.3</v>
      </c>
      <c r="AC58" s="46">
        <f t="shared" si="39"/>
        <v>300</v>
      </c>
      <c r="AD58" s="46">
        <f t="shared" ref="AD58:AD71" si="40">AC58</f>
        <v>300</v>
      </c>
      <c r="AE58" s="36">
        <v>45909</v>
      </c>
      <c r="AF58" s="6" t="s">
        <v>19578</v>
      </c>
      <c r="AG58" s="51">
        <v>4350</v>
      </c>
      <c r="AH58" s="41">
        <f t="shared" si="15"/>
        <v>4350</v>
      </c>
      <c r="AJ58" s="51">
        <f t="shared" si="35"/>
        <v>650</v>
      </c>
      <c r="AK58" s="6" t="s">
        <v>19579</v>
      </c>
      <c r="AL58" s="36">
        <v>46015</v>
      </c>
      <c r="AM58" s="6" t="s">
        <v>19580</v>
      </c>
      <c r="AN58" s="51">
        <f t="shared" ref="AN58:AN64" si="41">X58</f>
        <v>0.2</v>
      </c>
      <c r="AO58" s="46">
        <f t="shared" si="34"/>
        <v>870</v>
      </c>
      <c r="AP58" s="46"/>
      <c r="AQ58" s="46"/>
      <c r="AR58" s="46"/>
      <c r="AS58" s="42">
        <f t="shared" si="16"/>
        <v>870</v>
      </c>
      <c r="AT58" s="38" t="s">
        <v>19581</v>
      </c>
      <c r="AU58" s="36">
        <v>46043</v>
      </c>
      <c r="AV58" s="6" t="s">
        <v>19583</v>
      </c>
      <c r="AW58" s="51">
        <v>4350</v>
      </c>
      <c r="AX58" s="6" t="s">
        <v>19582</v>
      </c>
      <c r="AY58" s="36">
        <v>46091</v>
      </c>
      <c r="AZ58" s="46">
        <v>-300</v>
      </c>
      <c r="BA58" s="46">
        <f t="shared" si="32"/>
        <v>0</v>
      </c>
      <c r="BB58" s="46">
        <v>0</v>
      </c>
      <c r="BC58" s="46">
        <v>0</v>
      </c>
      <c r="BD58" s="46">
        <f t="shared" si="17"/>
        <v>0</v>
      </c>
      <c r="BE58" s="46">
        <f t="shared" si="25"/>
        <v>0</v>
      </c>
      <c r="BF58" s="46">
        <f t="shared" si="25"/>
        <v>0</v>
      </c>
      <c r="BG58" s="47">
        <f t="shared" si="30"/>
        <v>0</v>
      </c>
      <c r="BH58" s="46">
        <f t="shared" si="19"/>
        <v>870</v>
      </c>
      <c r="BI58" s="46">
        <v>870</v>
      </c>
      <c r="BJ58" s="54">
        <v>46234</v>
      </c>
      <c r="BO58" s="48">
        <f t="shared" si="20"/>
        <v>870</v>
      </c>
      <c r="BP58" s="48">
        <f t="shared" si="21"/>
        <v>0</v>
      </c>
      <c r="BQ58" s="6" t="str">
        <f t="shared" si="5"/>
        <v>Fully Paid</v>
      </c>
      <c r="BS58" s="6" t="str">
        <f t="shared" si="33"/>
        <v>Closed</v>
      </c>
      <c r="BT58" s="49" t="str">
        <f t="shared" ca="1" si="7"/>
        <v>Closed</v>
      </c>
    </row>
    <row r="59" spans="1:72" hidden="1" x14ac:dyDescent="0.25">
      <c r="A59" s="6" t="s">
        <v>19437</v>
      </c>
      <c r="B59" s="6">
        <v>1597.25</v>
      </c>
      <c r="C59" s="36">
        <v>45887</v>
      </c>
      <c r="D59" s="6" t="s">
        <v>19438</v>
      </c>
      <c r="E59" s="62">
        <v>4000</v>
      </c>
      <c r="F59" s="38" t="s">
        <v>19591</v>
      </c>
      <c r="G59" s="39">
        <f t="shared" si="8"/>
        <v>1</v>
      </c>
      <c r="H59" s="40">
        <f t="shared" si="9"/>
        <v>4000</v>
      </c>
      <c r="I59" s="6" t="s">
        <v>19603</v>
      </c>
      <c r="J59" s="36">
        <v>45892</v>
      </c>
      <c r="K59" s="51">
        <v>4000</v>
      </c>
      <c r="L59" s="46">
        <v>0.74</v>
      </c>
      <c r="M59" s="42">
        <f t="shared" si="11"/>
        <v>2960</v>
      </c>
      <c r="N59" s="42">
        <v>0</v>
      </c>
      <c r="O59" s="42">
        <v>0</v>
      </c>
      <c r="P59" s="42">
        <f t="shared" si="12"/>
        <v>2960</v>
      </c>
      <c r="Q59" s="38" t="s">
        <v>19577</v>
      </c>
      <c r="R59" s="36">
        <v>45897</v>
      </c>
      <c r="S59" s="36" t="s">
        <v>19499</v>
      </c>
      <c r="T59" s="50" t="s">
        <v>8916</v>
      </c>
      <c r="U59" s="6" t="str">
        <f>IFERROR(VLOOKUP(T59,'item master'!B:C,2,0),"")</f>
        <v>CAFEINE B/10AMP</v>
      </c>
      <c r="V59" s="51">
        <v>4000</v>
      </c>
      <c r="W59" s="6">
        <v>0</v>
      </c>
      <c r="X59" s="53">
        <v>0.74</v>
      </c>
      <c r="Y59" s="46">
        <f t="shared" si="38"/>
        <v>2960</v>
      </c>
      <c r="Z59" s="42">
        <v>0</v>
      </c>
      <c r="AA59" s="42">
        <f t="shared" si="13"/>
        <v>2960</v>
      </c>
      <c r="AB59" s="45">
        <v>0.3</v>
      </c>
      <c r="AC59" s="46">
        <f t="shared" si="39"/>
        <v>888</v>
      </c>
      <c r="AD59" s="46">
        <f t="shared" si="40"/>
        <v>888</v>
      </c>
      <c r="AE59" s="36">
        <v>45909</v>
      </c>
      <c r="AF59" s="6" t="s">
        <v>19578</v>
      </c>
      <c r="AG59" s="51">
        <v>4000</v>
      </c>
      <c r="AH59" s="41">
        <f t="shared" si="15"/>
        <v>4000</v>
      </c>
      <c r="AJ59" s="51">
        <f t="shared" si="35"/>
        <v>0</v>
      </c>
      <c r="AK59" s="6" t="s">
        <v>19579</v>
      </c>
      <c r="AL59" s="36">
        <v>46015</v>
      </c>
      <c r="AM59" s="6" t="s">
        <v>19580</v>
      </c>
      <c r="AN59" s="51">
        <f t="shared" si="41"/>
        <v>0.74</v>
      </c>
      <c r="AO59" s="46">
        <f t="shared" si="34"/>
        <v>2960</v>
      </c>
      <c r="AP59" s="46"/>
      <c r="AQ59" s="46"/>
      <c r="AR59" s="46"/>
      <c r="AS59" s="42">
        <f t="shared" si="16"/>
        <v>2960</v>
      </c>
      <c r="AT59" s="38" t="s">
        <v>19581</v>
      </c>
      <c r="AU59" s="36">
        <v>46043</v>
      </c>
      <c r="AV59" s="6" t="s">
        <v>19583</v>
      </c>
      <c r="AW59" s="51">
        <v>4000</v>
      </c>
      <c r="AX59" s="6" t="s">
        <v>19582</v>
      </c>
      <c r="AY59" s="36">
        <v>46091</v>
      </c>
      <c r="AZ59" s="46">
        <v>-888</v>
      </c>
      <c r="BA59" s="46">
        <f t="shared" si="32"/>
        <v>0</v>
      </c>
      <c r="BB59" s="46">
        <v>0</v>
      </c>
      <c r="BC59" s="46">
        <v>0</v>
      </c>
      <c r="BD59" s="46">
        <f t="shared" si="17"/>
        <v>0</v>
      </c>
      <c r="BE59" s="46">
        <f t="shared" si="25"/>
        <v>0</v>
      </c>
      <c r="BF59" s="46">
        <f t="shared" si="25"/>
        <v>0</v>
      </c>
      <c r="BG59" s="47">
        <f t="shared" si="30"/>
        <v>0</v>
      </c>
      <c r="BH59" s="46">
        <f t="shared" si="19"/>
        <v>2960</v>
      </c>
      <c r="BI59" s="46">
        <v>2960</v>
      </c>
      <c r="BJ59" s="54">
        <v>46234</v>
      </c>
      <c r="BO59" s="48">
        <f t="shared" si="20"/>
        <v>2960</v>
      </c>
      <c r="BP59" s="48">
        <f t="shared" si="21"/>
        <v>0</v>
      </c>
      <c r="BQ59" s="6" t="str">
        <f t="shared" si="5"/>
        <v>Fully Paid</v>
      </c>
      <c r="BS59" s="6" t="str">
        <f t="shared" si="33"/>
        <v>Closed</v>
      </c>
      <c r="BT59" s="49" t="str">
        <f t="shared" ca="1" si="7"/>
        <v>Closed</v>
      </c>
    </row>
    <row r="60" spans="1:72" hidden="1" x14ac:dyDescent="0.25">
      <c r="A60" s="6" t="s">
        <v>19437</v>
      </c>
      <c r="B60" s="6">
        <v>1597.25</v>
      </c>
      <c r="C60" s="36">
        <v>45887</v>
      </c>
      <c r="D60" s="6" t="s">
        <v>19438</v>
      </c>
      <c r="E60" s="62">
        <v>12000</v>
      </c>
      <c r="F60" s="38" t="s">
        <v>19556</v>
      </c>
      <c r="G60" s="39">
        <f t="shared" si="8"/>
        <v>0.96153846153846156</v>
      </c>
      <c r="H60" s="40">
        <f t="shared" si="9"/>
        <v>11538.461538461539</v>
      </c>
      <c r="I60" s="6" t="s">
        <v>19603</v>
      </c>
      <c r="J60" s="36">
        <v>45892</v>
      </c>
      <c r="K60" s="51">
        <v>12000</v>
      </c>
      <c r="L60" s="46">
        <v>0.16</v>
      </c>
      <c r="M60" s="42">
        <f t="shared" si="11"/>
        <v>1920</v>
      </c>
      <c r="N60" s="42">
        <v>0</v>
      </c>
      <c r="O60" s="42">
        <v>0</v>
      </c>
      <c r="P60" s="42">
        <f t="shared" si="12"/>
        <v>1920</v>
      </c>
      <c r="Q60" s="38" t="s">
        <v>19577</v>
      </c>
      <c r="R60" s="36">
        <v>45897</v>
      </c>
      <c r="S60" s="36" t="s">
        <v>19499</v>
      </c>
      <c r="T60" s="50" t="s">
        <v>16341</v>
      </c>
      <c r="U60" s="6" t="str">
        <f>IFERROR(VLOOKUP(T60,'item master'!B:C,2,0),"")</f>
        <v>H-CID 20MG/2ML (FAMOTIDINE ) INJ. B/1 VIAL</v>
      </c>
      <c r="V60" s="51">
        <v>12000</v>
      </c>
      <c r="W60" s="6">
        <v>0</v>
      </c>
      <c r="X60" s="53">
        <v>0.16</v>
      </c>
      <c r="Y60" s="46">
        <f t="shared" si="38"/>
        <v>1920</v>
      </c>
      <c r="Z60" s="42">
        <v>0</v>
      </c>
      <c r="AA60" s="42">
        <f t="shared" si="13"/>
        <v>1920</v>
      </c>
      <c r="AB60" s="45">
        <v>0.3</v>
      </c>
      <c r="AC60" s="46">
        <f t="shared" si="39"/>
        <v>576</v>
      </c>
      <c r="AD60" s="46">
        <f t="shared" si="40"/>
        <v>576</v>
      </c>
      <c r="AE60" s="36">
        <v>45909</v>
      </c>
      <c r="AF60" s="6" t="s">
        <v>19578</v>
      </c>
      <c r="AG60" s="51">
        <v>12480</v>
      </c>
      <c r="AH60" s="41">
        <f t="shared" si="15"/>
        <v>12480</v>
      </c>
      <c r="AJ60" s="51">
        <f t="shared" si="35"/>
        <v>-480</v>
      </c>
      <c r="AK60" s="6" t="s">
        <v>19579</v>
      </c>
      <c r="AL60" s="36">
        <v>46015</v>
      </c>
      <c r="AM60" s="6" t="s">
        <v>19580</v>
      </c>
      <c r="AN60" s="51">
        <f t="shared" si="41"/>
        <v>0.16</v>
      </c>
      <c r="AO60" s="46">
        <f t="shared" si="34"/>
        <v>1996.8</v>
      </c>
      <c r="AP60" s="46"/>
      <c r="AQ60" s="46"/>
      <c r="AR60" s="46"/>
      <c r="AS60" s="42">
        <f t="shared" si="16"/>
        <v>1996.8</v>
      </c>
      <c r="AT60" s="38" t="s">
        <v>19581</v>
      </c>
      <c r="AU60" s="36">
        <v>46043</v>
      </c>
      <c r="AV60" s="6" t="s">
        <v>19583</v>
      </c>
      <c r="AW60" s="51">
        <v>12000</v>
      </c>
      <c r="AX60" s="6" t="s">
        <v>19582</v>
      </c>
      <c r="AY60" s="36">
        <v>46091</v>
      </c>
      <c r="AZ60" s="46">
        <v>-576</v>
      </c>
      <c r="BA60" s="46">
        <f t="shared" si="32"/>
        <v>0</v>
      </c>
      <c r="BB60" s="46">
        <v>0</v>
      </c>
      <c r="BC60" s="46">
        <v>0</v>
      </c>
      <c r="BD60" s="46">
        <f t="shared" si="17"/>
        <v>0</v>
      </c>
      <c r="BE60" s="46">
        <f t="shared" si="25"/>
        <v>0</v>
      </c>
      <c r="BF60" s="46">
        <f t="shared" si="25"/>
        <v>0</v>
      </c>
      <c r="BG60" s="47">
        <f t="shared" si="30"/>
        <v>0</v>
      </c>
      <c r="BH60" s="46">
        <f t="shared" si="19"/>
        <v>1996.8</v>
      </c>
      <c r="BI60" s="46">
        <v>1996.8</v>
      </c>
      <c r="BJ60" s="54">
        <v>46234</v>
      </c>
      <c r="BO60" s="48">
        <f t="shared" si="20"/>
        <v>1996.8</v>
      </c>
      <c r="BP60" s="48">
        <f t="shared" si="21"/>
        <v>0</v>
      </c>
      <c r="BQ60" s="6" t="str">
        <f t="shared" si="5"/>
        <v>Fully Paid</v>
      </c>
      <c r="BS60" s="6" t="str">
        <f t="shared" si="33"/>
        <v>Closed</v>
      </c>
      <c r="BT60" s="49" t="str">
        <f t="shared" ca="1" si="7"/>
        <v>Closed</v>
      </c>
    </row>
    <row r="61" spans="1:72" hidden="1" x14ac:dyDescent="0.25">
      <c r="A61" s="6" t="s">
        <v>19437</v>
      </c>
      <c r="B61" s="6">
        <v>1597.25</v>
      </c>
      <c r="C61" s="36">
        <v>45887</v>
      </c>
      <c r="D61" s="6" t="s">
        <v>19438</v>
      </c>
      <c r="E61" s="62">
        <v>9600</v>
      </c>
      <c r="F61" s="38" t="s">
        <v>19586</v>
      </c>
      <c r="G61" s="39">
        <f t="shared" si="8"/>
        <v>1</v>
      </c>
      <c r="H61" s="40">
        <f t="shared" si="9"/>
        <v>9600</v>
      </c>
      <c r="I61" s="6" t="s">
        <v>19603</v>
      </c>
      <c r="J61" s="36">
        <v>45892</v>
      </c>
      <c r="K61" s="51">
        <v>9600</v>
      </c>
      <c r="L61" s="46">
        <v>0.5</v>
      </c>
      <c r="M61" s="42">
        <f t="shared" si="11"/>
        <v>4800</v>
      </c>
      <c r="N61" s="42">
        <v>0</v>
      </c>
      <c r="O61" s="42">
        <v>0</v>
      </c>
      <c r="P61" s="42">
        <f t="shared" si="12"/>
        <v>4800</v>
      </c>
      <c r="Q61" s="38" t="s">
        <v>19577</v>
      </c>
      <c r="R61" s="36">
        <v>45897</v>
      </c>
      <c r="S61" s="36" t="s">
        <v>19499</v>
      </c>
      <c r="T61" s="50" t="s">
        <v>16172</v>
      </c>
      <c r="U61" s="6" t="str">
        <f>IFERROR(VLOOKUP(T61,'item master'!B:C,2,0),"")</f>
        <v>MOX PLUS VISION (MOX+DEX+HYDRO) COLLYRE 5ML</v>
      </c>
      <c r="V61" s="51">
        <v>9600</v>
      </c>
      <c r="W61" s="6">
        <v>0</v>
      </c>
      <c r="X61" s="53">
        <v>0.5</v>
      </c>
      <c r="Y61" s="46">
        <f t="shared" si="38"/>
        <v>4800</v>
      </c>
      <c r="Z61" s="42">
        <v>0</v>
      </c>
      <c r="AA61" s="42">
        <f t="shared" si="13"/>
        <v>4800</v>
      </c>
      <c r="AB61" s="45">
        <v>0.3</v>
      </c>
      <c r="AC61" s="46">
        <f t="shared" si="39"/>
        <v>1440</v>
      </c>
      <c r="AD61" s="46">
        <f t="shared" si="40"/>
        <v>1440</v>
      </c>
      <c r="AE61" s="36">
        <v>45909</v>
      </c>
      <c r="AF61" s="6" t="s">
        <v>19578</v>
      </c>
      <c r="AG61" s="51">
        <v>10420</v>
      </c>
      <c r="AH61" s="41">
        <f t="shared" si="15"/>
        <v>10420</v>
      </c>
      <c r="AJ61" s="51">
        <f t="shared" si="35"/>
        <v>-820</v>
      </c>
      <c r="AK61" s="6" t="s">
        <v>19579</v>
      </c>
      <c r="AL61" s="36">
        <v>46015</v>
      </c>
      <c r="AM61" s="6" t="s">
        <v>19580</v>
      </c>
      <c r="AN61" s="51">
        <f t="shared" si="41"/>
        <v>0.5</v>
      </c>
      <c r="AO61" s="46">
        <f t="shared" si="34"/>
        <v>5210</v>
      </c>
      <c r="AP61" s="46"/>
      <c r="AQ61" s="46"/>
      <c r="AR61" s="46"/>
      <c r="AS61" s="42">
        <f t="shared" si="16"/>
        <v>5210</v>
      </c>
      <c r="AT61" s="38" t="s">
        <v>19581</v>
      </c>
      <c r="AU61" s="36">
        <v>46043</v>
      </c>
      <c r="AV61" s="6" t="s">
        <v>19583</v>
      </c>
      <c r="AW61" s="51">
        <v>10420</v>
      </c>
      <c r="AX61" s="6" t="s">
        <v>19582</v>
      </c>
      <c r="AY61" s="36">
        <v>46091</v>
      </c>
      <c r="AZ61" s="46">
        <v>-1440</v>
      </c>
      <c r="BA61" s="46">
        <f t="shared" si="32"/>
        <v>0</v>
      </c>
      <c r="BB61" s="46">
        <v>0</v>
      </c>
      <c r="BC61" s="46">
        <v>0</v>
      </c>
      <c r="BD61" s="46">
        <f t="shared" si="17"/>
        <v>0</v>
      </c>
      <c r="BE61" s="46">
        <f t="shared" si="25"/>
        <v>0</v>
      </c>
      <c r="BF61" s="46">
        <f t="shared" si="25"/>
        <v>0</v>
      </c>
      <c r="BG61" s="47">
        <f t="shared" si="30"/>
        <v>0</v>
      </c>
      <c r="BH61" s="46">
        <f t="shared" si="19"/>
        <v>5210</v>
      </c>
      <c r="BI61" s="46">
        <v>5210</v>
      </c>
      <c r="BJ61" s="54">
        <v>46234</v>
      </c>
      <c r="BO61" s="48">
        <f t="shared" si="20"/>
        <v>5210</v>
      </c>
      <c r="BP61" s="48">
        <f t="shared" si="21"/>
        <v>0</v>
      </c>
      <c r="BQ61" s="6" t="str">
        <f t="shared" si="5"/>
        <v>Fully Paid</v>
      </c>
      <c r="BS61" s="6" t="str">
        <f t="shared" si="33"/>
        <v>Closed</v>
      </c>
      <c r="BT61" s="49" t="str">
        <f t="shared" ca="1" si="7"/>
        <v>Closed</v>
      </c>
    </row>
    <row r="62" spans="1:72" hidden="1" x14ac:dyDescent="0.25">
      <c r="A62" s="6" t="s">
        <v>19437</v>
      </c>
      <c r="B62" s="6">
        <v>1597.25</v>
      </c>
      <c r="C62" s="36">
        <v>45887</v>
      </c>
      <c r="D62" s="6" t="s">
        <v>19438</v>
      </c>
      <c r="E62" s="62">
        <v>20000</v>
      </c>
      <c r="F62" s="38" t="s">
        <v>19556</v>
      </c>
      <c r="G62" s="39">
        <f t="shared" si="8"/>
        <v>1</v>
      </c>
      <c r="H62" s="40">
        <f t="shared" si="9"/>
        <v>20000</v>
      </c>
      <c r="I62" s="6" t="s">
        <v>19603</v>
      </c>
      <c r="J62" s="36">
        <v>45892</v>
      </c>
      <c r="K62" s="51">
        <v>20000</v>
      </c>
      <c r="L62" s="46">
        <v>0.95</v>
      </c>
      <c r="M62" s="42">
        <f t="shared" si="11"/>
        <v>19000</v>
      </c>
      <c r="N62" s="42">
        <v>0</v>
      </c>
      <c r="O62" s="42">
        <v>0</v>
      </c>
      <c r="P62" s="42">
        <f t="shared" si="12"/>
        <v>19000</v>
      </c>
      <c r="Q62" s="38" t="s">
        <v>19577</v>
      </c>
      <c r="R62" s="36">
        <v>45897</v>
      </c>
      <c r="S62" s="36" t="s">
        <v>19499</v>
      </c>
      <c r="T62" s="50" t="s">
        <v>16164</v>
      </c>
      <c r="U62" s="6" t="str">
        <f>IFERROR(VLOOKUP(T62,'item master'!B:C,2,0),"")</f>
        <v>TROBINIQUE-2G(SPECTINOMYCIN) B/1VIAL+3.2MLE.D</v>
      </c>
      <c r="V62" s="51">
        <v>20000</v>
      </c>
      <c r="W62" s="6">
        <v>0</v>
      </c>
      <c r="X62" s="53">
        <v>0.95</v>
      </c>
      <c r="Y62" s="46">
        <f t="shared" si="38"/>
        <v>19000</v>
      </c>
      <c r="Z62" s="42">
        <v>0</v>
      </c>
      <c r="AA62" s="42">
        <f t="shared" si="13"/>
        <v>19000</v>
      </c>
      <c r="AB62" s="45">
        <v>0.3</v>
      </c>
      <c r="AC62" s="46">
        <f t="shared" si="39"/>
        <v>5700</v>
      </c>
      <c r="AD62" s="46">
        <f t="shared" si="40"/>
        <v>5700</v>
      </c>
      <c r="AE62" s="36">
        <v>45909</v>
      </c>
      <c r="AF62" s="6" t="s">
        <v>19578</v>
      </c>
      <c r="AG62" s="51">
        <v>19500</v>
      </c>
      <c r="AH62" s="41">
        <f t="shared" si="15"/>
        <v>19500</v>
      </c>
      <c r="AJ62" s="51">
        <f t="shared" si="35"/>
        <v>500</v>
      </c>
      <c r="AK62" s="6" t="s">
        <v>19579</v>
      </c>
      <c r="AL62" s="36">
        <v>46015</v>
      </c>
      <c r="AM62" s="6" t="s">
        <v>19580</v>
      </c>
      <c r="AN62" s="51">
        <f t="shared" si="41"/>
        <v>0.95</v>
      </c>
      <c r="AO62" s="46">
        <f t="shared" si="34"/>
        <v>18525</v>
      </c>
      <c r="AP62" s="46"/>
      <c r="AQ62" s="46"/>
      <c r="AR62" s="46"/>
      <c r="AS62" s="42">
        <f t="shared" si="16"/>
        <v>18525</v>
      </c>
      <c r="AT62" s="38" t="s">
        <v>19581</v>
      </c>
      <c r="AU62" s="36">
        <v>46043</v>
      </c>
      <c r="AV62" s="6" t="s">
        <v>19583</v>
      </c>
      <c r="AW62" s="51">
        <v>19500</v>
      </c>
      <c r="AX62" s="6" t="s">
        <v>19582</v>
      </c>
      <c r="AY62" s="36">
        <v>46091</v>
      </c>
      <c r="AZ62" s="46">
        <v>-5700</v>
      </c>
      <c r="BA62" s="46">
        <f t="shared" si="32"/>
        <v>0</v>
      </c>
      <c r="BB62" s="46">
        <v>0</v>
      </c>
      <c r="BC62" s="46">
        <v>0</v>
      </c>
      <c r="BD62" s="46">
        <f t="shared" si="17"/>
        <v>0</v>
      </c>
      <c r="BE62" s="46">
        <f t="shared" si="25"/>
        <v>0</v>
      </c>
      <c r="BF62" s="46">
        <f t="shared" si="25"/>
        <v>0</v>
      </c>
      <c r="BG62" s="47">
        <f t="shared" si="30"/>
        <v>0</v>
      </c>
      <c r="BH62" s="46">
        <f t="shared" si="19"/>
        <v>18525</v>
      </c>
      <c r="BI62" s="46">
        <v>18525</v>
      </c>
      <c r="BJ62" s="54">
        <v>46234</v>
      </c>
      <c r="BO62" s="48">
        <f t="shared" si="20"/>
        <v>18525</v>
      </c>
      <c r="BP62" s="48">
        <f t="shared" si="21"/>
        <v>0</v>
      </c>
      <c r="BQ62" s="6" t="str">
        <f t="shared" si="5"/>
        <v>Fully Paid</v>
      </c>
      <c r="BS62" s="6" t="str">
        <f t="shared" si="33"/>
        <v>Closed</v>
      </c>
      <c r="BT62" s="49" t="str">
        <f t="shared" ca="1" si="7"/>
        <v>Closed</v>
      </c>
    </row>
    <row r="63" spans="1:72" hidden="1" x14ac:dyDescent="0.25">
      <c r="A63" s="6" t="s">
        <v>19437</v>
      </c>
      <c r="B63" s="6">
        <v>1597.25</v>
      </c>
      <c r="C63" s="36">
        <v>45887</v>
      </c>
      <c r="D63" s="6" t="s">
        <v>19438</v>
      </c>
      <c r="E63" s="62">
        <v>5000</v>
      </c>
      <c r="F63" s="38" t="s">
        <v>19587</v>
      </c>
      <c r="G63" s="39">
        <f t="shared" si="8"/>
        <v>1</v>
      </c>
      <c r="H63" s="40">
        <f t="shared" si="9"/>
        <v>5000</v>
      </c>
      <c r="I63" s="6" t="s">
        <v>19603</v>
      </c>
      <c r="J63" s="36">
        <v>45892</v>
      </c>
      <c r="K63" s="51">
        <v>5000</v>
      </c>
      <c r="L63" s="46">
        <v>0.42</v>
      </c>
      <c r="M63" s="42">
        <f t="shared" si="11"/>
        <v>2100</v>
      </c>
      <c r="N63" s="42">
        <v>0</v>
      </c>
      <c r="O63" s="42">
        <v>0</v>
      </c>
      <c r="P63" s="42">
        <f t="shared" si="12"/>
        <v>2100</v>
      </c>
      <c r="Q63" s="38" t="s">
        <v>19577</v>
      </c>
      <c r="R63" s="36">
        <v>45897</v>
      </c>
      <c r="S63" s="36" t="s">
        <v>19499</v>
      </c>
      <c r="T63" s="50" t="s">
        <v>16357</v>
      </c>
      <c r="U63" s="6" t="str">
        <f>IFERROR(VLOOKUP(T63,'item master'!B:C,2,0),"")</f>
        <v>SOLU-PREDNOL 40MG (METHYLPREDNISOLONE) INJ.B/1 VIAL+SOLVENT 2ML</v>
      </c>
      <c r="V63" s="51">
        <v>5000</v>
      </c>
      <c r="W63" s="6">
        <v>0</v>
      </c>
      <c r="X63" s="53">
        <v>0.42</v>
      </c>
      <c r="Y63" s="46">
        <f t="shared" si="38"/>
        <v>2100</v>
      </c>
      <c r="Z63" s="42">
        <v>0</v>
      </c>
      <c r="AA63" s="42">
        <f t="shared" si="13"/>
        <v>2100</v>
      </c>
      <c r="AB63" s="45">
        <v>0.3</v>
      </c>
      <c r="AC63" s="46">
        <f t="shared" si="39"/>
        <v>630</v>
      </c>
      <c r="AD63" s="46">
        <f t="shared" si="40"/>
        <v>630</v>
      </c>
      <c r="AE63" s="36">
        <v>45909</v>
      </c>
      <c r="AF63" s="6" t="s">
        <v>19578</v>
      </c>
      <c r="AG63" s="51">
        <v>4940</v>
      </c>
      <c r="AH63" s="41">
        <f t="shared" si="15"/>
        <v>4940</v>
      </c>
      <c r="AJ63" s="51">
        <f t="shared" si="35"/>
        <v>60</v>
      </c>
      <c r="AK63" s="6" t="s">
        <v>19579</v>
      </c>
      <c r="AL63" s="36">
        <v>46015</v>
      </c>
      <c r="AM63" s="6" t="s">
        <v>19580</v>
      </c>
      <c r="AN63" s="51">
        <f t="shared" si="41"/>
        <v>0.42</v>
      </c>
      <c r="AO63" s="46">
        <f t="shared" si="34"/>
        <v>2074.7999999999997</v>
      </c>
      <c r="AP63" s="46"/>
      <c r="AQ63" s="46"/>
      <c r="AR63" s="46"/>
      <c r="AS63" s="42">
        <f t="shared" si="16"/>
        <v>2074.7999999999997</v>
      </c>
      <c r="AT63" s="38" t="s">
        <v>19581</v>
      </c>
      <c r="AU63" s="36">
        <v>46043</v>
      </c>
      <c r="AV63" s="6" t="s">
        <v>19583</v>
      </c>
      <c r="AW63" s="51">
        <v>4940</v>
      </c>
      <c r="AX63" s="6" t="s">
        <v>19582</v>
      </c>
      <c r="AY63" s="36">
        <v>46091</v>
      </c>
      <c r="AZ63" s="46">
        <v>-630</v>
      </c>
      <c r="BA63" s="46">
        <f t="shared" si="32"/>
        <v>0</v>
      </c>
      <c r="BB63" s="46">
        <v>0</v>
      </c>
      <c r="BC63" s="46">
        <v>0</v>
      </c>
      <c r="BD63" s="46">
        <f t="shared" si="17"/>
        <v>0</v>
      </c>
      <c r="BE63" s="46">
        <f t="shared" si="25"/>
        <v>0</v>
      </c>
      <c r="BF63" s="46">
        <f t="shared" si="25"/>
        <v>0</v>
      </c>
      <c r="BG63" s="47">
        <f t="shared" si="30"/>
        <v>0</v>
      </c>
      <c r="BH63" s="46">
        <f t="shared" si="19"/>
        <v>2074.7999999999997</v>
      </c>
      <c r="BI63" s="46">
        <v>2074.8000000000002</v>
      </c>
      <c r="BJ63" s="54">
        <v>46234</v>
      </c>
      <c r="BO63" s="48">
        <f t="shared" si="20"/>
        <v>2074.8000000000002</v>
      </c>
      <c r="BP63" s="48">
        <f t="shared" si="21"/>
        <v>0</v>
      </c>
      <c r="BQ63" s="6" t="str">
        <f t="shared" si="5"/>
        <v>Fully Paid</v>
      </c>
      <c r="BS63" s="6" t="str">
        <f t="shared" si="33"/>
        <v>Closed</v>
      </c>
      <c r="BT63" s="49" t="str">
        <f t="shared" ca="1" si="7"/>
        <v>Closed</v>
      </c>
    </row>
    <row r="64" spans="1:72" hidden="1" x14ac:dyDescent="0.25">
      <c r="A64" s="6" t="s">
        <v>19437</v>
      </c>
      <c r="B64" s="6">
        <v>1597.25</v>
      </c>
      <c r="C64" s="36">
        <v>45887</v>
      </c>
      <c r="D64" s="6" t="s">
        <v>19438</v>
      </c>
      <c r="E64" s="62">
        <v>5000</v>
      </c>
      <c r="F64" s="38" t="s">
        <v>19587</v>
      </c>
      <c r="G64" s="39">
        <f t="shared" si="8"/>
        <v>1</v>
      </c>
      <c r="H64" s="40">
        <f t="shared" si="9"/>
        <v>5000</v>
      </c>
      <c r="I64" s="6" t="s">
        <v>19603</v>
      </c>
      <c r="J64" s="36">
        <v>45892</v>
      </c>
      <c r="K64" s="51">
        <v>5000</v>
      </c>
      <c r="L64" s="46">
        <v>0.83</v>
      </c>
      <c r="M64" s="42">
        <f t="shared" si="11"/>
        <v>4150</v>
      </c>
      <c r="N64" s="42">
        <v>0</v>
      </c>
      <c r="O64" s="42">
        <v>0</v>
      </c>
      <c r="P64" s="42">
        <f t="shared" si="12"/>
        <v>4150</v>
      </c>
      <c r="Q64" s="38" t="s">
        <v>19577</v>
      </c>
      <c r="R64" s="36">
        <v>45897</v>
      </c>
      <c r="S64" s="36" t="s">
        <v>19499</v>
      </c>
      <c r="T64" s="50" t="s">
        <v>16355</v>
      </c>
      <c r="U64" s="6" t="str">
        <f>IFERROR(VLOOKUP(T64,'item master'!B:C,2,0),"")</f>
        <v>SOLU-PREDNOL 125MG (MÉTHYLPREDNISOLONE) INJ.B/1 VIAL + SOLVENT 2ML</v>
      </c>
      <c r="V64" s="51">
        <v>5000</v>
      </c>
      <c r="W64" s="6">
        <v>0</v>
      </c>
      <c r="X64" s="53">
        <v>0.83</v>
      </c>
      <c r="Y64" s="46">
        <f t="shared" si="38"/>
        <v>4150</v>
      </c>
      <c r="Z64" s="42">
        <v>0</v>
      </c>
      <c r="AA64" s="42">
        <f t="shared" si="13"/>
        <v>4150</v>
      </c>
      <c r="AB64" s="45">
        <v>0.3</v>
      </c>
      <c r="AC64" s="46">
        <f t="shared" si="39"/>
        <v>1245</v>
      </c>
      <c r="AD64" s="46">
        <f t="shared" si="40"/>
        <v>1245</v>
      </c>
      <c r="AE64" s="36">
        <v>45909</v>
      </c>
      <c r="AF64" s="6" t="s">
        <v>19578</v>
      </c>
      <c r="AG64" s="51">
        <v>5080</v>
      </c>
      <c r="AH64" s="41">
        <f t="shared" si="15"/>
        <v>5080</v>
      </c>
      <c r="AJ64" s="51">
        <f t="shared" si="35"/>
        <v>-80</v>
      </c>
      <c r="AK64" s="6" t="s">
        <v>19579</v>
      </c>
      <c r="AL64" s="36">
        <v>46015</v>
      </c>
      <c r="AM64" s="6" t="s">
        <v>19580</v>
      </c>
      <c r="AN64" s="51">
        <f t="shared" si="41"/>
        <v>0.83</v>
      </c>
      <c r="AO64" s="46">
        <f t="shared" si="34"/>
        <v>4216.3999999999996</v>
      </c>
      <c r="AP64" s="46"/>
      <c r="AQ64" s="46"/>
      <c r="AR64" s="46"/>
      <c r="AS64" s="42">
        <f t="shared" si="16"/>
        <v>4216.3999999999996</v>
      </c>
      <c r="AT64" s="38" t="s">
        <v>19581</v>
      </c>
      <c r="AU64" s="36">
        <v>46043</v>
      </c>
      <c r="AV64" s="6" t="s">
        <v>19583</v>
      </c>
      <c r="AW64" s="51">
        <v>5080</v>
      </c>
      <c r="AX64" s="6" t="s">
        <v>19582</v>
      </c>
      <c r="AY64" s="36">
        <v>46091</v>
      </c>
      <c r="AZ64" s="46">
        <v>-1245</v>
      </c>
      <c r="BA64" s="46">
        <f t="shared" si="32"/>
        <v>0</v>
      </c>
      <c r="BB64" s="46">
        <v>0</v>
      </c>
      <c r="BC64" s="46">
        <v>20</v>
      </c>
      <c r="BD64" s="46">
        <f t="shared" si="17"/>
        <v>20</v>
      </c>
      <c r="BE64" s="46">
        <f t="shared" si="25"/>
        <v>-20</v>
      </c>
      <c r="BF64" s="46">
        <v>-20</v>
      </c>
      <c r="BG64" s="47">
        <f t="shared" si="30"/>
        <v>0</v>
      </c>
      <c r="BH64" s="46">
        <f t="shared" si="19"/>
        <v>4196.3999999999996</v>
      </c>
      <c r="BI64" s="46">
        <v>4196.3999999999996</v>
      </c>
      <c r="BJ64" s="54">
        <v>46234</v>
      </c>
      <c r="BO64" s="48">
        <f t="shared" si="20"/>
        <v>4196.3999999999996</v>
      </c>
      <c r="BP64" s="48">
        <f t="shared" si="21"/>
        <v>0</v>
      </c>
      <c r="BQ64" s="6" t="str">
        <f t="shared" si="5"/>
        <v>Fully Paid</v>
      </c>
      <c r="BS64" s="6" t="str">
        <f t="shared" si="33"/>
        <v>Closed</v>
      </c>
      <c r="BT64" s="49" t="str">
        <f t="shared" ca="1" si="7"/>
        <v>Closed</v>
      </c>
    </row>
    <row r="65" spans="1:72" hidden="1" x14ac:dyDescent="0.25">
      <c r="A65" s="6" t="s">
        <v>19437</v>
      </c>
      <c r="B65" s="6">
        <v>1597.25</v>
      </c>
      <c r="C65" s="36">
        <v>45887</v>
      </c>
      <c r="D65" s="6" t="s">
        <v>19438</v>
      </c>
      <c r="E65" s="62">
        <v>3000</v>
      </c>
      <c r="F65" s="38" t="s">
        <v>19590</v>
      </c>
      <c r="G65" s="39">
        <f t="shared" si="8"/>
        <v>1</v>
      </c>
      <c r="H65" s="40">
        <f t="shared" si="9"/>
        <v>3000</v>
      </c>
      <c r="I65" s="6" t="s">
        <v>19603</v>
      </c>
      <c r="J65" s="36">
        <v>45892</v>
      </c>
      <c r="K65" s="51">
        <v>10000</v>
      </c>
      <c r="L65" s="46">
        <v>0.75</v>
      </c>
      <c r="M65" s="42">
        <f t="shared" si="11"/>
        <v>7500</v>
      </c>
      <c r="N65" s="42">
        <v>0</v>
      </c>
      <c r="O65" s="42">
        <v>0</v>
      </c>
      <c r="P65" s="42">
        <f t="shared" si="12"/>
        <v>7500</v>
      </c>
      <c r="Q65" s="38" t="s">
        <v>19577</v>
      </c>
      <c r="R65" s="36">
        <v>45897</v>
      </c>
      <c r="S65" s="36" t="s">
        <v>19499</v>
      </c>
      <c r="T65" s="50" t="s">
        <v>16347</v>
      </c>
      <c r="U65" s="6" t="str">
        <f>IFERROR(VLOOKUP(T65,'item master'!B:C,2,0),"")</f>
        <v>HALDOQUE DECONOAS 50MG/ML (HALOPÉRIDOL) INJ.B/5 AMP</v>
      </c>
      <c r="V65" s="51">
        <v>10000</v>
      </c>
      <c r="W65" s="6">
        <v>0</v>
      </c>
      <c r="X65" s="53">
        <v>0.75</v>
      </c>
      <c r="Y65" s="46">
        <f t="shared" si="38"/>
        <v>7500</v>
      </c>
      <c r="Z65" s="42">
        <v>0</v>
      </c>
      <c r="AA65" s="42">
        <f t="shared" si="13"/>
        <v>7500</v>
      </c>
      <c r="AB65" s="45">
        <v>0.3</v>
      </c>
      <c r="AC65" s="46">
        <f t="shared" si="39"/>
        <v>2250</v>
      </c>
      <c r="AD65" s="46">
        <f t="shared" si="40"/>
        <v>2250</v>
      </c>
      <c r="AE65" s="36">
        <v>45909</v>
      </c>
      <c r="AF65" s="6" t="s">
        <v>19578</v>
      </c>
      <c r="AG65" s="51">
        <v>10140</v>
      </c>
      <c r="AH65" s="41">
        <f t="shared" si="15"/>
        <v>10140</v>
      </c>
      <c r="AJ65" s="51">
        <f t="shared" si="35"/>
        <v>-140</v>
      </c>
      <c r="AK65" s="6" t="s">
        <v>19662</v>
      </c>
      <c r="AL65" s="36">
        <v>46024</v>
      </c>
      <c r="AM65" s="6" t="s">
        <v>19580</v>
      </c>
      <c r="AN65" s="51">
        <v>0.75</v>
      </c>
      <c r="AO65" s="46">
        <f t="shared" si="34"/>
        <v>7605</v>
      </c>
      <c r="AP65" s="46"/>
      <c r="AQ65" s="46"/>
      <c r="AR65" s="46"/>
      <c r="AS65" s="42">
        <f t="shared" si="16"/>
        <v>7605</v>
      </c>
      <c r="AT65" s="38">
        <v>266199219</v>
      </c>
      <c r="AU65" s="36">
        <v>46091</v>
      </c>
      <c r="AV65" s="6" t="s">
        <v>19583</v>
      </c>
      <c r="AW65" s="51">
        <v>10140</v>
      </c>
      <c r="AX65" s="64" t="s">
        <v>19675</v>
      </c>
      <c r="AZ65" s="46">
        <v>-2250</v>
      </c>
      <c r="BA65" s="46">
        <f t="shared" si="32"/>
        <v>0</v>
      </c>
      <c r="BB65" s="46">
        <v>0</v>
      </c>
      <c r="BC65" s="46">
        <v>0</v>
      </c>
      <c r="BD65" s="46">
        <f t="shared" si="17"/>
        <v>0</v>
      </c>
      <c r="BE65" s="46">
        <f t="shared" si="25"/>
        <v>0</v>
      </c>
      <c r="BF65" s="46">
        <f t="shared" si="25"/>
        <v>0</v>
      </c>
      <c r="BG65" s="47">
        <f t="shared" si="30"/>
        <v>0</v>
      </c>
      <c r="BH65" s="46">
        <f t="shared" si="19"/>
        <v>7605</v>
      </c>
      <c r="BI65" s="46">
        <v>7605</v>
      </c>
      <c r="BJ65" s="54">
        <v>46234</v>
      </c>
      <c r="BO65" s="48">
        <f t="shared" si="20"/>
        <v>7605</v>
      </c>
      <c r="BP65" s="48">
        <f t="shared" si="21"/>
        <v>0</v>
      </c>
      <c r="BQ65" s="6" t="str">
        <f t="shared" si="5"/>
        <v>Fully Paid</v>
      </c>
      <c r="BS65" s="6" t="str">
        <f t="shared" si="33"/>
        <v>Closed</v>
      </c>
      <c r="BT65" s="49" t="str">
        <f t="shared" ca="1" si="7"/>
        <v>Closed</v>
      </c>
    </row>
    <row r="66" spans="1:72" hidden="1" x14ac:dyDescent="0.25">
      <c r="A66" s="6" t="s">
        <v>19437</v>
      </c>
      <c r="B66" s="6">
        <v>1597.25</v>
      </c>
      <c r="C66" s="36">
        <v>45887</v>
      </c>
      <c r="D66" s="6" t="s">
        <v>19438</v>
      </c>
      <c r="E66" s="62">
        <v>10000</v>
      </c>
      <c r="F66" s="38" t="s">
        <v>19590</v>
      </c>
      <c r="G66" s="39">
        <f t="shared" si="8"/>
        <v>1</v>
      </c>
      <c r="H66" s="40">
        <f t="shared" si="9"/>
        <v>10000</v>
      </c>
      <c r="I66" s="6" t="s">
        <v>19603</v>
      </c>
      <c r="J66" s="36">
        <v>45892</v>
      </c>
      <c r="K66" s="51">
        <v>3000</v>
      </c>
      <c r="L66" s="46">
        <v>0.89</v>
      </c>
      <c r="M66" s="42">
        <f t="shared" si="11"/>
        <v>2670</v>
      </c>
      <c r="N66" s="42">
        <v>0</v>
      </c>
      <c r="O66" s="42">
        <v>0</v>
      </c>
      <c r="P66" s="42">
        <f t="shared" si="12"/>
        <v>2670</v>
      </c>
      <c r="Q66" s="38" t="s">
        <v>19577</v>
      </c>
      <c r="R66" s="36">
        <v>45897</v>
      </c>
      <c r="S66" s="36" t="s">
        <v>19499</v>
      </c>
      <c r="T66" s="50" t="s">
        <v>16349</v>
      </c>
      <c r="U66" s="6" t="str">
        <f>IFERROR(VLOOKUP(T66,'item master'!B:C,2,0),"")</f>
        <v>HALDOQUE 5MG/ML (HALOPÉRIDOLUM) INJ. B/5 AMP</v>
      </c>
      <c r="V66" s="51">
        <v>3000</v>
      </c>
      <c r="W66" s="6">
        <v>0</v>
      </c>
      <c r="X66" s="53">
        <v>0.89</v>
      </c>
      <c r="Y66" s="46">
        <f t="shared" si="38"/>
        <v>2670</v>
      </c>
      <c r="Z66" s="42">
        <v>0</v>
      </c>
      <c r="AA66" s="42">
        <f t="shared" si="13"/>
        <v>2670</v>
      </c>
      <c r="AB66" s="45">
        <v>0.3</v>
      </c>
      <c r="AC66" s="46">
        <f t="shared" si="39"/>
        <v>801</v>
      </c>
      <c r="AD66" s="46">
        <f t="shared" si="40"/>
        <v>801</v>
      </c>
      <c r="AE66" s="36">
        <v>45909</v>
      </c>
      <c r="AF66" s="6" t="s">
        <v>19578</v>
      </c>
      <c r="AG66" s="51">
        <v>2400</v>
      </c>
      <c r="AH66" s="41">
        <f t="shared" si="15"/>
        <v>2400</v>
      </c>
      <c r="AJ66" s="51">
        <f t="shared" si="35"/>
        <v>600</v>
      </c>
      <c r="AK66" s="6" t="s">
        <v>19665</v>
      </c>
      <c r="AL66" s="36">
        <v>46067</v>
      </c>
      <c r="AM66" s="6" t="s">
        <v>19580</v>
      </c>
      <c r="AN66" s="51">
        <v>0.89</v>
      </c>
      <c r="AO66" s="46">
        <f t="shared" si="34"/>
        <v>2136</v>
      </c>
      <c r="AP66" s="46"/>
      <c r="AQ66" s="46"/>
      <c r="AR66" s="46"/>
      <c r="AS66" s="42">
        <f t="shared" si="16"/>
        <v>2136</v>
      </c>
      <c r="AT66" s="38">
        <v>267565869</v>
      </c>
      <c r="AU66" s="36">
        <v>46108</v>
      </c>
      <c r="AV66" s="6" t="s">
        <v>19583</v>
      </c>
      <c r="AW66" s="51">
        <v>2400</v>
      </c>
      <c r="AX66" s="64" t="s">
        <v>19602</v>
      </c>
      <c r="AZ66" s="46">
        <v>-801</v>
      </c>
      <c r="BA66" s="46">
        <f t="shared" ref="BA66:BA97" si="42">AD66+AZ66</f>
        <v>0</v>
      </c>
      <c r="BB66" s="46">
        <v>0</v>
      </c>
      <c r="BC66" s="46">
        <v>0</v>
      </c>
      <c r="BD66" s="46">
        <f t="shared" si="17"/>
        <v>0</v>
      </c>
      <c r="BE66" s="46">
        <f t="shared" si="25"/>
        <v>0</v>
      </c>
      <c r="BF66" s="46">
        <f t="shared" si="25"/>
        <v>0</v>
      </c>
      <c r="BG66" s="47">
        <f t="shared" si="30"/>
        <v>0</v>
      </c>
      <c r="BH66" s="46">
        <f t="shared" si="19"/>
        <v>2136</v>
      </c>
      <c r="BI66" s="46">
        <v>2136</v>
      </c>
      <c r="BJ66" s="54">
        <v>46234</v>
      </c>
      <c r="BO66" s="48">
        <f t="shared" si="20"/>
        <v>2136</v>
      </c>
      <c r="BP66" s="48">
        <f t="shared" si="21"/>
        <v>0</v>
      </c>
      <c r="BQ66" s="6" t="str">
        <f t="shared" ref="BQ66:BQ129" si="43">IF(ROUND(BG66,2)&gt;0,"Advance With Supplier",IF(ROUND(BP66,2)&gt;0,"Payable Balance Supplier","Fully Paid"))</f>
        <v>Fully Paid</v>
      </c>
      <c r="BS66" s="6" t="str">
        <f t="shared" ref="BS66:BS99" si="44">IF(AX66&lt;&gt;"","Closed","Open")</f>
        <v>Closed</v>
      </c>
      <c r="BT66" s="49" t="str">
        <f t="shared" ref="BT66:BT129" ca="1" si="45">IF(BS66="Open",TODAY()-J66,"Closed")</f>
        <v>Closed</v>
      </c>
    </row>
    <row r="67" spans="1:72" hidden="1" x14ac:dyDescent="0.25">
      <c r="A67" s="6" t="s">
        <v>19437</v>
      </c>
      <c r="B67" s="6">
        <v>1597.25</v>
      </c>
      <c r="C67" s="36">
        <v>45887</v>
      </c>
      <c r="D67" s="6" t="s">
        <v>19438</v>
      </c>
      <c r="E67" s="62">
        <v>50000</v>
      </c>
      <c r="F67" s="38" t="s">
        <v>19556</v>
      </c>
      <c r="G67" s="39">
        <f t="shared" ref="G67:G130" si="46">IF(AG67="","GRN Not Received",AW67/AG67)</f>
        <v>1</v>
      </c>
      <c r="H67" s="40">
        <f t="shared" ref="H67:H130" si="47">IF(E67="PRF_Details_Not Availbale","PRF Qty Not Available",IF(G67="GRN Not Received","GRN Not Received",--E67*--G67))</f>
        <v>50000</v>
      </c>
      <c r="I67" s="6" t="s">
        <v>19603</v>
      </c>
      <c r="J67" s="36">
        <v>45892</v>
      </c>
      <c r="K67" s="51">
        <v>50000</v>
      </c>
      <c r="L67" s="46">
        <v>0.11</v>
      </c>
      <c r="M67" s="42">
        <f t="shared" ref="M67:M130" si="48">K67*L67</f>
        <v>5500</v>
      </c>
      <c r="N67" s="42">
        <v>0</v>
      </c>
      <c r="O67" s="42">
        <v>0</v>
      </c>
      <c r="P67" s="42">
        <f t="shared" ref="P67:P130" si="49">M67+O67</f>
        <v>5500</v>
      </c>
      <c r="Q67" s="38" t="s">
        <v>19577</v>
      </c>
      <c r="R67" s="36">
        <v>45897</v>
      </c>
      <c r="S67" s="36" t="s">
        <v>19499</v>
      </c>
      <c r="T67" s="50" t="s">
        <v>17377</v>
      </c>
      <c r="U67" s="6" t="str">
        <f>IFERROR(VLOOKUP(T67,'item master'!B:C,2,0),"")</f>
        <v>UNIDEX – DEXAMETHASONE + NEOMYCINE GOUTTES OCULAIRES / OTIQUES 10 ML</v>
      </c>
      <c r="V67" s="51">
        <v>50000</v>
      </c>
      <c r="W67" s="6">
        <v>0</v>
      </c>
      <c r="X67" s="53">
        <v>0.11</v>
      </c>
      <c r="Y67" s="46">
        <f t="shared" si="38"/>
        <v>5500</v>
      </c>
      <c r="Z67" s="42">
        <v>0</v>
      </c>
      <c r="AA67" s="42">
        <f t="shared" ref="AA67:AA130" si="50">Y67+Z67</f>
        <v>5500</v>
      </c>
      <c r="AB67" s="45">
        <v>0.3</v>
      </c>
      <c r="AC67" s="46">
        <f t="shared" si="39"/>
        <v>1650</v>
      </c>
      <c r="AD67" s="46">
        <f t="shared" si="40"/>
        <v>1650</v>
      </c>
      <c r="AE67" s="36">
        <v>45909</v>
      </c>
      <c r="AF67" s="6" t="s">
        <v>19578</v>
      </c>
      <c r="AG67" s="51">
        <v>50400</v>
      </c>
      <c r="AH67" s="41">
        <f t="shared" ref="AH67:AH131" si="51">AG67</f>
        <v>50400</v>
      </c>
      <c r="AJ67" s="51">
        <f t="shared" si="35"/>
        <v>-400</v>
      </c>
      <c r="AK67" s="6" t="s">
        <v>19662</v>
      </c>
      <c r="AL67" s="36">
        <v>46024</v>
      </c>
      <c r="AM67" s="6" t="s">
        <v>19580</v>
      </c>
      <c r="AN67" s="51">
        <v>0.11</v>
      </c>
      <c r="AO67" s="46">
        <f t="shared" si="34"/>
        <v>5544</v>
      </c>
      <c r="AP67" s="46"/>
      <c r="AQ67" s="46"/>
      <c r="AR67" s="46"/>
      <c r="AS67" s="42">
        <f t="shared" ref="AS67:AS130" si="52">AO67+AP67+AQ67+AR67</f>
        <v>5544</v>
      </c>
      <c r="AT67" s="38">
        <v>266199219</v>
      </c>
      <c r="AU67" s="36">
        <v>46091</v>
      </c>
      <c r="AV67" s="6" t="s">
        <v>19583</v>
      </c>
      <c r="AW67" s="51">
        <v>50400</v>
      </c>
      <c r="AX67" s="64" t="s">
        <v>19675</v>
      </c>
      <c r="AZ67" s="46">
        <v>-1650</v>
      </c>
      <c r="BA67" s="46">
        <f t="shared" si="42"/>
        <v>0</v>
      </c>
      <c r="BB67" s="46">
        <v>0</v>
      </c>
      <c r="BC67" s="46">
        <v>0</v>
      </c>
      <c r="BD67" s="46">
        <f t="shared" ref="BD67:BD130" si="53">IF(AK67&gt;0,BA67+BB67+BC67,"0")</f>
        <v>0</v>
      </c>
      <c r="BE67" s="46">
        <f t="shared" si="25"/>
        <v>0</v>
      </c>
      <c r="BF67" s="46">
        <f t="shared" si="25"/>
        <v>0</v>
      </c>
      <c r="BG67" s="47">
        <f t="shared" si="30"/>
        <v>0</v>
      </c>
      <c r="BH67" s="46">
        <f t="shared" ref="BH67:BH130" si="54">AS67-BD67</f>
        <v>5544</v>
      </c>
      <c r="BI67" s="46">
        <v>5544</v>
      </c>
      <c r="BJ67" s="54">
        <v>46234</v>
      </c>
      <c r="BO67" s="48">
        <f t="shared" ref="BO67:BO99" si="55">BI67+BL67</f>
        <v>5544</v>
      </c>
      <c r="BP67" s="48">
        <f t="shared" ref="BP67:BP99" si="56">BH67-BO67</f>
        <v>0</v>
      </c>
      <c r="BQ67" s="6" t="str">
        <f t="shared" si="43"/>
        <v>Fully Paid</v>
      </c>
      <c r="BS67" s="6" t="str">
        <f t="shared" si="44"/>
        <v>Closed</v>
      </c>
      <c r="BT67" s="49" t="str">
        <f t="shared" ca="1" si="45"/>
        <v>Closed</v>
      </c>
    </row>
    <row r="68" spans="1:72" hidden="1" x14ac:dyDescent="0.25">
      <c r="A68" s="6" t="s">
        <v>19437</v>
      </c>
      <c r="B68" s="6">
        <v>1597.25</v>
      </c>
      <c r="C68" s="36">
        <v>45887</v>
      </c>
      <c r="D68" s="6" t="s">
        <v>19438</v>
      </c>
      <c r="E68" s="62">
        <v>25000</v>
      </c>
      <c r="F68" s="38" t="s">
        <v>19556</v>
      </c>
      <c r="G68" s="39">
        <f t="shared" si="46"/>
        <v>1</v>
      </c>
      <c r="H68" s="40">
        <f t="shared" si="47"/>
        <v>25000</v>
      </c>
      <c r="I68" s="6" t="s">
        <v>19603</v>
      </c>
      <c r="J68" s="36">
        <v>45892</v>
      </c>
      <c r="K68" s="51">
        <v>25000</v>
      </c>
      <c r="L68" s="46">
        <v>0.22</v>
      </c>
      <c r="M68" s="42">
        <f t="shared" si="48"/>
        <v>5500</v>
      </c>
      <c r="N68" s="42">
        <v>0</v>
      </c>
      <c r="O68" s="42">
        <v>0</v>
      </c>
      <c r="P68" s="42">
        <f t="shared" si="49"/>
        <v>5500</v>
      </c>
      <c r="Q68" s="38" t="s">
        <v>19577</v>
      </c>
      <c r="R68" s="36">
        <v>45897</v>
      </c>
      <c r="S68" s="36" t="s">
        <v>19499</v>
      </c>
      <c r="T68" s="50" t="s">
        <v>16345</v>
      </c>
      <c r="U68" s="6" t="str">
        <f>IFERROR(VLOOKUP(T68,'item master'!B:C,2,0),"")</f>
        <v>VOMITRON 0.075 MG/1.5ML (PALONOSÉTRON) INJ. B/1 VIAL</v>
      </c>
      <c r="V68" s="51">
        <v>25000</v>
      </c>
      <c r="W68" s="6">
        <v>0</v>
      </c>
      <c r="X68" s="53">
        <v>0.22</v>
      </c>
      <c r="Y68" s="46">
        <f t="shared" si="38"/>
        <v>5500</v>
      </c>
      <c r="Z68" s="42">
        <v>0</v>
      </c>
      <c r="AA68" s="42">
        <f t="shared" si="50"/>
        <v>5500</v>
      </c>
      <c r="AB68" s="45">
        <v>0.3</v>
      </c>
      <c r="AC68" s="46">
        <f t="shared" si="39"/>
        <v>1650</v>
      </c>
      <c r="AD68" s="46">
        <f t="shared" si="40"/>
        <v>1650</v>
      </c>
      <c r="AE68" s="36">
        <v>45909</v>
      </c>
      <c r="AF68" s="6" t="s">
        <v>19578</v>
      </c>
      <c r="AG68" s="51">
        <v>25180</v>
      </c>
      <c r="AH68" s="41">
        <f t="shared" si="51"/>
        <v>25180</v>
      </c>
      <c r="AJ68" s="51">
        <f t="shared" si="35"/>
        <v>-180</v>
      </c>
      <c r="AK68" s="6" t="s">
        <v>19658</v>
      </c>
      <c r="AL68" s="36">
        <v>45958</v>
      </c>
      <c r="AM68" s="6" t="s">
        <v>19580</v>
      </c>
      <c r="AN68" s="51">
        <v>0.22</v>
      </c>
      <c r="AO68" s="46">
        <f t="shared" si="34"/>
        <v>5539.6</v>
      </c>
      <c r="AP68" s="46"/>
      <c r="AQ68" s="46"/>
      <c r="AR68" s="46"/>
      <c r="AS68" s="42">
        <f t="shared" si="52"/>
        <v>5539.6</v>
      </c>
      <c r="AT68" s="38" t="s">
        <v>19656</v>
      </c>
      <c r="AU68" s="36">
        <v>45987</v>
      </c>
      <c r="AV68" s="6" t="s">
        <v>19583</v>
      </c>
      <c r="AW68" s="51">
        <v>25180</v>
      </c>
      <c r="AX68" s="6" t="s">
        <v>19657</v>
      </c>
      <c r="AY68" s="36">
        <v>46030</v>
      </c>
      <c r="AZ68" s="46">
        <f>-1800</f>
        <v>-1800</v>
      </c>
      <c r="BA68" s="46">
        <f t="shared" si="42"/>
        <v>-150</v>
      </c>
      <c r="BB68" s="46">
        <v>0</v>
      </c>
      <c r="BC68" s="46">
        <v>0</v>
      </c>
      <c r="BD68" s="46">
        <f t="shared" si="53"/>
        <v>-150</v>
      </c>
      <c r="BE68" s="46">
        <f t="shared" si="25"/>
        <v>0</v>
      </c>
      <c r="BF68" s="46">
        <f t="shared" si="25"/>
        <v>0</v>
      </c>
      <c r="BG68" s="47">
        <f t="shared" ref="BG68:BG99" si="57">BE68-BF68</f>
        <v>0</v>
      </c>
      <c r="BH68" s="46">
        <f t="shared" si="54"/>
        <v>5689.6</v>
      </c>
      <c r="BI68" s="46">
        <f>BH68</f>
        <v>5689.6</v>
      </c>
      <c r="BJ68" s="54">
        <v>45989</v>
      </c>
      <c r="BK68" s="63" t="s">
        <v>19673</v>
      </c>
      <c r="BL68" s="63"/>
      <c r="BM68" s="63"/>
      <c r="BN68" s="63"/>
      <c r="BO68" s="48">
        <f t="shared" si="55"/>
        <v>5689.6</v>
      </c>
      <c r="BP68" s="48">
        <f t="shared" si="56"/>
        <v>0</v>
      </c>
      <c r="BQ68" s="6" t="str">
        <f t="shared" si="43"/>
        <v>Fully Paid</v>
      </c>
      <c r="BS68" s="6" t="str">
        <f t="shared" si="44"/>
        <v>Closed</v>
      </c>
      <c r="BT68" s="49" t="str">
        <f t="shared" ca="1" si="45"/>
        <v>Closed</v>
      </c>
    </row>
    <row r="69" spans="1:72" hidden="1" x14ac:dyDescent="0.25">
      <c r="A69" s="6" t="s">
        <v>19436</v>
      </c>
      <c r="B69" s="6">
        <v>1629.25</v>
      </c>
      <c r="C69" s="36">
        <v>45898</v>
      </c>
      <c r="D69" s="6" t="s">
        <v>19439</v>
      </c>
      <c r="E69" s="62">
        <v>3000</v>
      </c>
      <c r="F69" s="38" t="s">
        <v>19591</v>
      </c>
      <c r="G69" s="39">
        <f t="shared" si="46"/>
        <v>1</v>
      </c>
      <c r="H69" s="40">
        <f t="shared" si="47"/>
        <v>3000</v>
      </c>
      <c r="I69" s="6" t="s">
        <v>19561</v>
      </c>
      <c r="J69" s="36">
        <v>45961</v>
      </c>
      <c r="K69" s="51">
        <v>4000</v>
      </c>
      <c r="L69" s="46">
        <v>0.74</v>
      </c>
      <c r="M69" s="42">
        <f t="shared" si="48"/>
        <v>2960</v>
      </c>
      <c r="N69" s="42">
        <v>0</v>
      </c>
      <c r="O69" s="42">
        <v>0</v>
      </c>
      <c r="P69" s="42">
        <f t="shared" si="49"/>
        <v>2960</v>
      </c>
      <c r="Q69" s="38" t="s">
        <v>19595</v>
      </c>
      <c r="R69" s="36">
        <v>45957</v>
      </c>
      <c r="S69" s="36" t="s">
        <v>19499</v>
      </c>
      <c r="T69" s="50" t="s">
        <v>8916</v>
      </c>
      <c r="U69" s="6" t="str">
        <f>IFERROR(VLOOKUP(T69,'item master'!B:C,2,0),"")</f>
        <v>CAFEINE B/10AMP</v>
      </c>
      <c r="V69" s="51">
        <v>4000</v>
      </c>
      <c r="W69" s="6">
        <v>0</v>
      </c>
      <c r="X69" s="53">
        <v>0.74</v>
      </c>
      <c r="Y69" s="46">
        <f t="shared" si="38"/>
        <v>2960</v>
      </c>
      <c r="Z69" s="42">
        <v>0</v>
      </c>
      <c r="AA69" s="42">
        <f t="shared" si="50"/>
        <v>2960</v>
      </c>
      <c r="AB69" s="45">
        <v>0.3</v>
      </c>
      <c r="AC69" s="46">
        <f t="shared" si="39"/>
        <v>888</v>
      </c>
      <c r="AD69" s="46">
        <f t="shared" si="40"/>
        <v>888</v>
      </c>
      <c r="AE69" s="36">
        <v>45973</v>
      </c>
      <c r="AF69" s="6" t="s">
        <v>19596</v>
      </c>
      <c r="AG69" s="51">
        <v>3720</v>
      </c>
      <c r="AH69" s="41">
        <f t="shared" si="51"/>
        <v>3720</v>
      </c>
      <c r="AJ69" s="51">
        <f t="shared" si="35"/>
        <v>280</v>
      </c>
      <c r="AK69" s="6" t="s">
        <v>19663</v>
      </c>
      <c r="AL69" s="36">
        <v>46029</v>
      </c>
      <c r="AM69" s="6" t="s">
        <v>19566</v>
      </c>
      <c r="AN69" s="51">
        <v>0.74</v>
      </c>
      <c r="AO69" s="46">
        <f t="shared" si="34"/>
        <v>2752.8</v>
      </c>
      <c r="AP69" s="46"/>
      <c r="AQ69" s="46"/>
      <c r="AR69" s="46"/>
      <c r="AS69" s="42">
        <f t="shared" si="52"/>
        <v>2752.8</v>
      </c>
      <c r="AT69" s="38">
        <v>265753941</v>
      </c>
      <c r="AU69" s="36">
        <v>46097</v>
      </c>
      <c r="AV69" s="6" t="s">
        <v>19583</v>
      </c>
      <c r="AW69" s="51">
        <v>3720</v>
      </c>
      <c r="AX69" s="6" t="s">
        <v>19664</v>
      </c>
      <c r="AY69" s="36">
        <v>46185</v>
      </c>
      <c r="AZ69" s="46">
        <v>0</v>
      </c>
      <c r="BA69" s="46">
        <f t="shared" si="42"/>
        <v>888</v>
      </c>
      <c r="BB69" s="46">
        <v>0</v>
      </c>
      <c r="BC69" s="46">
        <v>0</v>
      </c>
      <c r="BD69" s="46">
        <f t="shared" si="53"/>
        <v>888</v>
      </c>
      <c r="BE69" s="46">
        <f t="shared" si="25"/>
        <v>0</v>
      </c>
      <c r="BF69" s="46">
        <f t="shared" si="25"/>
        <v>0</v>
      </c>
      <c r="BG69" s="47">
        <f t="shared" si="57"/>
        <v>0</v>
      </c>
      <c r="BH69" s="46">
        <f t="shared" si="54"/>
        <v>1864.8000000000002</v>
      </c>
      <c r="BI69" s="46">
        <v>1864.8</v>
      </c>
      <c r="BJ69" s="6">
        <v>0</v>
      </c>
      <c r="BL69" s="6">
        <v>0</v>
      </c>
      <c r="BM69" s="6" t="s">
        <v>20098</v>
      </c>
      <c r="BN69" s="36">
        <v>46237</v>
      </c>
      <c r="BO69" s="48">
        <f t="shared" si="55"/>
        <v>1864.8</v>
      </c>
      <c r="BP69" s="48">
        <f t="shared" si="56"/>
        <v>0</v>
      </c>
      <c r="BQ69" s="6" t="str">
        <f t="shared" si="43"/>
        <v>Fully Paid</v>
      </c>
      <c r="BS69" s="6" t="str">
        <f t="shared" si="44"/>
        <v>Closed</v>
      </c>
      <c r="BT69" s="49" t="str">
        <f t="shared" ca="1" si="45"/>
        <v>Closed</v>
      </c>
    </row>
    <row r="70" spans="1:72" hidden="1" x14ac:dyDescent="0.25">
      <c r="A70" s="6" t="s">
        <v>19436</v>
      </c>
      <c r="B70" s="6">
        <v>1629.25</v>
      </c>
      <c r="C70" s="36">
        <v>45898</v>
      </c>
      <c r="D70" s="6" t="s">
        <v>19439</v>
      </c>
      <c r="E70" s="62">
        <v>9000</v>
      </c>
      <c r="F70" s="38" t="s">
        <v>19556</v>
      </c>
      <c r="G70" s="39">
        <f t="shared" si="46"/>
        <v>0.7</v>
      </c>
      <c r="H70" s="40">
        <f t="shared" si="47"/>
        <v>6300</v>
      </c>
      <c r="I70" s="6" t="s">
        <v>19561</v>
      </c>
      <c r="J70" s="36">
        <v>45961</v>
      </c>
      <c r="K70" s="51">
        <v>6000</v>
      </c>
      <c r="L70" s="46">
        <v>0.31</v>
      </c>
      <c r="M70" s="42">
        <f t="shared" si="48"/>
        <v>1860</v>
      </c>
      <c r="N70" s="42">
        <v>0</v>
      </c>
      <c r="O70" s="42">
        <v>0</v>
      </c>
      <c r="P70" s="42">
        <f t="shared" si="49"/>
        <v>1860</v>
      </c>
      <c r="Q70" s="38" t="s">
        <v>19595</v>
      </c>
      <c r="R70" s="36">
        <v>45957</v>
      </c>
      <c r="S70" s="36" t="s">
        <v>19499</v>
      </c>
      <c r="T70" s="60" t="s">
        <v>16178</v>
      </c>
      <c r="U70" s="6" t="str">
        <f>IFERROR(VLOOKUP(T70,'item master'!B:C,2,0),"")</f>
        <v>UNIKORT-40 (TRIAMCINOLONE) B/1 VIAL+SER</v>
      </c>
      <c r="V70" s="51">
        <v>6000</v>
      </c>
      <c r="W70" s="6">
        <v>0</v>
      </c>
      <c r="X70" s="53">
        <v>0.31</v>
      </c>
      <c r="Y70" s="46">
        <f t="shared" si="38"/>
        <v>1860</v>
      </c>
      <c r="Z70" s="42">
        <v>0</v>
      </c>
      <c r="AA70" s="42">
        <f t="shared" si="50"/>
        <v>1860</v>
      </c>
      <c r="AB70" s="45">
        <v>0.3</v>
      </c>
      <c r="AC70" s="46">
        <f t="shared" si="39"/>
        <v>558</v>
      </c>
      <c r="AD70" s="46">
        <f t="shared" si="40"/>
        <v>558</v>
      </c>
      <c r="AE70" s="36">
        <v>45973</v>
      </c>
      <c r="AF70" s="6" t="s">
        <v>19596</v>
      </c>
      <c r="AG70" s="51">
        <v>6000</v>
      </c>
      <c r="AH70" s="41">
        <f t="shared" si="51"/>
        <v>6000</v>
      </c>
      <c r="AJ70" s="51">
        <f t="shared" si="35"/>
        <v>0</v>
      </c>
      <c r="AK70" s="6" t="s">
        <v>19597</v>
      </c>
      <c r="AL70" s="36">
        <v>46064</v>
      </c>
      <c r="AM70" s="6" t="s">
        <v>19566</v>
      </c>
      <c r="AN70" s="51">
        <v>0.31</v>
      </c>
      <c r="AO70" s="46">
        <f t="shared" si="34"/>
        <v>1860</v>
      </c>
      <c r="AP70" s="46"/>
      <c r="AQ70" s="46"/>
      <c r="AR70" s="46"/>
      <c r="AS70" s="42">
        <f t="shared" si="52"/>
        <v>1860</v>
      </c>
      <c r="AT70" s="38" t="s">
        <v>19598</v>
      </c>
      <c r="AU70" s="36">
        <v>46100</v>
      </c>
      <c r="AV70" s="6" t="s">
        <v>19583</v>
      </c>
      <c r="AW70" s="51">
        <v>4200</v>
      </c>
      <c r="AX70" s="6" t="s">
        <v>19599</v>
      </c>
      <c r="AY70" s="36">
        <v>46185</v>
      </c>
      <c r="AZ70" s="46">
        <v>0</v>
      </c>
      <c r="BA70" s="46">
        <f t="shared" si="42"/>
        <v>558</v>
      </c>
      <c r="BB70" s="46">
        <v>0</v>
      </c>
      <c r="BC70" s="46">
        <v>0</v>
      </c>
      <c r="BD70" s="46">
        <f t="shared" si="53"/>
        <v>558</v>
      </c>
      <c r="BE70" s="46">
        <f t="shared" si="25"/>
        <v>0</v>
      </c>
      <c r="BF70" s="46">
        <f t="shared" si="25"/>
        <v>0</v>
      </c>
      <c r="BG70" s="47">
        <f t="shared" si="57"/>
        <v>0</v>
      </c>
      <c r="BH70" s="46">
        <f t="shared" si="54"/>
        <v>1302</v>
      </c>
      <c r="BI70" s="46">
        <v>1542</v>
      </c>
      <c r="BJ70" s="6"/>
      <c r="BL70" s="6">
        <v>-240</v>
      </c>
      <c r="BM70" s="6" t="s">
        <v>20098</v>
      </c>
      <c r="BN70" s="36">
        <v>46237</v>
      </c>
      <c r="BO70" s="48">
        <f t="shared" si="55"/>
        <v>1302</v>
      </c>
      <c r="BP70" s="48">
        <f t="shared" si="56"/>
        <v>0</v>
      </c>
      <c r="BQ70" s="6" t="str">
        <f t="shared" si="43"/>
        <v>Fully Paid</v>
      </c>
      <c r="BS70" s="6" t="str">
        <f t="shared" si="44"/>
        <v>Closed</v>
      </c>
      <c r="BT70" s="49" t="str">
        <f t="shared" ca="1" si="45"/>
        <v>Closed</v>
      </c>
    </row>
    <row r="71" spans="1:72" hidden="1" x14ac:dyDescent="0.25">
      <c r="A71" s="6" t="s">
        <v>19436</v>
      </c>
      <c r="B71" s="6">
        <v>1629.25</v>
      </c>
      <c r="C71" s="36">
        <v>45898</v>
      </c>
      <c r="D71" s="6" t="s">
        <v>19439</v>
      </c>
      <c r="E71" s="62">
        <v>4000</v>
      </c>
      <c r="F71" s="38" t="s">
        <v>19556</v>
      </c>
      <c r="G71" s="39">
        <f t="shared" si="46"/>
        <v>1.4285714285714286</v>
      </c>
      <c r="H71" s="40">
        <f t="shared" si="47"/>
        <v>5714.2857142857147</v>
      </c>
      <c r="I71" s="6" t="s">
        <v>19561</v>
      </c>
      <c r="J71" s="36">
        <v>45961</v>
      </c>
      <c r="K71" s="51">
        <v>10000</v>
      </c>
      <c r="L71" s="46">
        <v>0.5</v>
      </c>
      <c r="M71" s="42">
        <f t="shared" si="48"/>
        <v>5000</v>
      </c>
      <c r="N71" s="42">
        <v>0</v>
      </c>
      <c r="O71" s="42">
        <v>0</v>
      </c>
      <c r="P71" s="42">
        <f t="shared" si="49"/>
        <v>5000</v>
      </c>
      <c r="Q71" s="38" t="s">
        <v>19595</v>
      </c>
      <c r="R71" s="36">
        <v>45957</v>
      </c>
      <c r="S71" s="36" t="s">
        <v>19499</v>
      </c>
      <c r="T71" s="60" t="s">
        <v>16180</v>
      </c>
      <c r="U71" s="6" t="str">
        <f>IFERROR(VLOOKUP(T71,'item master'!B:C,2,0),"")</f>
        <v>UNIKORT-80 (TRIAMCINOLONE) B/1 VIAL +SER</v>
      </c>
      <c r="V71" s="51">
        <v>10000</v>
      </c>
      <c r="W71" s="6">
        <v>0</v>
      </c>
      <c r="X71" s="53">
        <v>0.5</v>
      </c>
      <c r="Y71" s="46">
        <f t="shared" si="38"/>
        <v>5000</v>
      </c>
      <c r="Z71" s="42">
        <v>0</v>
      </c>
      <c r="AA71" s="42">
        <f t="shared" si="50"/>
        <v>5000</v>
      </c>
      <c r="AB71" s="45">
        <v>0.3</v>
      </c>
      <c r="AC71" s="46">
        <f t="shared" si="39"/>
        <v>1500</v>
      </c>
      <c r="AD71" s="46">
        <f t="shared" si="40"/>
        <v>1500</v>
      </c>
      <c r="AE71" s="36">
        <v>45973</v>
      </c>
      <c r="AF71" s="6" t="s">
        <v>19596</v>
      </c>
      <c r="AG71" s="51">
        <v>4200</v>
      </c>
      <c r="AH71" s="41">
        <f t="shared" si="51"/>
        <v>4200</v>
      </c>
      <c r="AJ71" s="51">
        <f t="shared" si="35"/>
        <v>5800</v>
      </c>
      <c r="AK71" s="6" t="s">
        <v>19597</v>
      </c>
      <c r="AL71" s="36">
        <v>46064</v>
      </c>
      <c r="AM71" s="6" t="s">
        <v>19566</v>
      </c>
      <c r="AN71" s="51">
        <v>0.5</v>
      </c>
      <c r="AO71" s="46">
        <f t="shared" si="34"/>
        <v>2100</v>
      </c>
      <c r="AP71" s="46"/>
      <c r="AQ71" s="46"/>
      <c r="AR71" s="46"/>
      <c r="AS71" s="42">
        <f t="shared" si="52"/>
        <v>2100</v>
      </c>
      <c r="AT71" s="38" t="s">
        <v>19598</v>
      </c>
      <c r="AU71" s="36">
        <v>46100</v>
      </c>
      <c r="AV71" s="6" t="s">
        <v>19583</v>
      </c>
      <c r="AW71" s="51">
        <v>6000</v>
      </c>
      <c r="AX71" s="6" t="s">
        <v>19599</v>
      </c>
      <c r="AY71" s="36">
        <v>46185</v>
      </c>
      <c r="AZ71" s="46">
        <v>0</v>
      </c>
      <c r="BA71" s="46">
        <f t="shared" si="42"/>
        <v>1500</v>
      </c>
      <c r="BB71" s="46">
        <v>0</v>
      </c>
      <c r="BC71" s="46">
        <v>0</v>
      </c>
      <c r="BD71" s="46">
        <f t="shared" si="53"/>
        <v>1500</v>
      </c>
      <c r="BE71" s="46">
        <f t="shared" si="25"/>
        <v>0</v>
      </c>
      <c r="BF71" s="46">
        <f t="shared" si="25"/>
        <v>0</v>
      </c>
      <c r="BG71" s="47">
        <f t="shared" si="57"/>
        <v>0</v>
      </c>
      <c r="BH71" s="46">
        <f t="shared" si="54"/>
        <v>600</v>
      </c>
      <c r="BI71" s="46">
        <v>360</v>
      </c>
      <c r="BJ71" s="6"/>
      <c r="BL71" s="6">
        <v>240</v>
      </c>
      <c r="BM71" s="6" t="s">
        <v>20098</v>
      </c>
      <c r="BN71" s="36">
        <v>46237</v>
      </c>
      <c r="BO71" s="48">
        <f t="shared" si="55"/>
        <v>600</v>
      </c>
      <c r="BP71" s="48">
        <f t="shared" si="56"/>
        <v>0</v>
      </c>
      <c r="BQ71" s="6" t="str">
        <f t="shared" si="43"/>
        <v>Fully Paid</v>
      </c>
      <c r="BS71" s="6" t="str">
        <f t="shared" si="44"/>
        <v>Closed</v>
      </c>
      <c r="BT71" s="49" t="str">
        <f t="shared" ca="1" si="45"/>
        <v>Closed</v>
      </c>
    </row>
    <row r="72" spans="1:72" hidden="1" x14ac:dyDescent="0.25">
      <c r="A72" s="6" t="s">
        <v>19436</v>
      </c>
      <c r="B72" s="6">
        <v>1685.25</v>
      </c>
      <c r="C72" s="36">
        <v>45916</v>
      </c>
      <c r="D72" s="6" t="s">
        <v>19438</v>
      </c>
      <c r="E72" s="62">
        <v>50000</v>
      </c>
      <c r="F72" s="38" t="s">
        <v>19556</v>
      </c>
      <c r="G72" s="39">
        <f t="shared" si="46"/>
        <v>1</v>
      </c>
      <c r="H72" s="40">
        <f t="shared" si="47"/>
        <v>50000</v>
      </c>
      <c r="I72" s="6" t="s">
        <v>19560</v>
      </c>
      <c r="J72" s="36">
        <v>45940</v>
      </c>
      <c r="K72" s="51">
        <v>50000</v>
      </c>
      <c r="L72" s="46">
        <v>0.11</v>
      </c>
      <c r="M72" s="42">
        <f t="shared" si="48"/>
        <v>5500</v>
      </c>
      <c r="N72" s="42">
        <v>0</v>
      </c>
      <c r="O72" s="42">
        <v>0</v>
      </c>
      <c r="P72" s="42">
        <f t="shared" si="49"/>
        <v>5500</v>
      </c>
      <c r="Q72" s="38" t="s">
        <v>19659</v>
      </c>
      <c r="R72" s="36">
        <v>45938</v>
      </c>
      <c r="S72" s="6" t="s">
        <v>19499</v>
      </c>
      <c r="T72" s="50" t="s">
        <v>17377</v>
      </c>
      <c r="U72" s="6" t="str">
        <f>IFERROR(VLOOKUP(T72,'item master'!B:C,2,0),"")</f>
        <v>UNIDEX – DEXAMETHASONE + NEOMYCINE GOUTTES OCULAIRES / OTIQUES 10 ML</v>
      </c>
      <c r="V72" s="51">
        <v>50000</v>
      </c>
      <c r="W72" s="6">
        <v>0</v>
      </c>
      <c r="X72" s="53">
        <v>0.11</v>
      </c>
      <c r="Y72" s="46">
        <f t="shared" si="38"/>
        <v>5500</v>
      </c>
      <c r="Z72" s="42">
        <v>0</v>
      </c>
      <c r="AA72" s="42">
        <f t="shared" si="50"/>
        <v>5500</v>
      </c>
      <c r="AB72" s="45">
        <v>0.3</v>
      </c>
      <c r="AC72" s="46">
        <f t="shared" si="39"/>
        <v>1650</v>
      </c>
      <c r="AD72" s="46">
        <v>1650</v>
      </c>
      <c r="AE72" s="36">
        <v>45957</v>
      </c>
      <c r="AF72" s="6" t="s">
        <v>19660</v>
      </c>
      <c r="AG72" s="51">
        <v>50300</v>
      </c>
      <c r="AH72" s="41">
        <f t="shared" si="51"/>
        <v>50300</v>
      </c>
      <c r="AJ72" s="51">
        <f t="shared" si="35"/>
        <v>-300</v>
      </c>
      <c r="AK72" s="6" t="s">
        <v>19661</v>
      </c>
      <c r="AL72" s="36">
        <v>46024</v>
      </c>
      <c r="AM72" s="6" t="s">
        <v>19566</v>
      </c>
      <c r="AN72" s="51">
        <v>0.11</v>
      </c>
      <c r="AO72" s="46">
        <f t="shared" si="34"/>
        <v>5533</v>
      </c>
      <c r="AP72" s="46"/>
      <c r="AQ72" s="46"/>
      <c r="AR72" s="46"/>
      <c r="AS72" s="42">
        <f t="shared" si="52"/>
        <v>5533</v>
      </c>
      <c r="AT72" s="38">
        <v>266199219</v>
      </c>
      <c r="AU72" s="36">
        <v>46091</v>
      </c>
      <c r="AV72" s="6" t="s">
        <v>19583</v>
      </c>
      <c r="AW72" s="51">
        <v>50300</v>
      </c>
      <c r="AX72" s="64" t="s">
        <v>19675</v>
      </c>
      <c r="AZ72" s="46">
        <v>0</v>
      </c>
      <c r="BA72" s="46">
        <f t="shared" si="42"/>
        <v>1650</v>
      </c>
      <c r="BB72" s="46">
        <v>0</v>
      </c>
      <c r="BC72" s="46">
        <v>0</v>
      </c>
      <c r="BD72" s="46">
        <f t="shared" si="53"/>
        <v>1650</v>
      </c>
      <c r="BE72" s="46">
        <f t="shared" si="25"/>
        <v>0</v>
      </c>
      <c r="BF72" s="46">
        <f t="shared" si="25"/>
        <v>0</v>
      </c>
      <c r="BG72" s="47">
        <f t="shared" si="57"/>
        <v>0</v>
      </c>
      <c r="BH72" s="46">
        <f t="shared" si="54"/>
        <v>3883</v>
      </c>
      <c r="BI72" s="46">
        <v>393.2</v>
      </c>
      <c r="BJ72" s="6"/>
      <c r="BL72" s="6">
        <v>3489.8</v>
      </c>
      <c r="BM72" s="6" t="s">
        <v>20098</v>
      </c>
      <c r="BN72" s="36">
        <v>46237</v>
      </c>
      <c r="BO72" s="48">
        <f t="shared" si="55"/>
        <v>3883</v>
      </c>
      <c r="BP72" s="48">
        <f t="shared" si="56"/>
        <v>0</v>
      </c>
      <c r="BQ72" s="6" t="str">
        <f t="shared" si="43"/>
        <v>Fully Paid</v>
      </c>
      <c r="BS72" s="6" t="str">
        <f t="shared" si="44"/>
        <v>Closed</v>
      </c>
      <c r="BT72" s="49" t="str">
        <f t="shared" ca="1" si="45"/>
        <v>Closed</v>
      </c>
    </row>
    <row r="73" spans="1:72" hidden="1" x14ac:dyDescent="0.25">
      <c r="A73" s="6" t="s">
        <v>19436</v>
      </c>
      <c r="B73" s="6">
        <v>1645.25</v>
      </c>
      <c r="C73" s="36">
        <v>45899</v>
      </c>
      <c r="D73" s="6" t="s">
        <v>19440</v>
      </c>
      <c r="E73" s="62">
        <v>9000</v>
      </c>
      <c r="F73" s="38" t="s">
        <v>19556</v>
      </c>
      <c r="G73" s="39">
        <f t="shared" si="46"/>
        <v>1</v>
      </c>
      <c r="H73" s="40">
        <f t="shared" si="47"/>
        <v>9000</v>
      </c>
      <c r="I73" s="6" t="s">
        <v>19562</v>
      </c>
      <c r="J73" s="36">
        <v>45961</v>
      </c>
      <c r="K73" s="51">
        <v>9000</v>
      </c>
      <c r="L73" s="46">
        <v>0.31</v>
      </c>
      <c r="M73" s="42">
        <f t="shared" si="48"/>
        <v>2790</v>
      </c>
      <c r="N73" s="42">
        <v>0</v>
      </c>
      <c r="O73" s="42">
        <v>0</v>
      </c>
      <c r="P73" s="42">
        <f t="shared" si="49"/>
        <v>2790</v>
      </c>
      <c r="Q73" s="38" t="s">
        <v>19667</v>
      </c>
      <c r="R73" s="36">
        <v>45957</v>
      </c>
      <c r="S73" s="6" t="s">
        <v>19499</v>
      </c>
      <c r="T73" s="60" t="s">
        <v>16178</v>
      </c>
      <c r="U73" s="6" t="str">
        <f>IFERROR(VLOOKUP(T73,'item master'!B:C,2,0),"")</f>
        <v>UNIKORT-40 (TRIAMCINOLONE) B/1 VIAL+SER</v>
      </c>
      <c r="V73" s="51">
        <v>9000</v>
      </c>
      <c r="W73" s="6">
        <v>0</v>
      </c>
      <c r="X73" s="53">
        <v>0.31</v>
      </c>
      <c r="Y73" s="46">
        <f t="shared" si="38"/>
        <v>2790</v>
      </c>
      <c r="Z73" s="42">
        <v>0</v>
      </c>
      <c r="AA73" s="42">
        <f t="shared" si="50"/>
        <v>2790</v>
      </c>
      <c r="AB73" s="45">
        <v>0.3</v>
      </c>
      <c r="AC73" s="46">
        <f t="shared" si="39"/>
        <v>837</v>
      </c>
      <c r="AD73" s="46">
        <v>837</v>
      </c>
      <c r="AE73" s="36">
        <v>45973</v>
      </c>
      <c r="AF73" s="6" t="s">
        <v>19596</v>
      </c>
      <c r="AG73" s="51">
        <v>9000</v>
      </c>
      <c r="AH73" s="41">
        <f t="shared" si="51"/>
        <v>9000</v>
      </c>
      <c r="AJ73" s="51">
        <f t="shared" si="35"/>
        <v>0</v>
      </c>
      <c r="AK73" s="6" t="s">
        <v>19668</v>
      </c>
      <c r="AL73" s="36">
        <v>46064</v>
      </c>
      <c r="AM73" s="6" t="s">
        <v>19566</v>
      </c>
      <c r="AN73" s="51">
        <v>0.31</v>
      </c>
      <c r="AO73" s="46">
        <f t="shared" ref="AO73:AO99" si="58">AG73*AN73</f>
        <v>2790</v>
      </c>
      <c r="AP73" s="46"/>
      <c r="AQ73" s="46"/>
      <c r="AR73" s="46"/>
      <c r="AS73" s="42">
        <f t="shared" si="52"/>
        <v>2790</v>
      </c>
      <c r="AT73" s="38" t="s">
        <v>19669</v>
      </c>
      <c r="AU73" s="36">
        <v>46100</v>
      </c>
      <c r="AV73" s="6" t="s">
        <v>19583</v>
      </c>
      <c r="AW73" s="51">
        <v>9000</v>
      </c>
      <c r="AX73" s="6" t="s">
        <v>19670</v>
      </c>
      <c r="AY73" s="36">
        <v>46218</v>
      </c>
      <c r="AZ73" s="46">
        <v>0</v>
      </c>
      <c r="BA73" s="46">
        <f t="shared" si="42"/>
        <v>837</v>
      </c>
      <c r="BB73" s="46">
        <v>0</v>
      </c>
      <c r="BC73" s="46">
        <v>0</v>
      </c>
      <c r="BD73" s="46">
        <f t="shared" si="53"/>
        <v>837</v>
      </c>
      <c r="BE73" s="46">
        <f t="shared" ref="BE73:BF99" si="59">BA73-BD73</f>
        <v>0</v>
      </c>
      <c r="BF73" s="46">
        <f t="shared" si="59"/>
        <v>0</v>
      </c>
      <c r="BG73" s="47">
        <f t="shared" si="57"/>
        <v>0</v>
      </c>
      <c r="BH73" s="46">
        <f t="shared" si="54"/>
        <v>1953</v>
      </c>
      <c r="BI73" s="46">
        <v>0</v>
      </c>
      <c r="BJ73" s="6"/>
      <c r="BL73" s="6">
        <v>1953</v>
      </c>
      <c r="BM73" s="6" t="s">
        <v>20098</v>
      </c>
      <c r="BN73" s="36">
        <v>46237</v>
      </c>
      <c r="BO73" s="48">
        <f t="shared" si="55"/>
        <v>1953</v>
      </c>
      <c r="BP73" s="48">
        <f t="shared" si="56"/>
        <v>0</v>
      </c>
      <c r="BQ73" s="6" t="str">
        <f t="shared" si="43"/>
        <v>Fully Paid</v>
      </c>
      <c r="BS73" s="6" t="str">
        <f t="shared" si="44"/>
        <v>Closed</v>
      </c>
      <c r="BT73" s="49" t="str">
        <f t="shared" ca="1" si="45"/>
        <v>Closed</v>
      </c>
    </row>
    <row r="74" spans="1:72" hidden="1" x14ac:dyDescent="0.25">
      <c r="A74" s="6" t="s">
        <v>19436</v>
      </c>
      <c r="B74" s="6">
        <v>1645.25</v>
      </c>
      <c r="C74" s="36">
        <v>45899</v>
      </c>
      <c r="D74" s="6" t="s">
        <v>19440</v>
      </c>
      <c r="E74" s="62">
        <v>9000</v>
      </c>
      <c r="F74" s="38" t="s">
        <v>19556</v>
      </c>
      <c r="G74" s="39">
        <f t="shared" si="46"/>
        <v>1</v>
      </c>
      <c r="H74" s="40">
        <f t="shared" si="47"/>
        <v>9000</v>
      </c>
      <c r="I74" s="6" t="s">
        <v>19562</v>
      </c>
      <c r="J74" s="36">
        <v>45961</v>
      </c>
      <c r="K74" s="51">
        <v>10000</v>
      </c>
      <c r="L74" s="46">
        <v>0.5</v>
      </c>
      <c r="M74" s="42">
        <f t="shared" si="48"/>
        <v>5000</v>
      </c>
      <c r="N74" s="42">
        <v>0</v>
      </c>
      <c r="O74" s="42">
        <v>0</v>
      </c>
      <c r="P74" s="42">
        <f t="shared" si="49"/>
        <v>5000</v>
      </c>
      <c r="Q74" s="38" t="s">
        <v>19667</v>
      </c>
      <c r="R74" s="36">
        <v>45957</v>
      </c>
      <c r="S74" s="6" t="s">
        <v>19499</v>
      </c>
      <c r="T74" s="60" t="s">
        <v>16180</v>
      </c>
      <c r="U74" s="6" t="str">
        <f>IFERROR(VLOOKUP(T74,'item master'!B:C,2,0),"")</f>
        <v>UNIKORT-80 (TRIAMCINOLONE) B/1 VIAL +SER</v>
      </c>
      <c r="V74" s="51">
        <v>10000</v>
      </c>
      <c r="W74" s="6">
        <v>0</v>
      </c>
      <c r="X74" s="53">
        <v>0.5</v>
      </c>
      <c r="Y74" s="46">
        <f t="shared" si="38"/>
        <v>5000</v>
      </c>
      <c r="Z74" s="42">
        <v>0</v>
      </c>
      <c r="AA74" s="42">
        <f t="shared" si="50"/>
        <v>5000</v>
      </c>
      <c r="AB74" s="45">
        <v>0.3</v>
      </c>
      <c r="AC74" s="46">
        <f t="shared" si="39"/>
        <v>1500</v>
      </c>
      <c r="AD74" s="46">
        <v>1500</v>
      </c>
      <c r="AE74" s="36">
        <v>45973</v>
      </c>
      <c r="AF74" s="6" t="s">
        <v>19596</v>
      </c>
      <c r="AG74" s="51">
        <v>9900</v>
      </c>
      <c r="AH74" s="41">
        <f t="shared" si="51"/>
        <v>9900</v>
      </c>
      <c r="AJ74" s="51">
        <f t="shared" si="35"/>
        <v>100</v>
      </c>
      <c r="AK74" s="6" t="s">
        <v>19668</v>
      </c>
      <c r="AL74" s="36">
        <v>46064</v>
      </c>
      <c r="AM74" s="6" t="s">
        <v>19566</v>
      </c>
      <c r="AN74" s="51">
        <v>0.5</v>
      </c>
      <c r="AO74" s="46">
        <f t="shared" si="58"/>
        <v>4950</v>
      </c>
      <c r="AP74" s="46"/>
      <c r="AQ74" s="46"/>
      <c r="AR74" s="46"/>
      <c r="AS74" s="42">
        <f t="shared" si="52"/>
        <v>4950</v>
      </c>
      <c r="AT74" s="38" t="s">
        <v>19669</v>
      </c>
      <c r="AU74" s="36">
        <v>46100</v>
      </c>
      <c r="AV74" s="6" t="s">
        <v>19583</v>
      </c>
      <c r="AW74" s="51">
        <v>9900</v>
      </c>
      <c r="AX74" s="6" t="s">
        <v>19670</v>
      </c>
      <c r="AY74" s="36">
        <v>46218</v>
      </c>
      <c r="AZ74" s="46">
        <v>0</v>
      </c>
      <c r="BA74" s="46">
        <f t="shared" si="42"/>
        <v>1500</v>
      </c>
      <c r="BB74" s="46">
        <v>0</v>
      </c>
      <c r="BC74" s="46">
        <v>0</v>
      </c>
      <c r="BD74" s="46">
        <f t="shared" si="53"/>
        <v>1500</v>
      </c>
      <c r="BE74" s="46">
        <f t="shared" si="59"/>
        <v>0</v>
      </c>
      <c r="BF74" s="46">
        <f t="shared" si="59"/>
        <v>0</v>
      </c>
      <c r="BG74" s="47">
        <f t="shared" si="57"/>
        <v>0</v>
      </c>
      <c r="BH74" s="46">
        <f t="shared" si="54"/>
        <v>3450</v>
      </c>
      <c r="BI74" s="46">
        <v>0</v>
      </c>
      <c r="BJ74" s="6"/>
      <c r="BL74" s="6">
        <v>3450</v>
      </c>
      <c r="BM74" s="6" t="s">
        <v>20098</v>
      </c>
      <c r="BN74" s="36">
        <v>46237</v>
      </c>
      <c r="BO74" s="48">
        <f t="shared" si="55"/>
        <v>3450</v>
      </c>
      <c r="BP74" s="48">
        <f t="shared" si="56"/>
        <v>0</v>
      </c>
      <c r="BQ74" s="6" t="str">
        <f t="shared" si="43"/>
        <v>Fully Paid</v>
      </c>
      <c r="BS74" s="6" t="str">
        <f t="shared" si="44"/>
        <v>Closed</v>
      </c>
      <c r="BT74" s="49" t="str">
        <f t="shared" ca="1" si="45"/>
        <v>Closed</v>
      </c>
    </row>
    <row r="75" spans="1:72" hidden="1" x14ac:dyDescent="0.25">
      <c r="A75" s="6" t="s">
        <v>19436</v>
      </c>
      <c r="B75" s="6">
        <v>1718.25</v>
      </c>
      <c r="C75" s="36">
        <v>45964</v>
      </c>
      <c r="D75" s="6" t="s">
        <v>19438</v>
      </c>
      <c r="E75" s="62">
        <v>80000</v>
      </c>
      <c r="F75" s="38" t="s">
        <v>19605</v>
      </c>
      <c r="G75" s="39">
        <f t="shared" si="46"/>
        <v>10</v>
      </c>
      <c r="H75" s="40">
        <f t="shared" si="47"/>
        <v>800000</v>
      </c>
      <c r="I75" s="6" t="s">
        <v>19559</v>
      </c>
      <c r="J75" s="36">
        <v>45969</v>
      </c>
      <c r="K75" s="51">
        <v>8000</v>
      </c>
      <c r="L75" s="46">
        <v>3.3</v>
      </c>
      <c r="M75" s="42">
        <f t="shared" si="48"/>
        <v>26400</v>
      </c>
      <c r="N75" s="42">
        <v>0</v>
      </c>
      <c r="O75" s="42">
        <v>0</v>
      </c>
      <c r="P75" s="42">
        <f t="shared" si="49"/>
        <v>26400</v>
      </c>
      <c r="Q75" s="38" t="s">
        <v>19600</v>
      </c>
      <c r="R75" s="36">
        <v>45964</v>
      </c>
      <c r="S75" s="6" t="s">
        <v>19499</v>
      </c>
      <c r="T75" s="50" t="s">
        <v>2365</v>
      </c>
      <c r="U75" s="6" t="str">
        <f>IFERROR(VLOOKUP(T75,'item master'!B:C,2,0),"")</f>
        <v>PAPAVERINE 40MG/ML INJ. 10AMP</v>
      </c>
      <c r="V75" s="51">
        <v>8000</v>
      </c>
      <c r="W75" s="6">
        <v>0</v>
      </c>
      <c r="X75" s="53">
        <v>3.3</v>
      </c>
      <c r="Y75" s="46">
        <f t="shared" si="38"/>
        <v>26400</v>
      </c>
      <c r="Z75" s="42">
        <v>0</v>
      </c>
      <c r="AA75" s="42">
        <f t="shared" si="50"/>
        <v>26400</v>
      </c>
      <c r="AB75" s="45">
        <v>0.3</v>
      </c>
      <c r="AC75" s="46">
        <f t="shared" si="39"/>
        <v>7920</v>
      </c>
      <c r="AD75" s="46">
        <v>7920</v>
      </c>
      <c r="AE75" s="36">
        <v>45982</v>
      </c>
      <c r="AF75" s="6" t="s">
        <v>19601</v>
      </c>
      <c r="AG75" s="51">
        <v>8040</v>
      </c>
      <c r="AH75" s="41">
        <f t="shared" si="51"/>
        <v>8040</v>
      </c>
      <c r="AJ75" s="51">
        <f t="shared" si="35"/>
        <v>-40</v>
      </c>
      <c r="AK75" s="6" t="s">
        <v>19665</v>
      </c>
      <c r="AL75" s="36">
        <v>46067</v>
      </c>
      <c r="AM75" s="6" t="s">
        <v>19566</v>
      </c>
      <c r="AN75" s="51">
        <v>3.3</v>
      </c>
      <c r="AO75" s="46">
        <f t="shared" si="58"/>
        <v>26532</v>
      </c>
      <c r="AP75" s="46"/>
      <c r="AQ75" s="46"/>
      <c r="AR75" s="46"/>
      <c r="AS75" s="42">
        <f t="shared" si="52"/>
        <v>26532</v>
      </c>
      <c r="AT75" s="38">
        <v>267565869</v>
      </c>
      <c r="AU75" s="36">
        <v>46108</v>
      </c>
      <c r="AV75" s="6" t="s">
        <v>19583</v>
      </c>
      <c r="AW75" s="51">
        <v>80400</v>
      </c>
      <c r="AX75" s="6" t="s">
        <v>19602</v>
      </c>
      <c r="AY75" s="36">
        <v>46146</v>
      </c>
      <c r="AZ75" s="46">
        <v>0</v>
      </c>
      <c r="BA75" s="46">
        <f t="shared" si="42"/>
        <v>7920</v>
      </c>
      <c r="BB75" s="46">
        <v>0</v>
      </c>
      <c r="BC75" s="46">
        <v>0</v>
      </c>
      <c r="BD75" s="46">
        <f t="shared" si="53"/>
        <v>7920</v>
      </c>
      <c r="BE75" s="46">
        <f t="shared" si="59"/>
        <v>0</v>
      </c>
      <c r="BF75" s="46">
        <f t="shared" si="59"/>
        <v>0</v>
      </c>
      <c r="BG75" s="47">
        <f t="shared" si="57"/>
        <v>0</v>
      </c>
      <c r="BH75" s="46">
        <f t="shared" si="54"/>
        <v>18612</v>
      </c>
      <c r="BI75" s="46">
        <v>0</v>
      </c>
      <c r="BJ75" s="6"/>
      <c r="BL75" s="6">
        <v>18612</v>
      </c>
      <c r="BM75" s="6" t="s">
        <v>20098</v>
      </c>
      <c r="BN75" s="36">
        <v>46237</v>
      </c>
      <c r="BO75" s="48">
        <f t="shared" si="55"/>
        <v>18612</v>
      </c>
      <c r="BP75" s="48">
        <f t="shared" si="56"/>
        <v>0</v>
      </c>
      <c r="BQ75" s="6" t="str">
        <f t="shared" si="43"/>
        <v>Fully Paid</v>
      </c>
      <c r="BS75" s="6" t="str">
        <f t="shared" si="44"/>
        <v>Closed</v>
      </c>
      <c r="BT75" s="49" t="str">
        <f t="shared" ca="1" si="45"/>
        <v>Closed</v>
      </c>
    </row>
    <row r="76" spans="1:72" x14ac:dyDescent="0.25">
      <c r="A76" s="6" t="s">
        <v>19436</v>
      </c>
      <c r="B76" s="6">
        <v>1738.25</v>
      </c>
      <c r="C76" s="36">
        <v>46001</v>
      </c>
      <c r="D76" s="6" t="s">
        <v>19438</v>
      </c>
      <c r="E76" s="62">
        <v>5000</v>
      </c>
      <c r="F76" s="38" t="s">
        <v>19590</v>
      </c>
      <c r="G76" s="39">
        <f t="shared" si="46"/>
        <v>1</v>
      </c>
      <c r="H76" s="40">
        <f t="shared" si="47"/>
        <v>5000</v>
      </c>
      <c r="I76" s="6" t="s">
        <v>19563</v>
      </c>
      <c r="J76" s="36">
        <v>46007</v>
      </c>
      <c r="K76" s="51">
        <v>5000</v>
      </c>
      <c r="L76" s="46">
        <v>1.6</v>
      </c>
      <c r="M76" s="42">
        <f t="shared" si="48"/>
        <v>8000</v>
      </c>
      <c r="N76" s="42">
        <v>0</v>
      </c>
      <c r="O76" s="42">
        <v>0</v>
      </c>
      <c r="P76" s="42">
        <f t="shared" si="49"/>
        <v>8000</v>
      </c>
      <c r="Q76" s="38" t="s">
        <v>19572</v>
      </c>
      <c r="R76" s="36">
        <v>46006</v>
      </c>
      <c r="S76" s="6" t="s">
        <v>19499</v>
      </c>
      <c r="T76" s="50" t="s">
        <v>16335</v>
      </c>
      <c r="U76" s="6" t="str">
        <f>IFERROR(VLOOKUP(T76,'item master'!B:C,2,0),"")</f>
        <v>ATARIUM 50MG/5ML (ATACURIUM ) INJ. B/5 AMP.</v>
      </c>
      <c r="V76" s="51">
        <v>5000</v>
      </c>
      <c r="W76" s="6">
        <v>0</v>
      </c>
      <c r="X76" s="53">
        <v>1.6</v>
      </c>
      <c r="Y76" s="46">
        <f t="shared" si="38"/>
        <v>8000</v>
      </c>
      <c r="Z76" s="42">
        <v>0</v>
      </c>
      <c r="AA76" s="42">
        <f t="shared" si="50"/>
        <v>8000</v>
      </c>
      <c r="AB76" s="45">
        <v>0.3</v>
      </c>
      <c r="AC76" s="46">
        <f t="shared" si="39"/>
        <v>2400</v>
      </c>
      <c r="AD76" s="46">
        <v>0</v>
      </c>
      <c r="AG76" s="51">
        <v>3520</v>
      </c>
      <c r="AH76" s="41">
        <f t="shared" si="51"/>
        <v>3520</v>
      </c>
      <c r="AJ76" s="51">
        <f t="shared" si="35"/>
        <v>1480</v>
      </c>
      <c r="AK76" s="6" t="s">
        <v>19573</v>
      </c>
      <c r="AL76" s="36">
        <v>46163</v>
      </c>
      <c r="AM76" s="6" t="s">
        <v>19566</v>
      </c>
      <c r="AN76" s="51">
        <v>1.6</v>
      </c>
      <c r="AO76" s="46">
        <f t="shared" si="58"/>
        <v>5632</v>
      </c>
      <c r="AP76" s="46"/>
      <c r="AQ76" s="46"/>
      <c r="AR76" s="46"/>
      <c r="AS76" s="42">
        <f t="shared" si="52"/>
        <v>5632</v>
      </c>
      <c r="AT76" s="38" t="s">
        <v>19574</v>
      </c>
      <c r="AU76" s="36">
        <v>46165</v>
      </c>
      <c r="AV76" s="6" t="s">
        <v>19583</v>
      </c>
      <c r="AW76" s="51">
        <v>3520</v>
      </c>
      <c r="AX76" s="6" t="s">
        <v>19666</v>
      </c>
      <c r="AY76" s="36">
        <v>46192</v>
      </c>
      <c r="AZ76" s="46">
        <v>0</v>
      </c>
      <c r="BA76" s="46">
        <f t="shared" si="42"/>
        <v>0</v>
      </c>
      <c r="BB76" s="46">
        <v>0</v>
      </c>
      <c r="BC76" s="46">
        <v>0</v>
      </c>
      <c r="BD76" s="46">
        <f t="shared" si="53"/>
        <v>0</v>
      </c>
      <c r="BE76" s="46">
        <f t="shared" si="59"/>
        <v>0</v>
      </c>
      <c r="BF76" s="46">
        <f t="shared" si="59"/>
        <v>0</v>
      </c>
      <c r="BG76" s="47">
        <f t="shared" si="57"/>
        <v>0</v>
      </c>
      <c r="BH76" s="46">
        <f t="shared" si="54"/>
        <v>5632</v>
      </c>
      <c r="BI76" s="46">
        <v>0</v>
      </c>
      <c r="BJ76" s="6"/>
      <c r="BL76" s="6">
        <v>5632</v>
      </c>
      <c r="BM76" s="6" t="s">
        <v>20098</v>
      </c>
      <c r="BN76" s="36">
        <v>46237</v>
      </c>
      <c r="BO76" s="48">
        <f t="shared" si="55"/>
        <v>5632</v>
      </c>
      <c r="BP76" s="48">
        <f t="shared" si="56"/>
        <v>0</v>
      </c>
      <c r="BQ76" s="6" t="str">
        <f t="shared" si="43"/>
        <v>Fully Paid</v>
      </c>
      <c r="BS76" s="6" t="str">
        <f t="shared" si="44"/>
        <v>Closed</v>
      </c>
      <c r="BT76" s="49" t="str">
        <f t="shared" ca="1" si="45"/>
        <v>Closed</v>
      </c>
    </row>
    <row r="77" spans="1:72" hidden="1" x14ac:dyDescent="0.25">
      <c r="A77" s="6" t="s">
        <v>19436</v>
      </c>
      <c r="B77" s="6">
        <v>1761.25</v>
      </c>
      <c r="C77" s="36">
        <v>46037</v>
      </c>
      <c r="D77" s="6" t="s">
        <v>19438</v>
      </c>
      <c r="E77" s="62">
        <v>80000</v>
      </c>
      <c r="F77" s="38" t="s">
        <v>19605</v>
      </c>
      <c r="G77" s="39">
        <f t="shared" si="46"/>
        <v>0</v>
      </c>
      <c r="H77" s="40">
        <f t="shared" si="47"/>
        <v>0</v>
      </c>
      <c r="I77" s="6" t="s">
        <v>19554</v>
      </c>
      <c r="J77" s="36">
        <v>46044</v>
      </c>
      <c r="K77" s="51">
        <v>8000</v>
      </c>
      <c r="L77" s="46">
        <v>4.4000000000000004</v>
      </c>
      <c r="M77" s="42">
        <f t="shared" si="48"/>
        <v>35200</v>
      </c>
      <c r="N77" s="42">
        <v>0</v>
      </c>
      <c r="O77" s="42">
        <v>0</v>
      </c>
      <c r="P77" s="42">
        <f t="shared" si="49"/>
        <v>35200</v>
      </c>
      <c r="Q77" s="38" t="s">
        <v>19555</v>
      </c>
      <c r="R77" s="36">
        <v>46044</v>
      </c>
      <c r="S77" s="6" t="s">
        <v>19499</v>
      </c>
      <c r="T77" s="50" t="s">
        <v>19568</v>
      </c>
      <c r="U77" s="6" t="str">
        <f>IFERROR(VLOOKUP(T77,'item master'!B:C,2,0),"")</f>
        <v>DIAZEPAM 10MG/2ML INJ B/10AMP</v>
      </c>
      <c r="V77" s="51">
        <v>8000</v>
      </c>
      <c r="W77" s="6">
        <v>0</v>
      </c>
      <c r="X77" s="53">
        <v>4.4000000000000004</v>
      </c>
      <c r="Y77" s="46">
        <f t="shared" si="38"/>
        <v>35200</v>
      </c>
      <c r="Z77" s="42">
        <v>0</v>
      </c>
      <c r="AA77" s="42">
        <f t="shared" si="50"/>
        <v>35200</v>
      </c>
      <c r="AB77" s="45">
        <v>0.3</v>
      </c>
      <c r="AC77" s="46">
        <f t="shared" si="39"/>
        <v>10560</v>
      </c>
      <c r="AD77" s="46">
        <f t="shared" ref="AD77:AD104" si="60">AC77</f>
        <v>10560</v>
      </c>
      <c r="AE77" s="36">
        <v>46055</v>
      </c>
      <c r="AF77" s="6" t="s">
        <v>19564</v>
      </c>
      <c r="AG77" s="51">
        <v>8000</v>
      </c>
      <c r="AH77" s="41">
        <f t="shared" si="51"/>
        <v>8000</v>
      </c>
      <c r="AJ77" s="51">
        <f t="shared" si="35"/>
        <v>0</v>
      </c>
      <c r="AK77" s="6" t="s">
        <v>19570</v>
      </c>
      <c r="AL77" s="36">
        <v>46198</v>
      </c>
      <c r="AM77" s="6" t="s">
        <v>19566</v>
      </c>
      <c r="AN77" s="51">
        <v>4.4000000000000004</v>
      </c>
      <c r="AO77" s="46">
        <f t="shared" si="58"/>
        <v>35200</v>
      </c>
      <c r="AP77" s="46"/>
      <c r="AQ77" s="46"/>
      <c r="AR77" s="46"/>
      <c r="AS77" s="42">
        <f t="shared" si="52"/>
        <v>35200</v>
      </c>
      <c r="AT77" s="38" t="s">
        <v>19571</v>
      </c>
      <c r="AV77" s="6" t="s">
        <v>19585</v>
      </c>
      <c r="AW77" s="51"/>
      <c r="AZ77" s="46">
        <v>0</v>
      </c>
      <c r="BA77" s="46">
        <f t="shared" si="42"/>
        <v>10560</v>
      </c>
      <c r="BB77" s="46">
        <v>0</v>
      </c>
      <c r="BC77" s="46">
        <v>0</v>
      </c>
      <c r="BD77" s="46">
        <f t="shared" si="53"/>
        <v>10560</v>
      </c>
      <c r="BE77" s="46">
        <f t="shared" si="59"/>
        <v>0</v>
      </c>
      <c r="BF77" s="46">
        <f t="shared" si="59"/>
        <v>0</v>
      </c>
      <c r="BG77" s="47">
        <f t="shared" si="57"/>
        <v>0</v>
      </c>
      <c r="BH77" s="46">
        <f t="shared" si="54"/>
        <v>24640</v>
      </c>
      <c r="BI77" s="46">
        <v>0</v>
      </c>
      <c r="BJ77" s="6"/>
      <c r="BO77" s="48">
        <f t="shared" si="55"/>
        <v>0</v>
      </c>
      <c r="BP77" s="48">
        <f t="shared" si="56"/>
        <v>24640</v>
      </c>
      <c r="BQ77" s="6" t="str">
        <f t="shared" si="43"/>
        <v>Payable Balance Supplier</v>
      </c>
      <c r="BS77" s="6" t="str">
        <f t="shared" si="44"/>
        <v>Open</v>
      </c>
      <c r="BT77" s="49">
        <f t="shared" ca="1" si="45"/>
        <v>219</v>
      </c>
    </row>
    <row r="78" spans="1:72" hidden="1" x14ac:dyDescent="0.25">
      <c r="A78" s="6" t="s">
        <v>19436</v>
      </c>
      <c r="B78" s="6">
        <v>1761.25</v>
      </c>
      <c r="C78" s="36">
        <v>46037</v>
      </c>
      <c r="D78" s="6" t="s">
        <v>19438</v>
      </c>
      <c r="E78" s="62">
        <v>5000</v>
      </c>
      <c r="F78" s="38" t="s">
        <v>19556</v>
      </c>
      <c r="G78" s="39">
        <f t="shared" si="46"/>
        <v>1</v>
      </c>
      <c r="H78" s="40">
        <f t="shared" si="47"/>
        <v>5000</v>
      </c>
      <c r="I78" s="6" t="s">
        <v>19554</v>
      </c>
      <c r="J78" s="36">
        <v>46044</v>
      </c>
      <c r="K78" s="51">
        <v>10000</v>
      </c>
      <c r="L78" s="46">
        <v>1.1000000000000001</v>
      </c>
      <c r="M78" s="42">
        <f t="shared" si="48"/>
        <v>11000</v>
      </c>
      <c r="N78" s="42">
        <v>0</v>
      </c>
      <c r="O78" s="42">
        <v>0</v>
      </c>
      <c r="P78" s="42">
        <f t="shared" si="49"/>
        <v>11000</v>
      </c>
      <c r="Q78" s="38" t="s">
        <v>19555</v>
      </c>
      <c r="R78" s="36">
        <v>46044</v>
      </c>
      <c r="S78" s="6" t="s">
        <v>19499</v>
      </c>
      <c r="T78" s="50" t="s">
        <v>16042</v>
      </c>
      <c r="U78" s="6" t="str">
        <f>IFERROR(VLOOKUP(T78,'item master'!B:C,2,0),"")</f>
        <v>HEPAQUE (HEPARIN) 25000UI/5ML INJ. B/1 VIAL</v>
      </c>
      <c r="V78" s="51">
        <v>10000</v>
      </c>
      <c r="W78" s="6">
        <v>0</v>
      </c>
      <c r="X78" s="53">
        <v>1.1000000000000001</v>
      </c>
      <c r="Y78" s="46">
        <f t="shared" ref="Y78:Y109" si="61">V78*X78</f>
        <v>11000</v>
      </c>
      <c r="Z78" s="42">
        <v>0</v>
      </c>
      <c r="AA78" s="42">
        <f t="shared" si="50"/>
        <v>11000</v>
      </c>
      <c r="AB78" s="45">
        <v>0.3</v>
      </c>
      <c r="AC78" s="46">
        <f t="shared" ref="AC78:AC109" si="62">Y78*AB78</f>
        <v>3300</v>
      </c>
      <c r="AD78" s="46">
        <f t="shared" si="60"/>
        <v>3300</v>
      </c>
      <c r="AE78" s="36">
        <v>46055</v>
      </c>
      <c r="AF78" s="6" t="s">
        <v>19564</v>
      </c>
      <c r="AG78" s="51">
        <v>10080</v>
      </c>
      <c r="AH78" s="41">
        <f t="shared" si="51"/>
        <v>10080</v>
      </c>
      <c r="AJ78" s="51">
        <f t="shared" si="35"/>
        <v>-80</v>
      </c>
      <c r="AK78" s="6" t="s">
        <v>19575</v>
      </c>
      <c r="AL78" s="36">
        <v>46225</v>
      </c>
      <c r="AM78" s="6" t="s">
        <v>19566</v>
      </c>
      <c r="AN78" s="51">
        <v>1.1000000000000001</v>
      </c>
      <c r="AO78" s="46">
        <f t="shared" si="58"/>
        <v>11088</v>
      </c>
      <c r="AP78" s="46"/>
      <c r="AQ78" s="46"/>
      <c r="AR78" s="46"/>
      <c r="AS78" s="42">
        <f t="shared" si="52"/>
        <v>11088</v>
      </c>
      <c r="AT78" s="38" t="s">
        <v>19576</v>
      </c>
      <c r="AU78" s="36">
        <v>46198</v>
      </c>
      <c r="AV78" s="6" t="s">
        <v>19583</v>
      </c>
      <c r="AW78" s="51">
        <v>10080</v>
      </c>
      <c r="AX78" s="6" t="s">
        <v>19654</v>
      </c>
      <c r="AY78" s="36">
        <v>46225</v>
      </c>
      <c r="AZ78" s="46">
        <v>0</v>
      </c>
      <c r="BA78" s="46">
        <f t="shared" si="42"/>
        <v>3300</v>
      </c>
      <c r="BB78" s="46">
        <v>0</v>
      </c>
      <c r="BC78" s="46">
        <v>0</v>
      </c>
      <c r="BD78" s="46">
        <f t="shared" si="53"/>
        <v>3300</v>
      </c>
      <c r="BE78" s="46">
        <f t="shared" si="59"/>
        <v>0</v>
      </c>
      <c r="BF78" s="46">
        <f t="shared" si="59"/>
        <v>0</v>
      </c>
      <c r="BG78" s="47">
        <f t="shared" si="57"/>
        <v>0</v>
      </c>
      <c r="BH78" s="46">
        <f t="shared" si="54"/>
        <v>7788</v>
      </c>
      <c r="BI78" s="46">
        <v>0</v>
      </c>
      <c r="BJ78" s="6"/>
      <c r="BL78" s="6">
        <v>7788</v>
      </c>
      <c r="BM78" s="6" t="s">
        <v>20098</v>
      </c>
      <c r="BN78" s="36">
        <v>46237</v>
      </c>
      <c r="BO78" s="48">
        <f t="shared" si="55"/>
        <v>7788</v>
      </c>
      <c r="BP78" s="48">
        <f t="shared" si="56"/>
        <v>0</v>
      </c>
      <c r="BQ78" s="6" t="str">
        <f t="shared" si="43"/>
        <v>Fully Paid</v>
      </c>
      <c r="BS78" s="6" t="str">
        <f t="shared" si="44"/>
        <v>Closed</v>
      </c>
      <c r="BT78" s="49" t="str">
        <f t="shared" ca="1" si="45"/>
        <v>Closed</v>
      </c>
    </row>
    <row r="79" spans="1:72" hidden="1" x14ac:dyDescent="0.25">
      <c r="A79" s="6" t="s">
        <v>19436</v>
      </c>
      <c r="B79" s="6">
        <v>1761.25</v>
      </c>
      <c r="C79" s="36">
        <v>46037</v>
      </c>
      <c r="D79" s="6" t="s">
        <v>19438</v>
      </c>
      <c r="E79" s="62">
        <v>4000</v>
      </c>
      <c r="F79" s="38" t="s">
        <v>19605</v>
      </c>
      <c r="G79" s="39">
        <f t="shared" si="46"/>
        <v>0</v>
      </c>
      <c r="H79" s="40">
        <f t="shared" si="47"/>
        <v>0</v>
      </c>
      <c r="I79" s="6" t="s">
        <v>19554</v>
      </c>
      <c r="J79" s="36">
        <v>46044</v>
      </c>
      <c r="K79" s="51">
        <v>4000</v>
      </c>
      <c r="L79" s="46">
        <v>5.4</v>
      </c>
      <c r="M79" s="42">
        <f t="shared" si="48"/>
        <v>21600</v>
      </c>
      <c r="N79" s="42">
        <v>0</v>
      </c>
      <c r="O79" s="42">
        <v>0</v>
      </c>
      <c r="P79" s="42">
        <f t="shared" si="49"/>
        <v>21600</v>
      </c>
      <c r="Q79" s="38" t="s">
        <v>19555</v>
      </c>
      <c r="R79" s="36">
        <v>46044</v>
      </c>
      <c r="S79" s="6" t="s">
        <v>19499</v>
      </c>
      <c r="T79" s="50" t="s">
        <v>10284</v>
      </c>
      <c r="U79" s="6" t="str">
        <f>IFERROR(VLOOKUP(T79,'item master'!B:C,2,0),"")</f>
        <v>ERGOMETRINE B/10AMP</v>
      </c>
      <c r="V79" s="51">
        <v>4000</v>
      </c>
      <c r="W79" s="6">
        <v>0</v>
      </c>
      <c r="X79" s="53">
        <v>5.4</v>
      </c>
      <c r="Y79" s="46">
        <f t="shared" si="61"/>
        <v>21600</v>
      </c>
      <c r="Z79" s="42">
        <v>0</v>
      </c>
      <c r="AA79" s="42">
        <f t="shared" si="50"/>
        <v>21600</v>
      </c>
      <c r="AB79" s="45">
        <v>0.3</v>
      </c>
      <c r="AC79" s="46">
        <f t="shared" si="62"/>
        <v>6480</v>
      </c>
      <c r="AD79" s="46">
        <f t="shared" si="60"/>
        <v>6480</v>
      </c>
      <c r="AE79" s="36">
        <v>46055</v>
      </c>
      <c r="AF79" s="6" t="s">
        <v>19564</v>
      </c>
      <c r="AG79" s="51">
        <v>4000</v>
      </c>
      <c r="AH79" s="41">
        <f t="shared" si="51"/>
        <v>4000</v>
      </c>
      <c r="AJ79" s="51">
        <f t="shared" si="35"/>
        <v>0</v>
      </c>
      <c r="AK79" s="6" t="s">
        <v>19570</v>
      </c>
      <c r="AL79" s="36">
        <v>46198</v>
      </c>
      <c r="AM79" s="6" t="s">
        <v>19566</v>
      </c>
      <c r="AN79" s="51">
        <v>5.4</v>
      </c>
      <c r="AO79" s="46">
        <f t="shared" si="58"/>
        <v>21600</v>
      </c>
      <c r="AP79" s="46"/>
      <c r="AQ79" s="46"/>
      <c r="AR79" s="46"/>
      <c r="AS79" s="42">
        <f t="shared" si="52"/>
        <v>21600</v>
      </c>
      <c r="AT79" s="38" t="s">
        <v>19571</v>
      </c>
      <c r="AV79" s="6" t="s">
        <v>19585</v>
      </c>
      <c r="AW79" s="51"/>
      <c r="AZ79" s="46">
        <v>0</v>
      </c>
      <c r="BA79" s="46">
        <f t="shared" si="42"/>
        <v>6480</v>
      </c>
      <c r="BB79" s="46">
        <v>0</v>
      </c>
      <c r="BC79" s="46">
        <v>0</v>
      </c>
      <c r="BD79" s="46">
        <f t="shared" si="53"/>
        <v>6480</v>
      </c>
      <c r="BE79" s="46">
        <f t="shared" si="59"/>
        <v>0</v>
      </c>
      <c r="BF79" s="46">
        <f t="shared" si="59"/>
        <v>0</v>
      </c>
      <c r="BG79" s="47">
        <f t="shared" si="57"/>
        <v>0</v>
      </c>
      <c r="BH79" s="46">
        <f t="shared" si="54"/>
        <v>15120</v>
      </c>
      <c r="BI79" s="46">
        <v>0</v>
      </c>
      <c r="BJ79" s="6"/>
      <c r="BO79" s="48">
        <f t="shared" si="55"/>
        <v>0</v>
      </c>
      <c r="BP79" s="48">
        <f t="shared" si="56"/>
        <v>15120</v>
      </c>
      <c r="BQ79" s="6" t="str">
        <f t="shared" si="43"/>
        <v>Payable Balance Supplier</v>
      </c>
      <c r="BS79" s="6" t="str">
        <f t="shared" si="44"/>
        <v>Open</v>
      </c>
      <c r="BT79" s="49">
        <f t="shared" ca="1" si="45"/>
        <v>219</v>
      </c>
    </row>
    <row r="80" spans="1:72" hidden="1" x14ac:dyDescent="0.25">
      <c r="A80" s="6" t="s">
        <v>19436</v>
      </c>
      <c r="B80" s="6">
        <v>1761.25</v>
      </c>
      <c r="C80" s="36">
        <v>46037</v>
      </c>
      <c r="D80" s="6" t="s">
        <v>19438</v>
      </c>
      <c r="E80" s="62">
        <v>20000</v>
      </c>
      <c r="F80" s="38" t="s">
        <v>19556</v>
      </c>
      <c r="G80" s="39">
        <f t="shared" si="46"/>
        <v>0</v>
      </c>
      <c r="H80" s="40">
        <f t="shared" si="47"/>
        <v>0</v>
      </c>
      <c r="I80" s="6" t="s">
        <v>19554</v>
      </c>
      <c r="J80" s="36">
        <v>46044</v>
      </c>
      <c r="K80" s="51">
        <v>20000</v>
      </c>
      <c r="L80" s="46">
        <v>1</v>
      </c>
      <c r="M80" s="42">
        <f t="shared" si="48"/>
        <v>20000</v>
      </c>
      <c r="N80" s="42">
        <v>0</v>
      </c>
      <c r="O80" s="42">
        <v>0</v>
      </c>
      <c r="P80" s="42">
        <f t="shared" si="49"/>
        <v>20000</v>
      </c>
      <c r="Q80" s="38" t="s">
        <v>19555</v>
      </c>
      <c r="R80" s="36">
        <v>46044</v>
      </c>
      <c r="S80" s="6" t="s">
        <v>19499</v>
      </c>
      <c r="T80" s="50" t="s">
        <v>16164</v>
      </c>
      <c r="U80" s="6" t="str">
        <f>IFERROR(VLOOKUP(T80,'item master'!B:C,2,0),"")</f>
        <v>TROBINIQUE-2G(SPECTINOMYCIN) B/1VIAL+3.2MLE.D</v>
      </c>
      <c r="V80" s="51">
        <v>20000</v>
      </c>
      <c r="W80" s="6">
        <v>0</v>
      </c>
      <c r="X80" s="53">
        <v>1</v>
      </c>
      <c r="Y80" s="46">
        <f t="shared" si="61"/>
        <v>20000</v>
      </c>
      <c r="Z80" s="42">
        <v>0</v>
      </c>
      <c r="AA80" s="42">
        <f t="shared" si="50"/>
        <v>20000</v>
      </c>
      <c r="AB80" s="45">
        <v>0.3</v>
      </c>
      <c r="AC80" s="46">
        <f t="shared" si="62"/>
        <v>6000</v>
      </c>
      <c r="AD80" s="46">
        <f t="shared" si="60"/>
        <v>6000</v>
      </c>
      <c r="AE80" s="36">
        <v>46055</v>
      </c>
      <c r="AF80" s="6" t="s">
        <v>19564</v>
      </c>
      <c r="AG80" s="51">
        <v>20000</v>
      </c>
      <c r="AH80" s="41">
        <f t="shared" si="51"/>
        <v>20000</v>
      </c>
      <c r="AJ80" s="51">
        <f t="shared" si="35"/>
        <v>0</v>
      </c>
      <c r="AK80" s="6" t="s">
        <v>19569</v>
      </c>
      <c r="AL80" s="36">
        <v>46111</v>
      </c>
      <c r="AM80" s="6" t="s">
        <v>19566</v>
      </c>
      <c r="AN80" s="51">
        <v>1</v>
      </c>
      <c r="AO80" s="46">
        <f t="shared" si="58"/>
        <v>20000</v>
      </c>
      <c r="AP80" s="46"/>
      <c r="AQ80" s="46"/>
      <c r="AR80" s="46"/>
      <c r="AS80" s="42">
        <f t="shared" si="52"/>
        <v>20000</v>
      </c>
      <c r="AT80" s="38">
        <v>269716880</v>
      </c>
      <c r="AU80" s="36">
        <v>46163</v>
      </c>
      <c r="AV80" s="6" t="s">
        <v>19567</v>
      </c>
      <c r="AW80" s="51"/>
      <c r="AX80" s="6" t="s">
        <v>0</v>
      </c>
      <c r="AZ80" s="46">
        <v>0</v>
      </c>
      <c r="BA80" s="46">
        <f t="shared" si="42"/>
        <v>6000</v>
      </c>
      <c r="BB80" s="46">
        <v>0</v>
      </c>
      <c r="BC80" s="46">
        <v>0</v>
      </c>
      <c r="BD80" s="46">
        <f t="shared" si="53"/>
        <v>6000</v>
      </c>
      <c r="BE80" s="46">
        <f t="shared" si="59"/>
        <v>0</v>
      </c>
      <c r="BF80" s="46">
        <f t="shared" si="59"/>
        <v>0</v>
      </c>
      <c r="BG80" s="47">
        <f t="shared" si="57"/>
        <v>0</v>
      </c>
      <c r="BH80" s="46">
        <f t="shared" si="54"/>
        <v>14000</v>
      </c>
      <c r="BI80" s="46">
        <v>0</v>
      </c>
      <c r="BJ80" s="6"/>
      <c r="BL80" s="6">
        <v>14000</v>
      </c>
      <c r="BM80" s="6" t="s">
        <v>20098</v>
      </c>
      <c r="BN80" s="36">
        <v>46237</v>
      </c>
      <c r="BO80" s="48">
        <f t="shared" si="55"/>
        <v>14000</v>
      </c>
      <c r="BP80" s="48">
        <f t="shared" si="56"/>
        <v>0</v>
      </c>
      <c r="BQ80" s="6" t="str">
        <f t="shared" si="43"/>
        <v>Fully Paid</v>
      </c>
      <c r="BS80" s="6" t="str">
        <f t="shared" si="44"/>
        <v>Closed</v>
      </c>
      <c r="BT80" s="49" t="str">
        <f t="shared" ca="1" si="45"/>
        <v>Closed</v>
      </c>
    </row>
    <row r="81" spans="1:72" hidden="1" x14ac:dyDescent="0.25">
      <c r="A81" s="6" t="s">
        <v>19436</v>
      </c>
      <c r="B81" s="6">
        <v>1761.25</v>
      </c>
      <c r="C81" s="36">
        <v>46037</v>
      </c>
      <c r="D81" s="6" t="s">
        <v>19438</v>
      </c>
      <c r="E81" s="62">
        <v>1000</v>
      </c>
      <c r="F81" s="38" t="s">
        <v>19556</v>
      </c>
      <c r="G81" s="39">
        <f t="shared" si="46"/>
        <v>1</v>
      </c>
      <c r="H81" s="40">
        <f t="shared" si="47"/>
        <v>1000</v>
      </c>
      <c r="I81" s="6" t="s">
        <v>19554</v>
      </c>
      <c r="J81" s="36">
        <v>46044</v>
      </c>
      <c r="K81" s="51">
        <v>2000</v>
      </c>
      <c r="L81" s="46">
        <v>3</v>
      </c>
      <c r="M81" s="42">
        <f t="shared" si="48"/>
        <v>6000</v>
      </c>
      <c r="N81" s="42">
        <v>0</v>
      </c>
      <c r="O81" s="42">
        <v>0</v>
      </c>
      <c r="P81" s="42">
        <f t="shared" si="49"/>
        <v>6000</v>
      </c>
      <c r="Q81" s="38" t="s">
        <v>19555</v>
      </c>
      <c r="R81" s="36">
        <v>46044</v>
      </c>
      <c r="S81" s="6" t="s">
        <v>19499</v>
      </c>
      <c r="T81" s="50" t="s">
        <v>16166</v>
      </c>
      <c r="U81" s="6" t="str">
        <f>IFERROR(VLOOKUP(T81,'item master'!B:C,2,0),"")</f>
        <v>SUXAMETHONIUM 100MG/2ML B/10AMP</v>
      </c>
      <c r="V81" s="51">
        <v>2000</v>
      </c>
      <c r="W81" s="6">
        <v>0</v>
      </c>
      <c r="X81" s="53">
        <v>3</v>
      </c>
      <c r="Y81" s="46">
        <f t="shared" si="61"/>
        <v>6000</v>
      </c>
      <c r="Z81" s="42">
        <v>0</v>
      </c>
      <c r="AA81" s="42">
        <f t="shared" si="50"/>
        <v>6000</v>
      </c>
      <c r="AB81" s="45">
        <v>0.3</v>
      </c>
      <c r="AC81" s="46">
        <f t="shared" si="62"/>
        <v>1800</v>
      </c>
      <c r="AD81" s="46">
        <f t="shared" si="60"/>
        <v>1800</v>
      </c>
      <c r="AE81" s="36">
        <v>46055</v>
      </c>
      <c r="AF81" s="6" t="s">
        <v>19564</v>
      </c>
      <c r="AG81" s="51">
        <v>2140</v>
      </c>
      <c r="AH81" s="41">
        <f t="shared" si="51"/>
        <v>2140</v>
      </c>
      <c r="AJ81" s="51">
        <f t="shared" si="35"/>
        <v>-140</v>
      </c>
      <c r="AK81" s="6" t="s">
        <v>19573</v>
      </c>
      <c r="AL81" s="36">
        <v>46163</v>
      </c>
      <c r="AM81" s="6" t="s">
        <v>19566</v>
      </c>
      <c r="AN81" s="51">
        <v>3</v>
      </c>
      <c r="AO81" s="46">
        <f t="shared" si="58"/>
        <v>6420</v>
      </c>
      <c r="AP81" s="46"/>
      <c r="AQ81" s="46"/>
      <c r="AR81" s="46"/>
      <c r="AS81" s="42">
        <f t="shared" si="52"/>
        <v>6420</v>
      </c>
      <c r="AT81" s="38" t="s">
        <v>19574</v>
      </c>
      <c r="AU81" s="36">
        <v>46165</v>
      </c>
      <c r="AV81" s="6" t="s">
        <v>19583</v>
      </c>
      <c r="AW81" s="51">
        <v>2140</v>
      </c>
      <c r="AX81" s="6" t="s">
        <v>19666</v>
      </c>
      <c r="AY81" s="36">
        <v>46192</v>
      </c>
      <c r="AZ81" s="46">
        <v>0</v>
      </c>
      <c r="BA81" s="46">
        <f t="shared" si="42"/>
        <v>1800</v>
      </c>
      <c r="BB81" s="46">
        <v>0</v>
      </c>
      <c r="BC81" s="46">
        <v>0</v>
      </c>
      <c r="BD81" s="46">
        <f t="shared" si="53"/>
        <v>1800</v>
      </c>
      <c r="BE81" s="46">
        <f t="shared" si="59"/>
        <v>0</v>
      </c>
      <c r="BF81" s="46">
        <f t="shared" si="59"/>
        <v>0</v>
      </c>
      <c r="BG81" s="47">
        <f t="shared" si="57"/>
        <v>0</v>
      </c>
      <c r="BH81" s="46">
        <f t="shared" si="54"/>
        <v>4620</v>
      </c>
      <c r="BI81" s="46">
        <v>0</v>
      </c>
      <c r="BJ81" s="6"/>
      <c r="BL81" s="6">
        <v>4620</v>
      </c>
      <c r="BM81" s="6" t="s">
        <v>20098</v>
      </c>
      <c r="BN81" s="36">
        <v>46237</v>
      </c>
      <c r="BO81" s="48">
        <f t="shared" si="55"/>
        <v>4620</v>
      </c>
      <c r="BP81" s="48">
        <f t="shared" si="56"/>
        <v>0</v>
      </c>
      <c r="BQ81" s="6" t="str">
        <f t="shared" si="43"/>
        <v>Fully Paid</v>
      </c>
      <c r="BS81" s="6" t="str">
        <f t="shared" si="44"/>
        <v>Closed</v>
      </c>
      <c r="BT81" s="49" t="str">
        <f t="shared" ca="1" si="45"/>
        <v>Closed</v>
      </c>
    </row>
    <row r="82" spans="1:72" hidden="1" x14ac:dyDescent="0.25">
      <c r="A82" s="6" t="s">
        <v>19436</v>
      </c>
      <c r="B82" s="6">
        <v>1761.25</v>
      </c>
      <c r="C82" s="36">
        <v>46037</v>
      </c>
      <c r="D82" s="6" t="s">
        <v>19438</v>
      </c>
      <c r="E82" s="62">
        <v>20000</v>
      </c>
      <c r="F82" s="38" t="s">
        <v>19556</v>
      </c>
      <c r="G82" s="39">
        <f t="shared" si="46"/>
        <v>0</v>
      </c>
      <c r="H82" s="40">
        <f t="shared" si="47"/>
        <v>0</v>
      </c>
      <c r="I82" s="6" t="s">
        <v>19554</v>
      </c>
      <c r="J82" s="36">
        <v>46044</v>
      </c>
      <c r="K82" s="51">
        <v>20000</v>
      </c>
      <c r="L82" s="46">
        <v>0.5</v>
      </c>
      <c r="M82" s="42">
        <f t="shared" si="48"/>
        <v>10000</v>
      </c>
      <c r="N82" s="42">
        <v>0</v>
      </c>
      <c r="O82" s="42">
        <v>0</v>
      </c>
      <c r="P82" s="42">
        <f t="shared" si="49"/>
        <v>10000</v>
      </c>
      <c r="Q82" s="38" t="s">
        <v>19555</v>
      </c>
      <c r="R82" s="36">
        <v>46044</v>
      </c>
      <c r="S82" s="6" t="s">
        <v>19499</v>
      </c>
      <c r="T82" s="50" t="s">
        <v>16180</v>
      </c>
      <c r="U82" s="6" t="str">
        <f>IFERROR(VLOOKUP(T82,'item master'!B:C,2,0),"")</f>
        <v>UNIKORT-80 (TRIAMCINOLONE) B/1 VIAL +SER</v>
      </c>
      <c r="V82" s="51">
        <v>20000</v>
      </c>
      <c r="W82" s="6">
        <v>0</v>
      </c>
      <c r="X82" s="53">
        <v>0.5</v>
      </c>
      <c r="Y82" s="46">
        <f t="shared" si="61"/>
        <v>10000</v>
      </c>
      <c r="Z82" s="42">
        <v>0</v>
      </c>
      <c r="AA82" s="42">
        <f t="shared" si="50"/>
        <v>10000</v>
      </c>
      <c r="AB82" s="45">
        <v>0.3</v>
      </c>
      <c r="AC82" s="46">
        <f t="shared" si="62"/>
        <v>3000</v>
      </c>
      <c r="AD82" s="46">
        <f t="shared" si="60"/>
        <v>3000</v>
      </c>
      <c r="AE82" s="36">
        <v>46055</v>
      </c>
      <c r="AF82" s="6" t="s">
        <v>19564</v>
      </c>
      <c r="AG82" s="51">
        <v>26400</v>
      </c>
      <c r="AH82" s="41">
        <f t="shared" si="51"/>
        <v>26400</v>
      </c>
      <c r="AJ82" s="51">
        <f t="shared" si="35"/>
        <v>-6400</v>
      </c>
      <c r="AK82" s="6" t="s">
        <v>19570</v>
      </c>
      <c r="AL82" s="36">
        <v>46198</v>
      </c>
      <c r="AM82" s="6" t="s">
        <v>19566</v>
      </c>
      <c r="AN82" s="51">
        <v>0.5</v>
      </c>
      <c r="AO82" s="46">
        <f t="shared" si="58"/>
        <v>13200</v>
      </c>
      <c r="AP82" s="46"/>
      <c r="AQ82" s="46"/>
      <c r="AR82" s="46"/>
      <c r="AS82" s="42">
        <f t="shared" si="52"/>
        <v>13200</v>
      </c>
      <c r="AT82" s="38" t="s">
        <v>19571</v>
      </c>
      <c r="AV82" s="6" t="s">
        <v>19585</v>
      </c>
      <c r="AW82" s="51"/>
      <c r="AZ82" s="46">
        <v>0</v>
      </c>
      <c r="BA82" s="46">
        <f t="shared" si="42"/>
        <v>3000</v>
      </c>
      <c r="BB82" s="46">
        <v>0</v>
      </c>
      <c r="BC82" s="46">
        <v>0</v>
      </c>
      <c r="BD82" s="46">
        <f t="shared" si="53"/>
        <v>3000</v>
      </c>
      <c r="BE82" s="46">
        <f t="shared" si="59"/>
        <v>0</v>
      </c>
      <c r="BF82" s="46">
        <f t="shared" si="59"/>
        <v>0</v>
      </c>
      <c r="BG82" s="47">
        <f t="shared" si="57"/>
        <v>0</v>
      </c>
      <c r="BH82" s="46">
        <f t="shared" si="54"/>
        <v>10200</v>
      </c>
      <c r="BI82" s="46">
        <v>0</v>
      </c>
      <c r="BJ82" s="6"/>
      <c r="BO82" s="48">
        <f t="shared" si="55"/>
        <v>0</v>
      </c>
      <c r="BP82" s="48">
        <f t="shared" si="56"/>
        <v>10200</v>
      </c>
      <c r="BQ82" s="6" t="str">
        <f t="shared" si="43"/>
        <v>Payable Balance Supplier</v>
      </c>
      <c r="BS82" s="6" t="str">
        <f t="shared" si="44"/>
        <v>Open</v>
      </c>
      <c r="BT82" s="49">
        <f t="shared" ca="1" si="45"/>
        <v>219</v>
      </c>
    </row>
    <row r="83" spans="1:72" hidden="1" x14ac:dyDescent="0.25">
      <c r="A83" s="6" t="s">
        <v>19436</v>
      </c>
      <c r="B83" s="6">
        <v>1772.26</v>
      </c>
      <c r="C83" s="36">
        <v>46037</v>
      </c>
      <c r="D83" s="6" t="s">
        <v>19438</v>
      </c>
      <c r="E83" s="62">
        <v>100000</v>
      </c>
      <c r="F83" s="38" t="s">
        <v>19556</v>
      </c>
      <c r="G83" s="39">
        <f t="shared" si="46"/>
        <v>0</v>
      </c>
      <c r="H83" s="40">
        <f t="shared" si="47"/>
        <v>0</v>
      </c>
      <c r="I83" s="6" t="s">
        <v>19554</v>
      </c>
      <c r="J83" s="36">
        <v>46044</v>
      </c>
      <c r="K83" s="51">
        <v>100000</v>
      </c>
      <c r="L83" s="46">
        <v>0.11</v>
      </c>
      <c r="M83" s="42">
        <f t="shared" si="48"/>
        <v>11000</v>
      </c>
      <c r="N83" s="42">
        <v>0</v>
      </c>
      <c r="O83" s="42">
        <v>0</v>
      </c>
      <c r="P83" s="42">
        <f t="shared" si="49"/>
        <v>11000</v>
      </c>
      <c r="Q83" s="38" t="s">
        <v>19555</v>
      </c>
      <c r="R83" s="36">
        <v>46044</v>
      </c>
      <c r="S83" s="6" t="s">
        <v>19499</v>
      </c>
      <c r="T83" s="50" t="s">
        <v>17377</v>
      </c>
      <c r="U83" s="6" t="str">
        <f>IFERROR(VLOOKUP(T83,'item master'!B:C,2,0),"")</f>
        <v>UNIDEX – DEXAMETHASONE + NEOMYCINE GOUTTES OCULAIRES / OTIQUES 10 ML</v>
      </c>
      <c r="V83" s="51">
        <v>100000</v>
      </c>
      <c r="W83" s="6">
        <v>0</v>
      </c>
      <c r="X83" s="53">
        <v>0.11</v>
      </c>
      <c r="Y83" s="46">
        <f t="shared" si="61"/>
        <v>11000</v>
      </c>
      <c r="Z83" s="42">
        <v>0</v>
      </c>
      <c r="AA83" s="42">
        <f t="shared" si="50"/>
        <v>11000</v>
      </c>
      <c r="AB83" s="45">
        <v>0.3</v>
      </c>
      <c r="AC83" s="46">
        <f t="shared" si="62"/>
        <v>3300</v>
      </c>
      <c r="AD83" s="46">
        <f t="shared" si="60"/>
        <v>3300</v>
      </c>
      <c r="AE83" s="36">
        <v>46055</v>
      </c>
      <c r="AF83" s="6" t="s">
        <v>19564</v>
      </c>
      <c r="AG83" s="51">
        <v>99150</v>
      </c>
      <c r="AH83" s="41">
        <f t="shared" si="51"/>
        <v>99150</v>
      </c>
      <c r="AJ83" s="51">
        <f t="shared" si="35"/>
        <v>850</v>
      </c>
      <c r="AK83" s="6" t="s">
        <v>19570</v>
      </c>
      <c r="AL83" s="36">
        <v>46198</v>
      </c>
      <c r="AM83" s="6" t="s">
        <v>19566</v>
      </c>
      <c r="AN83" s="51">
        <v>0.11</v>
      </c>
      <c r="AO83" s="46">
        <f t="shared" si="58"/>
        <v>10906.5</v>
      </c>
      <c r="AP83" s="46"/>
      <c r="AQ83" s="46"/>
      <c r="AR83" s="46"/>
      <c r="AS83" s="42">
        <f t="shared" si="52"/>
        <v>10906.5</v>
      </c>
      <c r="AT83" s="38" t="s">
        <v>19571</v>
      </c>
      <c r="AV83" s="6" t="s">
        <v>19585</v>
      </c>
      <c r="AW83" s="51"/>
      <c r="AZ83" s="46">
        <v>0</v>
      </c>
      <c r="BA83" s="46">
        <f t="shared" si="42"/>
        <v>3300</v>
      </c>
      <c r="BB83" s="46">
        <v>0</v>
      </c>
      <c r="BC83" s="46">
        <v>0</v>
      </c>
      <c r="BD83" s="46">
        <f t="shared" si="53"/>
        <v>3300</v>
      </c>
      <c r="BE83" s="46">
        <f t="shared" si="59"/>
        <v>0</v>
      </c>
      <c r="BF83" s="46">
        <f t="shared" si="59"/>
        <v>0</v>
      </c>
      <c r="BG83" s="47">
        <f t="shared" si="57"/>
        <v>0</v>
      </c>
      <c r="BH83" s="46">
        <f t="shared" si="54"/>
        <v>7606.5</v>
      </c>
      <c r="BI83" s="46">
        <v>0</v>
      </c>
      <c r="BJ83" s="6"/>
      <c r="BO83" s="48">
        <f t="shared" si="55"/>
        <v>0</v>
      </c>
      <c r="BP83" s="48">
        <f t="shared" si="56"/>
        <v>7606.5</v>
      </c>
      <c r="BQ83" s="6" t="str">
        <f t="shared" si="43"/>
        <v>Payable Balance Supplier</v>
      </c>
      <c r="BS83" s="6" t="str">
        <f t="shared" si="44"/>
        <v>Open</v>
      </c>
      <c r="BT83" s="49">
        <f t="shared" ca="1" si="45"/>
        <v>219</v>
      </c>
    </row>
    <row r="84" spans="1:72" hidden="1" x14ac:dyDescent="0.25">
      <c r="A84" s="6" t="s">
        <v>19436</v>
      </c>
      <c r="B84" s="6">
        <v>1765.25</v>
      </c>
      <c r="C84" s="36">
        <v>46020</v>
      </c>
      <c r="D84" s="6" t="s">
        <v>19440</v>
      </c>
      <c r="E84" s="62">
        <v>6000</v>
      </c>
      <c r="F84" s="38" t="s">
        <v>19605</v>
      </c>
      <c r="G84" s="39">
        <f t="shared" si="46"/>
        <v>0</v>
      </c>
      <c r="H84" s="40">
        <f t="shared" si="47"/>
        <v>0</v>
      </c>
      <c r="I84" s="6" t="s">
        <v>19557</v>
      </c>
      <c r="J84" s="36">
        <v>46044</v>
      </c>
      <c r="K84" s="51">
        <v>600</v>
      </c>
      <c r="L84" s="46">
        <v>5.4</v>
      </c>
      <c r="M84" s="42">
        <f t="shared" si="48"/>
        <v>3240</v>
      </c>
      <c r="N84" s="42">
        <v>0</v>
      </c>
      <c r="O84" s="42">
        <v>0</v>
      </c>
      <c r="P84" s="42">
        <f t="shared" si="49"/>
        <v>3240</v>
      </c>
      <c r="Q84" s="38" t="s">
        <v>19565</v>
      </c>
      <c r="R84" s="36">
        <v>46044</v>
      </c>
      <c r="S84" s="6" t="s">
        <v>19499</v>
      </c>
      <c r="T84" s="50" t="s">
        <v>10284</v>
      </c>
      <c r="U84" s="6" t="str">
        <f>IFERROR(VLOOKUP(T84,'item master'!B:C,2,0),"")</f>
        <v>ERGOMETRINE B/10AMP</v>
      </c>
      <c r="V84" s="51">
        <v>600</v>
      </c>
      <c r="W84" s="6">
        <v>0</v>
      </c>
      <c r="X84" s="53">
        <v>5.4</v>
      </c>
      <c r="Y84" s="46">
        <f t="shared" si="61"/>
        <v>3240</v>
      </c>
      <c r="Z84" s="42">
        <v>0</v>
      </c>
      <c r="AA84" s="42">
        <f t="shared" si="50"/>
        <v>3240</v>
      </c>
      <c r="AB84" s="45">
        <v>0.3</v>
      </c>
      <c r="AC84" s="46">
        <f t="shared" si="62"/>
        <v>972</v>
      </c>
      <c r="AD84" s="46">
        <f t="shared" si="60"/>
        <v>972</v>
      </c>
      <c r="AE84" s="36">
        <v>46055</v>
      </c>
      <c r="AF84" s="6" t="s">
        <v>19564</v>
      </c>
      <c r="AG84" s="51">
        <v>600</v>
      </c>
      <c r="AH84" s="41">
        <f t="shared" si="51"/>
        <v>600</v>
      </c>
      <c r="AJ84" s="51">
        <f t="shared" si="35"/>
        <v>0</v>
      </c>
      <c r="AK84" s="6" t="s">
        <v>19570</v>
      </c>
      <c r="AL84" s="36">
        <v>46198</v>
      </c>
      <c r="AM84" s="6" t="s">
        <v>19566</v>
      </c>
      <c r="AN84" s="51">
        <v>5.4</v>
      </c>
      <c r="AO84" s="46">
        <f t="shared" si="58"/>
        <v>3240</v>
      </c>
      <c r="AP84" s="46"/>
      <c r="AQ84" s="46"/>
      <c r="AR84" s="46"/>
      <c r="AS84" s="42">
        <f t="shared" si="52"/>
        <v>3240</v>
      </c>
      <c r="AT84" s="38" t="s">
        <v>19571</v>
      </c>
      <c r="AU84" s="36"/>
      <c r="AV84" s="6" t="s">
        <v>19585</v>
      </c>
      <c r="AW84" s="51"/>
      <c r="AZ84" s="46">
        <v>0</v>
      </c>
      <c r="BA84" s="46">
        <f t="shared" si="42"/>
        <v>972</v>
      </c>
      <c r="BB84" s="46">
        <v>0</v>
      </c>
      <c r="BC84" s="46">
        <v>0</v>
      </c>
      <c r="BD84" s="46">
        <f t="shared" si="53"/>
        <v>972</v>
      </c>
      <c r="BE84" s="46">
        <f t="shared" si="59"/>
        <v>0</v>
      </c>
      <c r="BF84" s="46">
        <f t="shared" si="59"/>
        <v>0</v>
      </c>
      <c r="BG84" s="47">
        <f t="shared" si="57"/>
        <v>0</v>
      </c>
      <c r="BH84" s="46">
        <f t="shared" si="54"/>
        <v>2268</v>
      </c>
      <c r="BI84" s="46">
        <v>0</v>
      </c>
      <c r="BJ84" s="6"/>
      <c r="BO84" s="48">
        <f t="shared" si="55"/>
        <v>0</v>
      </c>
      <c r="BP84" s="48">
        <f t="shared" si="56"/>
        <v>2268</v>
      </c>
      <c r="BQ84" s="6" t="str">
        <f t="shared" si="43"/>
        <v>Payable Balance Supplier</v>
      </c>
      <c r="BS84" s="6" t="str">
        <f t="shared" si="44"/>
        <v>Open</v>
      </c>
      <c r="BT84" s="49">
        <f t="shared" ca="1" si="45"/>
        <v>219</v>
      </c>
    </row>
    <row r="85" spans="1:72" hidden="1" x14ac:dyDescent="0.25">
      <c r="A85" s="6" t="s">
        <v>19436</v>
      </c>
      <c r="B85" s="6">
        <v>1765.25</v>
      </c>
      <c r="C85" s="36">
        <v>46020</v>
      </c>
      <c r="D85" s="6" t="s">
        <v>19440</v>
      </c>
      <c r="E85" s="62">
        <v>7500</v>
      </c>
      <c r="F85" s="38" t="s">
        <v>19556</v>
      </c>
      <c r="G85" s="39">
        <f t="shared" si="46"/>
        <v>0</v>
      </c>
      <c r="H85" s="40">
        <f t="shared" si="47"/>
        <v>0</v>
      </c>
      <c r="I85" s="6" t="s">
        <v>19557</v>
      </c>
      <c r="J85" s="36">
        <v>46044</v>
      </c>
      <c r="K85" s="51">
        <v>7500</v>
      </c>
      <c r="L85" s="46">
        <v>1</v>
      </c>
      <c r="M85" s="42">
        <f t="shared" si="48"/>
        <v>7500</v>
      </c>
      <c r="N85" s="42">
        <v>0</v>
      </c>
      <c r="O85" s="42">
        <v>0</v>
      </c>
      <c r="P85" s="42">
        <f t="shared" si="49"/>
        <v>7500</v>
      </c>
      <c r="Q85" s="38" t="s">
        <v>19565</v>
      </c>
      <c r="R85" s="36">
        <v>46044</v>
      </c>
      <c r="S85" s="6" t="s">
        <v>19499</v>
      </c>
      <c r="T85" s="50" t="s">
        <v>16164</v>
      </c>
      <c r="U85" s="6" t="str">
        <f>IFERROR(VLOOKUP(T85,'item master'!B:C,2,0),"")</f>
        <v>TROBINIQUE-2G(SPECTINOMYCIN) B/1VIAL+3.2MLE.D</v>
      </c>
      <c r="V85" s="51">
        <v>7500</v>
      </c>
      <c r="W85" s="6">
        <v>0</v>
      </c>
      <c r="X85" s="53">
        <v>1</v>
      </c>
      <c r="Y85" s="46">
        <f t="shared" si="61"/>
        <v>7500</v>
      </c>
      <c r="Z85" s="42">
        <v>0</v>
      </c>
      <c r="AA85" s="42">
        <f t="shared" si="50"/>
        <v>7500</v>
      </c>
      <c r="AB85" s="45">
        <v>0.3</v>
      </c>
      <c r="AC85" s="46">
        <f t="shared" si="62"/>
        <v>2250</v>
      </c>
      <c r="AD85" s="46">
        <f t="shared" si="60"/>
        <v>2250</v>
      </c>
      <c r="AE85" s="36">
        <v>46055</v>
      </c>
      <c r="AF85" s="6" t="s">
        <v>19564</v>
      </c>
      <c r="AG85" s="51">
        <v>7500</v>
      </c>
      <c r="AH85" s="41">
        <f t="shared" si="51"/>
        <v>7500</v>
      </c>
      <c r="AJ85" s="51">
        <f t="shared" si="35"/>
        <v>0</v>
      </c>
      <c r="AK85" s="6" t="s">
        <v>19558</v>
      </c>
      <c r="AL85" s="36">
        <v>46111</v>
      </c>
      <c r="AM85" s="6" t="s">
        <v>19566</v>
      </c>
      <c r="AN85" s="51">
        <v>1</v>
      </c>
      <c r="AO85" s="46">
        <f t="shared" si="58"/>
        <v>7500</v>
      </c>
      <c r="AP85" s="46"/>
      <c r="AQ85" s="46"/>
      <c r="AR85" s="46"/>
      <c r="AS85" s="42">
        <f t="shared" si="52"/>
        <v>7500</v>
      </c>
      <c r="AT85" s="38">
        <v>269667137</v>
      </c>
      <c r="AU85" s="36">
        <v>46155</v>
      </c>
      <c r="AV85" s="6" t="s">
        <v>19567</v>
      </c>
      <c r="AW85" s="51"/>
      <c r="AZ85" s="46">
        <v>0</v>
      </c>
      <c r="BA85" s="46">
        <f t="shared" si="42"/>
        <v>2250</v>
      </c>
      <c r="BB85" s="46">
        <v>0</v>
      </c>
      <c r="BC85" s="46">
        <v>0</v>
      </c>
      <c r="BD85" s="46">
        <f t="shared" si="53"/>
        <v>2250</v>
      </c>
      <c r="BE85" s="46">
        <f t="shared" si="59"/>
        <v>0</v>
      </c>
      <c r="BF85" s="46">
        <f t="shared" si="59"/>
        <v>0</v>
      </c>
      <c r="BG85" s="47">
        <f t="shared" si="57"/>
        <v>0</v>
      </c>
      <c r="BH85" s="46">
        <f t="shared" si="54"/>
        <v>5250</v>
      </c>
      <c r="BI85" s="46">
        <v>0</v>
      </c>
      <c r="BJ85" s="6"/>
      <c r="BL85" s="6">
        <v>5250</v>
      </c>
      <c r="BM85" s="6" t="s">
        <v>20098</v>
      </c>
      <c r="BN85" s="36">
        <v>46237</v>
      </c>
      <c r="BO85" s="48">
        <f t="shared" si="55"/>
        <v>5250</v>
      </c>
      <c r="BP85" s="48">
        <f t="shared" si="56"/>
        <v>0</v>
      </c>
      <c r="BQ85" s="6" t="str">
        <f t="shared" si="43"/>
        <v>Fully Paid</v>
      </c>
      <c r="BS85" s="6" t="str">
        <f t="shared" si="44"/>
        <v>Open</v>
      </c>
      <c r="BT85" s="49">
        <f t="shared" ca="1" si="45"/>
        <v>219</v>
      </c>
    </row>
    <row r="86" spans="1:72" hidden="1" x14ac:dyDescent="0.25">
      <c r="A86" s="6" t="s">
        <v>19436</v>
      </c>
      <c r="B86" s="6">
        <v>1911.26</v>
      </c>
      <c r="C86" s="36">
        <v>46185</v>
      </c>
      <c r="D86" s="6" t="s">
        <v>19438</v>
      </c>
      <c r="E86" s="37">
        <v>10000</v>
      </c>
      <c r="F86" s="38" t="s">
        <v>19556</v>
      </c>
      <c r="G86" s="39" t="str">
        <f t="shared" si="46"/>
        <v>GRN Not Received</v>
      </c>
      <c r="H86" s="40" t="str">
        <f t="shared" si="47"/>
        <v>GRN Not Received</v>
      </c>
      <c r="I86" s="6" t="s">
        <v>19679</v>
      </c>
      <c r="J86" s="36">
        <v>46205</v>
      </c>
      <c r="K86" s="41">
        <v>10000</v>
      </c>
      <c r="L86" s="42">
        <v>0.83</v>
      </c>
      <c r="M86" s="42">
        <f t="shared" si="48"/>
        <v>8300</v>
      </c>
      <c r="N86" s="42">
        <v>0</v>
      </c>
      <c r="O86" s="42">
        <v>0</v>
      </c>
      <c r="P86" s="42">
        <f t="shared" si="49"/>
        <v>8300</v>
      </c>
      <c r="Q86" s="38" t="s">
        <v>19677</v>
      </c>
      <c r="R86" s="36">
        <v>46205</v>
      </c>
      <c r="S86" s="6" t="s">
        <v>19499</v>
      </c>
      <c r="T86" s="50" t="s">
        <v>16355</v>
      </c>
      <c r="U86" s="6" t="str">
        <f>IFERROR(VLOOKUP(T86,'item master'!B:C,2,0),"")</f>
        <v>SOLU-PREDNOL 125MG (MÉTHYLPREDNISOLONE) INJ.B/1 VIAL + SOLVENT 2ML</v>
      </c>
      <c r="V86" s="41">
        <v>10000</v>
      </c>
      <c r="W86" s="41">
        <v>0</v>
      </c>
      <c r="X86" s="44">
        <v>0.83</v>
      </c>
      <c r="Y86" s="42">
        <f t="shared" si="61"/>
        <v>8300</v>
      </c>
      <c r="Z86" s="42">
        <v>0</v>
      </c>
      <c r="AA86" s="42">
        <f t="shared" si="50"/>
        <v>8300</v>
      </c>
      <c r="AB86" s="45">
        <v>0.3</v>
      </c>
      <c r="AC86" s="42">
        <f t="shared" si="62"/>
        <v>2490</v>
      </c>
      <c r="AD86" s="42">
        <f t="shared" si="60"/>
        <v>2490</v>
      </c>
      <c r="AE86" s="36">
        <v>46209</v>
      </c>
      <c r="AF86" s="6" t="s">
        <v>19678</v>
      </c>
      <c r="AH86" s="41">
        <f t="shared" si="51"/>
        <v>0</v>
      </c>
      <c r="AJ86" s="51">
        <f t="shared" si="35"/>
        <v>10000</v>
      </c>
      <c r="AO86" s="46">
        <f t="shared" si="58"/>
        <v>0</v>
      </c>
      <c r="AP86" s="46"/>
      <c r="AQ86" s="46"/>
      <c r="AR86" s="46"/>
      <c r="AS86" s="42">
        <f t="shared" si="52"/>
        <v>0</v>
      </c>
      <c r="AV86" s="6" t="s">
        <v>19584</v>
      </c>
      <c r="AZ86" s="46">
        <v>0</v>
      </c>
      <c r="BA86" s="42">
        <f t="shared" si="42"/>
        <v>2490</v>
      </c>
      <c r="BB86" s="46">
        <v>0</v>
      </c>
      <c r="BC86" s="46">
        <v>0</v>
      </c>
      <c r="BD86" s="46" t="str">
        <f t="shared" si="53"/>
        <v>0</v>
      </c>
      <c r="BE86" s="46">
        <f t="shared" si="59"/>
        <v>2490</v>
      </c>
      <c r="BF86" s="46">
        <f t="shared" si="59"/>
        <v>-2490</v>
      </c>
      <c r="BG86" s="47">
        <f t="shared" si="57"/>
        <v>4980</v>
      </c>
      <c r="BH86" s="46">
        <f t="shared" si="54"/>
        <v>0</v>
      </c>
      <c r="BI86" s="46">
        <v>0</v>
      </c>
      <c r="BO86" s="48">
        <f t="shared" si="55"/>
        <v>0</v>
      </c>
      <c r="BP86" s="48">
        <f t="shared" si="56"/>
        <v>0</v>
      </c>
      <c r="BQ86" s="6" t="str">
        <f t="shared" si="43"/>
        <v>Advance With Supplier</v>
      </c>
      <c r="BS86" s="6" t="str">
        <f t="shared" si="44"/>
        <v>Open</v>
      </c>
      <c r="BT86" s="49">
        <f t="shared" ca="1" si="45"/>
        <v>58</v>
      </c>
    </row>
    <row r="87" spans="1:72" hidden="1" x14ac:dyDescent="0.25">
      <c r="A87" s="6" t="s">
        <v>19436</v>
      </c>
      <c r="B87" s="6">
        <v>1911.26</v>
      </c>
      <c r="C87" s="36">
        <v>46185</v>
      </c>
      <c r="D87" s="6" t="s">
        <v>19438</v>
      </c>
      <c r="E87" s="37">
        <v>10000</v>
      </c>
      <c r="F87" s="38" t="s">
        <v>19556</v>
      </c>
      <c r="G87" s="39" t="str">
        <f t="shared" si="46"/>
        <v>GRN Not Received</v>
      </c>
      <c r="H87" s="40" t="str">
        <f t="shared" si="47"/>
        <v>GRN Not Received</v>
      </c>
      <c r="I87" s="6" t="s">
        <v>19679</v>
      </c>
      <c r="J87" s="36">
        <v>46205</v>
      </c>
      <c r="K87" s="41">
        <v>10000</v>
      </c>
      <c r="L87" s="42">
        <v>0.42</v>
      </c>
      <c r="M87" s="42">
        <f t="shared" si="48"/>
        <v>4200</v>
      </c>
      <c r="N87" s="42">
        <v>0</v>
      </c>
      <c r="O87" s="42">
        <v>0</v>
      </c>
      <c r="P87" s="42">
        <f t="shared" si="49"/>
        <v>4200</v>
      </c>
      <c r="Q87" s="38" t="s">
        <v>19677</v>
      </c>
      <c r="R87" s="36">
        <v>46205</v>
      </c>
      <c r="S87" s="6" t="s">
        <v>19499</v>
      </c>
      <c r="T87" s="50" t="s">
        <v>16357</v>
      </c>
      <c r="U87" s="6" t="str">
        <f>IFERROR(VLOOKUP(T87,'item master'!B:C,2,0),"")</f>
        <v>SOLU-PREDNOL 40MG (METHYLPREDNISOLONE) INJ.B/1 VIAL+SOLVENT 2ML</v>
      </c>
      <c r="V87" s="41">
        <v>10000</v>
      </c>
      <c r="W87" s="41">
        <v>0</v>
      </c>
      <c r="X87" s="44">
        <v>0.42</v>
      </c>
      <c r="Y87" s="42">
        <f t="shared" si="61"/>
        <v>4200</v>
      </c>
      <c r="Z87" s="42">
        <v>0</v>
      </c>
      <c r="AA87" s="42">
        <f t="shared" si="50"/>
        <v>4200</v>
      </c>
      <c r="AB87" s="45">
        <v>0.3</v>
      </c>
      <c r="AC87" s="42">
        <f t="shared" si="62"/>
        <v>1260</v>
      </c>
      <c r="AD87" s="42">
        <f t="shared" si="60"/>
        <v>1260</v>
      </c>
      <c r="AE87" s="36">
        <v>46209</v>
      </c>
      <c r="AF87" s="6" t="s">
        <v>19678</v>
      </c>
      <c r="AH87" s="41">
        <f t="shared" si="51"/>
        <v>0</v>
      </c>
      <c r="AJ87" s="51">
        <f t="shared" si="35"/>
        <v>10000</v>
      </c>
      <c r="AO87" s="46">
        <f t="shared" si="58"/>
        <v>0</v>
      </c>
      <c r="AP87" s="46"/>
      <c r="AQ87" s="46"/>
      <c r="AR87" s="46"/>
      <c r="AS87" s="42">
        <f t="shared" si="52"/>
        <v>0</v>
      </c>
      <c r="AV87" s="6" t="s">
        <v>19584</v>
      </c>
      <c r="AZ87" s="46">
        <v>0</v>
      </c>
      <c r="BA87" s="42">
        <f t="shared" si="42"/>
        <v>1260</v>
      </c>
      <c r="BB87" s="46">
        <v>0</v>
      </c>
      <c r="BC87" s="46">
        <v>0</v>
      </c>
      <c r="BD87" s="46" t="str">
        <f t="shared" si="53"/>
        <v>0</v>
      </c>
      <c r="BE87" s="46">
        <f t="shared" si="59"/>
        <v>1260</v>
      </c>
      <c r="BF87" s="46">
        <f t="shared" si="59"/>
        <v>-1260</v>
      </c>
      <c r="BG87" s="47">
        <f t="shared" si="57"/>
        <v>2520</v>
      </c>
      <c r="BH87" s="46">
        <f t="shared" si="54"/>
        <v>0</v>
      </c>
      <c r="BI87" s="46">
        <v>0</v>
      </c>
      <c r="BO87" s="48">
        <f t="shared" si="55"/>
        <v>0</v>
      </c>
      <c r="BP87" s="48">
        <f t="shared" si="56"/>
        <v>0</v>
      </c>
      <c r="BQ87" s="6" t="str">
        <f t="shared" si="43"/>
        <v>Advance With Supplier</v>
      </c>
      <c r="BS87" s="6" t="str">
        <f t="shared" si="44"/>
        <v>Open</v>
      </c>
      <c r="BT87" s="49">
        <f t="shared" ca="1" si="45"/>
        <v>58</v>
      </c>
    </row>
    <row r="88" spans="1:72" hidden="1" x14ac:dyDescent="0.25">
      <c r="A88" s="6" t="s">
        <v>19436</v>
      </c>
      <c r="B88" s="6">
        <v>1911.26</v>
      </c>
      <c r="C88" s="36">
        <v>46185</v>
      </c>
      <c r="D88" s="6" t="s">
        <v>19438</v>
      </c>
      <c r="E88" s="37">
        <v>10000</v>
      </c>
      <c r="F88" s="38" t="s">
        <v>19556</v>
      </c>
      <c r="G88" s="39" t="str">
        <f t="shared" si="46"/>
        <v>GRN Not Received</v>
      </c>
      <c r="H88" s="40" t="str">
        <f t="shared" si="47"/>
        <v>GRN Not Received</v>
      </c>
      <c r="I88" s="6" t="s">
        <v>19679</v>
      </c>
      <c r="J88" s="36">
        <v>46205</v>
      </c>
      <c r="K88" s="41">
        <v>10000</v>
      </c>
      <c r="L88" s="42">
        <v>0.56999999999999995</v>
      </c>
      <c r="M88" s="42">
        <f t="shared" si="48"/>
        <v>5699.9999999999991</v>
      </c>
      <c r="N88" s="42">
        <v>0</v>
      </c>
      <c r="O88" s="42">
        <v>0</v>
      </c>
      <c r="P88" s="42">
        <f t="shared" si="49"/>
        <v>5699.9999999999991</v>
      </c>
      <c r="Q88" s="38" t="s">
        <v>19677</v>
      </c>
      <c r="R88" s="36">
        <v>46205</v>
      </c>
      <c r="S88" s="6" t="s">
        <v>19499</v>
      </c>
      <c r="T88" s="50" t="s">
        <v>16180</v>
      </c>
      <c r="U88" s="6" t="str">
        <f>IFERROR(VLOOKUP(T88,'item master'!B:C,2,0),"")</f>
        <v>UNIKORT-80 (TRIAMCINOLONE) B/1 VIAL +SER</v>
      </c>
      <c r="V88" s="41">
        <v>10000</v>
      </c>
      <c r="W88" s="41">
        <v>0</v>
      </c>
      <c r="X88" s="44">
        <v>0.56999999999999995</v>
      </c>
      <c r="Y88" s="42">
        <f t="shared" si="61"/>
        <v>5699.9999999999991</v>
      </c>
      <c r="Z88" s="42">
        <v>0</v>
      </c>
      <c r="AA88" s="42">
        <f t="shared" si="50"/>
        <v>5699.9999999999991</v>
      </c>
      <c r="AB88" s="45">
        <v>0.3</v>
      </c>
      <c r="AC88" s="42">
        <f t="shared" si="62"/>
        <v>1709.9999999999998</v>
      </c>
      <c r="AD88" s="42">
        <f t="shared" si="60"/>
        <v>1709.9999999999998</v>
      </c>
      <c r="AE88" s="36">
        <v>46209</v>
      </c>
      <c r="AF88" s="6" t="s">
        <v>19678</v>
      </c>
      <c r="AH88" s="41">
        <f t="shared" si="51"/>
        <v>0</v>
      </c>
      <c r="AJ88" s="51">
        <f t="shared" si="35"/>
        <v>10000</v>
      </c>
      <c r="AO88" s="46">
        <f t="shared" si="58"/>
        <v>0</v>
      </c>
      <c r="AP88" s="46"/>
      <c r="AQ88" s="46"/>
      <c r="AR88" s="46"/>
      <c r="AS88" s="42">
        <f t="shared" si="52"/>
        <v>0</v>
      </c>
      <c r="AV88" s="6" t="s">
        <v>19584</v>
      </c>
      <c r="AZ88" s="46">
        <v>0</v>
      </c>
      <c r="BA88" s="42">
        <f t="shared" si="42"/>
        <v>1709.9999999999998</v>
      </c>
      <c r="BB88" s="46">
        <v>0</v>
      </c>
      <c r="BC88" s="46">
        <v>0</v>
      </c>
      <c r="BD88" s="46" t="str">
        <f t="shared" si="53"/>
        <v>0</v>
      </c>
      <c r="BE88" s="46">
        <f t="shared" si="59"/>
        <v>1709.9999999999998</v>
      </c>
      <c r="BF88" s="46">
        <f t="shared" si="59"/>
        <v>-1709.9999999999998</v>
      </c>
      <c r="BG88" s="47">
        <f t="shared" si="57"/>
        <v>3419.9999999999995</v>
      </c>
      <c r="BH88" s="46">
        <f t="shared" si="54"/>
        <v>0</v>
      </c>
      <c r="BI88" s="46">
        <v>0</v>
      </c>
      <c r="BO88" s="48">
        <f t="shared" si="55"/>
        <v>0</v>
      </c>
      <c r="BP88" s="48">
        <f t="shared" si="56"/>
        <v>0</v>
      </c>
      <c r="BQ88" s="6" t="str">
        <f t="shared" si="43"/>
        <v>Advance With Supplier</v>
      </c>
      <c r="BS88" s="6" t="str">
        <f t="shared" si="44"/>
        <v>Open</v>
      </c>
      <c r="BT88" s="49">
        <f t="shared" ca="1" si="45"/>
        <v>58</v>
      </c>
    </row>
    <row r="89" spans="1:72" hidden="1" x14ac:dyDescent="0.25">
      <c r="A89" s="6" t="s">
        <v>19436</v>
      </c>
      <c r="B89" s="6">
        <v>1877.26</v>
      </c>
      <c r="C89" s="36">
        <v>46157</v>
      </c>
      <c r="D89" s="6" t="s">
        <v>19438</v>
      </c>
      <c r="E89" s="37">
        <v>120000</v>
      </c>
      <c r="F89" s="38" t="s">
        <v>19605</v>
      </c>
      <c r="G89" s="39">
        <f t="shared" si="46"/>
        <v>0</v>
      </c>
      <c r="H89" s="40">
        <f t="shared" si="47"/>
        <v>0</v>
      </c>
      <c r="I89" s="6" t="s">
        <v>19680</v>
      </c>
      <c r="J89" s="36">
        <v>46174</v>
      </c>
      <c r="K89" s="41">
        <v>12000</v>
      </c>
      <c r="L89" s="42">
        <v>3.3</v>
      </c>
      <c r="M89" s="42">
        <f t="shared" si="48"/>
        <v>39600</v>
      </c>
      <c r="N89" s="42">
        <v>0</v>
      </c>
      <c r="O89" s="42">
        <v>0</v>
      </c>
      <c r="P89" s="42">
        <f t="shared" si="49"/>
        <v>39600</v>
      </c>
      <c r="Q89" s="38" t="s">
        <v>19682</v>
      </c>
      <c r="R89" s="36">
        <v>46157</v>
      </c>
      <c r="S89" s="6" t="s">
        <v>19499</v>
      </c>
      <c r="T89" s="50" t="s">
        <v>2365</v>
      </c>
      <c r="U89" s="6" t="str">
        <f>IFERROR(VLOOKUP(T89,'item master'!B:C,2,0),"")</f>
        <v>PAPAVERINE 40MG/ML INJ. 10AMP</v>
      </c>
      <c r="V89" s="41">
        <v>12000</v>
      </c>
      <c r="X89" s="44">
        <v>3.3</v>
      </c>
      <c r="Y89" s="42">
        <f t="shared" si="61"/>
        <v>39600</v>
      </c>
      <c r="Z89" s="42">
        <v>0</v>
      </c>
      <c r="AA89" s="42">
        <f t="shared" si="50"/>
        <v>39600</v>
      </c>
      <c r="AB89" s="45">
        <v>0.3</v>
      </c>
      <c r="AC89" s="42">
        <f t="shared" si="62"/>
        <v>11880</v>
      </c>
      <c r="AD89" s="42">
        <f t="shared" si="60"/>
        <v>11880</v>
      </c>
      <c r="AE89" s="36">
        <v>46177</v>
      </c>
      <c r="AF89" s="6" t="s">
        <v>19683</v>
      </c>
      <c r="AG89" s="41">
        <v>1200</v>
      </c>
      <c r="AH89" s="41">
        <f t="shared" si="51"/>
        <v>1200</v>
      </c>
      <c r="AJ89" s="41">
        <f t="shared" si="35"/>
        <v>10800</v>
      </c>
      <c r="AK89" s="6" t="s">
        <v>20153</v>
      </c>
      <c r="AL89" s="36">
        <v>46233</v>
      </c>
      <c r="AM89" s="6" t="s">
        <v>19566</v>
      </c>
      <c r="AN89" s="41">
        <v>3.3</v>
      </c>
      <c r="AO89" s="46">
        <f t="shared" si="58"/>
        <v>3960</v>
      </c>
      <c r="AP89" s="46"/>
      <c r="AQ89" s="46"/>
      <c r="AR89" s="46"/>
      <c r="AS89" s="42">
        <f t="shared" si="52"/>
        <v>3960</v>
      </c>
      <c r="AT89" s="38" t="s">
        <v>20154</v>
      </c>
      <c r="AU89" s="36">
        <v>46245</v>
      </c>
      <c r="AV89" s="6" t="s">
        <v>19584</v>
      </c>
      <c r="AZ89" s="46">
        <v>0</v>
      </c>
      <c r="BA89" s="42">
        <f t="shared" si="42"/>
        <v>11880</v>
      </c>
      <c r="BB89" s="46">
        <v>0</v>
      </c>
      <c r="BC89" s="46">
        <v>0</v>
      </c>
      <c r="BD89" s="46">
        <f t="shared" si="53"/>
        <v>11880</v>
      </c>
      <c r="BE89" s="46">
        <f t="shared" si="59"/>
        <v>0</v>
      </c>
      <c r="BF89" s="46">
        <f t="shared" si="59"/>
        <v>0</v>
      </c>
      <c r="BG89" s="47">
        <f t="shared" si="57"/>
        <v>0</v>
      </c>
      <c r="BH89" s="46">
        <f t="shared" si="54"/>
        <v>-7920</v>
      </c>
      <c r="BI89" s="46">
        <v>0</v>
      </c>
      <c r="BO89" s="48">
        <f t="shared" si="55"/>
        <v>0</v>
      </c>
      <c r="BP89" s="48">
        <f t="shared" si="56"/>
        <v>-7920</v>
      </c>
      <c r="BQ89" s="6" t="str">
        <f t="shared" si="43"/>
        <v>Fully Paid</v>
      </c>
      <c r="BS89" s="6" t="str">
        <f t="shared" si="44"/>
        <v>Open</v>
      </c>
      <c r="BT89" s="49">
        <f t="shared" ca="1" si="45"/>
        <v>89</v>
      </c>
    </row>
    <row r="90" spans="1:72" hidden="1" x14ac:dyDescent="0.25">
      <c r="A90" s="6" t="s">
        <v>19436</v>
      </c>
      <c r="B90" s="6">
        <v>1877.26</v>
      </c>
      <c r="C90" s="36">
        <v>46157</v>
      </c>
      <c r="D90" s="6" t="s">
        <v>19438</v>
      </c>
      <c r="E90" s="37">
        <v>200000</v>
      </c>
      <c r="F90" s="38" t="s">
        <v>19605</v>
      </c>
      <c r="G90" s="39" t="str">
        <f t="shared" si="46"/>
        <v>GRN Not Received</v>
      </c>
      <c r="H90" s="40" t="str">
        <f t="shared" si="47"/>
        <v>GRN Not Received</v>
      </c>
      <c r="I90" s="6" t="s">
        <v>19680</v>
      </c>
      <c r="J90" s="36">
        <v>46174</v>
      </c>
      <c r="K90" s="41">
        <v>20000</v>
      </c>
      <c r="L90" s="42">
        <v>2.7</v>
      </c>
      <c r="M90" s="42">
        <f t="shared" si="48"/>
        <v>54000</v>
      </c>
      <c r="N90" s="42">
        <v>0</v>
      </c>
      <c r="O90" s="42">
        <v>0</v>
      </c>
      <c r="P90" s="42">
        <f t="shared" si="49"/>
        <v>54000</v>
      </c>
      <c r="Q90" s="38" t="s">
        <v>19682</v>
      </c>
      <c r="R90" s="36">
        <v>46157</v>
      </c>
      <c r="S90" s="6" t="s">
        <v>19499</v>
      </c>
      <c r="T90" s="50" t="s">
        <v>3714</v>
      </c>
      <c r="U90" s="6" t="str">
        <f>IFERROR(VLOOKUP(T90,'item master'!B:C,2,0),"")</f>
        <v>OXYTOCINE 10UI/1ML INJ. B/10AMP</v>
      </c>
      <c r="V90" s="41">
        <v>20000</v>
      </c>
      <c r="X90" s="44">
        <v>2.7</v>
      </c>
      <c r="Y90" s="42">
        <f t="shared" si="61"/>
        <v>54000</v>
      </c>
      <c r="Z90" s="42">
        <v>0</v>
      </c>
      <c r="AA90" s="42">
        <f t="shared" si="50"/>
        <v>54000</v>
      </c>
      <c r="AB90" s="45">
        <v>0.3</v>
      </c>
      <c r="AC90" s="42">
        <f t="shared" si="62"/>
        <v>16200</v>
      </c>
      <c r="AD90" s="42">
        <f t="shared" si="60"/>
        <v>16200</v>
      </c>
      <c r="AE90" s="36">
        <v>46177</v>
      </c>
      <c r="AF90" s="6" t="s">
        <v>19683</v>
      </c>
      <c r="AH90" s="41">
        <f t="shared" si="51"/>
        <v>0</v>
      </c>
      <c r="AJ90" s="41">
        <f t="shared" si="35"/>
        <v>20000</v>
      </c>
      <c r="AO90" s="46">
        <f t="shared" si="58"/>
        <v>0</v>
      </c>
      <c r="AP90" s="46"/>
      <c r="AQ90" s="46"/>
      <c r="AR90" s="46"/>
      <c r="AS90" s="42">
        <f t="shared" si="52"/>
        <v>0</v>
      </c>
      <c r="AV90" s="6" t="s">
        <v>19584</v>
      </c>
      <c r="AY90" s="65"/>
      <c r="AZ90" s="46">
        <v>0</v>
      </c>
      <c r="BA90" s="42">
        <f t="shared" si="42"/>
        <v>16200</v>
      </c>
      <c r="BB90" s="46">
        <v>0</v>
      </c>
      <c r="BC90" s="46">
        <v>0</v>
      </c>
      <c r="BD90" s="46" t="str">
        <f t="shared" si="53"/>
        <v>0</v>
      </c>
      <c r="BE90" s="46">
        <f t="shared" si="59"/>
        <v>16200</v>
      </c>
      <c r="BF90" s="46">
        <f t="shared" si="59"/>
        <v>-16200</v>
      </c>
      <c r="BG90" s="47">
        <f t="shared" si="57"/>
        <v>32400</v>
      </c>
      <c r="BH90" s="46">
        <f t="shared" si="54"/>
        <v>0</v>
      </c>
      <c r="BI90" s="46">
        <v>0</v>
      </c>
      <c r="BO90" s="48">
        <f t="shared" si="55"/>
        <v>0</v>
      </c>
      <c r="BP90" s="48">
        <f t="shared" si="56"/>
        <v>0</v>
      </c>
      <c r="BQ90" s="6" t="str">
        <f t="shared" si="43"/>
        <v>Advance With Supplier</v>
      </c>
      <c r="BS90" s="6" t="str">
        <f t="shared" si="44"/>
        <v>Open</v>
      </c>
      <c r="BT90" s="49">
        <f t="shared" ca="1" si="45"/>
        <v>89</v>
      </c>
    </row>
    <row r="91" spans="1:72" hidden="1" x14ac:dyDescent="0.25">
      <c r="A91" s="6" t="s">
        <v>19436</v>
      </c>
      <c r="B91" s="6">
        <v>1877.26</v>
      </c>
      <c r="C91" s="36">
        <v>46157</v>
      </c>
      <c r="D91" s="6" t="s">
        <v>19438</v>
      </c>
      <c r="E91" s="37">
        <v>1000</v>
      </c>
      <c r="F91" s="38" t="s">
        <v>19591</v>
      </c>
      <c r="G91" s="39" t="str">
        <f t="shared" si="46"/>
        <v>GRN Not Received</v>
      </c>
      <c r="H91" s="40" t="str">
        <f t="shared" si="47"/>
        <v>GRN Not Received</v>
      </c>
      <c r="I91" s="6" t="s">
        <v>19680</v>
      </c>
      <c r="J91" s="36">
        <v>46174</v>
      </c>
      <c r="K91" s="41">
        <v>4000</v>
      </c>
      <c r="L91" s="42">
        <v>0.85</v>
      </c>
      <c r="M91" s="42">
        <f t="shared" si="48"/>
        <v>3400</v>
      </c>
      <c r="N91" s="42">
        <v>0</v>
      </c>
      <c r="O91" s="42">
        <v>0</v>
      </c>
      <c r="P91" s="42">
        <f t="shared" si="49"/>
        <v>3400</v>
      </c>
      <c r="Q91" s="38" t="s">
        <v>19682</v>
      </c>
      <c r="R91" s="36">
        <v>46157</v>
      </c>
      <c r="S91" s="6" t="s">
        <v>19499</v>
      </c>
      <c r="T91" s="50" t="s">
        <v>8916</v>
      </c>
      <c r="U91" s="6" t="str">
        <f>IFERROR(VLOOKUP(T91,'item master'!B:C,2,0),"")</f>
        <v>CAFEINE B/10AMP</v>
      </c>
      <c r="V91" s="41">
        <v>4000</v>
      </c>
      <c r="X91" s="44">
        <v>0.85</v>
      </c>
      <c r="Y91" s="42">
        <f t="shared" si="61"/>
        <v>3400</v>
      </c>
      <c r="Z91" s="42">
        <v>0</v>
      </c>
      <c r="AA91" s="42">
        <f t="shared" si="50"/>
        <v>3400</v>
      </c>
      <c r="AB91" s="45">
        <v>0.3</v>
      </c>
      <c r="AC91" s="42">
        <f t="shared" si="62"/>
        <v>1020</v>
      </c>
      <c r="AD91" s="42">
        <f t="shared" si="60"/>
        <v>1020</v>
      </c>
      <c r="AE91" s="36">
        <v>46177</v>
      </c>
      <c r="AF91" s="6" t="s">
        <v>19683</v>
      </c>
      <c r="AH91" s="41">
        <f t="shared" si="51"/>
        <v>0</v>
      </c>
      <c r="AJ91" s="41">
        <f t="shared" si="35"/>
        <v>4000</v>
      </c>
      <c r="AO91" s="46">
        <f t="shared" si="58"/>
        <v>0</v>
      </c>
      <c r="AP91" s="46"/>
      <c r="AQ91" s="46"/>
      <c r="AR91" s="46"/>
      <c r="AS91" s="42">
        <f t="shared" si="52"/>
        <v>0</v>
      </c>
      <c r="AV91" s="6" t="s">
        <v>19584</v>
      </c>
      <c r="AY91" s="65"/>
      <c r="AZ91" s="46">
        <v>0</v>
      </c>
      <c r="BA91" s="42">
        <f t="shared" si="42"/>
        <v>1020</v>
      </c>
      <c r="BB91" s="46">
        <v>0</v>
      </c>
      <c r="BC91" s="46">
        <v>0</v>
      </c>
      <c r="BD91" s="46" t="str">
        <f t="shared" si="53"/>
        <v>0</v>
      </c>
      <c r="BE91" s="46">
        <f t="shared" si="59"/>
        <v>1020</v>
      </c>
      <c r="BF91" s="46">
        <f t="shared" si="59"/>
        <v>-1020</v>
      </c>
      <c r="BG91" s="47">
        <f t="shared" si="57"/>
        <v>2040</v>
      </c>
      <c r="BH91" s="46">
        <f t="shared" si="54"/>
        <v>0</v>
      </c>
      <c r="BI91" s="46">
        <v>0</v>
      </c>
      <c r="BO91" s="48">
        <f t="shared" si="55"/>
        <v>0</v>
      </c>
      <c r="BP91" s="48">
        <f t="shared" si="56"/>
        <v>0</v>
      </c>
      <c r="BQ91" s="6" t="str">
        <f t="shared" si="43"/>
        <v>Advance With Supplier</v>
      </c>
      <c r="BS91" s="6" t="str">
        <f t="shared" si="44"/>
        <v>Open</v>
      </c>
      <c r="BT91" s="49">
        <f t="shared" ca="1" si="45"/>
        <v>89</v>
      </c>
    </row>
    <row r="92" spans="1:72" hidden="1" x14ac:dyDescent="0.25">
      <c r="A92" s="6" t="s">
        <v>19436</v>
      </c>
      <c r="B92" s="6">
        <v>1877.26</v>
      </c>
      <c r="C92" s="36">
        <v>46157</v>
      </c>
      <c r="D92" s="6" t="s">
        <v>19438</v>
      </c>
      <c r="E92" s="37">
        <v>10000</v>
      </c>
      <c r="F92" s="38" t="s">
        <v>19556</v>
      </c>
      <c r="G92" s="39" t="str">
        <f t="shared" si="46"/>
        <v>GRN Not Received</v>
      </c>
      <c r="H92" s="40" t="str">
        <f t="shared" si="47"/>
        <v>GRN Not Received</v>
      </c>
      <c r="I92" s="6" t="s">
        <v>19680</v>
      </c>
      <c r="J92" s="36">
        <v>46174</v>
      </c>
      <c r="K92" s="41">
        <v>10000</v>
      </c>
      <c r="L92" s="42">
        <v>1.1000000000000001</v>
      </c>
      <c r="M92" s="42">
        <f t="shared" si="48"/>
        <v>11000</v>
      </c>
      <c r="N92" s="42">
        <v>0</v>
      </c>
      <c r="O92" s="42">
        <v>0</v>
      </c>
      <c r="P92" s="42">
        <f t="shared" si="49"/>
        <v>11000</v>
      </c>
      <c r="Q92" s="38" t="s">
        <v>19682</v>
      </c>
      <c r="R92" s="36">
        <v>46157</v>
      </c>
      <c r="S92" s="6" t="s">
        <v>19499</v>
      </c>
      <c r="T92" s="50" t="s">
        <v>16042</v>
      </c>
      <c r="U92" s="6" t="str">
        <f>IFERROR(VLOOKUP(T92,'item master'!B:C,2,0),"")</f>
        <v>HEPAQUE (HEPARIN) 25000UI/5ML INJ. B/1 VIAL</v>
      </c>
      <c r="V92" s="41">
        <v>10000</v>
      </c>
      <c r="X92" s="44">
        <v>1.1000000000000001</v>
      </c>
      <c r="Y92" s="42">
        <f t="shared" si="61"/>
        <v>11000</v>
      </c>
      <c r="Z92" s="42">
        <v>0</v>
      </c>
      <c r="AA92" s="42">
        <f t="shared" si="50"/>
        <v>11000</v>
      </c>
      <c r="AB92" s="45">
        <v>0.3</v>
      </c>
      <c r="AC92" s="42">
        <f t="shared" si="62"/>
        <v>3300</v>
      </c>
      <c r="AD92" s="42">
        <f t="shared" si="60"/>
        <v>3300</v>
      </c>
      <c r="AE92" s="36">
        <v>46177</v>
      </c>
      <c r="AF92" s="6" t="s">
        <v>19683</v>
      </c>
      <c r="AH92" s="41">
        <f t="shared" si="51"/>
        <v>0</v>
      </c>
      <c r="AJ92" s="41">
        <f t="shared" si="35"/>
        <v>10000</v>
      </c>
      <c r="AO92" s="46">
        <f t="shared" si="58"/>
        <v>0</v>
      </c>
      <c r="AP92" s="46"/>
      <c r="AQ92" s="46"/>
      <c r="AR92" s="46"/>
      <c r="AS92" s="42">
        <f t="shared" si="52"/>
        <v>0</v>
      </c>
      <c r="AV92" s="6" t="s">
        <v>19584</v>
      </c>
      <c r="AY92" s="65"/>
      <c r="AZ92" s="46">
        <v>0</v>
      </c>
      <c r="BA92" s="42">
        <f t="shared" si="42"/>
        <v>3300</v>
      </c>
      <c r="BB92" s="46">
        <v>0</v>
      </c>
      <c r="BC92" s="46">
        <v>0</v>
      </c>
      <c r="BD92" s="46" t="str">
        <f t="shared" si="53"/>
        <v>0</v>
      </c>
      <c r="BE92" s="46">
        <f t="shared" si="59"/>
        <v>3300</v>
      </c>
      <c r="BF92" s="46">
        <f t="shared" si="59"/>
        <v>-3300</v>
      </c>
      <c r="BG92" s="47">
        <f t="shared" si="57"/>
        <v>6600</v>
      </c>
      <c r="BH92" s="46">
        <f t="shared" si="54"/>
        <v>0</v>
      </c>
      <c r="BI92" s="46">
        <v>0</v>
      </c>
      <c r="BO92" s="48">
        <f t="shared" si="55"/>
        <v>0</v>
      </c>
      <c r="BP92" s="48">
        <f t="shared" si="56"/>
        <v>0</v>
      </c>
      <c r="BQ92" s="6" t="str">
        <f t="shared" si="43"/>
        <v>Advance With Supplier</v>
      </c>
      <c r="BS92" s="6" t="str">
        <f t="shared" si="44"/>
        <v>Open</v>
      </c>
      <c r="BT92" s="49">
        <f t="shared" ca="1" si="45"/>
        <v>89</v>
      </c>
    </row>
    <row r="93" spans="1:72" hidden="1" x14ac:dyDescent="0.25">
      <c r="A93" s="6" t="s">
        <v>19436</v>
      </c>
      <c r="B93" s="6">
        <v>1877.26</v>
      </c>
      <c r="C93" s="36">
        <v>46157</v>
      </c>
      <c r="D93" s="6" t="s">
        <v>19438</v>
      </c>
      <c r="E93" s="37">
        <v>10000</v>
      </c>
      <c r="F93" s="38" t="s">
        <v>19681</v>
      </c>
      <c r="G93" s="39" t="str">
        <f t="shared" si="46"/>
        <v>GRN Not Received</v>
      </c>
      <c r="H93" s="40" t="str">
        <f t="shared" si="47"/>
        <v>GRN Not Received</v>
      </c>
      <c r="I93" s="6" t="s">
        <v>19680</v>
      </c>
      <c r="J93" s="36">
        <v>46174</v>
      </c>
      <c r="K93" s="41">
        <v>10000</v>
      </c>
      <c r="L93" s="42">
        <v>0.35</v>
      </c>
      <c r="M93" s="42">
        <f t="shared" si="48"/>
        <v>3500</v>
      </c>
      <c r="N93" s="42">
        <v>0</v>
      </c>
      <c r="O93" s="42">
        <v>0</v>
      </c>
      <c r="P93" s="42">
        <f t="shared" si="49"/>
        <v>3500</v>
      </c>
      <c r="Q93" s="38" t="s">
        <v>19682</v>
      </c>
      <c r="R93" s="36">
        <v>46157</v>
      </c>
      <c r="S93" s="6" t="s">
        <v>19499</v>
      </c>
      <c r="T93" s="50" t="s">
        <v>16160</v>
      </c>
      <c r="U93" s="6" t="str">
        <f>IFERROR(VLOOKUP(T93,'item master'!B:C,2,0),"")</f>
        <v>MOX VISION (MOXYFLOXACIN) COLLYRE 10ML</v>
      </c>
      <c r="V93" s="41">
        <v>10000</v>
      </c>
      <c r="X93" s="44">
        <v>0.35</v>
      </c>
      <c r="Y93" s="42">
        <f t="shared" si="61"/>
        <v>3500</v>
      </c>
      <c r="Z93" s="42">
        <v>0</v>
      </c>
      <c r="AA93" s="42">
        <f t="shared" si="50"/>
        <v>3500</v>
      </c>
      <c r="AB93" s="45">
        <v>0.3</v>
      </c>
      <c r="AC93" s="42">
        <f t="shared" si="62"/>
        <v>1050</v>
      </c>
      <c r="AD93" s="42">
        <f t="shared" si="60"/>
        <v>1050</v>
      </c>
      <c r="AE93" s="36">
        <v>46177</v>
      </c>
      <c r="AF93" s="6" t="s">
        <v>19683</v>
      </c>
      <c r="AH93" s="41">
        <f t="shared" si="51"/>
        <v>0</v>
      </c>
      <c r="AJ93" s="41">
        <f t="shared" si="35"/>
        <v>10000</v>
      </c>
      <c r="AO93" s="46">
        <f t="shared" si="58"/>
        <v>0</v>
      </c>
      <c r="AP93" s="46"/>
      <c r="AQ93" s="46"/>
      <c r="AR93" s="46"/>
      <c r="AS93" s="42">
        <f t="shared" si="52"/>
        <v>0</v>
      </c>
      <c r="AV93" s="6" t="s">
        <v>19584</v>
      </c>
      <c r="AZ93" s="46">
        <v>0</v>
      </c>
      <c r="BA93" s="42">
        <f t="shared" si="42"/>
        <v>1050</v>
      </c>
      <c r="BB93" s="46">
        <v>0</v>
      </c>
      <c r="BC93" s="46">
        <v>0</v>
      </c>
      <c r="BD93" s="46" t="str">
        <f t="shared" si="53"/>
        <v>0</v>
      </c>
      <c r="BE93" s="46">
        <f t="shared" si="59"/>
        <v>1050</v>
      </c>
      <c r="BF93" s="46">
        <f t="shared" si="59"/>
        <v>-1050</v>
      </c>
      <c r="BG93" s="47">
        <f t="shared" si="57"/>
        <v>2100</v>
      </c>
      <c r="BH93" s="46">
        <f t="shared" si="54"/>
        <v>0</v>
      </c>
      <c r="BI93" s="46">
        <v>0</v>
      </c>
      <c r="BO93" s="48">
        <f t="shared" si="55"/>
        <v>0</v>
      </c>
      <c r="BP93" s="48">
        <f t="shared" si="56"/>
        <v>0</v>
      </c>
      <c r="BQ93" s="6" t="str">
        <f t="shared" si="43"/>
        <v>Advance With Supplier</v>
      </c>
      <c r="BS93" s="6" t="str">
        <f t="shared" si="44"/>
        <v>Open</v>
      </c>
      <c r="BT93" s="49">
        <f t="shared" ca="1" si="45"/>
        <v>89</v>
      </c>
    </row>
    <row r="94" spans="1:72" hidden="1" x14ac:dyDescent="0.25">
      <c r="A94" s="6" t="s">
        <v>19436</v>
      </c>
      <c r="B94" s="6">
        <v>1877.26</v>
      </c>
      <c r="C94" s="36">
        <v>46157</v>
      </c>
      <c r="D94" s="6" t="s">
        <v>19438</v>
      </c>
      <c r="E94" s="37">
        <v>10000</v>
      </c>
      <c r="F94" s="38" t="s">
        <v>19556</v>
      </c>
      <c r="G94" s="39" t="str">
        <f t="shared" si="46"/>
        <v>GRN Not Received</v>
      </c>
      <c r="H94" s="40" t="str">
        <f t="shared" si="47"/>
        <v>GRN Not Received</v>
      </c>
      <c r="I94" s="6" t="s">
        <v>19680</v>
      </c>
      <c r="J94" s="36">
        <v>46174</v>
      </c>
      <c r="K94" s="41">
        <v>10000</v>
      </c>
      <c r="L94" s="42">
        <v>1.05</v>
      </c>
      <c r="M94" s="42">
        <f t="shared" si="48"/>
        <v>10500</v>
      </c>
      <c r="N94" s="42">
        <v>0</v>
      </c>
      <c r="O94" s="42">
        <v>0</v>
      </c>
      <c r="P94" s="42">
        <f t="shared" si="49"/>
        <v>10500</v>
      </c>
      <c r="Q94" s="38" t="s">
        <v>19682</v>
      </c>
      <c r="R94" s="36">
        <v>46157</v>
      </c>
      <c r="S94" s="6" t="s">
        <v>19499</v>
      </c>
      <c r="T94" s="50" t="s">
        <v>16164</v>
      </c>
      <c r="U94" s="6" t="str">
        <f>IFERROR(VLOOKUP(T94,'item master'!B:C,2,0),"")</f>
        <v>TROBINIQUE-2G(SPECTINOMYCIN) B/1VIAL+3.2MLE.D</v>
      </c>
      <c r="V94" s="41">
        <v>10000</v>
      </c>
      <c r="X94" s="44">
        <v>1.05</v>
      </c>
      <c r="Y94" s="42">
        <f t="shared" si="61"/>
        <v>10500</v>
      </c>
      <c r="Z94" s="42">
        <v>0</v>
      </c>
      <c r="AA94" s="42">
        <f t="shared" si="50"/>
        <v>10500</v>
      </c>
      <c r="AB94" s="45">
        <v>0.3</v>
      </c>
      <c r="AC94" s="42">
        <f t="shared" si="62"/>
        <v>3150</v>
      </c>
      <c r="AD94" s="42">
        <f t="shared" si="60"/>
        <v>3150</v>
      </c>
      <c r="AE94" s="36">
        <v>46177</v>
      </c>
      <c r="AF94" s="6" t="s">
        <v>19683</v>
      </c>
      <c r="AH94" s="41">
        <f t="shared" si="51"/>
        <v>0</v>
      </c>
      <c r="AJ94" s="41">
        <f t="shared" si="35"/>
        <v>10000</v>
      </c>
      <c r="AO94" s="46">
        <f t="shared" si="58"/>
        <v>0</v>
      </c>
      <c r="AP94" s="46"/>
      <c r="AQ94" s="46"/>
      <c r="AR94" s="46"/>
      <c r="AS94" s="42">
        <f t="shared" si="52"/>
        <v>0</v>
      </c>
      <c r="AV94" s="6" t="s">
        <v>19584</v>
      </c>
      <c r="AY94" s="65"/>
      <c r="AZ94" s="46">
        <v>0</v>
      </c>
      <c r="BA94" s="42">
        <f t="shared" si="42"/>
        <v>3150</v>
      </c>
      <c r="BB94" s="46">
        <v>0</v>
      </c>
      <c r="BC94" s="46">
        <v>0</v>
      </c>
      <c r="BD94" s="46" t="str">
        <f t="shared" si="53"/>
        <v>0</v>
      </c>
      <c r="BE94" s="46">
        <f t="shared" si="59"/>
        <v>3150</v>
      </c>
      <c r="BF94" s="46">
        <f t="shared" si="59"/>
        <v>-3150</v>
      </c>
      <c r="BG94" s="47">
        <f t="shared" si="57"/>
        <v>6300</v>
      </c>
      <c r="BH94" s="46">
        <f t="shared" si="54"/>
        <v>0</v>
      </c>
      <c r="BI94" s="46">
        <v>0</v>
      </c>
      <c r="BO94" s="48">
        <f t="shared" si="55"/>
        <v>0</v>
      </c>
      <c r="BP94" s="48">
        <f t="shared" si="56"/>
        <v>0</v>
      </c>
      <c r="BQ94" s="6" t="str">
        <f t="shared" si="43"/>
        <v>Advance With Supplier</v>
      </c>
      <c r="BS94" s="6" t="str">
        <f t="shared" si="44"/>
        <v>Open</v>
      </c>
      <c r="BT94" s="49">
        <f t="shared" ca="1" si="45"/>
        <v>89</v>
      </c>
    </row>
    <row r="95" spans="1:72" hidden="1" x14ac:dyDescent="0.25">
      <c r="A95" s="6" t="s">
        <v>19436</v>
      </c>
      <c r="B95" s="6">
        <v>1877.26</v>
      </c>
      <c r="C95" s="36">
        <v>46157</v>
      </c>
      <c r="D95" s="6" t="s">
        <v>19438</v>
      </c>
      <c r="E95" s="37">
        <v>5000</v>
      </c>
      <c r="F95" s="38" t="s">
        <v>19612</v>
      </c>
      <c r="G95" s="39" t="str">
        <f t="shared" si="46"/>
        <v>GRN Not Received</v>
      </c>
      <c r="H95" s="40" t="str">
        <f t="shared" si="47"/>
        <v>GRN Not Received</v>
      </c>
      <c r="I95" s="6" t="s">
        <v>19680</v>
      </c>
      <c r="J95" s="36">
        <v>46174</v>
      </c>
      <c r="K95" s="41">
        <v>5000</v>
      </c>
      <c r="L95" s="42">
        <v>2.2999999999999998</v>
      </c>
      <c r="M95" s="42">
        <f t="shared" si="48"/>
        <v>11500</v>
      </c>
      <c r="N95" s="42">
        <v>0</v>
      </c>
      <c r="O95" s="42">
        <v>0</v>
      </c>
      <c r="P95" s="42">
        <f t="shared" si="49"/>
        <v>11500</v>
      </c>
      <c r="Q95" s="38" t="s">
        <v>19682</v>
      </c>
      <c r="R95" s="36">
        <v>46157</v>
      </c>
      <c r="S95" s="6" t="s">
        <v>19499</v>
      </c>
      <c r="T95" s="50" t="s">
        <v>16168</v>
      </c>
      <c r="U95" s="6" t="str">
        <f>IFERROR(VLOOKUP(T95,'item master'!B:C,2,0),"")</f>
        <v>OCUTIM PLUS VISION (TIMO+PILO) COLLYRE 5ML</v>
      </c>
      <c r="V95" s="41">
        <v>5000</v>
      </c>
      <c r="X95" s="44">
        <v>2.2999999999999998</v>
      </c>
      <c r="Y95" s="42">
        <f t="shared" si="61"/>
        <v>11500</v>
      </c>
      <c r="Z95" s="42">
        <v>0</v>
      </c>
      <c r="AA95" s="42">
        <f t="shared" si="50"/>
        <v>11500</v>
      </c>
      <c r="AB95" s="45">
        <v>0.3</v>
      </c>
      <c r="AC95" s="42">
        <f t="shared" si="62"/>
        <v>3450</v>
      </c>
      <c r="AD95" s="42">
        <f t="shared" si="60"/>
        <v>3450</v>
      </c>
      <c r="AE95" s="36">
        <v>46177</v>
      </c>
      <c r="AF95" s="6" t="s">
        <v>19683</v>
      </c>
      <c r="AH95" s="41">
        <f t="shared" si="51"/>
        <v>0</v>
      </c>
      <c r="AJ95" s="41">
        <f t="shared" si="35"/>
        <v>5000</v>
      </c>
      <c r="AO95" s="46">
        <f t="shared" si="58"/>
        <v>0</v>
      </c>
      <c r="AP95" s="46"/>
      <c r="AQ95" s="46"/>
      <c r="AR95" s="46"/>
      <c r="AS95" s="42">
        <f t="shared" si="52"/>
        <v>0</v>
      </c>
      <c r="AV95" s="6" t="s">
        <v>19584</v>
      </c>
      <c r="AZ95" s="46">
        <v>0</v>
      </c>
      <c r="BA95" s="42">
        <f t="shared" si="42"/>
        <v>3450</v>
      </c>
      <c r="BB95" s="46">
        <v>0</v>
      </c>
      <c r="BC95" s="46">
        <v>0</v>
      </c>
      <c r="BD95" s="46" t="str">
        <f t="shared" si="53"/>
        <v>0</v>
      </c>
      <c r="BE95" s="46">
        <f t="shared" si="59"/>
        <v>3450</v>
      </c>
      <c r="BF95" s="46">
        <f t="shared" si="59"/>
        <v>-3450</v>
      </c>
      <c r="BG95" s="47">
        <f t="shared" si="57"/>
        <v>6900</v>
      </c>
      <c r="BH95" s="46">
        <f t="shared" si="54"/>
        <v>0</v>
      </c>
      <c r="BI95" s="46">
        <v>0</v>
      </c>
      <c r="BO95" s="48">
        <f t="shared" si="55"/>
        <v>0</v>
      </c>
      <c r="BP95" s="48">
        <f t="shared" si="56"/>
        <v>0</v>
      </c>
      <c r="BQ95" s="6" t="str">
        <f t="shared" si="43"/>
        <v>Advance With Supplier</v>
      </c>
      <c r="BS95" s="6" t="str">
        <f t="shared" si="44"/>
        <v>Open</v>
      </c>
      <c r="BT95" s="49">
        <f t="shared" ca="1" si="45"/>
        <v>89</v>
      </c>
    </row>
    <row r="96" spans="1:72" hidden="1" x14ac:dyDescent="0.25">
      <c r="A96" s="6" t="s">
        <v>19436</v>
      </c>
      <c r="B96" s="6">
        <v>1877.26</v>
      </c>
      <c r="C96" s="36">
        <v>46157</v>
      </c>
      <c r="D96" s="6" t="s">
        <v>19438</v>
      </c>
      <c r="E96" s="37">
        <v>10000</v>
      </c>
      <c r="F96" s="38" t="s">
        <v>19612</v>
      </c>
      <c r="G96" s="39" t="str">
        <f t="shared" si="46"/>
        <v>GRN Not Received</v>
      </c>
      <c r="H96" s="40" t="str">
        <f t="shared" si="47"/>
        <v>GRN Not Received</v>
      </c>
      <c r="I96" s="6" t="s">
        <v>19680</v>
      </c>
      <c r="J96" s="36">
        <v>46174</v>
      </c>
      <c r="K96" s="41">
        <v>10000</v>
      </c>
      <c r="L96" s="42">
        <v>0.32</v>
      </c>
      <c r="M96" s="42">
        <f t="shared" si="48"/>
        <v>3200</v>
      </c>
      <c r="N96" s="42">
        <v>0</v>
      </c>
      <c r="O96" s="42">
        <v>0</v>
      </c>
      <c r="P96" s="42">
        <f t="shared" si="49"/>
        <v>3200</v>
      </c>
      <c r="Q96" s="38" t="s">
        <v>19682</v>
      </c>
      <c r="R96" s="36">
        <v>46157</v>
      </c>
      <c r="S96" s="6" t="s">
        <v>19499</v>
      </c>
      <c r="T96" s="50" t="s">
        <v>16176</v>
      </c>
      <c r="U96" s="6" t="str">
        <f>IFERROR(VLOOKUP(T96,'item master'!B:C,2,0),"")</f>
        <v>GENTAC PLUS-VISION (GEN+DEX+TET) COLLYRE 5ML</v>
      </c>
      <c r="V96" s="41">
        <v>10000</v>
      </c>
      <c r="X96" s="44">
        <v>0.32</v>
      </c>
      <c r="Y96" s="42">
        <f t="shared" si="61"/>
        <v>3200</v>
      </c>
      <c r="Z96" s="42">
        <v>0</v>
      </c>
      <c r="AA96" s="42">
        <f t="shared" si="50"/>
        <v>3200</v>
      </c>
      <c r="AB96" s="45">
        <v>0.3</v>
      </c>
      <c r="AC96" s="42">
        <f t="shared" si="62"/>
        <v>960</v>
      </c>
      <c r="AD96" s="42">
        <f t="shared" si="60"/>
        <v>960</v>
      </c>
      <c r="AE96" s="36">
        <v>46177</v>
      </c>
      <c r="AF96" s="6" t="s">
        <v>19683</v>
      </c>
      <c r="AH96" s="41">
        <f t="shared" si="51"/>
        <v>0</v>
      </c>
      <c r="AJ96" s="41">
        <f t="shared" si="35"/>
        <v>10000</v>
      </c>
      <c r="AO96" s="46">
        <f t="shared" si="58"/>
        <v>0</v>
      </c>
      <c r="AP96" s="46"/>
      <c r="AQ96" s="46"/>
      <c r="AR96" s="46"/>
      <c r="AS96" s="42">
        <f t="shared" si="52"/>
        <v>0</v>
      </c>
      <c r="AV96" s="6" t="s">
        <v>19584</v>
      </c>
      <c r="AZ96" s="46">
        <v>0</v>
      </c>
      <c r="BA96" s="42">
        <f t="shared" si="42"/>
        <v>960</v>
      </c>
      <c r="BB96" s="46">
        <v>0</v>
      </c>
      <c r="BC96" s="46">
        <v>0</v>
      </c>
      <c r="BD96" s="46" t="str">
        <f t="shared" si="53"/>
        <v>0</v>
      </c>
      <c r="BE96" s="46">
        <f t="shared" si="59"/>
        <v>960</v>
      </c>
      <c r="BF96" s="46">
        <f t="shared" si="59"/>
        <v>-960</v>
      </c>
      <c r="BG96" s="47">
        <f t="shared" si="57"/>
        <v>1920</v>
      </c>
      <c r="BH96" s="46">
        <f t="shared" si="54"/>
        <v>0</v>
      </c>
      <c r="BI96" s="46">
        <v>0</v>
      </c>
      <c r="BO96" s="48">
        <f t="shared" si="55"/>
        <v>0</v>
      </c>
      <c r="BP96" s="48">
        <f t="shared" si="56"/>
        <v>0</v>
      </c>
      <c r="BQ96" s="6" t="str">
        <f t="shared" si="43"/>
        <v>Advance With Supplier</v>
      </c>
      <c r="BS96" s="6" t="str">
        <f t="shared" si="44"/>
        <v>Open</v>
      </c>
      <c r="BT96" s="49">
        <f t="shared" ca="1" si="45"/>
        <v>89</v>
      </c>
    </row>
    <row r="97" spans="1:72" hidden="1" x14ac:dyDescent="0.25">
      <c r="A97" s="6" t="s">
        <v>19436</v>
      </c>
      <c r="B97" s="6">
        <v>1877.26</v>
      </c>
      <c r="C97" s="36">
        <v>46157</v>
      </c>
      <c r="D97" s="6" t="s">
        <v>19438</v>
      </c>
      <c r="E97" s="37">
        <v>10000</v>
      </c>
      <c r="F97" s="38" t="s">
        <v>19556</v>
      </c>
      <c r="G97" s="39" t="str">
        <f t="shared" si="46"/>
        <v>GRN Not Received</v>
      </c>
      <c r="H97" s="40" t="str">
        <f t="shared" si="47"/>
        <v>GRN Not Received</v>
      </c>
      <c r="I97" s="6" t="s">
        <v>19680</v>
      </c>
      <c r="J97" s="36">
        <v>46174</v>
      </c>
      <c r="K97" s="41">
        <v>10000</v>
      </c>
      <c r="L97" s="42">
        <v>0.35</v>
      </c>
      <c r="M97" s="42">
        <f t="shared" si="48"/>
        <v>3500</v>
      </c>
      <c r="N97" s="42">
        <v>0</v>
      </c>
      <c r="O97" s="42">
        <v>0</v>
      </c>
      <c r="P97" s="42">
        <f t="shared" si="49"/>
        <v>3500</v>
      </c>
      <c r="Q97" s="38" t="s">
        <v>19682</v>
      </c>
      <c r="R97" s="36">
        <v>46157</v>
      </c>
      <c r="S97" s="6" t="s">
        <v>19499</v>
      </c>
      <c r="T97" s="50" t="s">
        <v>16178</v>
      </c>
      <c r="U97" s="6" t="str">
        <f>IFERROR(VLOOKUP(T97,'item master'!B:C,2,0),"")</f>
        <v>UNIKORT-40 (TRIAMCINOLONE) B/1 VIAL+SER</v>
      </c>
      <c r="V97" s="41">
        <v>10000</v>
      </c>
      <c r="X97" s="44">
        <v>0.35</v>
      </c>
      <c r="Y97" s="42">
        <f t="shared" si="61"/>
        <v>3500</v>
      </c>
      <c r="Z97" s="42">
        <v>0</v>
      </c>
      <c r="AA97" s="42">
        <f t="shared" si="50"/>
        <v>3500</v>
      </c>
      <c r="AB97" s="45">
        <v>0.3</v>
      </c>
      <c r="AC97" s="42">
        <f t="shared" si="62"/>
        <v>1050</v>
      </c>
      <c r="AD97" s="42">
        <f t="shared" si="60"/>
        <v>1050</v>
      </c>
      <c r="AE97" s="36">
        <v>46177</v>
      </c>
      <c r="AF97" s="6" t="s">
        <v>19683</v>
      </c>
      <c r="AH97" s="41">
        <f t="shared" si="51"/>
        <v>0</v>
      </c>
      <c r="AJ97" s="41">
        <f t="shared" si="35"/>
        <v>10000</v>
      </c>
      <c r="AO97" s="46">
        <f t="shared" si="58"/>
        <v>0</v>
      </c>
      <c r="AP97" s="46"/>
      <c r="AQ97" s="46"/>
      <c r="AR97" s="46"/>
      <c r="AS97" s="42">
        <f t="shared" si="52"/>
        <v>0</v>
      </c>
      <c r="AV97" s="6" t="s">
        <v>19584</v>
      </c>
      <c r="AZ97" s="46">
        <v>0</v>
      </c>
      <c r="BA97" s="42">
        <f t="shared" si="42"/>
        <v>1050</v>
      </c>
      <c r="BB97" s="46">
        <v>0</v>
      </c>
      <c r="BC97" s="46">
        <v>0</v>
      </c>
      <c r="BD97" s="46" t="str">
        <f t="shared" si="53"/>
        <v>0</v>
      </c>
      <c r="BE97" s="46">
        <f t="shared" si="59"/>
        <v>1050</v>
      </c>
      <c r="BF97" s="46">
        <f t="shared" si="59"/>
        <v>-1050</v>
      </c>
      <c r="BG97" s="47">
        <f t="shared" si="57"/>
        <v>2100</v>
      </c>
      <c r="BH97" s="46">
        <f t="shared" si="54"/>
        <v>0</v>
      </c>
      <c r="BI97" s="46">
        <v>0</v>
      </c>
      <c r="BO97" s="48">
        <f t="shared" si="55"/>
        <v>0</v>
      </c>
      <c r="BP97" s="48">
        <f t="shared" si="56"/>
        <v>0</v>
      </c>
      <c r="BQ97" s="6" t="str">
        <f t="shared" si="43"/>
        <v>Advance With Supplier</v>
      </c>
      <c r="BS97" s="6" t="str">
        <f t="shared" si="44"/>
        <v>Open</v>
      </c>
      <c r="BT97" s="49">
        <f t="shared" ca="1" si="45"/>
        <v>89</v>
      </c>
    </row>
    <row r="98" spans="1:72" hidden="1" x14ac:dyDescent="0.25">
      <c r="A98" s="6" t="s">
        <v>19436</v>
      </c>
      <c r="B98" s="6">
        <v>1877.26</v>
      </c>
      <c r="C98" s="36">
        <v>46157</v>
      </c>
      <c r="D98" s="6" t="s">
        <v>19438</v>
      </c>
      <c r="E98" s="37">
        <v>10000</v>
      </c>
      <c r="F98" s="38" t="s">
        <v>19556</v>
      </c>
      <c r="G98" s="39" t="str">
        <f t="shared" si="46"/>
        <v>GRN Not Received</v>
      </c>
      <c r="H98" s="40" t="str">
        <f t="shared" si="47"/>
        <v>GRN Not Received</v>
      </c>
      <c r="I98" s="6" t="s">
        <v>19680</v>
      </c>
      <c r="J98" s="36">
        <v>46174</v>
      </c>
      <c r="K98" s="41">
        <v>10000</v>
      </c>
      <c r="L98" s="42">
        <v>0.56999999999999995</v>
      </c>
      <c r="M98" s="42">
        <f t="shared" si="48"/>
        <v>5699.9999999999991</v>
      </c>
      <c r="N98" s="42">
        <v>0</v>
      </c>
      <c r="O98" s="42">
        <v>0</v>
      </c>
      <c r="P98" s="42">
        <f t="shared" si="49"/>
        <v>5699.9999999999991</v>
      </c>
      <c r="Q98" s="38" t="s">
        <v>19682</v>
      </c>
      <c r="R98" s="36">
        <v>46157</v>
      </c>
      <c r="S98" s="6" t="s">
        <v>19499</v>
      </c>
      <c r="T98" s="50" t="s">
        <v>16180</v>
      </c>
      <c r="U98" s="6" t="str">
        <f>IFERROR(VLOOKUP(T98,'item master'!B:C,2,0),"")</f>
        <v>UNIKORT-80 (TRIAMCINOLONE) B/1 VIAL +SER</v>
      </c>
      <c r="V98" s="41">
        <v>10000</v>
      </c>
      <c r="X98" s="44">
        <v>0.56999999999999995</v>
      </c>
      <c r="Y98" s="42">
        <f t="shared" si="61"/>
        <v>5699.9999999999991</v>
      </c>
      <c r="Z98" s="42">
        <v>0</v>
      </c>
      <c r="AA98" s="42">
        <f t="shared" si="50"/>
        <v>5699.9999999999991</v>
      </c>
      <c r="AB98" s="45">
        <v>0.3</v>
      </c>
      <c r="AC98" s="42">
        <f t="shared" si="62"/>
        <v>1709.9999999999998</v>
      </c>
      <c r="AD98" s="42">
        <f t="shared" si="60"/>
        <v>1709.9999999999998</v>
      </c>
      <c r="AE98" s="36">
        <v>46177</v>
      </c>
      <c r="AF98" s="6" t="s">
        <v>19683</v>
      </c>
      <c r="AH98" s="41">
        <f t="shared" si="51"/>
        <v>0</v>
      </c>
      <c r="AJ98" s="41">
        <f t="shared" si="35"/>
        <v>10000</v>
      </c>
      <c r="AO98" s="46">
        <f t="shared" si="58"/>
        <v>0</v>
      </c>
      <c r="AP98" s="46"/>
      <c r="AQ98" s="46"/>
      <c r="AR98" s="46"/>
      <c r="AS98" s="42">
        <f t="shared" si="52"/>
        <v>0</v>
      </c>
      <c r="AV98" s="6" t="s">
        <v>19584</v>
      </c>
      <c r="AZ98" s="46">
        <v>0</v>
      </c>
      <c r="BA98" s="42">
        <f>AD98+AZ98</f>
        <v>1709.9999999999998</v>
      </c>
      <c r="BB98" s="46">
        <v>0</v>
      </c>
      <c r="BC98" s="46">
        <v>0</v>
      </c>
      <c r="BD98" s="46" t="str">
        <f t="shared" si="53"/>
        <v>0</v>
      </c>
      <c r="BE98" s="46">
        <f t="shared" si="59"/>
        <v>1709.9999999999998</v>
      </c>
      <c r="BF98" s="46">
        <f t="shared" si="59"/>
        <v>-1709.9999999999998</v>
      </c>
      <c r="BG98" s="47">
        <f t="shared" si="57"/>
        <v>3419.9999999999995</v>
      </c>
      <c r="BH98" s="46">
        <f t="shared" si="54"/>
        <v>0</v>
      </c>
      <c r="BI98" s="46">
        <v>0</v>
      </c>
      <c r="BO98" s="48">
        <f t="shared" si="55"/>
        <v>0</v>
      </c>
      <c r="BP98" s="48">
        <f t="shared" si="56"/>
        <v>0</v>
      </c>
      <c r="BQ98" s="6" t="str">
        <f t="shared" si="43"/>
        <v>Advance With Supplier</v>
      </c>
      <c r="BS98" s="6" t="str">
        <f t="shared" si="44"/>
        <v>Open</v>
      </c>
      <c r="BT98" s="49">
        <f t="shared" ca="1" si="45"/>
        <v>89</v>
      </c>
    </row>
    <row r="99" spans="1:72" hidden="1" x14ac:dyDescent="0.25">
      <c r="A99" s="6" t="s">
        <v>19436</v>
      </c>
      <c r="B99" s="6">
        <v>1877.26</v>
      </c>
      <c r="C99" s="36">
        <v>46157</v>
      </c>
      <c r="D99" s="6" t="s">
        <v>19438</v>
      </c>
      <c r="E99" s="37">
        <v>5000</v>
      </c>
      <c r="F99" s="38" t="s">
        <v>19590</v>
      </c>
      <c r="G99" s="39" t="str">
        <f t="shared" si="46"/>
        <v>GRN Not Received</v>
      </c>
      <c r="H99" s="40" t="str">
        <f t="shared" si="47"/>
        <v>GRN Not Received</v>
      </c>
      <c r="I99" s="6" t="s">
        <v>19680</v>
      </c>
      <c r="J99" s="36">
        <v>46174</v>
      </c>
      <c r="K99" s="41">
        <v>5000</v>
      </c>
      <c r="L99" s="42">
        <v>1.75</v>
      </c>
      <c r="M99" s="42">
        <f t="shared" si="48"/>
        <v>8750</v>
      </c>
      <c r="N99" s="42">
        <v>0</v>
      </c>
      <c r="O99" s="42">
        <v>0</v>
      </c>
      <c r="P99" s="42">
        <f t="shared" si="49"/>
        <v>8750</v>
      </c>
      <c r="Q99" s="38" t="s">
        <v>19682</v>
      </c>
      <c r="R99" s="36">
        <v>46157</v>
      </c>
      <c r="S99" s="6" t="s">
        <v>19499</v>
      </c>
      <c r="T99" s="50" t="s">
        <v>16335</v>
      </c>
      <c r="U99" s="6" t="str">
        <f>IFERROR(VLOOKUP(T99,'item master'!B:C,2,0),"")</f>
        <v>ATARIUM 50MG/5ML (ATACURIUM ) INJ. B/5 AMP.</v>
      </c>
      <c r="V99" s="41">
        <v>5000</v>
      </c>
      <c r="X99" s="44">
        <v>1.75</v>
      </c>
      <c r="Y99" s="42">
        <f t="shared" si="61"/>
        <v>8750</v>
      </c>
      <c r="Z99" s="42">
        <v>0</v>
      </c>
      <c r="AA99" s="42">
        <f t="shared" si="50"/>
        <v>8750</v>
      </c>
      <c r="AB99" s="45">
        <v>0.3</v>
      </c>
      <c r="AC99" s="42">
        <f t="shared" si="62"/>
        <v>2625</v>
      </c>
      <c r="AD99" s="42">
        <f t="shared" si="60"/>
        <v>2625</v>
      </c>
      <c r="AE99" s="36">
        <v>46177</v>
      </c>
      <c r="AF99" s="6" t="s">
        <v>19683</v>
      </c>
      <c r="AH99" s="41">
        <f t="shared" si="51"/>
        <v>0</v>
      </c>
      <c r="AJ99" s="41">
        <f t="shared" si="35"/>
        <v>5000</v>
      </c>
      <c r="AO99" s="46">
        <f t="shared" si="58"/>
        <v>0</v>
      </c>
      <c r="AP99" s="46"/>
      <c r="AQ99" s="46"/>
      <c r="AR99" s="46"/>
      <c r="AS99" s="42">
        <f t="shared" si="52"/>
        <v>0</v>
      </c>
      <c r="AV99" s="6" t="s">
        <v>19584</v>
      </c>
      <c r="AZ99" s="46">
        <v>0</v>
      </c>
      <c r="BA99" s="42">
        <f>AD99+AZ99</f>
        <v>2625</v>
      </c>
      <c r="BB99" s="46">
        <v>0</v>
      </c>
      <c r="BC99" s="46">
        <v>0</v>
      </c>
      <c r="BD99" s="46" t="str">
        <f t="shared" si="53"/>
        <v>0</v>
      </c>
      <c r="BE99" s="46">
        <f t="shared" si="59"/>
        <v>2625</v>
      </c>
      <c r="BF99" s="46">
        <f t="shared" si="59"/>
        <v>-2625</v>
      </c>
      <c r="BG99" s="47">
        <f t="shared" si="57"/>
        <v>5250</v>
      </c>
      <c r="BH99" s="46">
        <f t="shared" si="54"/>
        <v>0</v>
      </c>
      <c r="BI99" s="46">
        <v>0</v>
      </c>
      <c r="BO99" s="48">
        <f t="shared" si="55"/>
        <v>0</v>
      </c>
      <c r="BP99" s="48">
        <f t="shared" si="56"/>
        <v>0</v>
      </c>
      <c r="BQ99" s="6" t="str">
        <f t="shared" si="43"/>
        <v>Advance With Supplier</v>
      </c>
      <c r="BS99" s="6" t="str">
        <f t="shared" si="44"/>
        <v>Open</v>
      </c>
      <c r="BT99" s="49">
        <f t="shared" ca="1" si="45"/>
        <v>89</v>
      </c>
    </row>
    <row r="100" spans="1:72" hidden="1" x14ac:dyDescent="0.25">
      <c r="A100" s="6" t="s">
        <v>19436</v>
      </c>
      <c r="B100" s="6">
        <v>1920.26</v>
      </c>
      <c r="C100" s="36">
        <v>46185</v>
      </c>
      <c r="D100" s="6" t="s">
        <v>19438</v>
      </c>
      <c r="E100" s="37">
        <v>50000</v>
      </c>
      <c r="F100" s="38" t="s">
        <v>19702</v>
      </c>
      <c r="G100" s="39" t="str">
        <f t="shared" si="46"/>
        <v>GRN Not Received</v>
      </c>
      <c r="H100" s="40" t="str">
        <f t="shared" si="47"/>
        <v>GRN Not Received</v>
      </c>
      <c r="I100" s="6" t="s">
        <v>19703</v>
      </c>
      <c r="J100" s="36">
        <v>46200</v>
      </c>
      <c r="K100" s="41">
        <v>50000</v>
      </c>
      <c r="L100" s="42">
        <v>0.112</v>
      </c>
      <c r="M100" s="42">
        <f t="shared" si="48"/>
        <v>5600</v>
      </c>
      <c r="N100" s="42">
        <v>0</v>
      </c>
      <c r="O100" s="42">
        <v>0</v>
      </c>
      <c r="P100" s="42">
        <f t="shared" si="49"/>
        <v>5600</v>
      </c>
      <c r="Q100" s="38" t="s">
        <v>19704</v>
      </c>
      <c r="R100" s="36">
        <v>46199</v>
      </c>
      <c r="S100" s="6" t="s">
        <v>19450</v>
      </c>
      <c r="T100" s="50" t="s">
        <v>2829</v>
      </c>
      <c r="U100" s="6" t="str">
        <f>IFERROR(VLOOKUP(T100,'item master'!B:C,2,0),"")</f>
        <v>ACIDE FOLIC 10X10CES</v>
      </c>
      <c r="V100" s="41">
        <v>50000</v>
      </c>
      <c r="X100" s="44">
        <v>0.112</v>
      </c>
      <c r="Y100" s="42">
        <f t="shared" si="61"/>
        <v>5600</v>
      </c>
      <c r="Z100" s="42">
        <v>0</v>
      </c>
      <c r="AA100" s="42">
        <f t="shared" si="50"/>
        <v>5600</v>
      </c>
      <c r="AB100" s="45">
        <v>0.3</v>
      </c>
      <c r="AC100" s="42">
        <f t="shared" si="62"/>
        <v>1680</v>
      </c>
      <c r="AD100" s="42">
        <f t="shared" si="60"/>
        <v>1680</v>
      </c>
      <c r="AE100" s="36">
        <v>46216</v>
      </c>
      <c r="AF100" s="6" t="s">
        <v>19715</v>
      </c>
      <c r="AH100" s="41">
        <f t="shared" si="51"/>
        <v>0</v>
      </c>
      <c r="AJ100" s="41">
        <f t="shared" si="35"/>
        <v>50000</v>
      </c>
      <c r="AO100" s="46">
        <f t="shared" ref="AO100:AO164" si="63">AG100*AN100</f>
        <v>0</v>
      </c>
      <c r="AP100" s="46"/>
      <c r="AQ100" s="46"/>
      <c r="AR100" s="46"/>
      <c r="AS100" s="42">
        <f t="shared" si="52"/>
        <v>0</v>
      </c>
      <c r="AV100" s="6" t="s">
        <v>19584</v>
      </c>
      <c r="AZ100" s="46">
        <v>0</v>
      </c>
      <c r="BA100" s="42">
        <f t="shared" ref="BA100:BA163" si="64">AD100+AZ100</f>
        <v>1680</v>
      </c>
      <c r="BB100" s="46">
        <v>0</v>
      </c>
      <c r="BC100" s="46">
        <v>0</v>
      </c>
      <c r="BD100" s="46" t="str">
        <f t="shared" si="53"/>
        <v>0</v>
      </c>
      <c r="BE100" s="46">
        <f t="shared" ref="BE100:BE163" si="65">BA100-BD100</f>
        <v>1680</v>
      </c>
      <c r="BF100" s="46">
        <f t="shared" ref="BF100:BF163" si="66">BB100-BE100</f>
        <v>-1680</v>
      </c>
      <c r="BG100" s="47">
        <f t="shared" ref="BG100:BG163" si="67">BE100-BF100</f>
        <v>3360</v>
      </c>
      <c r="BH100" s="46">
        <f t="shared" si="54"/>
        <v>0</v>
      </c>
      <c r="BI100" s="46">
        <v>0</v>
      </c>
      <c r="BO100" s="48">
        <f t="shared" ref="BO100:BO163" si="68">BI100+BL100</f>
        <v>0</v>
      </c>
      <c r="BP100" s="48">
        <f t="shared" ref="BP100:BP163" si="69">BH100-BO100</f>
        <v>0</v>
      </c>
      <c r="BQ100" s="6" t="str">
        <f t="shared" si="43"/>
        <v>Advance With Supplier</v>
      </c>
      <c r="BS100" s="6" t="str">
        <f t="shared" ref="BS100:BS130" si="70">IF(AX100&lt;&gt;"","Closed","Open")</f>
        <v>Open</v>
      </c>
      <c r="BT100" s="49">
        <f t="shared" ca="1" si="45"/>
        <v>63</v>
      </c>
    </row>
    <row r="101" spans="1:72" hidden="1" x14ac:dyDescent="0.25">
      <c r="A101" s="6" t="s">
        <v>19436</v>
      </c>
      <c r="B101" s="6">
        <v>1920.26</v>
      </c>
      <c r="C101" s="36">
        <v>46185</v>
      </c>
      <c r="D101" s="6" t="s">
        <v>19438</v>
      </c>
      <c r="E101" s="37">
        <v>50000</v>
      </c>
      <c r="F101" s="38" t="s">
        <v>19702</v>
      </c>
      <c r="G101" s="39" t="str">
        <f t="shared" si="46"/>
        <v>GRN Not Received</v>
      </c>
      <c r="H101" s="40" t="str">
        <f t="shared" si="47"/>
        <v>GRN Not Received</v>
      </c>
      <c r="I101" s="6" t="s">
        <v>19703</v>
      </c>
      <c r="J101" s="36">
        <v>46200</v>
      </c>
      <c r="K101" s="41">
        <v>50000</v>
      </c>
      <c r="L101" s="42">
        <v>0.22500000000000001</v>
      </c>
      <c r="M101" s="42">
        <f t="shared" si="48"/>
        <v>11250</v>
      </c>
      <c r="N101" s="42">
        <v>0</v>
      </c>
      <c r="O101" s="42">
        <v>0</v>
      </c>
      <c r="P101" s="42">
        <f t="shared" si="49"/>
        <v>11250</v>
      </c>
      <c r="Q101" s="38" t="s">
        <v>19704</v>
      </c>
      <c r="R101" s="36">
        <v>46199</v>
      </c>
      <c r="S101" s="6" t="s">
        <v>19450</v>
      </c>
      <c r="T101" s="50" t="s">
        <v>14436</v>
      </c>
      <c r="U101" s="6" t="str">
        <f>IFERROR(VLOOKUP(T101,'item master'!B:C,2,0),"")</f>
        <v>VITAMINE B6 50MG B/10X10CES</v>
      </c>
      <c r="V101" s="41">
        <v>50000</v>
      </c>
      <c r="X101" s="44">
        <v>0.22500000000000001</v>
      </c>
      <c r="Y101" s="42">
        <f t="shared" si="61"/>
        <v>11250</v>
      </c>
      <c r="Z101" s="42">
        <v>0</v>
      </c>
      <c r="AA101" s="42">
        <f t="shared" si="50"/>
        <v>11250</v>
      </c>
      <c r="AB101" s="45">
        <v>0.3</v>
      </c>
      <c r="AC101" s="42">
        <f t="shared" si="62"/>
        <v>3375</v>
      </c>
      <c r="AD101" s="42">
        <f t="shared" si="60"/>
        <v>3375</v>
      </c>
      <c r="AE101" s="36">
        <v>46216</v>
      </c>
      <c r="AF101" s="6" t="s">
        <v>19715</v>
      </c>
      <c r="AH101" s="41">
        <f t="shared" si="51"/>
        <v>0</v>
      </c>
      <c r="AJ101" s="41">
        <f t="shared" si="35"/>
        <v>50000</v>
      </c>
      <c r="AO101" s="46">
        <f t="shared" si="63"/>
        <v>0</v>
      </c>
      <c r="AP101" s="46"/>
      <c r="AQ101" s="46"/>
      <c r="AR101" s="46"/>
      <c r="AS101" s="42">
        <f t="shared" si="52"/>
        <v>0</v>
      </c>
      <c r="AV101" s="6" t="s">
        <v>19584</v>
      </c>
      <c r="AZ101" s="46">
        <v>0</v>
      </c>
      <c r="BA101" s="42">
        <f t="shared" si="64"/>
        <v>3375</v>
      </c>
      <c r="BB101" s="46">
        <v>0</v>
      </c>
      <c r="BC101" s="46">
        <v>0</v>
      </c>
      <c r="BD101" s="46" t="str">
        <f t="shared" si="53"/>
        <v>0</v>
      </c>
      <c r="BE101" s="46">
        <f t="shared" si="65"/>
        <v>3375</v>
      </c>
      <c r="BF101" s="46">
        <f t="shared" si="66"/>
        <v>-3375</v>
      </c>
      <c r="BG101" s="47">
        <f t="shared" si="67"/>
        <v>6750</v>
      </c>
      <c r="BH101" s="46">
        <f t="shared" si="54"/>
        <v>0</v>
      </c>
      <c r="BI101" s="46">
        <v>0</v>
      </c>
      <c r="BO101" s="48">
        <f t="shared" si="68"/>
        <v>0</v>
      </c>
      <c r="BP101" s="48">
        <f t="shared" si="69"/>
        <v>0</v>
      </c>
      <c r="BQ101" s="6" t="str">
        <f t="shared" si="43"/>
        <v>Advance With Supplier</v>
      </c>
      <c r="BS101" s="6" t="str">
        <f t="shared" si="70"/>
        <v>Open</v>
      </c>
      <c r="BT101" s="49">
        <f t="shared" ca="1" si="45"/>
        <v>63</v>
      </c>
    </row>
    <row r="102" spans="1:72" hidden="1" x14ac:dyDescent="0.25">
      <c r="A102" s="6" t="s">
        <v>19436</v>
      </c>
      <c r="B102" s="6">
        <v>1953.26</v>
      </c>
      <c r="C102" s="36">
        <v>46200</v>
      </c>
      <c r="D102" s="6" t="s">
        <v>19440</v>
      </c>
      <c r="E102" s="37">
        <v>3000</v>
      </c>
      <c r="F102" s="38" t="s">
        <v>19702</v>
      </c>
      <c r="G102" s="39" t="str">
        <f t="shared" si="46"/>
        <v>GRN Not Received</v>
      </c>
      <c r="H102" s="40" t="str">
        <f t="shared" si="47"/>
        <v>GRN Not Received</v>
      </c>
      <c r="I102" s="6" t="s">
        <v>19707</v>
      </c>
      <c r="J102" s="36">
        <v>46226</v>
      </c>
      <c r="K102" s="41">
        <v>3000</v>
      </c>
      <c r="L102" s="42">
        <v>0.85599999999999998</v>
      </c>
      <c r="M102" s="42">
        <f t="shared" si="48"/>
        <v>2568</v>
      </c>
      <c r="N102" s="42">
        <v>0</v>
      </c>
      <c r="O102" s="42">
        <v>0</v>
      </c>
      <c r="P102" s="42">
        <f t="shared" si="49"/>
        <v>2568</v>
      </c>
      <c r="Q102" s="38" t="s">
        <v>19709</v>
      </c>
      <c r="R102" s="36">
        <v>46210</v>
      </c>
      <c r="S102" s="6" t="s">
        <v>19450</v>
      </c>
      <c r="T102" s="50" t="s">
        <v>11274</v>
      </c>
      <c r="U102" s="6" t="str">
        <f>IFERROR(VLOOKUP(T102,'item master'!B:C,2,0),"")</f>
        <v>LEVAMISOLE 150MG 10X10CES</v>
      </c>
      <c r="V102" s="41">
        <v>3000</v>
      </c>
      <c r="X102" s="44">
        <v>0.85599999999999998</v>
      </c>
      <c r="Y102" s="42">
        <f t="shared" si="61"/>
        <v>2568</v>
      </c>
      <c r="Z102" s="42">
        <v>0</v>
      </c>
      <c r="AA102" s="42">
        <f t="shared" si="50"/>
        <v>2568</v>
      </c>
      <c r="AB102" s="45">
        <v>0.3</v>
      </c>
      <c r="AC102" s="42">
        <f t="shared" si="62"/>
        <v>770.4</v>
      </c>
      <c r="AD102" s="42">
        <f t="shared" si="60"/>
        <v>770.4</v>
      </c>
      <c r="AE102" s="36">
        <v>46216</v>
      </c>
      <c r="AF102" s="6" t="s">
        <v>19715</v>
      </c>
      <c r="AH102" s="41">
        <f t="shared" si="51"/>
        <v>0</v>
      </c>
      <c r="AJ102" s="41">
        <f t="shared" si="35"/>
        <v>3000</v>
      </c>
      <c r="AO102" s="46">
        <f t="shared" si="63"/>
        <v>0</v>
      </c>
      <c r="AP102" s="46"/>
      <c r="AQ102" s="46"/>
      <c r="AR102" s="46"/>
      <c r="AS102" s="42">
        <f t="shared" si="52"/>
        <v>0</v>
      </c>
      <c r="AV102" s="6" t="s">
        <v>19584</v>
      </c>
      <c r="AZ102" s="46">
        <v>0</v>
      </c>
      <c r="BA102" s="42">
        <f t="shared" si="64"/>
        <v>770.4</v>
      </c>
      <c r="BB102" s="46">
        <v>0</v>
      </c>
      <c r="BC102" s="46">
        <v>0</v>
      </c>
      <c r="BD102" s="46" t="str">
        <f t="shared" si="53"/>
        <v>0</v>
      </c>
      <c r="BE102" s="46">
        <f t="shared" si="65"/>
        <v>770.4</v>
      </c>
      <c r="BF102" s="46">
        <f t="shared" si="66"/>
        <v>-770.4</v>
      </c>
      <c r="BG102" s="47">
        <f t="shared" si="67"/>
        <v>1540.8</v>
      </c>
      <c r="BH102" s="46">
        <f t="shared" si="54"/>
        <v>0</v>
      </c>
      <c r="BI102" s="46">
        <v>0</v>
      </c>
      <c r="BO102" s="48">
        <f t="shared" si="68"/>
        <v>0</v>
      </c>
      <c r="BP102" s="48">
        <f t="shared" si="69"/>
        <v>0</v>
      </c>
      <c r="BQ102" s="6" t="str">
        <f t="shared" si="43"/>
        <v>Advance With Supplier</v>
      </c>
      <c r="BS102" s="6" t="str">
        <f t="shared" si="70"/>
        <v>Open</v>
      </c>
      <c r="BT102" s="49">
        <f t="shared" ca="1" si="45"/>
        <v>37</v>
      </c>
    </row>
    <row r="103" spans="1:72" hidden="1" x14ac:dyDescent="0.25">
      <c r="A103" s="6" t="s">
        <v>19436</v>
      </c>
      <c r="B103" s="6">
        <v>1953.26</v>
      </c>
      <c r="C103" s="36">
        <v>46200</v>
      </c>
      <c r="D103" s="6" t="s">
        <v>19440</v>
      </c>
      <c r="E103" s="37">
        <v>30000</v>
      </c>
      <c r="F103" s="38" t="s">
        <v>19706</v>
      </c>
      <c r="G103" s="39" t="str">
        <f t="shared" si="46"/>
        <v>GRN Not Received</v>
      </c>
      <c r="H103" s="40" t="str">
        <f t="shared" si="47"/>
        <v>GRN Not Received</v>
      </c>
      <c r="I103" s="6" t="s">
        <v>19708</v>
      </c>
      <c r="J103" s="36">
        <v>46226</v>
      </c>
      <c r="K103" s="41">
        <v>600</v>
      </c>
      <c r="L103" s="42">
        <v>1.659</v>
      </c>
      <c r="M103" s="42">
        <f t="shared" si="48"/>
        <v>995.4</v>
      </c>
      <c r="N103" s="42">
        <v>0</v>
      </c>
      <c r="O103" s="42">
        <v>0</v>
      </c>
      <c r="P103" s="42">
        <f t="shared" si="49"/>
        <v>995.4</v>
      </c>
      <c r="Q103" s="38" t="s">
        <v>19709</v>
      </c>
      <c r="R103" s="36">
        <v>46210</v>
      </c>
      <c r="S103" s="6" t="s">
        <v>19450</v>
      </c>
      <c r="T103" s="50" t="s">
        <v>15166</v>
      </c>
      <c r="U103" s="6" t="str">
        <f>IFERROR(VLOOKUP(T103,'item master'!B:C,2,0),"")</f>
        <v>WERMOQUE 500MG (MEBENDAZOLE) B/1 CES</v>
      </c>
      <c r="V103" s="41">
        <v>600</v>
      </c>
      <c r="X103" s="44">
        <v>1.659</v>
      </c>
      <c r="Y103" s="42">
        <f t="shared" si="61"/>
        <v>995.4</v>
      </c>
      <c r="Z103" s="42">
        <v>0</v>
      </c>
      <c r="AA103" s="42">
        <f t="shared" si="50"/>
        <v>995.4</v>
      </c>
      <c r="AB103" s="45">
        <v>0.3</v>
      </c>
      <c r="AC103" s="42">
        <f t="shared" si="62"/>
        <v>298.62</v>
      </c>
      <c r="AD103" s="42">
        <f t="shared" si="60"/>
        <v>298.62</v>
      </c>
      <c r="AE103" s="36">
        <v>46216</v>
      </c>
      <c r="AF103" s="6" t="s">
        <v>19715</v>
      </c>
      <c r="AH103" s="41">
        <f t="shared" si="51"/>
        <v>0</v>
      </c>
      <c r="AJ103" s="41">
        <f t="shared" si="35"/>
        <v>600</v>
      </c>
      <c r="AO103" s="46">
        <f t="shared" si="63"/>
        <v>0</v>
      </c>
      <c r="AP103" s="46"/>
      <c r="AQ103" s="46"/>
      <c r="AR103" s="46"/>
      <c r="AS103" s="42">
        <f t="shared" si="52"/>
        <v>0</v>
      </c>
      <c r="AV103" s="6" t="s">
        <v>19584</v>
      </c>
      <c r="AZ103" s="46">
        <v>0</v>
      </c>
      <c r="BA103" s="42">
        <f t="shared" si="64"/>
        <v>298.62</v>
      </c>
      <c r="BB103" s="46">
        <v>0</v>
      </c>
      <c r="BC103" s="46">
        <v>0</v>
      </c>
      <c r="BD103" s="46" t="str">
        <f t="shared" si="53"/>
        <v>0</v>
      </c>
      <c r="BE103" s="46">
        <f t="shared" si="65"/>
        <v>298.62</v>
      </c>
      <c r="BF103" s="46">
        <f t="shared" si="66"/>
        <v>-298.62</v>
      </c>
      <c r="BG103" s="47">
        <f t="shared" si="67"/>
        <v>597.24</v>
      </c>
      <c r="BH103" s="46">
        <f t="shared" si="54"/>
        <v>0</v>
      </c>
      <c r="BI103" s="46">
        <v>0</v>
      </c>
      <c r="BO103" s="48">
        <f t="shared" si="68"/>
        <v>0</v>
      </c>
      <c r="BP103" s="48">
        <f t="shared" si="69"/>
        <v>0</v>
      </c>
      <c r="BQ103" s="6" t="str">
        <f t="shared" si="43"/>
        <v>Advance With Supplier</v>
      </c>
      <c r="BS103" s="6" t="str">
        <f t="shared" si="70"/>
        <v>Open</v>
      </c>
      <c r="BT103" s="49">
        <f t="shared" ca="1" si="45"/>
        <v>37</v>
      </c>
    </row>
    <row r="104" spans="1:72" hidden="1" x14ac:dyDescent="0.25">
      <c r="A104" s="6" t="s">
        <v>19436</v>
      </c>
      <c r="B104" s="6">
        <v>1952.26</v>
      </c>
      <c r="C104" s="36">
        <v>46200</v>
      </c>
      <c r="D104" s="6" t="s">
        <v>19439</v>
      </c>
      <c r="E104" s="37">
        <v>2000</v>
      </c>
      <c r="F104" s="38" t="s">
        <v>19702</v>
      </c>
      <c r="G104" s="39" t="str">
        <f t="shared" si="46"/>
        <v>GRN Not Received</v>
      </c>
      <c r="H104" s="40" t="str">
        <f t="shared" si="47"/>
        <v>GRN Not Received</v>
      </c>
      <c r="I104" s="6" t="s">
        <v>19710</v>
      </c>
      <c r="J104" s="36">
        <v>46206</v>
      </c>
      <c r="K104" s="41">
        <v>2000</v>
      </c>
      <c r="L104" s="42">
        <v>2.7370000000000001</v>
      </c>
      <c r="M104" s="42">
        <f t="shared" si="48"/>
        <v>5474</v>
      </c>
      <c r="N104" s="42">
        <v>0</v>
      </c>
      <c r="O104" s="42">
        <v>0</v>
      </c>
      <c r="P104" s="42">
        <f t="shared" si="49"/>
        <v>5474</v>
      </c>
      <c r="Q104" s="38" t="s">
        <v>19711</v>
      </c>
      <c r="R104" s="36">
        <v>46210</v>
      </c>
      <c r="S104" s="6" t="s">
        <v>19450</v>
      </c>
      <c r="T104" s="50" t="s">
        <v>17185</v>
      </c>
      <c r="U104" s="6" t="str">
        <f>IFERROR(VLOOKUP(T104,'item master'!B:C,2,0),"")</f>
        <v>ERYTHROMYCINE 250MG B/10X10 CES***(ERINOCIN)</v>
      </c>
      <c r="V104" s="41">
        <v>2000</v>
      </c>
      <c r="X104" s="44">
        <v>2.7370000000000001</v>
      </c>
      <c r="Y104" s="42">
        <f t="shared" si="61"/>
        <v>5474</v>
      </c>
      <c r="Z104" s="42">
        <v>0</v>
      </c>
      <c r="AA104" s="42">
        <f t="shared" si="50"/>
        <v>5474</v>
      </c>
      <c r="AB104" s="45">
        <v>0.3</v>
      </c>
      <c r="AC104" s="42">
        <f t="shared" si="62"/>
        <v>1642.2</v>
      </c>
      <c r="AD104" s="42">
        <f t="shared" si="60"/>
        <v>1642.2</v>
      </c>
      <c r="AE104" s="36">
        <v>46216</v>
      </c>
      <c r="AF104" s="6" t="s">
        <v>19715</v>
      </c>
      <c r="AH104" s="41">
        <f t="shared" si="51"/>
        <v>0</v>
      </c>
      <c r="AJ104" s="41">
        <f t="shared" si="35"/>
        <v>2000</v>
      </c>
      <c r="AO104" s="46">
        <f t="shared" si="63"/>
        <v>0</v>
      </c>
      <c r="AP104" s="46"/>
      <c r="AQ104" s="46"/>
      <c r="AR104" s="46"/>
      <c r="AS104" s="42">
        <f t="shared" si="52"/>
        <v>0</v>
      </c>
      <c r="AV104" s="6" t="s">
        <v>19584</v>
      </c>
      <c r="AZ104" s="46">
        <v>0</v>
      </c>
      <c r="BA104" s="42">
        <f t="shared" si="64"/>
        <v>1642.2</v>
      </c>
      <c r="BB104" s="46">
        <v>0</v>
      </c>
      <c r="BC104" s="46">
        <v>0</v>
      </c>
      <c r="BD104" s="46" t="str">
        <f t="shared" si="53"/>
        <v>0</v>
      </c>
      <c r="BE104" s="46">
        <f t="shared" si="65"/>
        <v>1642.2</v>
      </c>
      <c r="BF104" s="46">
        <f t="shared" si="66"/>
        <v>-1642.2</v>
      </c>
      <c r="BG104" s="47">
        <f t="shared" si="67"/>
        <v>3284.4</v>
      </c>
      <c r="BH104" s="46">
        <f t="shared" si="54"/>
        <v>0</v>
      </c>
      <c r="BI104" s="46">
        <v>0</v>
      </c>
      <c r="BO104" s="48">
        <f t="shared" si="68"/>
        <v>0</v>
      </c>
      <c r="BP104" s="48">
        <f t="shared" si="69"/>
        <v>0</v>
      </c>
      <c r="BQ104" s="6" t="str">
        <f t="shared" si="43"/>
        <v>Advance With Supplier</v>
      </c>
      <c r="BS104" s="6" t="str">
        <f t="shared" si="70"/>
        <v>Open</v>
      </c>
      <c r="BT104" s="49">
        <f t="shared" ca="1" si="45"/>
        <v>57</v>
      </c>
    </row>
    <row r="105" spans="1:72" hidden="1" x14ac:dyDescent="0.25">
      <c r="A105" s="6" t="s">
        <v>19436</v>
      </c>
      <c r="B105" s="6">
        <v>1952.26</v>
      </c>
      <c r="C105" s="36">
        <v>46200</v>
      </c>
      <c r="D105" s="6" t="s">
        <v>19439</v>
      </c>
      <c r="E105" s="37">
        <v>2000</v>
      </c>
      <c r="F105" s="38" t="s">
        <v>19702</v>
      </c>
      <c r="G105" s="39" t="str">
        <f t="shared" si="46"/>
        <v>GRN Not Received</v>
      </c>
      <c r="H105" s="40" t="str">
        <f t="shared" si="47"/>
        <v>GRN Not Received</v>
      </c>
      <c r="I105" s="6" t="s">
        <v>19710</v>
      </c>
      <c r="J105" s="36">
        <v>46206</v>
      </c>
      <c r="K105" s="41">
        <v>2000</v>
      </c>
      <c r="L105" s="42">
        <v>4.6369999999999996</v>
      </c>
      <c r="M105" s="42">
        <f t="shared" si="48"/>
        <v>9274</v>
      </c>
      <c r="N105" s="42">
        <v>0</v>
      </c>
      <c r="O105" s="42">
        <v>0</v>
      </c>
      <c r="P105" s="42">
        <f t="shared" si="49"/>
        <v>9274</v>
      </c>
      <c r="Q105" s="38" t="s">
        <v>19711</v>
      </c>
      <c r="R105" s="36">
        <v>46210</v>
      </c>
      <c r="S105" s="6" t="s">
        <v>19450</v>
      </c>
      <c r="T105" s="50" t="s">
        <v>17187</v>
      </c>
      <c r="U105" s="6" t="str">
        <f>IFERROR(VLOOKUP(T105,'item master'!B:C,2,0),"")</f>
        <v>ERYTHROMYCINE 500MG B/10X10 CES***(ERINOCIN)</v>
      </c>
      <c r="V105" s="41">
        <v>2000</v>
      </c>
      <c r="X105" s="44">
        <v>4.6369999999999996</v>
      </c>
      <c r="Y105" s="42">
        <f t="shared" si="61"/>
        <v>9274</v>
      </c>
      <c r="Z105" s="42">
        <v>0</v>
      </c>
      <c r="AA105" s="42">
        <f t="shared" si="50"/>
        <v>9274</v>
      </c>
      <c r="AB105" s="45">
        <v>0.3</v>
      </c>
      <c r="AC105" s="42">
        <f t="shared" si="62"/>
        <v>2782.2</v>
      </c>
      <c r="AD105" s="42">
        <f t="shared" ref="AD105:AD166" si="71">AC105</f>
        <v>2782.2</v>
      </c>
      <c r="AE105" s="36">
        <v>46216</v>
      </c>
      <c r="AF105" s="6" t="s">
        <v>19715</v>
      </c>
      <c r="AH105" s="41">
        <f t="shared" si="51"/>
        <v>0</v>
      </c>
      <c r="AJ105" s="41">
        <f t="shared" si="35"/>
        <v>2000</v>
      </c>
      <c r="AO105" s="46">
        <f t="shared" si="63"/>
        <v>0</v>
      </c>
      <c r="AP105" s="46"/>
      <c r="AQ105" s="46"/>
      <c r="AR105" s="46"/>
      <c r="AS105" s="42">
        <f t="shared" si="52"/>
        <v>0</v>
      </c>
      <c r="AV105" s="6" t="s">
        <v>19584</v>
      </c>
      <c r="AZ105" s="46">
        <v>0</v>
      </c>
      <c r="BA105" s="42">
        <f t="shared" si="64"/>
        <v>2782.2</v>
      </c>
      <c r="BB105" s="46">
        <v>0</v>
      </c>
      <c r="BC105" s="46">
        <v>0</v>
      </c>
      <c r="BD105" s="46" t="str">
        <f t="shared" si="53"/>
        <v>0</v>
      </c>
      <c r="BE105" s="46">
        <f t="shared" si="65"/>
        <v>2782.2</v>
      </c>
      <c r="BF105" s="46">
        <f t="shared" si="66"/>
        <v>-2782.2</v>
      </c>
      <c r="BG105" s="47">
        <f t="shared" si="67"/>
        <v>5564.4</v>
      </c>
      <c r="BH105" s="46">
        <f t="shared" si="54"/>
        <v>0</v>
      </c>
      <c r="BI105" s="46">
        <v>0</v>
      </c>
      <c r="BO105" s="48">
        <f t="shared" si="68"/>
        <v>0</v>
      </c>
      <c r="BP105" s="48">
        <f t="shared" si="69"/>
        <v>0</v>
      </c>
      <c r="BQ105" s="6" t="str">
        <f t="shared" si="43"/>
        <v>Advance With Supplier</v>
      </c>
      <c r="BS105" s="6" t="str">
        <f t="shared" si="70"/>
        <v>Open</v>
      </c>
      <c r="BT105" s="49">
        <f t="shared" ca="1" si="45"/>
        <v>57</v>
      </c>
    </row>
    <row r="106" spans="1:72" hidden="1" x14ac:dyDescent="0.25">
      <c r="A106" s="6" t="s">
        <v>19436</v>
      </c>
      <c r="B106" s="6">
        <v>1952.26</v>
      </c>
      <c r="C106" s="36">
        <v>46200</v>
      </c>
      <c r="D106" s="6" t="s">
        <v>19439</v>
      </c>
      <c r="E106" s="37">
        <v>2000</v>
      </c>
      <c r="F106" s="38" t="s">
        <v>19702</v>
      </c>
      <c r="G106" s="39" t="str">
        <f t="shared" si="46"/>
        <v>GRN Not Received</v>
      </c>
      <c r="H106" s="40" t="str">
        <f t="shared" si="47"/>
        <v>GRN Not Received</v>
      </c>
      <c r="I106" s="6" t="s">
        <v>19710</v>
      </c>
      <c r="J106" s="36">
        <v>46206</v>
      </c>
      <c r="K106" s="41">
        <v>2000</v>
      </c>
      <c r="L106" s="42">
        <v>0.42799999999999999</v>
      </c>
      <c r="M106" s="42">
        <f t="shared" si="48"/>
        <v>856</v>
      </c>
      <c r="N106" s="42">
        <v>0</v>
      </c>
      <c r="O106" s="42">
        <v>0</v>
      </c>
      <c r="P106" s="42">
        <f t="shared" si="49"/>
        <v>856</v>
      </c>
      <c r="Q106" s="38" t="s">
        <v>19711</v>
      </c>
      <c r="R106" s="36">
        <v>46210</v>
      </c>
      <c r="S106" s="6" t="s">
        <v>19450</v>
      </c>
      <c r="T106" s="50" t="s">
        <v>11278</v>
      </c>
      <c r="U106" s="6" t="str">
        <f>IFERROR(VLOOKUP(T106,'item master'!B:C,2,0),"")</f>
        <v>LEVAMISOLE 50MG B/10X10CES</v>
      </c>
      <c r="V106" s="41">
        <v>2000</v>
      </c>
      <c r="X106" s="44">
        <v>0.42799999999999999</v>
      </c>
      <c r="Y106" s="42">
        <f t="shared" si="61"/>
        <v>856</v>
      </c>
      <c r="Z106" s="42">
        <v>0</v>
      </c>
      <c r="AA106" s="42">
        <f t="shared" si="50"/>
        <v>856</v>
      </c>
      <c r="AB106" s="45">
        <v>0.3</v>
      </c>
      <c r="AC106" s="42">
        <f t="shared" si="62"/>
        <v>256.8</v>
      </c>
      <c r="AD106" s="42">
        <f t="shared" si="71"/>
        <v>256.8</v>
      </c>
      <c r="AE106" s="36">
        <v>46216</v>
      </c>
      <c r="AF106" s="6" t="s">
        <v>19715</v>
      </c>
      <c r="AH106" s="41">
        <f t="shared" si="51"/>
        <v>0</v>
      </c>
      <c r="AJ106" s="41">
        <f t="shared" ref="AJ106:AJ166" si="72">V106-AG106</f>
        <v>2000</v>
      </c>
      <c r="AO106" s="46">
        <f t="shared" si="63"/>
        <v>0</v>
      </c>
      <c r="AP106" s="46"/>
      <c r="AQ106" s="46"/>
      <c r="AR106" s="46"/>
      <c r="AS106" s="42">
        <f t="shared" si="52"/>
        <v>0</v>
      </c>
      <c r="AV106" s="6" t="s">
        <v>19584</v>
      </c>
      <c r="AZ106" s="46">
        <v>0</v>
      </c>
      <c r="BA106" s="42">
        <f t="shared" si="64"/>
        <v>256.8</v>
      </c>
      <c r="BB106" s="46">
        <v>0</v>
      </c>
      <c r="BC106" s="46">
        <v>0</v>
      </c>
      <c r="BD106" s="46" t="str">
        <f t="shared" si="53"/>
        <v>0</v>
      </c>
      <c r="BE106" s="46">
        <f t="shared" si="65"/>
        <v>256.8</v>
      </c>
      <c r="BF106" s="46">
        <f t="shared" si="66"/>
        <v>-256.8</v>
      </c>
      <c r="BG106" s="47">
        <f t="shared" si="67"/>
        <v>513.6</v>
      </c>
      <c r="BH106" s="46">
        <f t="shared" si="54"/>
        <v>0</v>
      </c>
      <c r="BI106" s="46">
        <v>0</v>
      </c>
      <c r="BO106" s="48">
        <f t="shared" si="68"/>
        <v>0</v>
      </c>
      <c r="BP106" s="48">
        <f t="shared" si="69"/>
        <v>0</v>
      </c>
      <c r="BQ106" s="6" t="str">
        <f t="shared" si="43"/>
        <v>Advance With Supplier</v>
      </c>
      <c r="BS106" s="6" t="str">
        <f t="shared" si="70"/>
        <v>Open</v>
      </c>
      <c r="BT106" s="49">
        <f t="shared" ca="1" si="45"/>
        <v>57</v>
      </c>
    </row>
    <row r="107" spans="1:72" hidden="1" x14ac:dyDescent="0.25">
      <c r="A107" s="6" t="s">
        <v>19436</v>
      </c>
      <c r="B107" s="6">
        <v>1952.26</v>
      </c>
      <c r="C107" s="36">
        <v>46200</v>
      </c>
      <c r="D107" s="6" t="s">
        <v>19439</v>
      </c>
      <c r="E107" s="37">
        <v>1000</v>
      </c>
      <c r="F107" s="38" t="s">
        <v>19702</v>
      </c>
      <c r="G107" s="39" t="str">
        <f t="shared" si="46"/>
        <v>GRN Not Received</v>
      </c>
      <c r="H107" s="40" t="str">
        <f t="shared" si="47"/>
        <v>GRN Not Received</v>
      </c>
      <c r="I107" s="6" t="s">
        <v>19710</v>
      </c>
      <c r="J107" s="36">
        <v>46206</v>
      </c>
      <c r="K107" s="41">
        <v>1000</v>
      </c>
      <c r="L107" s="42">
        <v>0.85599999999999998</v>
      </c>
      <c r="M107" s="42">
        <f t="shared" si="48"/>
        <v>856</v>
      </c>
      <c r="N107" s="42">
        <v>0</v>
      </c>
      <c r="O107" s="42">
        <v>0</v>
      </c>
      <c r="P107" s="42">
        <f t="shared" si="49"/>
        <v>856</v>
      </c>
      <c r="Q107" s="38" t="s">
        <v>19711</v>
      </c>
      <c r="R107" s="36">
        <v>46210</v>
      </c>
      <c r="S107" s="6" t="s">
        <v>19450</v>
      </c>
      <c r="T107" s="50" t="s">
        <v>11274</v>
      </c>
      <c r="U107" s="6" t="str">
        <f>IFERROR(VLOOKUP(T107,'item master'!B:C,2,0),"")</f>
        <v>LEVAMISOLE 150MG 10X10CES</v>
      </c>
      <c r="V107" s="41">
        <v>1000</v>
      </c>
      <c r="X107" s="44">
        <v>0.85599999999999998</v>
      </c>
      <c r="Y107" s="42">
        <f t="shared" si="61"/>
        <v>856</v>
      </c>
      <c r="Z107" s="42">
        <v>0</v>
      </c>
      <c r="AA107" s="42">
        <f t="shared" si="50"/>
        <v>856</v>
      </c>
      <c r="AB107" s="45">
        <v>0.3</v>
      </c>
      <c r="AC107" s="42">
        <f t="shared" si="62"/>
        <v>256.8</v>
      </c>
      <c r="AD107" s="42">
        <f t="shared" si="71"/>
        <v>256.8</v>
      </c>
      <c r="AE107" s="36">
        <v>46216</v>
      </c>
      <c r="AF107" s="6" t="s">
        <v>19715</v>
      </c>
      <c r="AH107" s="41">
        <f t="shared" si="51"/>
        <v>0</v>
      </c>
      <c r="AJ107" s="41">
        <f t="shared" si="72"/>
        <v>1000</v>
      </c>
      <c r="AO107" s="46">
        <f t="shared" si="63"/>
        <v>0</v>
      </c>
      <c r="AP107" s="46"/>
      <c r="AQ107" s="46"/>
      <c r="AR107" s="46"/>
      <c r="AS107" s="42">
        <f t="shared" si="52"/>
        <v>0</v>
      </c>
      <c r="AV107" s="6" t="s">
        <v>19584</v>
      </c>
      <c r="AZ107" s="46">
        <v>0</v>
      </c>
      <c r="BA107" s="42">
        <f t="shared" si="64"/>
        <v>256.8</v>
      </c>
      <c r="BB107" s="46">
        <v>0</v>
      </c>
      <c r="BC107" s="46">
        <v>0</v>
      </c>
      <c r="BD107" s="46" t="str">
        <f t="shared" si="53"/>
        <v>0</v>
      </c>
      <c r="BE107" s="46">
        <f t="shared" si="65"/>
        <v>256.8</v>
      </c>
      <c r="BF107" s="46">
        <f t="shared" si="66"/>
        <v>-256.8</v>
      </c>
      <c r="BG107" s="47">
        <f t="shared" si="67"/>
        <v>513.6</v>
      </c>
      <c r="BH107" s="46">
        <f t="shared" si="54"/>
        <v>0</v>
      </c>
      <c r="BI107" s="46">
        <v>0</v>
      </c>
      <c r="BO107" s="48">
        <f t="shared" si="68"/>
        <v>0</v>
      </c>
      <c r="BP107" s="48">
        <f t="shared" si="69"/>
        <v>0</v>
      </c>
      <c r="BQ107" s="6" t="str">
        <f t="shared" si="43"/>
        <v>Advance With Supplier</v>
      </c>
      <c r="BS107" s="6" t="str">
        <f t="shared" si="70"/>
        <v>Open</v>
      </c>
      <c r="BT107" s="49">
        <f t="shared" ca="1" si="45"/>
        <v>57</v>
      </c>
    </row>
    <row r="108" spans="1:72" hidden="1" x14ac:dyDescent="0.25">
      <c r="A108" s="6" t="s">
        <v>19436</v>
      </c>
      <c r="B108" s="6">
        <v>1952.26</v>
      </c>
      <c r="C108" s="36">
        <v>46200</v>
      </c>
      <c r="D108" s="6" t="s">
        <v>19439</v>
      </c>
      <c r="E108" s="37">
        <v>500000</v>
      </c>
      <c r="F108" s="38" t="s">
        <v>19706</v>
      </c>
      <c r="G108" s="39" t="str">
        <f t="shared" si="46"/>
        <v>GRN Not Received</v>
      </c>
      <c r="H108" s="40" t="str">
        <f t="shared" si="47"/>
        <v>GRN Not Received</v>
      </c>
      <c r="I108" s="6" t="s">
        <v>19710</v>
      </c>
      <c r="J108" s="36">
        <v>46206</v>
      </c>
      <c r="K108" s="41">
        <v>1000</v>
      </c>
      <c r="L108" s="42">
        <v>1.659</v>
      </c>
      <c r="M108" s="42">
        <f t="shared" si="48"/>
        <v>1659</v>
      </c>
      <c r="N108" s="42">
        <v>0</v>
      </c>
      <c r="O108" s="42">
        <v>0</v>
      </c>
      <c r="P108" s="42">
        <f t="shared" si="49"/>
        <v>1659</v>
      </c>
      <c r="Q108" s="38" t="s">
        <v>19711</v>
      </c>
      <c r="R108" s="36">
        <v>46210</v>
      </c>
      <c r="S108" s="6" t="s">
        <v>19450</v>
      </c>
      <c r="T108" s="50" t="s">
        <v>15166</v>
      </c>
      <c r="U108" s="6" t="str">
        <f>IFERROR(VLOOKUP(T108,'item master'!B:C,2,0),"")</f>
        <v>WERMOQUE 500MG (MEBENDAZOLE) B/1 CES</v>
      </c>
      <c r="V108" s="41">
        <v>1000</v>
      </c>
      <c r="X108" s="44">
        <v>1.659</v>
      </c>
      <c r="Y108" s="42">
        <f t="shared" si="61"/>
        <v>1659</v>
      </c>
      <c r="Z108" s="42">
        <v>0</v>
      </c>
      <c r="AA108" s="42">
        <f t="shared" si="50"/>
        <v>1659</v>
      </c>
      <c r="AB108" s="45">
        <v>0.3</v>
      </c>
      <c r="AC108" s="42">
        <f t="shared" si="62"/>
        <v>497.7</v>
      </c>
      <c r="AD108" s="42">
        <f t="shared" si="71"/>
        <v>497.7</v>
      </c>
      <c r="AE108" s="36">
        <v>46216</v>
      </c>
      <c r="AF108" s="6" t="s">
        <v>19715</v>
      </c>
      <c r="AH108" s="41">
        <f t="shared" si="51"/>
        <v>0</v>
      </c>
      <c r="AJ108" s="41">
        <f t="shared" si="72"/>
        <v>1000</v>
      </c>
      <c r="AO108" s="46">
        <f t="shared" si="63"/>
        <v>0</v>
      </c>
      <c r="AP108" s="46"/>
      <c r="AQ108" s="46"/>
      <c r="AR108" s="46"/>
      <c r="AS108" s="42">
        <f t="shared" si="52"/>
        <v>0</v>
      </c>
      <c r="AV108" s="6" t="s">
        <v>19584</v>
      </c>
      <c r="AZ108" s="46">
        <v>0</v>
      </c>
      <c r="BA108" s="42">
        <f t="shared" si="64"/>
        <v>497.7</v>
      </c>
      <c r="BB108" s="46">
        <v>0</v>
      </c>
      <c r="BC108" s="46">
        <v>0</v>
      </c>
      <c r="BD108" s="46" t="str">
        <f t="shared" si="53"/>
        <v>0</v>
      </c>
      <c r="BE108" s="46">
        <f t="shared" si="65"/>
        <v>497.7</v>
      </c>
      <c r="BF108" s="46">
        <f t="shared" si="66"/>
        <v>-497.7</v>
      </c>
      <c r="BG108" s="47">
        <f t="shared" si="67"/>
        <v>995.4</v>
      </c>
      <c r="BH108" s="46">
        <f t="shared" si="54"/>
        <v>0</v>
      </c>
      <c r="BI108" s="46">
        <v>0</v>
      </c>
      <c r="BO108" s="48">
        <f t="shared" si="68"/>
        <v>0</v>
      </c>
      <c r="BP108" s="48">
        <f t="shared" si="69"/>
        <v>0</v>
      </c>
      <c r="BQ108" s="6" t="str">
        <f t="shared" si="43"/>
        <v>Advance With Supplier</v>
      </c>
      <c r="BS108" s="6" t="str">
        <f t="shared" si="70"/>
        <v>Open</v>
      </c>
      <c r="BT108" s="49">
        <f t="shared" ca="1" si="45"/>
        <v>57</v>
      </c>
    </row>
    <row r="109" spans="1:72" hidden="1" x14ac:dyDescent="0.25">
      <c r="A109" s="6" t="s">
        <v>19436</v>
      </c>
      <c r="B109" s="6">
        <v>1936.26</v>
      </c>
      <c r="C109" s="36">
        <v>46162</v>
      </c>
      <c r="D109" s="6" t="s">
        <v>19438</v>
      </c>
      <c r="E109" s="37">
        <v>10000</v>
      </c>
      <c r="F109" s="38" t="s">
        <v>19702</v>
      </c>
      <c r="G109" s="39" t="str">
        <f t="shared" si="46"/>
        <v>GRN Not Received</v>
      </c>
      <c r="H109" s="40" t="str">
        <f t="shared" si="47"/>
        <v>GRN Not Received</v>
      </c>
      <c r="I109" s="6" t="s">
        <v>19713</v>
      </c>
      <c r="J109" s="36">
        <v>46210</v>
      </c>
      <c r="K109" s="41">
        <v>10000</v>
      </c>
      <c r="L109" s="42">
        <v>0.38500000000000001</v>
      </c>
      <c r="M109" s="42">
        <f t="shared" si="48"/>
        <v>3850</v>
      </c>
      <c r="N109" s="42">
        <v>0</v>
      </c>
      <c r="O109" s="42">
        <v>0</v>
      </c>
      <c r="P109" s="42">
        <f t="shared" si="49"/>
        <v>3850</v>
      </c>
      <c r="Q109" s="38" t="s">
        <v>19714</v>
      </c>
      <c r="R109" s="36">
        <v>46211</v>
      </c>
      <c r="S109" s="6" t="s">
        <v>19450</v>
      </c>
      <c r="T109" s="50" t="s">
        <v>15164</v>
      </c>
      <c r="U109" s="6" t="str">
        <f>IFERROR(VLOOKUP(T109,'item master'!B:C,2,0),"")</f>
        <v>UNIGEL-PLUS (MAGNESIUM + ALUMINIUM) B/10X10 CES</v>
      </c>
      <c r="V109" s="41">
        <v>10000</v>
      </c>
      <c r="X109" s="44">
        <v>0.38500000000000001</v>
      </c>
      <c r="Y109" s="42">
        <f t="shared" si="61"/>
        <v>3850</v>
      </c>
      <c r="Z109" s="42">
        <v>0</v>
      </c>
      <c r="AA109" s="42">
        <f t="shared" si="50"/>
        <v>3850</v>
      </c>
      <c r="AB109" s="45">
        <v>0.3</v>
      </c>
      <c r="AC109" s="42">
        <f t="shared" si="62"/>
        <v>1155</v>
      </c>
      <c r="AD109" s="42">
        <f t="shared" si="71"/>
        <v>1155</v>
      </c>
      <c r="AE109" s="36">
        <v>46216</v>
      </c>
      <c r="AF109" s="6" t="s">
        <v>19715</v>
      </c>
      <c r="AH109" s="41">
        <f t="shared" si="51"/>
        <v>0</v>
      </c>
      <c r="AJ109" s="41">
        <f t="shared" si="72"/>
        <v>10000</v>
      </c>
      <c r="AO109" s="46">
        <f t="shared" si="63"/>
        <v>0</v>
      </c>
      <c r="AP109" s="46"/>
      <c r="AQ109" s="46"/>
      <c r="AR109" s="46"/>
      <c r="AS109" s="42">
        <f t="shared" si="52"/>
        <v>0</v>
      </c>
      <c r="AV109" s="6" t="s">
        <v>19584</v>
      </c>
      <c r="AZ109" s="46">
        <v>0</v>
      </c>
      <c r="BA109" s="42">
        <f t="shared" si="64"/>
        <v>1155</v>
      </c>
      <c r="BB109" s="46">
        <v>0</v>
      </c>
      <c r="BC109" s="46">
        <v>0</v>
      </c>
      <c r="BD109" s="46" t="str">
        <f t="shared" si="53"/>
        <v>0</v>
      </c>
      <c r="BE109" s="46">
        <f t="shared" si="65"/>
        <v>1155</v>
      </c>
      <c r="BF109" s="46">
        <f t="shared" si="66"/>
        <v>-1155</v>
      </c>
      <c r="BG109" s="47">
        <f t="shared" si="67"/>
        <v>2310</v>
      </c>
      <c r="BH109" s="46">
        <f t="shared" si="54"/>
        <v>0</v>
      </c>
      <c r="BI109" s="46">
        <v>0</v>
      </c>
      <c r="BO109" s="48">
        <f t="shared" si="68"/>
        <v>0</v>
      </c>
      <c r="BP109" s="48">
        <f t="shared" si="69"/>
        <v>0</v>
      </c>
      <c r="BQ109" s="6" t="str">
        <f t="shared" si="43"/>
        <v>Advance With Supplier</v>
      </c>
      <c r="BS109" s="6" t="str">
        <f t="shared" si="70"/>
        <v>Open</v>
      </c>
      <c r="BT109" s="49">
        <f t="shared" ca="1" si="45"/>
        <v>53</v>
      </c>
    </row>
    <row r="110" spans="1:72" hidden="1" x14ac:dyDescent="0.25">
      <c r="A110" s="6" t="s">
        <v>19436</v>
      </c>
      <c r="B110" s="6">
        <v>1936.26</v>
      </c>
      <c r="C110" s="36">
        <v>46162</v>
      </c>
      <c r="D110" s="6" t="s">
        <v>19438</v>
      </c>
      <c r="E110" s="37">
        <v>250000</v>
      </c>
      <c r="F110" s="38" t="s">
        <v>19702</v>
      </c>
      <c r="G110" s="39" t="str">
        <f t="shared" si="46"/>
        <v>GRN Not Received</v>
      </c>
      <c r="H110" s="40" t="str">
        <f t="shared" si="47"/>
        <v>GRN Not Received</v>
      </c>
      <c r="I110" s="6" t="s">
        <v>19713</v>
      </c>
      <c r="J110" s="36">
        <v>46210</v>
      </c>
      <c r="K110" s="41">
        <v>250000</v>
      </c>
      <c r="L110" s="42">
        <v>0.161</v>
      </c>
      <c r="M110" s="42">
        <f t="shared" si="48"/>
        <v>40250</v>
      </c>
      <c r="N110" s="42">
        <v>0</v>
      </c>
      <c r="O110" s="42">
        <v>0</v>
      </c>
      <c r="P110" s="42">
        <f t="shared" si="49"/>
        <v>40250</v>
      </c>
      <c r="Q110" s="38" t="s">
        <v>19714</v>
      </c>
      <c r="R110" s="36">
        <v>46211</v>
      </c>
      <c r="S110" s="6" t="s">
        <v>19450</v>
      </c>
      <c r="T110" s="50" t="s">
        <v>14430</v>
      </c>
      <c r="U110" s="6" t="str">
        <f>IFERROR(VLOOKUP(T110,'item master'!B:C,2,0),"")</f>
        <v>VITAMINE B COMPLEX B/10X10CES</v>
      </c>
      <c r="V110" s="41">
        <v>250000</v>
      </c>
      <c r="X110" s="44">
        <v>0.161</v>
      </c>
      <c r="Y110" s="42">
        <f>V110*X110</f>
        <v>40250</v>
      </c>
      <c r="Z110" s="42">
        <v>0</v>
      </c>
      <c r="AA110" s="42">
        <f t="shared" si="50"/>
        <v>40250</v>
      </c>
      <c r="AB110" s="45">
        <v>0.3</v>
      </c>
      <c r="AC110" s="42">
        <f t="shared" ref="AC110:AC141" si="73">Y110*AB110</f>
        <v>12075</v>
      </c>
      <c r="AD110" s="42">
        <f t="shared" si="71"/>
        <v>12075</v>
      </c>
      <c r="AE110" s="36">
        <v>46216</v>
      </c>
      <c r="AF110" s="6" t="s">
        <v>19715</v>
      </c>
      <c r="AH110" s="41">
        <f t="shared" si="51"/>
        <v>0</v>
      </c>
      <c r="AJ110" s="41">
        <f t="shared" si="72"/>
        <v>250000</v>
      </c>
      <c r="AO110" s="46">
        <f t="shared" si="63"/>
        <v>0</v>
      </c>
      <c r="AP110" s="46"/>
      <c r="AQ110" s="46"/>
      <c r="AR110" s="46"/>
      <c r="AS110" s="42">
        <f t="shared" si="52"/>
        <v>0</v>
      </c>
      <c r="AV110" s="6" t="s">
        <v>19584</v>
      </c>
      <c r="AZ110" s="46">
        <v>0</v>
      </c>
      <c r="BA110" s="42">
        <f t="shared" si="64"/>
        <v>12075</v>
      </c>
      <c r="BB110" s="46">
        <v>0</v>
      </c>
      <c r="BC110" s="46">
        <v>0</v>
      </c>
      <c r="BD110" s="46" t="str">
        <f t="shared" si="53"/>
        <v>0</v>
      </c>
      <c r="BE110" s="46">
        <f t="shared" si="65"/>
        <v>12075</v>
      </c>
      <c r="BF110" s="46">
        <f t="shared" si="66"/>
        <v>-12075</v>
      </c>
      <c r="BG110" s="47">
        <f t="shared" si="67"/>
        <v>24150</v>
      </c>
      <c r="BH110" s="46">
        <f t="shared" si="54"/>
        <v>0</v>
      </c>
      <c r="BI110" s="46">
        <v>0</v>
      </c>
      <c r="BO110" s="48">
        <f t="shared" si="68"/>
        <v>0</v>
      </c>
      <c r="BP110" s="48">
        <f t="shared" si="69"/>
        <v>0</v>
      </c>
      <c r="BQ110" s="6" t="str">
        <f t="shared" si="43"/>
        <v>Advance With Supplier</v>
      </c>
      <c r="BS110" s="6" t="str">
        <f t="shared" si="70"/>
        <v>Open</v>
      </c>
      <c r="BT110" s="49">
        <f t="shared" ca="1" si="45"/>
        <v>53</v>
      </c>
    </row>
    <row r="111" spans="1:72" hidden="1" x14ac:dyDescent="0.25">
      <c r="A111" s="6" t="s">
        <v>19436</v>
      </c>
      <c r="B111" s="6">
        <v>1936.26</v>
      </c>
      <c r="C111" s="36">
        <v>46162</v>
      </c>
      <c r="D111" s="6" t="s">
        <v>19438</v>
      </c>
      <c r="E111" s="37">
        <v>1650000</v>
      </c>
      <c r="F111" s="38" t="s">
        <v>19706</v>
      </c>
      <c r="G111" s="39" t="str">
        <f t="shared" si="46"/>
        <v>GRN Not Received</v>
      </c>
      <c r="H111" s="40" t="str">
        <f t="shared" si="47"/>
        <v>GRN Not Received</v>
      </c>
      <c r="I111" s="6" t="s">
        <v>19713</v>
      </c>
      <c r="J111" s="36">
        <v>46210</v>
      </c>
      <c r="K111" s="41">
        <f>E111/50</f>
        <v>33000</v>
      </c>
      <c r="L111" s="42">
        <v>1.659</v>
      </c>
      <c r="M111" s="42">
        <f t="shared" si="48"/>
        <v>54747</v>
      </c>
      <c r="N111" s="42">
        <v>0</v>
      </c>
      <c r="O111" s="42">
        <v>0</v>
      </c>
      <c r="P111" s="42">
        <f t="shared" si="49"/>
        <v>54747</v>
      </c>
      <c r="Q111" s="38" t="s">
        <v>19714</v>
      </c>
      <c r="R111" s="36">
        <v>46211</v>
      </c>
      <c r="S111" s="6" t="s">
        <v>19450</v>
      </c>
      <c r="T111" s="50" t="s">
        <v>15166</v>
      </c>
      <c r="U111" s="6" t="str">
        <f>IFERROR(VLOOKUP(T111,'item master'!B:C,2,0),"")</f>
        <v>WERMOQUE 500MG (MEBENDAZOLE) B/1 CES</v>
      </c>
      <c r="V111" s="41">
        <v>33000</v>
      </c>
      <c r="X111" s="44">
        <v>1.659</v>
      </c>
      <c r="Y111" s="42">
        <f>V111*X111</f>
        <v>54747</v>
      </c>
      <c r="Z111" s="42">
        <v>0</v>
      </c>
      <c r="AA111" s="42">
        <f t="shared" si="50"/>
        <v>54747</v>
      </c>
      <c r="AB111" s="45">
        <v>0.3</v>
      </c>
      <c r="AC111" s="42">
        <f t="shared" si="73"/>
        <v>16424.099999999999</v>
      </c>
      <c r="AD111" s="42">
        <f t="shared" si="71"/>
        <v>16424.099999999999</v>
      </c>
      <c r="AE111" s="36">
        <v>46216</v>
      </c>
      <c r="AF111" s="6" t="s">
        <v>19715</v>
      </c>
      <c r="AH111" s="41">
        <f t="shared" si="51"/>
        <v>0</v>
      </c>
      <c r="AJ111" s="41">
        <f t="shared" si="72"/>
        <v>33000</v>
      </c>
      <c r="AO111" s="46">
        <f t="shared" si="63"/>
        <v>0</v>
      </c>
      <c r="AP111" s="46"/>
      <c r="AQ111" s="46"/>
      <c r="AR111" s="46"/>
      <c r="AS111" s="42">
        <f t="shared" si="52"/>
        <v>0</v>
      </c>
      <c r="AV111" s="6" t="s">
        <v>19584</v>
      </c>
      <c r="AZ111" s="46">
        <v>0</v>
      </c>
      <c r="BA111" s="42">
        <f t="shared" si="64"/>
        <v>16424.099999999999</v>
      </c>
      <c r="BB111" s="46">
        <v>0</v>
      </c>
      <c r="BC111" s="46">
        <v>0</v>
      </c>
      <c r="BD111" s="46" t="str">
        <f t="shared" si="53"/>
        <v>0</v>
      </c>
      <c r="BE111" s="46">
        <f t="shared" si="65"/>
        <v>16424.099999999999</v>
      </c>
      <c r="BF111" s="46">
        <f t="shared" si="66"/>
        <v>-16424.099999999999</v>
      </c>
      <c r="BG111" s="47">
        <f t="shared" si="67"/>
        <v>32848.199999999997</v>
      </c>
      <c r="BH111" s="46">
        <f t="shared" si="54"/>
        <v>0</v>
      </c>
      <c r="BI111" s="46">
        <v>0</v>
      </c>
      <c r="BO111" s="48">
        <f t="shared" si="68"/>
        <v>0</v>
      </c>
      <c r="BP111" s="48">
        <f t="shared" si="69"/>
        <v>0</v>
      </c>
      <c r="BQ111" s="6" t="str">
        <f t="shared" si="43"/>
        <v>Advance With Supplier</v>
      </c>
      <c r="BS111" s="6" t="str">
        <f t="shared" si="70"/>
        <v>Open</v>
      </c>
      <c r="BT111" s="49">
        <f t="shared" ca="1" si="45"/>
        <v>53</v>
      </c>
    </row>
    <row r="112" spans="1:72" hidden="1" x14ac:dyDescent="0.25">
      <c r="A112" s="6" t="s">
        <v>19436</v>
      </c>
      <c r="B112" s="6">
        <v>1901.25</v>
      </c>
      <c r="C112" s="36">
        <v>46162</v>
      </c>
      <c r="D112" s="6" t="s">
        <v>19438</v>
      </c>
      <c r="E112" s="37">
        <v>30000</v>
      </c>
      <c r="F112" s="38" t="s">
        <v>19702</v>
      </c>
      <c r="G112" s="39" t="str">
        <f t="shared" si="46"/>
        <v>GRN Not Received</v>
      </c>
      <c r="H112" s="40" t="str">
        <f t="shared" si="47"/>
        <v>GRN Not Received</v>
      </c>
      <c r="I112" s="6" t="s">
        <v>19717</v>
      </c>
      <c r="J112" s="36">
        <v>46190</v>
      </c>
      <c r="K112" s="41">
        <f>E112</f>
        <v>30000</v>
      </c>
      <c r="L112" s="42">
        <v>0.34200000000000003</v>
      </c>
      <c r="M112" s="42">
        <f t="shared" si="48"/>
        <v>10260</v>
      </c>
      <c r="N112" s="42">
        <v>0</v>
      </c>
      <c r="O112" s="42">
        <v>0</v>
      </c>
      <c r="P112" s="42">
        <f t="shared" si="49"/>
        <v>10260</v>
      </c>
      <c r="Q112" s="38" t="s">
        <v>19721</v>
      </c>
      <c r="R112" s="36">
        <v>46165</v>
      </c>
      <c r="S112" s="6" t="s">
        <v>19450</v>
      </c>
      <c r="T112" s="50" t="s">
        <v>1454</v>
      </c>
      <c r="U112" s="6" t="str">
        <f>IFERROR(VLOOKUP(T112,'item master'!B:C,2,0),"")</f>
        <v>AMINOPHILLENE 100MG B/10X10CES</v>
      </c>
      <c r="V112" s="41">
        <f t="shared" ref="V112:V130" si="74">K112</f>
        <v>30000</v>
      </c>
      <c r="X112" s="44">
        <f t="shared" ref="X112:X143" si="75">L112</f>
        <v>0.34200000000000003</v>
      </c>
      <c r="Y112" s="42">
        <f>V112*X112</f>
        <v>10260</v>
      </c>
      <c r="Z112" s="42">
        <v>0</v>
      </c>
      <c r="AA112" s="42">
        <f t="shared" si="50"/>
        <v>10260</v>
      </c>
      <c r="AB112" s="45">
        <v>0.3</v>
      </c>
      <c r="AC112" s="42">
        <f t="shared" si="73"/>
        <v>3078</v>
      </c>
      <c r="AD112" s="42">
        <f t="shared" si="71"/>
        <v>3078</v>
      </c>
      <c r="AE112" s="36">
        <v>46197</v>
      </c>
      <c r="AF112" s="6" t="s">
        <v>19722</v>
      </c>
      <c r="AH112" s="41">
        <f t="shared" si="51"/>
        <v>0</v>
      </c>
      <c r="AJ112" s="41">
        <f t="shared" si="72"/>
        <v>30000</v>
      </c>
      <c r="AO112" s="46">
        <f t="shared" si="63"/>
        <v>0</v>
      </c>
      <c r="AP112" s="46"/>
      <c r="AQ112" s="46"/>
      <c r="AR112" s="46"/>
      <c r="AS112" s="42">
        <f t="shared" si="52"/>
        <v>0</v>
      </c>
      <c r="AV112" s="6" t="s">
        <v>19584</v>
      </c>
      <c r="AZ112" s="46">
        <v>0</v>
      </c>
      <c r="BA112" s="42">
        <f t="shared" si="64"/>
        <v>3078</v>
      </c>
      <c r="BB112" s="46">
        <v>0</v>
      </c>
      <c r="BC112" s="46">
        <v>0</v>
      </c>
      <c r="BD112" s="46" t="str">
        <f t="shared" si="53"/>
        <v>0</v>
      </c>
      <c r="BE112" s="46">
        <f t="shared" si="65"/>
        <v>3078</v>
      </c>
      <c r="BF112" s="46">
        <f t="shared" si="66"/>
        <v>-3078</v>
      </c>
      <c r="BG112" s="47">
        <f t="shared" si="67"/>
        <v>6156</v>
      </c>
      <c r="BH112" s="46">
        <f t="shared" si="54"/>
        <v>0</v>
      </c>
      <c r="BI112" s="46">
        <v>0</v>
      </c>
      <c r="BO112" s="48">
        <f t="shared" si="68"/>
        <v>0</v>
      </c>
      <c r="BP112" s="48">
        <f t="shared" si="69"/>
        <v>0</v>
      </c>
      <c r="BQ112" s="6" t="str">
        <f t="shared" si="43"/>
        <v>Advance With Supplier</v>
      </c>
      <c r="BS112" s="6" t="str">
        <f t="shared" si="70"/>
        <v>Open</v>
      </c>
      <c r="BT112" s="49">
        <f t="shared" ca="1" si="45"/>
        <v>73</v>
      </c>
    </row>
    <row r="113" spans="1:72" hidden="1" x14ac:dyDescent="0.25">
      <c r="A113" s="6" t="s">
        <v>19436</v>
      </c>
      <c r="B113" s="6">
        <v>1901.25</v>
      </c>
      <c r="C113" s="36">
        <v>46162</v>
      </c>
      <c r="D113" s="6" t="s">
        <v>19438</v>
      </c>
      <c r="E113" s="37">
        <v>50000</v>
      </c>
      <c r="F113" s="38" t="s">
        <v>19702</v>
      </c>
      <c r="G113" s="39" t="str">
        <f t="shared" si="46"/>
        <v>GRN Not Received</v>
      </c>
      <c r="H113" s="40" t="str">
        <f t="shared" si="47"/>
        <v>GRN Not Received</v>
      </c>
      <c r="I113" s="6" t="s">
        <v>19717</v>
      </c>
      <c r="J113" s="36">
        <v>46190</v>
      </c>
      <c r="K113" s="41">
        <v>100000</v>
      </c>
      <c r="L113" s="42">
        <v>0.128</v>
      </c>
      <c r="M113" s="42">
        <f t="shared" si="48"/>
        <v>12800</v>
      </c>
      <c r="N113" s="42">
        <v>0</v>
      </c>
      <c r="O113" s="42">
        <v>0</v>
      </c>
      <c r="P113" s="42">
        <f t="shared" si="49"/>
        <v>12800</v>
      </c>
      <c r="Q113" s="38" t="s">
        <v>19721</v>
      </c>
      <c r="R113" s="36">
        <v>46165</v>
      </c>
      <c r="S113" s="6" t="s">
        <v>19450</v>
      </c>
      <c r="T113" s="50" t="s">
        <v>1571</v>
      </c>
      <c r="U113" s="6" t="str">
        <f>IFERROR(VLOOKUP(T113,'item master'!B:C,2,0),"")</f>
        <v>CHLORAPHENERAMINE 4MG B/10X10CES</v>
      </c>
      <c r="V113" s="41">
        <f t="shared" si="74"/>
        <v>100000</v>
      </c>
      <c r="X113" s="44">
        <f t="shared" si="75"/>
        <v>0.128</v>
      </c>
      <c r="Y113" s="42">
        <f t="shared" ref="Y113:Y130" si="76">V113*X113</f>
        <v>12800</v>
      </c>
      <c r="Z113" s="42">
        <v>0</v>
      </c>
      <c r="AA113" s="42">
        <f t="shared" si="50"/>
        <v>12800</v>
      </c>
      <c r="AB113" s="45">
        <v>0.3</v>
      </c>
      <c r="AC113" s="42">
        <f t="shared" si="73"/>
        <v>3840</v>
      </c>
      <c r="AD113" s="42">
        <f t="shared" si="71"/>
        <v>3840</v>
      </c>
      <c r="AE113" s="36">
        <v>46197</v>
      </c>
      <c r="AF113" s="6" t="s">
        <v>19722</v>
      </c>
      <c r="AH113" s="41">
        <f t="shared" si="51"/>
        <v>0</v>
      </c>
      <c r="AJ113" s="41">
        <f t="shared" si="72"/>
        <v>100000</v>
      </c>
      <c r="AO113" s="46">
        <f t="shared" si="63"/>
        <v>0</v>
      </c>
      <c r="AP113" s="46"/>
      <c r="AQ113" s="46"/>
      <c r="AR113" s="46"/>
      <c r="AS113" s="42">
        <f t="shared" si="52"/>
        <v>0</v>
      </c>
      <c r="AV113" s="6" t="s">
        <v>19584</v>
      </c>
      <c r="AZ113" s="46">
        <v>0</v>
      </c>
      <c r="BA113" s="42">
        <f t="shared" si="64"/>
        <v>3840</v>
      </c>
      <c r="BB113" s="46">
        <v>0</v>
      </c>
      <c r="BC113" s="46">
        <v>0</v>
      </c>
      <c r="BD113" s="46" t="str">
        <f t="shared" si="53"/>
        <v>0</v>
      </c>
      <c r="BE113" s="46">
        <f t="shared" si="65"/>
        <v>3840</v>
      </c>
      <c r="BF113" s="46">
        <f t="shared" si="66"/>
        <v>-3840</v>
      </c>
      <c r="BG113" s="47">
        <f t="shared" si="67"/>
        <v>7680</v>
      </c>
      <c r="BH113" s="46">
        <f t="shared" si="54"/>
        <v>0</v>
      </c>
      <c r="BI113" s="46">
        <v>0</v>
      </c>
      <c r="BO113" s="48">
        <f t="shared" si="68"/>
        <v>0</v>
      </c>
      <c r="BP113" s="48">
        <f t="shared" si="69"/>
        <v>0</v>
      </c>
      <c r="BQ113" s="6" t="str">
        <f t="shared" si="43"/>
        <v>Advance With Supplier</v>
      </c>
      <c r="BS113" s="6" t="str">
        <f t="shared" si="70"/>
        <v>Open</v>
      </c>
      <c r="BT113" s="49">
        <f t="shared" ca="1" si="45"/>
        <v>73</v>
      </c>
    </row>
    <row r="114" spans="1:72" hidden="1" x14ac:dyDescent="0.25">
      <c r="A114" s="6" t="s">
        <v>19436</v>
      </c>
      <c r="B114" s="6">
        <v>1901.25</v>
      </c>
      <c r="C114" s="36">
        <v>46162</v>
      </c>
      <c r="D114" s="6" t="s">
        <v>19438</v>
      </c>
      <c r="E114" s="37">
        <v>30000</v>
      </c>
      <c r="F114" s="38" t="s">
        <v>19702</v>
      </c>
      <c r="G114" s="39" t="str">
        <f t="shared" si="46"/>
        <v>GRN Not Received</v>
      </c>
      <c r="H114" s="40" t="str">
        <f t="shared" si="47"/>
        <v>GRN Not Received</v>
      </c>
      <c r="I114" s="6" t="s">
        <v>19717</v>
      </c>
      <c r="J114" s="36">
        <v>46190</v>
      </c>
      <c r="K114" s="41">
        <f t="shared" ref="K114:K129" si="77">E114</f>
        <v>30000</v>
      </c>
      <c r="L114" s="42">
        <v>0.13900000000000001</v>
      </c>
      <c r="M114" s="42">
        <f t="shared" si="48"/>
        <v>4170</v>
      </c>
      <c r="N114" s="42">
        <v>0</v>
      </c>
      <c r="O114" s="42">
        <v>0</v>
      </c>
      <c r="P114" s="42">
        <f t="shared" si="49"/>
        <v>4170</v>
      </c>
      <c r="Q114" s="38" t="s">
        <v>19721</v>
      </c>
      <c r="R114" s="36">
        <v>46165</v>
      </c>
      <c r="S114" s="6" t="s">
        <v>19450</v>
      </c>
      <c r="T114" s="50" t="s">
        <v>1589</v>
      </c>
      <c r="U114" s="6" t="str">
        <f>IFERROR(VLOOKUP(T114,'item master'!B:C,2,0),"")</f>
        <v>CORTIDEX (DEXAMETHASONE) 0.5MG B/ 10X10CES</v>
      </c>
      <c r="V114" s="41">
        <f t="shared" si="74"/>
        <v>30000</v>
      </c>
      <c r="X114" s="44">
        <f t="shared" si="75"/>
        <v>0.13900000000000001</v>
      </c>
      <c r="Y114" s="42">
        <f t="shared" si="76"/>
        <v>4170</v>
      </c>
      <c r="Z114" s="42">
        <v>0</v>
      </c>
      <c r="AA114" s="42">
        <f t="shared" si="50"/>
        <v>4170</v>
      </c>
      <c r="AB114" s="45">
        <v>0.3</v>
      </c>
      <c r="AC114" s="42">
        <f t="shared" si="73"/>
        <v>1251</v>
      </c>
      <c r="AD114" s="42">
        <f t="shared" si="71"/>
        <v>1251</v>
      </c>
      <c r="AE114" s="36">
        <v>46197</v>
      </c>
      <c r="AF114" s="6" t="s">
        <v>19722</v>
      </c>
      <c r="AH114" s="41">
        <f t="shared" si="51"/>
        <v>0</v>
      </c>
      <c r="AJ114" s="41">
        <f t="shared" si="72"/>
        <v>30000</v>
      </c>
      <c r="AO114" s="46">
        <f t="shared" si="63"/>
        <v>0</v>
      </c>
      <c r="AP114" s="46"/>
      <c r="AQ114" s="46"/>
      <c r="AR114" s="46"/>
      <c r="AS114" s="42">
        <f t="shared" si="52"/>
        <v>0</v>
      </c>
      <c r="AV114" s="6" t="s">
        <v>19584</v>
      </c>
      <c r="AZ114" s="46">
        <v>0</v>
      </c>
      <c r="BA114" s="42">
        <f t="shared" si="64"/>
        <v>1251</v>
      </c>
      <c r="BB114" s="46">
        <v>0</v>
      </c>
      <c r="BC114" s="46">
        <v>0</v>
      </c>
      <c r="BD114" s="46" t="str">
        <f t="shared" si="53"/>
        <v>0</v>
      </c>
      <c r="BE114" s="46">
        <f t="shared" si="65"/>
        <v>1251</v>
      </c>
      <c r="BF114" s="46">
        <f t="shared" si="66"/>
        <v>-1251</v>
      </c>
      <c r="BG114" s="47">
        <f t="shared" si="67"/>
        <v>2502</v>
      </c>
      <c r="BH114" s="46">
        <f t="shared" si="54"/>
        <v>0</v>
      </c>
      <c r="BI114" s="46">
        <v>0</v>
      </c>
      <c r="BO114" s="48">
        <f t="shared" si="68"/>
        <v>0</v>
      </c>
      <c r="BP114" s="48">
        <f t="shared" si="69"/>
        <v>0</v>
      </c>
      <c r="BQ114" s="6" t="str">
        <f t="shared" si="43"/>
        <v>Advance With Supplier</v>
      </c>
      <c r="BS114" s="6" t="str">
        <f t="shared" si="70"/>
        <v>Open</v>
      </c>
      <c r="BT114" s="49">
        <f t="shared" ca="1" si="45"/>
        <v>73</v>
      </c>
    </row>
    <row r="115" spans="1:72" hidden="1" x14ac:dyDescent="0.25">
      <c r="A115" s="6" t="s">
        <v>19436</v>
      </c>
      <c r="B115" s="6">
        <v>1901.25</v>
      </c>
      <c r="C115" s="36">
        <v>46162</v>
      </c>
      <c r="D115" s="6" t="s">
        <v>19438</v>
      </c>
      <c r="E115" s="37">
        <v>500000</v>
      </c>
      <c r="F115" s="38" t="s">
        <v>19702</v>
      </c>
      <c r="G115" s="39" t="str">
        <f t="shared" si="46"/>
        <v>GRN Not Received</v>
      </c>
      <c r="H115" s="40" t="str">
        <f t="shared" si="47"/>
        <v>GRN Not Received</v>
      </c>
      <c r="I115" s="6" t="s">
        <v>19717</v>
      </c>
      <c r="J115" s="36">
        <v>46190</v>
      </c>
      <c r="K115" s="41">
        <f t="shared" si="77"/>
        <v>500000</v>
      </c>
      <c r="L115" s="42">
        <v>0.13400000000000001</v>
      </c>
      <c r="M115" s="42">
        <f t="shared" si="48"/>
        <v>67000</v>
      </c>
      <c r="N115" s="42">
        <v>0</v>
      </c>
      <c r="O115" s="42">
        <v>0</v>
      </c>
      <c r="P115" s="42">
        <f t="shared" si="49"/>
        <v>67000</v>
      </c>
      <c r="Q115" s="38" t="s">
        <v>19721</v>
      </c>
      <c r="R115" s="36">
        <v>46165</v>
      </c>
      <c r="S115" s="6" t="s">
        <v>19450</v>
      </c>
      <c r="T115" s="50" t="s">
        <v>9840</v>
      </c>
      <c r="U115" s="6" t="str">
        <f>IFERROR(VLOOKUP(T115,'item master'!B:C,2,0),"")</f>
        <v>DEXAMETHAZONE 10X10CES(LOCAL)</v>
      </c>
      <c r="V115" s="41">
        <f t="shared" si="74"/>
        <v>500000</v>
      </c>
      <c r="X115" s="44">
        <f t="shared" si="75"/>
        <v>0.13400000000000001</v>
      </c>
      <c r="Y115" s="42">
        <f t="shared" si="76"/>
        <v>67000</v>
      </c>
      <c r="Z115" s="42">
        <v>0</v>
      </c>
      <c r="AA115" s="42">
        <f t="shared" si="50"/>
        <v>67000</v>
      </c>
      <c r="AB115" s="45">
        <v>0.3</v>
      </c>
      <c r="AC115" s="42">
        <f t="shared" si="73"/>
        <v>20100</v>
      </c>
      <c r="AD115" s="42">
        <f t="shared" si="71"/>
        <v>20100</v>
      </c>
      <c r="AE115" s="36">
        <v>46197</v>
      </c>
      <c r="AF115" s="6" t="s">
        <v>19722</v>
      </c>
      <c r="AH115" s="41">
        <f t="shared" si="51"/>
        <v>0</v>
      </c>
      <c r="AJ115" s="41">
        <f t="shared" si="72"/>
        <v>500000</v>
      </c>
      <c r="AO115" s="46">
        <f t="shared" si="63"/>
        <v>0</v>
      </c>
      <c r="AP115" s="46"/>
      <c r="AQ115" s="46"/>
      <c r="AR115" s="46"/>
      <c r="AS115" s="42">
        <f t="shared" si="52"/>
        <v>0</v>
      </c>
      <c r="AV115" s="6" t="s">
        <v>19584</v>
      </c>
      <c r="AZ115" s="46">
        <v>0</v>
      </c>
      <c r="BA115" s="42">
        <f t="shared" si="64"/>
        <v>20100</v>
      </c>
      <c r="BB115" s="46">
        <v>0</v>
      </c>
      <c r="BC115" s="46">
        <v>0</v>
      </c>
      <c r="BD115" s="46" t="str">
        <f t="shared" si="53"/>
        <v>0</v>
      </c>
      <c r="BE115" s="46">
        <f t="shared" si="65"/>
        <v>20100</v>
      </c>
      <c r="BF115" s="46">
        <f t="shared" si="66"/>
        <v>-20100</v>
      </c>
      <c r="BG115" s="47">
        <f t="shared" si="67"/>
        <v>40200</v>
      </c>
      <c r="BH115" s="46">
        <f t="shared" si="54"/>
        <v>0</v>
      </c>
      <c r="BI115" s="46">
        <v>0</v>
      </c>
      <c r="BO115" s="48">
        <f t="shared" si="68"/>
        <v>0</v>
      </c>
      <c r="BP115" s="48">
        <f t="shared" si="69"/>
        <v>0</v>
      </c>
      <c r="BQ115" s="6" t="str">
        <f t="shared" si="43"/>
        <v>Advance With Supplier</v>
      </c>
      <c r="BS115" s="6" t="str">
        <f t="shared" si="70"/>
        <v>Open</v>
      </c>
      <c r="BT115" s="49">
        <f t="shared" ca="1" si="45"/>
        <v>73</v>
      </c>
    </row>
    <row r="116" spans="1:72" hidden="1" x14ac:dyDescent="0.25">
      <c r="A116" s="6" t="s">
        <v>19436</v>
      </c>
      <c r="B116" s="6">
        <v>1901.25</v>
      </c>
      <c r="C116" s="36">
        <v>46162</v>
      </c>
      <c r="D116" s="6" t="s">
        <v>19438</v>
      </c>
      <c r="E116" s="37">
        <v>500000</v>
      </c>
      <c r="F116" s="38" t="s">
        <v>19702</v>
      </c>
      <c r="G116" s="39" t="str">
        <f t="shared" si="46"/>
        <v>GRN Not Received</v>
      </c>
      <c r="H116" s="40" t="str">
        <f t="shared" si="47"/>
        <v>GRN Not Received</v>
      </c>
      <c r="I116" s="6" t="s">
        <v>19717</v>
      </c>
      <c r="J116" s="36">
        <v>46190</v>
      </c>
      <c r="K116" s="41">
        <v>800000</v>
      </c>
      <c r="L116" s="42">
        <v>0.128</v>
      </c>
      <c r="M116" s="42">
        <f t="shared" si="48"/>
        <v>102400</v>
      </c>
      <c r="N116" s="42">
        <v>0</v>
      </c>
      <c r="O116" s="42">
        <v>0</v>
      </c>
      <c r="P116" s="42">
        <f t="shared" si="49"/>
        <v>102400</v>
      </c>
      <c r="Q116" s="38" t="s">
        <v>19721</v>
      </c>
      <c r="R116" s="36">
        <v>46165</v>
      </c>
      <c r="S116" s="6" t="s">
        <v>19450</v>
      </c>
      <c r="T116" s="50" t="s">
        <v>2013</v>
      </c>
      <c r="U116" s="6" t="str">
        <f>IFERROR(VLOOKUP(T116,'item master'!B:C,2,0),"")</f>
        <v>DICLOFENAC 50MG B/10X10CES</v>
      </c>
      <c r="V116" s="41">
        <f t="shared" si="74"/>
        <v>800000</v>
      </c>
      <c r="X116" s="44">
        <f t="shared" si="75"/>
        <v>0.128</v>
      </c>
      <c r="Y116" s="42">
        <f t="shared" si="76"/>
        <v>102400</v>
      </c>
      <c r="Z116" s="42">
        <v>0</v>
      </c>
      <c r="AA116" s="42">
        <f t="shared" si="50"/>
        <v>102400</v>
      </c>
      <c r="AB116" s="45">
        <v>0.3</v>
      </c>
      <c r="AC116" s="42">
        <f t="shared" si="73"/>
        <v>30720</v>
      </c>
      <c r="AD116" s="42">
        <f t="shared" si="71"/>
        <v>30720</v>
      </c>
      <c r="AE116" s="36">
        <v>46197</v>
      </c>
      <c r="AF116" s="6" t="s">
        <v>19722</v>
      </c>
      <c r="AH116" s="41">
        <f t="shared" si="51"/>
        <v>0</v>
      </c>
      <c r="AJ116" s="41">
        <f t="shared" si="72"/>
        <v>800000</v>
      </c>
      <c r="AO116" s="46">
        <f t="shared" si="63"/>
        <v>0</v>
      </c>
      <c r="AP116" s="46"/>
      <c r="AQ116" s="46"/>
      <c r="AR116" s="46"/>
      <c r="AS116" s="42">
        <f t="shared" si="52"/>
        <v>0</v>
      </c>
      <c r="AV116" s="6" t="s">
        <v>19584</v>
      </c>
      <c r="AZ116" s="46">
        <v>0</v>
      </c>
      <c r="BA116" s="42">
        <f t="shared" si="64"/>
        <v>30720</v>
      </c>
      <c r="BB116" s="46">
        <v>0</v>
      </c>
      <c r="BC116" s="46">
        <v>0</v>
      </c>
      <c r="BD116" s="46" t="str">
        <f t="shared" si="53"/>
        <v>0</v>
      </c>
      <c r="BE116" s="46">
        <f t="shared" si="65"/>
        <v>30720</v>
      </c>
      <c r="BF116" s="46">
        <f t="shared" si="66"/>
        <v>-30720</v>
      </c>
      <c r="BG116" s="47">
        <f t="shared" si="67"/>
        <v>61440</v>
      </c>
      <c r="BH116" s="46">
        <f t="shared" si="54"/>
        <v>0</v>
      </c>
      <c r="BI116" s="46">
        <v>0</v>
      </c>
      <c r="BO116" s="48">
        <f t="shared" si="68"/>
        <v>0</v>
      </c>
      <c r="BP116" s="48">
        <f t="shared" si="69"/>
        <v>0</v>
      </c>
      <c r="BQ116" s="6" t="str">
        <f t="shared" si="43"/>
        <v>Advance With Supplier</v>
      </c>
      <c r="BS116" s="6" t="str">
        <f t="shared" si="70"/>
        <v>Open</v>
      </c>
      <c r="BT116" s="49">
        <f t="shared" ca="1" si="45"/>
        <v>73</v>
      </c>
    </row>
    <row r="117" spans="1:72" hidden="1" x14ac:dyDescent="0.25">
      <c r="A117" s="6" t="s">
        <v>19436</v>
      </c>
      <c r="B117" s="6">
        <v>1901.25</v>
      </c>
      <c r="C117" s="36">
        <v>46162</v>
      </c>
      <c r="D117" s="6" t="s">
        <v>19438</v>
      </c>
      <c r="E117" s="37">
        <v>20000</v>
      </c>
      <c r="F117" s="38" t="s">
        <v>19702</v>
      </c>
      <c r="G117" s="39" t="str">
        <f t="shared" si="46"/>
        <v>GRN Not Received</v>
      </c>
      <c r="H117" s="40" t="str">
        <f t="shared" si="47"/>
        <v>GRN Not Received</v>
      </c>
      <c r="I117" s="6" t="s">
        <v>19717</v>
      </c>
      <c r="J117" s="36">
        <v>46190</v>
      </c>
      <c r="K117" s="41">
        <v>10000</v>
      </c>
      <c r="L117" s="42">
        <v>0.38500000000000001</v>
      </c>
      <c r="M117" s="42">
        <f t="shared" si="48"/>
        <v>3850</v>
      </c>
      <c r="N117" s="42">
        <v>0</v>
      </c>
      <c r="O117" s="42">
        <v>0</v>
      </c>
      <c r="P117" s="42">
        <f t="shared" si="49"/>
        <v>3850</v>
      </c>
      <c r="Q117" s="38" t="s">
        <v>19721</v>
      </c>
      <c r="R117" s="36">
        <v>46165</v>
      </c>
      <c r="S117" s="6" t="s">
        <v>19450</v>
      </c>
      <c r="T117" s="50" t="s">
        <v>15164</v>
      </c>
      <c r="U117" s="6" t="str">
        <f>IFERROR(VLOOKUP(T117,'item master'!B:C,2,0),"")</f>
        <v>UNIGEL-PLUS (MAGNESIUM + ALUMINIUM) B/10X10 CES</v>
      </c>
      <c r="V117" s="41">
        <f t="shared" si="74"/>
        <v>10000</v>
      </c>
      <c r="X117" s="44">
        <f t="shared" si="75"/>
        <v>0.38500000000000001</v>
      </c>
      <c r="Y117" s="42">
        <f t="shared" si="76"/>
        <v>3850</v>
      </c>
      <c r="Z117" s="42">
        <v>0</v>
      </c>
      <c r="AA117" s="42">
        <f t="shared" si="50"/>
        <v>3850</v>
      </c>
      <c r="AB117" s="45">
        <v>0.3</v>
      </c>
      <c r="AC117" s="42">
        <f t="shared" si="73"/>
        <v>1155</v>
      </c>
      <c r="AD117" s="42">
        <f t="shared" si="71"/>
        <v>1155</v>
      </c>
      <c r="AE117" s="36">
        <v>46197</v>
      </c>
      <c r="AF117" s="6" t="s">
        <v>19722</v>
      </c>
      <c r="AH117" s="41">
        <f t="shared" si="51"/>
        <v>0</v>
      </c>
      <c r="AJ117" s="41">
        <f t="shared" si="72"/>
        <v>10000</v>
      </c>
      <c r="AO117" s="46">
        <f t="shared" si="63"/>
        <v>0</v>
      </c>
      <c r="AP117" s="46"/>
      <c r="AQ117" s="46"/>
      <c r="AR117" s="46"/>
      <c r="AS117" s="42">
        <f t="shared" si="52"/>
        <v>0</v>
      </c>
      <c r="AV117" s="6" t="s">
        <v>19584</v>
      </c>
      <c r="AZ117" s="46">
        <v>0</v>
      </c>
      <c r="BA117" s="42">
        <f t="shared" si="64"/>
        <v>1155</v>
      </c>
      <c r="BB117" s="46">
        <v>0</v>
      </c>
      <c r="BC117" s="46">
        <v>0</v>
      </c>
      <c r="BD117" s="46" t="str">
        <f t="shared" si="53"/>
        <v>0</v>
      </c>
      <c r="BE117" s="46">
        <f t="shared" si="65"/>
        <v>1155</v>
      </c>
      <c r="BF117" s="46">
        <f t="shared" si="66"/>
        <v>-1155</v>
      </c>
      <c r="BG117" s="47">
        <f t="shared" si="67"/>
        <v>2310</v>
      </c>
      <c r="BH117" s="46">
        <f t="shared" si="54"/>
        <v>0</v>
      </c>
      <c r="BI117" s="46">
        <v>0</v>
      </c>
      <c r="BO117" s="48">
        <f t="shared" si="68"/>
        <v>0</v>
      </c>
      <c r="BP117" s="48">
        <f t="shared" si="69"/>
        <v>0</v>
      </c>
      <c r="BQ117" s="6" t="str">
        <f t="shared" si="43"/>
        <v>Advance With Supplier</v>
      </c>
      <c r="BS117" s="6" t="str">
        <f t="shared" si="70"/>
        <v>Open</v>
      </c>
      <c r="BT117" s="49">
        <f t="shared" ca="1" si="45"/>
        <v>73</v>
      </c>
    </row>
    <row r="118" spans="1:72" hidden="1" x14ac:dyDescent="0.25">
      <c r="A118" s="6" t="s">
        <v>19436</v>
      </c>
      <c r="B118" s="6">
        <v>1901.25</v>
      </c>
      <c r="C118" s="36">
        <v>46162</v>
      </c>
      <c r="D118" s="6" t="s">
        <v>19438</v>
      </c>
      <c r="E118" s="37">
        <v>5000</v>
      </c>
      <c r="F118" s="38" t="s">
        <v>19702</v>
      </c>
      <c r="G118" s="39" t="str">
        <f t="shared" si="46"/>
        <v>GRN Not Received</v>
      </c>
      <c r="H118" s="40" t="str">
        <f t="shared" si="47"/>
        <v>GRN Not Received</v>
      </c>
      <c r="I118" s="6" t="s">
        <v>19717</v>
      </c>
      <c r="J118" s="36">
        <v>46190</v>
      </c>
      <c r="K118" s="41">
        <f t="shared" si="77"/>
        <v>5000</v>
      </c>
      <c r="L118" s="42">
        <v>2.6749999999999998</v>
      </c>
      <c r="M118" s="42">
        <f t="shared" si="48"/>
        <v>13375</v>
      </c>
      <c r="N118" s="42">
        <v>0</v>
      </c>
      <c r="O118" s="42">
        <v>0</v>
      </c>
      <c r="P118" s="42">
        <f t="shared" si="49"/>
        <v>13375</v>
      </c>
      <c r="Q118" s="38" t="s">
        <v>19721</v>
      </c>
      <c r="R118" s="36">
        <v>46165</v>
      </c>
      <c r="S118" s="6" t="s">
        <v>19450</v>
      </c>
      <c r="T118" s="50" t="s">
        <v>17185</v>
      </c>
      <c r="U118" s="6" t="str">
        <f>IFERROR(VLOOKUP(T118,'item master'!B:C,2,0),"")</f>
        <v>ERYTHROMYCINE 250MG B/10X10 CES***(ERINOCIN)</v>
      </c>
      <c r="V118" s="41">
        <f t="shared" si="74"/>
        <v>5000</v>
      </c>
      <c r="X118" s="44">
        <f t="shared" si="75"/>
        <v>2.6749999999999998</v>
      </c>
      <c r="Y118" s="42">
        <f t="shared" si="76"/>
        <v>13375</v>
      </c>
      <c r="Z118" s="42">
        <v>0</v>
      </c>
      <c r="AA118" s="42">
        <f t="shared" si="50"/>
        <v>13375</v>
      </c>
      <c r="AB118" s="45">
        <v>0.3</v>
      </c>
      <c r="AC118" s="42">
        <f t="shared" si="73"/>
        <v>4012.5</v>
      </c>
      <c r="AD118" s="42">
        <f t="shared" si="71"/>
        <v>4012.5</v>
      </c>
      <c r="AE118" s="36">
        <v>46197</v>
      </c>
      <c r="AF118" s="6" t="s">
        <v>19722</v>
      </c>
      <c r="AH118" s="41">
        <f t="shared" si="51"/>
        <v>0</v>
      </c>
      <c r="AJ118" s="41">
        <f t="shared" si="72"/>
        <v>5000</v>
      </c>
      <c r="AO118" s="46">
        <f t="shared" si="63"/>
        <v>0</v>
      </c>
      <c r="AP118" s="46"/>
      <c r="AQ118" s="46"/>
      <c r="AR118" s="46"/>
      <c r="AS118" s="42">
        <f t="shared" si="52"/>
        <v>0</v>
      </c>
      <c r="AV118" s="6" t="s">
        <v>19584</v>
      </c>
      <c r="AZ118" s="46">
        <v>0</v>
      </c>
      <c r="BA118" s="42">
        <f t="shared" si="64"/>
        <v>4012.5</v>
      </c>
      <c r="BB118" s="46">
        <v>0</v>
      </c>
      <c r="BC118" s="46">
        <v>0</v>
      </c>
      <c r="BD118" s="46" t="str">
        <f t="shared" si="53"/>
        <v>0</v>
      </c>
      <c r="BE118" s="46">
        <f t="shared" si="65"/>
        <v>4012.5</v>
      </c>
      <c r="BF118" s="46">
        <f t="shared" si="66"/>
        <v>-4012.5</v>
      </c>
      <c r="BG118" s="47">
        <f t="shared" si="67"/>
        <v>8025</v>
      </c>
      <c r="BH118" s="46">
        <f t="shared" si="54"/>
        <v>0</v>
      </c>
      <c r="BI118" s="46">
        <v>0</v>
      </c>
      <c r="BO118" s="48">
        <f t="shared" si="68"/>
        <v>0</v>
      </c>
      <c r="BP118" s="48">
        <f t="shared" si="69"/>
        <v>0</v>
      </c>
      <c r="BQ118" s="6" t="str">
        <f t="shared" si="43"/>
        <v>Advance With Supplier</v>
      </c>
      <c r="BS118" s="6" t="str">
        <f t="shared" si="70"/>
        <v>Open</v>
      </c>
      <c r="BT118" s="49">
        <f t="shared" ca="1" si="45"/>
        <v>73</v>
      </c>
    </row>
    <row r="119" spans="1:72" hidden="1" x14ac:dyDescent="0.25">
      <c r="A119" s="6" t="s">
        <v>19436</v>
      </c>
      <c r="B119" s="6">
        <v>1901.25</v>
      </c>
      <c r="C119" s="36">
        <v>46162</v>
      </c>
      <c r="D119" s="6" t="s">
        <v>19438</v>
      </c>
      <c r="E119" s="37">
        <v>10000</v>
      </c>
      <c r="F119" s="38" t="s">
        <v>19702</v>
      </c>
      <c r="G119" s="39" t="str">
        <f t="shared" si="46"/>
        <v>GRN Not Received</v>
      </c>
      <c r="H119" s="40" t="str">
        <f t="shared" si="47"/>
        <v>GRN Not Received</v>
      </c>
      <c r="I119" s="6" t="s">
        <v>19717</v>
      </c>
      <c r="J119" s="36">
        <v>46190</v>
      </c>
      <c r="K119" s="41">
        <f t="shared" si="77"/>
        <v>10000</v>
      </c>
      <c r="L119" s="42">
        <v>4.4939999999999998</v>
      </c>
      <c r="M119" s="42">
        <f t="shared" si="48"/>
        <v>44940</v>
      </c>
      <c r="N119" s="42">
        <v>0</v>
      </c>
      <c r="O119" s="42">
        <v>0</v>
      </c>
      <c r="P119" s="42">
        <f t="shared" si="49"/>
        <v>44940</v>
      </c>
      <c r="Q119" s="38" t="s">
        <v>19721</v>
      </c>
      <c r="R119" s="36">
        <v>46165</v>
      </c>
      <c r="S119" s="6" t="s">
        <v>19450</v>
      </c>
      <c r="T119" s="50" t="s">
        <v>17187</v>
      </c>
      <c r="U119" s="6" t="str">
        <f>IFERROR(VLOOKUP(T119,'item master'!B:C,2,0),"")</f>
        <v>ERYTHROMYCINE 500MG B/10X10 CES***(ERINOCIN)</v>
      </c>
      <c r="V119" s="41">
        <f t="shared" si="74"/>
        <v>10000</v>
      </c>
      <c r="X119" s="44">
        <f t="shared" si="75"/>
        <v>4.4939999999999998</v>
      </c>
      <c r="Y119" s="42">
        <f t="shared" si="76"/>
        <v>44940</v>
      </c>
      <c r="Z119" s="42">
        <v>0</v>
      </c>
      <c r="AA119" s="42">
        <f t="shared" si="50"/>
        <v>44940</v>
      </c>
      <c r="AB119" s="45">
        <v>0.3</v>
      </c>
      <c r="AC119" s="42">
        <f t="shared" si="73"/>
        <v>13482</v>
      </c>
      <c r="AD119" s="42">
        <f t="shared" si="71"/>
        <v>13482</v>
      </c>
      <c r="AE119" s="36">
        <v>46197</v>
      </c>
      <c r="AF119" s="6" t="s">
        <v>19722</v>
      </c>
      <c r="AH119" s="41">
        <f t="shared" si="51"/>
        <v>0</v>
      </c>
      <c r="AJ119" s="41">
        <f t="shared" si="72"/>
        <v>10000</v>
      </c>
      <c r="AO119" s="46">
        <f t="shared" si="63"/>
        <v>0</v>
      </c>
      <c r="AP119" s="46"/>
      <c r="AQ119" s="46"/>
      <c r="AR119" s="46"/>
      <c r="AS119" s="42">
        <f t="shared" si="52"/>
        <v>0</v>
      </c>
      <c r="AV119" s="6" t="s">
        <v>19584</v>
      </c>
      <c r="AZ119" s="46">
        <v>0</v>
      </c>
      <c r="BA119" s="42">
        <f t="shared" si="64"/>
        <v>13482</v>
      </c>
      <c r="BB119" s="46">
        <v>0</v>
      </c>
      <c r="BC119" s="46">
        <v>0</v>
      </c>
      <c r="BD119" s="46" t="str">
        <f t="shared" si="53"/>
        <v>0</v>
      </c>
      <c r="BE119" s="46">
        <f t="shared" si="65"/>
        <v>13482</v>
      </c>
      <c r="BF119" s="46">
        <f t="shared" si="66"/>
        <v>-13482</v>
      </c>
      <c r="BG119" s="47">
        <f t="shared" si="67"/>
        <v>26964</v>
      </c>
      <c r="BH119" s="46">
        <f t="shared" si="54"/>
        <v>0</v>
      </c>
      <c r="BI119" s="46">
        <v>0</v>
      </c>
      <c r="BO119" s="48">
        <f t="shared" si="68"/>
        <v>0</v>
      </c>
      <c r="BP119" s="48">
        <f t="shared" si="69"/>
        <v>0</v>
      </c>
      <c r="BQ119" s="6" t="str">
        <f t="shared" si="43"/>
        <v>Advance With Supplier</v>
      </c>
      <c r="BS119" s="6" t="str">
        <f t="shared" si="70"/>
        <v>Open</v>
      </c>
      <c r="BT119" s="49">
        <f t="shared" ca="1" si="45"/>
        <v>73</v>
      </c>
    </row>
    <row r="120" spans="1:72" hidden="1" x14ac:dyDescent="0.25">
      <c r="A120" s="6" t="s">
        <v>19436</v>
      </c>
      <c r="B120" s="6">
        <v>1901.25</v>
      </c>
      <c r="C120" s="36">
        <v>46162</v>
      </c>
      <c r="D120" s="6" t="s">
        <v>19438</v>
      </c>
      <c r="E120" s="37">
        <v>30000</v>
      </c>
      <c r="F120" s="38" t="s">
        <v>19702</v>
      </c>
      <c r="G120" s="39" t="str">
        <f t="shared" si="46"/>
        <v>GRN Not Received</v>
      </c>
      <c r="H120" s="40" t="str">
        <f t="shared" si="47"/>
        <v>GRN Not Received</v>
      </c>
      <c r="I120" s="6" t="s">
        <v>19717</v>
      </c>
      <c r="J120" s="36">
        <v>46190</v>
      </c>
      <c r="K120" s="41">
        <f t="shared" si="77"/>
        <v>30000</v>
      </c>
      <c r="L120" s="42">
        <v>0.42799999999999999</v>
      </c>
      <c r="M120" s="42">
        <f t="shared" si="48"/>
        <v>12840</v>
      </c>
      <c r="N120" s="42">
        <v>0</v>
      </c>
      <c r="O120" s="42">
        <v>0</v>
      </c>
      <c r="P120" s="42">
        <f t="shared" si="49"/>
        <v>12840</v>
      </c>
      <c r="Q120" s="38" t="s">
        <v>19721</v>
      </c>
      <c r="R120" s="36">
        <v>46165</v>
      </c>
      <c r="S120" s="6" t="s">
        <v>19450</v>
      </c>
      <c r="T120" s="50" t="s">
        <v>11278</v>
      </c>
      <c r="U120" s="6" t="str">
        <f>IFERROR(VLOOKUP(T120,'item master'!B:C,2,0),"")</f>
        <v>LEVAMISOLE 50MG B/10X10CES</v>
      </c>
      <c r="V120" s="41">
        <f t="shared" si="74"/>
        <v>30000</v>
      </c>
      <c r="X120" s="44">
        <f t="shared" si="75"/>
        <v>0.42799999999999999</v>
      </c>
      <c r="Y120" s="42">
        <f t="shared" si="76"/>
        <v>12840</v>
      </c>
      <c r="Z120" s="42">
        <v>0</v>
      </c>
      <c r="AA120" s="42">
        <f t="shared" si="50"/>
        <v>12840</v>
      </c>
      <c r="AB120" s="45">
        <v>0.3</v>
      </c>
      <c r="AC120" s="42">
        <f t="shared" si="73"/>
        <v>3852</v>
      </c>
      <c r="AD120" s="42">
        <f t="shared" si="71"/>
        <v>3852</v>
      </c>
      <c r="AE120" s="36">
        <v>46197</v>
      </c>
      <c r="AF120" s="6" t="s">
        <v>19722</v>
      </c>
      <c r="AH120" s="41">
        <f t="shared" si="51"/>
        <v>0</v>
      </c>
      <c r="AJ120" s="41">
        <f t="shared" si="72"/>
        <v>30000</v>
      </c>
      <c r="AO120" s="46">
        <f t="shared" si="63"/>
        <v>0</v>
      </c>
      <c r="AP120" s="46"/>
      <c r="AQ120" s="46"/>
      <c r="AR120" s="46"/>
      <c r="AS120" s="42">
        <f t="shared" si="52"/>
        <v>0</v>
      </c>
      <c r="AV120" s="6" t="s">
        <v>19584</v>
      </c>
      <c r="AZ120" s="46">
        <v>0</v>
      </c>
      <c r="BA120" s="42">
        <f t="shared" si="64"/>
        <v>3852</v>
      </c>
      <c r="BB120" s="46">
        <v>0</v>
      </c>
      <c r="BC120" s="46">
        <v>0</v>
      </c>
      <c r="BD120" s="46" t="str">
        <f t="shared" si="53"/>
        <v>0</v>
      </c>
      <c r="BE120" s="46">
        <f t="shared" si="65"/>
        <v>3852</v>
      </c>
      <c r="BF120" s="46">
        <f t="shared" si="66"/>
        <v>-3852</v>
      </c>
      <c r="BG120" s="47">
        <f t="shared" si="67"/>
        <v>7704</v>
      </c>
      <c r="BH120" s="46">
        <f t="shared" si="54"/>
        <v>0</v>
      </c>
      <c r="BI120" s="46">
        <v>0</v>
      </c>
      <c r="BO120" s="48">
        <f t="shared" si="68"/>
        <v>0</v>
      </c>
      <c r="BP120" s="48">
        <f t="shared" si="69"/>
        <v>0</v>
      </c>
      <c r="BQ120" s="6" t="str">
        <f t="shared" si="43"/>
        <v>Advance With Supplier</v>
      </c>
      <c r="BS120" s="6" t="str">
        <f t="shared" si="70"/>
        <v>Open</v>
      </c>
      <c r="BT120" s="49">
        <f t="shared" ca="1" si="45"/>
        <v>73</v>
      </c>
    </row>
    <row r="121" spans="1:72" hidden="1" x14ac:dyDescent="0.25">
      <c r="A121" s="6" t="s">
        <v>19436</v>
      </c>
      <c r="B121" s="6">
        <v>1901.25</v>
      </c>
      <c r="C121" s="36">
        <v>46162</v>
      </c>
      <c r="D121" s="6" t="s">
        <v>19438</v>
      </c>
      <c r="E121" s="37">
        <v>20000</v>
      </c>
      <c r="F121" s="38" t="s">
        <v>19702</v>
      </c>
      <c r="G121" s="39" t="str">
        <f t="shared" si="46"/>
        <v>GRN Not Received</v>
      </c>
      <c r="H121" s="40" t="str">
        <f t="shared" si="47"/>
        <v>GRN Not Received</v>
      </c>
      <c r="I121" s="6" t="s">
        <v>19717</v>
      </c>
      <c r="J121" s="36">
        <v>46190</v>
      </c>
      <c r="K121" s="41">
        <f t="shared" si="77"/>
        <v>20000</v>
      </c>
      <c r="L121" s="42">
        <v>0.85599999999999998</v>
      </c>
      <c r="M121" s="42">
        <f t="shared" si="48"/>
        <v>17120</v>
      </c>
      <c r="N121" s="42">
        <v>0</v>
      </c>
      <c r="O121" s="42">
        <v>0</v>
      </c>
      <c r="P121" s="42">
        <f t="shared" si="49"/>
        <v>17120</v>
      </c>
      <c r="Q121" s="38" t="s">
        <v>19721</v>
      </c>
      <c r="R121" s="36">
        <v>46165</v>
      </c>
      <c r="S121" s="6" t="s">
        <v>19450</v>
      </c>
      <c r="T121" s="50" t="s">
        <v>11274</v>
      </c>
      <c r="U121" s="6" t="str">
        <f>IFERROR(VLOOKUP(T121,'item master'!B:C,2,0),"")</f>
        <v>LEVAMISOLE 150MG 10X10CES</v>
      </c>
      <c r="V121" s="41">
        <f t="shared" si="74"/>
        <v>20000</v>
      </c>
      <c r="X121" s="44">
        <f t="shared" si="75"/>
        <v>0.85599999999999998</v>
      </c>
      <c r="Y121" s="42">
        <f t="shared" si="76"/>
        <v>17120</v>
      </c>
      <c r="Z121" s="42">
        <v>0</v>
      </c>
      <c r="AA121" s="42">
        <f t="shared" si="50"/>
        <v>17120</v>
      </c>
      <c r="AB121" s="45">
        <v>0.3</v>
      </c>
      <c r="AC121" s="42">
        <f t="shared" si="73"/>
        <v>5136</v>
      </c>
      <c r="AD121" s="42">
        <f t="shared" si="71"/>
        <v>5136</v>
      </c>
      <c r="AE121" s="36">
        <v>46197</v>
      </c>
      <c r="AF121" s="6" t="s">
        <v>19722</v>
      </c>
      <c r="AH121" s="41">
        <f t="shared" si="51"/>
        <v>0</v>
      </c>
      <c r="AJ121" s="41">
        <f t="shared" si="72"/>
        <v>20000</v>
      </c>
      <c r="AO121" s="46">
        <f t="shared" si="63"/>
        <v>0</v>
      </c>
      <c r="AP121" s="46"/>
      <c r="AQ121" s="46"/>
      <c r="AR121" s="46"/>
      <c r="AS121" s="42">
        <f t="shared" si="52"/>
        <v>0</v>
      </c>
      <c r="AV121" s="6" t="s">
        <v>19584</v>
      </c>
      <c r="AZ121" s="46">
        <v>0</v>
      </c>
      <c r="BA121" s="42">
        <f t="shared" si="64"/>
        <v>5136</v>
      </c>
      <c r="BB121" s="46">
        <v>0</v>
      </c>
      <c r="BC121" s="46">
        <v>0</v>
      </c>
      <c r="BD121" s="46" t="str">
        <f t="shared" si="53"/>
        <v>0</v>
      </c>
      <c r="BE121" s="46">
        <f t="shared" si="65"/>
        <v>5136</v>
      </c>
      <c r="BF121" s="46">
        <f t="shared" si="66"/>
        <v>-5136</v>
      </c>
      <c r="BG121" s="47">
        <f t="shared" si="67"/>
        <v>10272</v>
      </c>
      <c r="BH121" s="46">
        <f t="shared" si="54"/>
        <v>0</v>
      </c>
      <c r="BI121" s="46">
        <v>0</v>
      </c>
      <c r="BO121" s="48">
        <f t="shared" si="68"/>
        <v>0</v>
      </c>
      <c r="BP121" s="48">
        <f t="shared" si="69"/>
        <v>0</v>
      </c>
      <c r="BQ121" s="6" t="str">
        <f t="shared" si="43"/>
        <v>Advance With Supplier</v>
      </c>
      <c r="BS121" s="6" t="str">
        <f t="shared" si="70"/>
        <v>Open</v>
      </c>
      <c r="BT121" s="49">
        <f t="shared" ca="1" si="45"/>
        <v>73</v>
      </c>
    </row>
    <row r="122" spans="1:72" hidden="1" x14ac:dyDescent="0.25">
      <c r="A122" s="6" t="s">
        <v>19436</v>
      </c>
      <c r="B122" s="6">
        <v>1901.25</v>
      </c>
      <c r="C122" s="36">
        <v>46162</v>
      </c>
      <c r="D122" s="6" t="s">
        <v>19438</v>
      </c>
      <c r="E122" s="37">
        <v>30000</v>
      </c>
      <c r="F122" s="38" t="s">
        <v>19702</v>
      </c>
      <c r="G122" s="39" t="str">
        <f t="shared" si="46"/>
        <v>GRN Not Received</v>
      </c>
      <c r="H122" s="40" t="str">
        <f t="shared" si="47"/>
        <v>GRN Not Received</v>
      </c>
      <c r="I122" s="6" t="s">
        <v>19717</v>
      </c>
      <c r="J122" s="36">
        <v>46190</v>
      </c>
      <c r="K122" s="41">
        <v>50000</v>
      </c>
      <c r="L122" s="42">
        <v>0.26800000000000002</v>
      </c>
      <c r="M122" s="42">
        <f t="shared" si="48"/>
        <v>13400</v>
      </c>
      <c r="N122" s="42">
        <v>0</v>
      </c>
      <c r="O122" s="42">
        <v>0</v>
      </c>
      <c r="P122" s="42">
        <f t="shared" si="49"/>
        <v>13400</v>
      </c>
      <c r="Q122" s="38" t="s">
        <v>19721</v>
      </c>
      <c r="R122" s="36">
        <v>46165</v>
      </c>
      <c r="S122" s="6" t="s">
        <v>19450</v>
      </c>
      <c r="T122" s="50" t="s">
        <v>2381</v>
      </c>
      <c r="U122" s="6" t="str">
        <f>IFERROR(VLOOKUP(T122,'item master'!B:C,2,0),"")</f>
        <v>PROMETHAZINE 25MG B/10X10CES</v>
      </c>
      <c r="V122" s="41">
        <f t="shared" si="74"/>
        <v>50000</v>
      </c>
      <c r="X122" s="44">
        <f t="shared" si="75"/>
        <v>0.26800000000000002</v>
      </c>
      <c r="Y122" s="42">
        <f t="shared" si="76"/>
        <v>13400</v>
      </c>
      <c r="Z122" s="42">
        <v>0</v>
      </c>
      <c r="AA122" s="42">
        <f t="shared" si="50"/>
        <v>13400</v>
      </c>
      <c r="AB122" s="45">
        <v>0.3</v>
      </c>
      <c r="AC122" s="42">
        <f t="shared" si="73"/>
        <v>4020</v>
      </c>
      <c r="AD122" s="42">
        <f t="shared" si="71"/>
        <v>4020</v>
      </c>
      <c r="AE122" s="36">
        <v>46197</v>
      </c>
      <c r="AF122" s="6" t="s">
        <v>19722</v>
      </c>
      <c r="AH122" s="41">
        <f t="shared" si="51"/>
        <v>0</v>
      </c>
      <c r="AJ122" s="41">
        <f t="shared" si="72"/>
        <v>50000</v>
      </c>
      <c r="AO122" s="46">
        <f t="shared" si="63"/>
        <v>0</v>
      </c>
      <c r="AP122" s="46"/>
      <c r="AQ122" s="46"/>
      <c r="AR122" s="46"/>
      <c r="AS122" s="42">
        <f t="shared" si="52"/>
        <v>0</v>
      </c>
      <c r="AV122" s="6" t="s">
        <v>19584</v>
      </c>
      <c r="AZ122" s="46">
        <v>0</v>
      </c>
      <c r="BA122" s="42">
        <f t="shared" si="64"/>
        <v>4020</v>
      </c>
      <c r="BB122" s="46">
        <v>0</v>
      </c>
      <c r="BC122" s="46">
        <v>0</v>
      </c>
      <c r="BD122" s="46" t="str">
        <f t="shared" si="53"/>
        <v>0</v>
      </c>
      <c r="BE122" s="46">
        <f t="shared" si="65"/>
        <v>4020</v>
      </c>
      <c r="BF122" s="46">
        <f t="shared" si="66"/>
        <v>-4020</v>
      </c>
      <c r="BG122" s="47">
        <f t="shared" si="67"/>
        <v>8040</v>
      </c>
      <c r="BH122" s="46">
        <f t="shared" si="54"/>
        <v>0</v>
      </c>
      <c r="BI122" s="46">
        <v>0</v>
      </c>
      <c r="BO122" s="48">
        <f t="shared" si="68"/>
        <v>0</v>
      </c>
      <c r="BP122" s="48">
        <f t="shared" si="69"/>
        <v>0</v>
      </c>
      <c r="BQ122" s="6" t="str">
        <f t="shared" si="43"/>
        <v>Advance With Supplier</v>
      </c>
      <c r="BS122" s="6" t="str">
        <f t="shared" si="70"/>
        <v>Open</v>
      </c>
      <c r="BT122" s="49">
        <f t="shared" ca="1" si="45"/>
        <v>73</v>
      </c>
    </row>
    <row r="123" spans="1:72" hidden="1" x14ac:dyDescent="0.25">
      <c r="A123" s="6" t="s">
        <v>19436</v>
      </c>
      <c r="B123" s="6">
        <v>1901.25</v>
      </c>
      <c r="C123" s="36">
        <v>46162</v>
      </c>
      <c r="D123" s="6" t="s">
        <v>19438</v>
      </c>
      <c r="E123" s="37">
        <v>300000</v>
      </c>
      <c r="F123" s="38" t="s">
        <v>19702</v>
      </c>
      <c r="G123" s="39" t="str">
        <f t="shared" si="46"/>
        <v>GRN Not Received</v>
      </c>
      <c r="H123" s="40" t="str">
        <f t="shared" si="47"/>
        <v>GRN Not Received</v>
      </c>
      <c r="I123" s="6" t="s">
        <v>19717</v>
      </c>
      <c r="J123" s="36">
        <v>46190</v>
      </c>
      <c r="K123" s="41">
        <f t="shared" si="77"/>
        <v>300000</v>
      </c>
      <c r="L123" s="42">
        <v>0.51400000000000001</v>
      </c>
      <c r="M123" s="42">
        <f t="shared" si="48"/>
        <v>154200</v>
      </c>
      <c r="N123" s="42">
        <v>0</v>
      </c>
      <c r="O123" s="42">
        <v>0</v>
      </c>
      <c r="P123" s="42">
        <f t="shared" si="49"/>
        <v>154200</v>
      </c>
      <c r="Q123" s="38" t="s">
        <v>19721</v>
      </c>
      <c r="R123" s="36">
        <v>46165</v>
      </c>
      <c r="S123" s="6" t="s">
        <v>19450</v>
      </c>
      <c r="T123" s="50" t="s">
        <v>3778</v>
      </c>
      <c r="U123" s="6" t="str">
        <f>IFERROR(VLOOKUP(T123,'item master'!B:C,2,0),"")</f>
        <v>VITAMINE B1 100MG B/10X10CES</v>
      </c>
      <c r="V123" s="41">
        <f t="shared" si="74"/>
        <v>300000</v>
      </c>
      <c r="X123" s="44">
        <f t="shared" si="75"/>
        <v>0.51400000000000001</v>
      </c>
      <c r="Y123" s="42">
        <f t="shared" si="76"/>
        <v>154200</v>
      </c>
      <c r="Z123" s="42">
        <v>0</v>
      </c>
      <c r="AA123" s="42">
        <f t="shared" si="50"/>
        <v>154200</v>
      </c>
      <c r="AB123" s="45">
        <v>0.3</v>
      </c>
      <c r="AC123" s="42">
        <f t="shared" si="73"/>
        <v>46260</v>
      </c>
      <c r="AD123" s="42">
        <f t="shared" si="71"/>
        <v>46260</v>
      </c>
      <c r="AE123" s="36">
        <v>46197</v>
      </c>
      <c r="AF123" s="6" t="s">
        <v>19722</v>
      </c>
      <c r="AH123" s="41">
        <f t="shared" si="51"/>
        <v>0</v>
      </c>
      <c r="AJ123" s="41">
        <f t="shared" si="72"/>
        <v>300000</v>
      </c>
      <c r="AO123" s="46">
        <f t="shared" si="63"/>
        <v>0</v>
      </c>
      <c r="AP123" s="46"/>
      <c r="AQ123" s="46"/>
      <c r="AR123" s="46"/>
      <c r="AS123" s="42">
        <f t="shared" si="52"/>
        <v>0</v>
      </c>
      <c r="AV123" s="6" t="s">
        <v>19584</v>
      </c>
      <c r="AZ123" s="46">
        <v>0</v>
      </c>
      <c r="BA123" s="42">
        <f t="shared" si="64"/>
        <v>46260</v>
      </c>
      <c r="BB123" s="46">
        <v>0</v>
      </c>
      <c r="BC123" s="46">
        <v>0</v>
      </c>
      <c r="BD123" s="46" t="str">
        <f t="shared" si="53"/>
        <v>0</v>
      </c>
      <c r="BE123" s="46">
        <f t="shared" si="65"/>
        <v>46260</v>
      </c>
      <c r="BF123" s="46">
        <f t="shared" si="66"/>
        <v>-46260</v>
      </c>
      <c r="BG123" s="47">
        <f t="shared" si="67"/>
        <v>92520</v>
      </c>
      <c r="BH123" s="46">
        <f t="shared" si="54"/>
        <v>0</v>
      </c>
      <c r="BI123" s="46">
        <v>0</v>
      </c>
      <c r="BO123" s="48">
        <f t="shared" si="68"/>
        <v>0</v>
      </c>
      <c r="BP123" s="48">
        <f t="shared" si="69"/>
        <v>0</v>
      </c>
      <c r="BQ123" s="6" t="str">
        <f t="shared" si="43"/>
        <v>Advance With Supplier</v>
      </c>
      <c r="BS123" s="6" t="str">
        <f t="shared" si="70"/>
        <v>Open</v>
      </c>
      <c r="BT123" s="49">
        <f t="shared" ca="1" si="45"/>
        <v>73</v>
      </c>
    </row>
    <row r="124" spans="1:72" hidden="1" x14ac:dyDescent="0.25">
      <c r="A124" s="6" t="s">
        <v>19436</v>
      </c>
      <c r="B124" s="6">
        <v>1901.25</v>
      </c>
      <c r="C124" s="36">
        <v>46162</v>
      </c>
      <c r="D124" s="6" t="s">
        <v>19438</v>
      </c>
      <c r="E124" s="37">
        <v>20000</v>
      </c>
      <c r="F124" s="38" t="s">
        <v>19702</v>
      </c>
      <c r="G124" s="39" t="str">
        <f t="shared" si="46"/>
        <v>GRN Not Received</v>
      </c>
      <c r="H124" s="40" t="str">
        <f t="shared" si="47"/>
        <v>GRN Not Received</v>
      </c>
      <c r="I124" s="6" t="s">
        <v>19717</v>
      </c>
      <c r="J124" s="36">
        <v>46190</v>
      </c>
      <c r="K124" s="41">
        <f t="shared" si="77"/>
        <v>20000</v>
      </c>
      <c r="L124" s="42">
        <v>0.375</v>
      </c>
      <c r="M124" s="42">
        <f t="shared" si="48"/>
        <v>7500</v>
      </c>
      <c r="N124" s="42">
        <v>0</v>
      </c>
      <c r="O124" s="42">
        <v>0</v>
      </c>
      <c r="P124" s="42">
        <f t="shared" si="49"/>
        <v>7500</v>
      </c>
      <c r="Q124" s="38" t="s">
        <v>19721</v>
      </c>
      <c r="R124" s="36">
        <v>46165</v>
      </c>
      <c r="S124" s="6" t="s">
        <v>19450</v>
      </c>
      <c r="T124" s="50" t="s">
        <v>2290</v>
      </c>
      <c r="U124" s="6" t="str">
        <f>IFERROR(VLOOKUP(T124,'item master'!B:C,2,0),"")</f>
        <v>FRUSEMIDE B/10X10CES</v>
      </c>
      <c r="V124" s="41">
        <f t="shared" si="74"/>
        <v>20000</v>
      </c>
      <c r="X124" s="44">
        <f t="shared" si="75"/>
        <v>0.375</v>
      </c>
      <c r="Y124" s="42">
        <f t="shared" si="76"/>
        <v>7500</v>
      </c>
      <c r="Z124" s="42">
        <v>0</v>
      </c>
      <c r="AA124" s="42">
        <f t="shared" si="50"/>
        <v>7500</v>
      </c>
      <c r="AB124" s="45">
        <v>0.3</v>
      </c>
      <c r="AC124" s="42">
        <f t="shared" si="73"/>
        <v>2250</v>
      </c>
      <c r="AD124" s="42">
        <f t="shared" si="71"/>
        <v>2250</v>
      </c>
      <c r="AE124" s="36">
        <v>46197</v>
      </c>
      <c r="AF124" s="6" t="s">
        <v>19722</v>
      </c>
      <c r="AH124" s="41">
        <f t="shared" si="51"/>
        <v>0</v>
      </c>
      <c r="AJ124" s="41">
        <f t="shared" si="72"/>
        <v>20000</v>
      </c>
      <c r="AO124" s="46">
        <f t="shared" si="63"/>
        <v>0</v>
      </c>
      <c r="AP124" s="46"/>
      <c r="AQ124" s="46"/>
      <c r="AR124" s="46"/>
      <c r="AS124" s="42">
        <f t="shared" si="52"/>
        <v>0</v>
      </c>
      <c r="AV124" s="6" t="s">
        <v>19584</v>
      </c>
      <c r="AZ124" s="46">
        <v>0</v>
      </c>
      <c r="BA124" s="42">
        <f t="shared" si="64"/>
        <v>2250</v>
      </c>
      <c r="BB124" s="46">
        <v>0</v>
      </c>
      <c r="BC124" s="46">
        <v>0</v>
      </c>
      <c r="BD124" s="46" t="str">
        <f t="shared" si="53"/>
        <v>0</v>
      </c>
      <c r="BE124" s="46">
        <f t="shared" si="65"/>
        <v>2250</v>
      </c>
      <c r="BF124" s="46">
        <f t="shared" si="66"/>
        <v>-2250</v>
      </c>
      <c r="BG124" s="47">
        <f t="shared" si="67"/>
        <v>4500</v>
      </c>
      <c r="BH124" s="46">
        <f t="shared" si="54"/>
        <v>0</v>
      </c>
      <c r="BI124" s="46">
        <v>0</v>
      </c>
      <c r="BO124" s="48">
        <f t="shared" si="68"/>
        <v>0</v>
      </c>
      <c r="BP124" s="48">
        <f t="shared" si="69"/>
        <v>0</v>
      </c>
      <c r="BQ124" s="6" t="str">
        <f t="shared" si="43"/>
        <v>Advance With Supplier</v>
      </c>
      <c r="BS124" s="6" t="str">
        <f t="shared" si="70"/>
        <v>Open</v>
      </c>
      <c r="BT124" s="49">
        <f t="shared" ca="1" si="45"/>
        <v>73</v>
      </c>
    </row>
    <row r="125" spans="1:72" hidden="1" x14ac:dyDescent="0.25">
      <c r="A125" s="6" t="s">
        <v>19436</v>
      </c>
      <c r="B125" s="6">
        <v>1901.25</v>
      </c>
      <c r="C125" s="36">
        <v>46162</v>
      </c>
      <c r="D125" s="6" t="s">
        <v>19438</v>
      </c>
      <c r="E125" s="37">
        <v>20000</v>
      </c>
      <c r="F125" s="38" t="s">
        <v>19719</v>
      </c>
      <c r="G125" s="39" t="str">
        <f t="shared" si="46"/>
        <v>GRN Not Received</v>
      </c>
      <c r="H125" s="40" t="str">
        <f t="shared" si="47"/>
        <v>GRN Not Received</v>
      </c>
      <c r="I125" s="6" t="s">
        <v>19717</v>
      </c>
      <c r="J125" s="36">
        <v>46190</v>
      </c>
      <c r="K125" s="41">
        <f t="shared" si="77"/>
        <v>20000</v>
      </c>
      <c r="L125" s="42">
        <v>0.55600000000000005</v>
      </c>
      <c r="M125" s="42">
        <f t="shared" si="48"/>
        <v>11120.000000000002</v>
      </c>
      <c r="N125" s="42">
        <v>0</v>
      </c>
      <c r="O125" s="42">
        <v>0</v>
      </c>
      <c r="P125" s="42">
        <f t="shared" si="49"/>
        <v>11120.000000000002</v>
      </c>
      <c r="Q125" s="38" t="s">
        <v>19721</v>
      </c>
      <c r="R125" s="36">
        <v>46165</v>
      </c>
      <c r="S125" s="6" t="s">
        <v>19450</v>
      </c>
      <c r="T125" s="50" t="s">
        <v>19716</v>
      </c>
      <c r="U125" s="6" t="str">
        <f>IFERROR(VLOOKUP(T125,'item master'!B:C,2,0),"")</f>
        <v>ZOCID 20MG (OMEPRAZOLE) B/10X10 GELULE</v>
      </c>
      <c r="V125" s="41">
        <f t="shared" si="74"/>
        <v>20000</v>
      </c>
      <c r="X125" s="44">
        <f t="shared" si="75"/>
        <v>0.55600000000000005</v>
      </c>
      <c r="Y125" s="42">
        <f t="shared" si="76"/>
        <v>11120.000000000002</v>
      </c>
      <c r="Z125" s="42">
        <v>0</v>
      </c>
      <c r="AA125" s="42">
        <f t="shared" si="50"/>
        <v>11120.000000000002</v>
      </c>
      <c r="AB125" s="45">
        <v>0.3</v>
      </c>
      <c r="AC125" s="42">
        <f t="shared" si="73"/>
        <v>3336.0000000000005</v>
      </c>
      <c r="AD125" s="42">
        <f t="shared" si="71"/>
        <v>3336.0000000000005</v>
      </c>
      <c r="AE125" s="36">
        <v>46197</v>
      </c>
      <c r="AF125" s="6" t="s">
        <v>19722</v>
      </c>
      <c r="AH125" s="41">
        <f t="shared" si="51"/>
        <v>0</v>
      </c>
      <c r="AJ125" s="41">
        <f t="shared" si="72"/>
        <v>20000</v>
      </c>
      <c r="AO125" s="46">
        <f t="shared" si="63"/>
        <v>0</v>
      </c>
      <c r="AP125" s="46"/>
      <c r="AQ125" s="46"/>
      <c r="AR125" s="46"/>
      <c r="AS125" s="42">
        <f t="shared" si="52"/>
        <v>0</v>
      </c>
      <c r="AV125" s="6" t="s">
        <v>19584</v>
      </c>
      <c r="AZ125" s="46">
        <v>0</v>
      </c>
      <c r="BA125" s="42">
        <f t="shared" si="64"/>
        <v>3336.0000000000005</v>
      </c>
      <c r="BB125" s="46">
        <v>0</v>
      </c>
      <c r="BC125" s="46">
        <v>0</v>
      </c>
      <c r="BD125" s="46" t="str">
        <f t="shared" si="53"/>
        <v>0</v>
      </c>
      <c r="BE125" s="46">
        <f t="shared" si="65"/>
        <v>3336.0000000000005</v>
      </c>
      <c r="BF125" s="46">
        <f t="shared" si="66"/>
        <v>-3336.0000000000005</v>
      </c>
      <c r="BG125" s="47">
        <f t="shared" si="67"/>
        <v>6672.0000000000009</v>
      </c>
      <c r="BH125" s="46">
        <f t="shared" si="54"/>
        <v>0</v>
      </c>
      <c r="BI125" s="46">
        <v>0</v>
      </c>
      <c r="BO125" s="48">
        <f t="shared" si="68"/>
        <v>0</v>
      </c>
      <c r="BP125" s="48">
        <f t="shared" si="69"/>
        <v>0</v>
      </c>
      <c r="BQ125" s="6" t="str">
        <f t="shared" si="43"/>
        <v>Advance With Supplier</v>
      </c>
      <c r="BS125" s="6" t="str">
        <f t="shared" si="70"/>
        <v>Open</v>
      </c>
      <c r="BT125" s="49">
        <f t="shared" ca="1" si="45"/>
        <v>73</v>
      </c>
    </row>
    <row r="126" spans="1:72" hidden="1" x14ac:dyDescent="0.25">
      <c r="A126" s="6" t="s">
        <v>19436</v>
      </c>
      <c r="B126" s="6">
        <v>1901.25</v>
      </c>
      <c r="C126" s="36">
        <v>46162</v>
      </c>
      <c r="D126" s="6" t="s">
        <v>19438</v>
      </c>
      <c r="E126" s="37">
        <v>40000</v>
      </c>
      <c r="F126" s="38" t="s">
        <v>19719</v>
      </c>
      <c r="G126" s="39" t="str">
        <f t="shared" si="46"/>
        <v>GRN Not Received</v>
      </c>
      <c r="H126" s="40" t="str">
        <f t="shared" si="47"/>
        <v>GRN Not Received</v>
      </c>
      <c r="I126" s="6" t="s">
        <v>19717</v>
      </c>
      <c r="J126" s="36">
        <v>46190</v>
      </c>
      <c r="K126" s="41">
        <f t="shared" si="77"/>
        <v>40000</v>
      </c>
      <c r="L126" s="42">
        <v>0.34799999999999998</v>
      </c>
      <c r="M126" s="42">
        <f t="shared" si="48"/>
        <v>13919.999999999998</v>
      </c>
      <c r="N126" s="42">
        <v>0</v>
      </c>
      <c r="O126" s="42">
        <v>0</v>
      </c>
      <c r="P126" s="42">
        <f t="shared" si="49"/>
        <v>13919.999999999998</v>
      </c>
      <c r="Q126" s="38" t="s">
        <v>19721</v>
      </c>
      <c r="R126" s="36">
        <v>46165</v>
      </c>
      <c r="S126" s="6" t="s">
        <v>19450</v>
      </c>
      <c r="T126" s="50" t="s">
        <v>8888</v>
      </c>
      <c r="U126" s="6" t="str">
        <f>IFERROR(VLOOKUP(T126,'item master'!B:C,2,0),"")</f>
        <v>BUTAZOLDINE 10X10CES</v>
      </c>
      <c r="V126" s="41">
        <f t="shared" si="74"/>
        <v>40000</v>
      </c>
      <c r="X126" s="44">
        <f t="shared" si="75"/>
        <v>0.34799999999999998</v>
      </c>
      <c r="Y126" s="42">
        <f t="shared" si="76"/>
        <v>13919.999999999998</v>
      </c>
      <c r="Z126" s="42">
        <v>0</v>
      </c>
      <c r="AA126" s="42">
        <f t="shared" si="50"/>
        <v>13919.999999999998</v>
      </c>
      <c r="AB126" s="45">
        <v>0.3</v>
      </c>
      <c r="AC126" s="42">
        <f t="shared" si="73"/>
        <v>4175.9999999999991</v>
      </c>
      <c r="AD126" s="42">
        <f t="shared" si="71"/>
        <v>4175.9999999999991</v>
      </c>
      <c r="AE126" s="36">
        <v>46197</v>
      </c>
      <c r="AF126" s="6" t="s">
        <v>19722</v>
      </c>
      <c r="AH126" s="41">
        <f t="shared" si="51"/>
        <v>0</v>
      </c>
      <c r="AJ126" s="41">
        <f t="shared" si="72"/>
        <v>40000</v>
      </c>
      <c r="AO126" s="46">
        <f t="shared" si="63"/>
        <v>0</v>
      </c>
      <c r="AP126" s="46"/>
      <c r="AQ126" s="46"/>
      <c r="AR126" s="46"/>
      <c r="AS126" s="42">
        <f t="shared" si="52"/>
        <v>0</v>
      </c>
      <c r="AV126" s="6" t="s">
        <v>19584</v>
      </c>
      <c r="AZ126" s="46">
        <v>0</v>
      </c>
      <c r="BA126" s="42">
        <f t="shared" si="64"/>
        <v>4175.9999999999991</v>
      </c>
      <c r="BB126" s="46">
        <v>0</v>
      </c>
      <c r="BC126" s="46">
        <v>0</v>
      </c>
      <c r="BD126" s="46" t="str">
        <f t="shared" si="53"/>
        <v>0</v>
      </c>
      <c r="BE126" s="46">
        <f t="shared" si="65"/>
        <v>4175.9999999999991</v>
      </c>
      <c r="BF126" s="46">
        <f t="shared" si="66"/>
        <v>-4175.9999999999991</v>
      </c>
      <c r="BG126" s="47">
        <f t="shared" si="67"/>
        <v>8351.9999999999982</v>
      </c>
      <c r="BH126" s="46">
        <f t="shared" si="54"/>
        <v>0</v>
      </c>
      <c r="BI126" s="46">
        <v>0</v>
      </c>
      <c r="BO126" s="48">
        <f t="shared" si="68"/>
        <v>0</v>
      </c>
      <c r="BP126" s="48">
        <f t="shared" si="69"/>
        <v>0</v>
      </c>
      <c r="BQ126" s="6" t="str">
        <f t="shared" si="43"/>
        <v>Advance With Supplier</v>
      </c>
      <c r="BS126" s="6" t="str">
        <f t="shared" si="70"/>
        <v>Open</v>
      </c>
      <c r="BT126" s="49">
        <f t="shared" ca="1" si="45"/>
        <v>73</v>
      </c>
    </row>
    <row r="127" spans="1:72" hidden="1" x14ac:dyDescent="0.25">
      <c r="A127" s="6" t="s">
        <v>19436</v>
      </c>
      <c r="B127" s="6">
        <v>1901.25</v>
      </c>
      <c r="C127" s="36">
        <v>46162</v>
      </c>
      <c r="D127" s="6" t="s">
        <v>19438</v>
      </c>
      <c r="E127" s="37">
        <v>200000</v>
      </c>
      <c r="F127" s="38" t="s">
        <v>19702</v>
      </c>
      <c r="G127" s="39" t="str">
        <f t="shared" si="46"/>
        <v>GRN Not Received</v>
      </c>
      <c r="H127" s="40" t="str">
        <f t="shared" si="47"/>
        <v>GRN Not Received</v>
      </c>
      <c r="I127" s="6" t="s">
        <v>19717</v>
      </c>
      <c r="J127" s="36">
        <v>46190</v>
      </c>
      <c r="K127" s="41">
        <f t="shared" si="77"/>
        <v>200000</v>
      </c>
      <c r="L127" s="42">
        <v>0.161</v>
      </c>
      <c r="M127" s="42">
        <f t="shared" si="48"/>
        <v>32200</v>
      </c>
      <c r="N127" s="42">
        <v>0</v>
      </c>
      <c r="O127" s="42">
        <v>0</v>
      </c>
      <c r="P127" s="42">
        <f t="shared" si="49"/>
        <v>32200</v>
      </c>
      <c r="Q127" s="38" t="s">
        <v>19721</v>
      </c>
      <c r="R127" s="36">
        <v>46165</v>
      </c>
      <c r="S127" s="6" t="s">
        <v>19450</v>
      </c>
      <c r="T127" s="50" t="s">
        <v>11854</v>
      </c>
      <c r="U127" s="6" t="str">
        <f>IFERROR(VLOOKUP(T127,'item master'!B:C,2,0),"")</f>
        <v>MULTIVITAMIN B/10X10CES</v>
      </c>
      <c r="V127" s="41">
        <f t="shared" si="74"/>
        <v>200000</v>
      </c>
      <c r="X127" s="44">
        <f t="shared" si="75"/>
        <v>0.161</v>
      </c>
      <c r="Y127" s="42">
        <f t="shared" si="76"/>
        <v>32200</v>
      </c>
      <c r="Z127" s="42">
        <v>0</v>
      </c>
      <c r="AA127" s="42">
        <f t="shared" si="50"/>
        <v>32200</v>
      </c>
      <c r="AB127" s="45">
        <v>0.3</v>
      </c>
      <c r="AC127" s="42">
        <f t="shared" si="73"/>
        <v>9660</v>
      </c>
      <c r="AD127" s="42">
        <f t="shared" si="71"/>
        <v>9660</v>
      </c>
      <c r="AE127" s="36">
        <v>46197</v>
      </c>
      <c r="AF127" s="6" t="s">
        <v>19722</v>
      </c>
      <c r="AH127" s="41">
        <f t="shared" si="51"/>
        <v>0</v>
      </c>
      <c r="AJ127" s="41">
        <f t="shared" si="72"/>
        <v>200000</v>
      </c>
      <c r="AO127" s="46">
        <f t="shared" si="63"/>
        <v>0</v>
      </c>
      <c r="AP127" s="46"/>
      <c r="AQ127" s="46"/>
      <c r="AR127" s="46"/>
      <c r="AS127" s="42">
        <f t="shared" si="52"/>
        <v>0</v>
      </c>
      <c r="AV127" s="6" t="s">
        <v>19584</v>
      </c>
      <c r="AZ127" s="46">
        <v>0</v>
      </c>
      <c r="BA127" s="42">
        <f t="shared" si="64"/>
        <v>9660</v>
      </c>
      <c r="BB127" s="46">
        <v>0</v>
      </c>
      <c r="BC127" s="46">
        <v>0</v>
      </c>
      <c r="BD127" s="46" t="str">
        <f t="shared" si="53"/>
        <v>0</v>
      </c>
      <c r="BE127" s="46">
        <f t="shared" si="65"/>
        <v>9660</v>
      </c>
      <c r="BF127" s="46">
        <f t="shared" si="66"/>
        <v>-9660</v>
      </c>
      <c r="BG127" s="47">
        <f t="shared" si="67"/>
        <v>19320</v>
      </c>
      <c r="BH127" s="46">
        <f t="shared" si="54"/>
        <v>0</v>
      </c>
      <c r="BI127" s="46">
        <v>0</v>
      </c>
      <c r="BO127" s="48">
        <f t="shared" si="68"/>
        <v>0</v>
      </c>
      <c r="BP127" s="48">
        <f t="shared" si="69"/>
        <v>0</v>
      </c>
      <c r="BQ127" s="6" t="str">
        <f t="shared" si="43"/>
        <v>Advance With Supplier</v>
      </c>
      <c r="BS127" s="6" t="str">
        <f t="shared" si="70"/>
        <v>Open</v>
      </c>
      <c r="BT127" s="49">
        <f t="shared" ca="1" si="45"/>
        <v>73</v>
      </c>
    </row>
    <row r="128" spans="1:72" hidden="1" x14ac:dyDescent="0.25">
      <c r="A128" s="6" t="s">
        <v>19436</v>
      </c>
      <c r="B128" s="6">
        <v>1901.25</v>
      </c>
      <c r="C128" s="36">
        <v>46162</v>
      </c>
      <c r="D128" s="6" t="s">
        <v>19438</v>
      </c>
      <c r="E128" s="37">
        <v>300000</v>
      </c>
      <c r="F128" s="38" t="s">
        <v>19702</v>
      </c>
      <c r="G128" s="39" t="str">
        <f t="shared" si="46"/>
        <v>GRN Not Received</v>
      </c>
      <c r="H128" s="40" t="str">
        <f t="shared" si="47"/>
        <v>GRN Not Received</v>
      </c>
      <c r="I128" s="6" t="s">
        <v>19717</v>
      </c>
      <c r="J128" s="36">
        <v>46190</v>
      </c>
      <c r="K128" s="41">
        <v>50000</v>
      </c>
      <c r="L128" s="42">
        <v>0.161</v>
      </c>
      <c r="M128" s="42">
        <f t="shared" si="48"/>
        <v>8050</v>
      </c>
      <c r="N128" s="42">
        <v>0</v>
      </c>
      <c r="O128" s="42">
        <v>0</v>
      </c>
      <c r="P128" s="42">
        <f t="shared" si="49"/>
        <v>8050</v>
      </c>
      <c r="Q128" s="38" t="s">
        <v>19721</v>
      </c>
      <c r="R128" s="36">
        <v>46165</v>
      </c>
      <c r="S128" s="6" t="s">
        <v>19450</v>
      </c>
      <c r="T128" s="50" t="s">
        <v>14430</v>
      </c>
      <c r="U128" s="6" t="str">
        <f>IFERROR(VLOOKUP(T128,'item master'!B:C,2,0),"")</f>
        <v>VITAMINE B COMPLEX B/10X10CES</v>
      </c>
      <c r="V128" s="41">
        <f t="shared" si="74"/>
        <v>50000</v>
      </c>
      <c r="X128" s="44">
        <f t="shared" si="75"/>
        <v>0.161</v>
      </c>
      <c r="Y128" s="42">
        <f t="shared" si="76"/>
        <v>8050</v>
      </c>
      <c r="Z128" s="42">
        <v>0</v>
      </c>
      <c r="AA128" s="42">
        <f t="shared" si="50"/>
        <v>8050</v>
      </c>
      <c r="AB128" s="45">
        <v>0.3</v>
      </c>
      <c r="AC128" s="42">
        <f t="shared" si="73"/>
        <v>2415</v>
      </c>
      <c r="AD128" s="42">
        <f t="shared" si="71"/>
        <v>2415</v>
      </c>
      <c r="AE128" s="36">
        <v>46197</v>
      </c>
      <c r="AF128" s="6" t="s">
        <v>19722</v>
      </c>
      <c r="AH128" s="41">
        <f t="shared" si="51"/>
        <v>0</v>
      </c>
      <c r="AJ128" s="41">
        <f t="shared" si="72"/>
        <v>50000</v>
      </c>
      <c r="AO128" s="46">
        <f t="shared" si="63"/>
        <v>0</v>
      </c>
      <c r="AP128" s="46"/>
      <c r="AQ128" s="46"/>
      <c r="AR128" s="46"/>
      <c r="AS128" s="42">
        <f t="shared" si="52"/>
        <v>0</v>
      </c>
      <c r="AV128" s="6" t="s">
        <v>19584</v>
      </c>
      <c r="AZ128" s="46">
        <v>0</v>
      </c>
      <c r="BA128" s="42">
        <f t="shared" si="64"/>
        <v>2415</v>
      </c>
      <c r="BB128" s="46">
        <v>0</v>
      </c>
      <c r="BC128" s="46">
        <v>0</v>
      </c>
      <c r="BD128" s="46" t="str">
        <f t="shared" si="53"/>
        <v>0</v>
      </c>
      <c r="BE128" s="46">
        <f t="shared" si="65"/>
        <v>2415</v>
      </c>
      <c r="BF128" s="46">
        <f t="shared" si="66"/>
        <v>-2415</v>
      </c>
      <c r="BG128" s="47">
        <f t="shared" si="67"/>
        <v>4830</v>
      </c>
      <c r="BH128" s="46">
        <f t="shared" si="54"/>
        <v>0</v>
      </c>
      <c r="BI128" s="46">
        <v>0</v>
      </c>
      <c r="BO128" s="48">
        <f t="shared" si="68"/>
        <v>0</v>
      </c>
      <c r="BP128" s="48">
        <f t="shared" si="69"/>
        <v>0</v>
      </c>
      <c r="BQ128" s="6" t="str">
        <f t="shared" si="43"/>
        <v>Advance With Supplier</v>
      </c>
      <c r="BS128" s="6" t="str">
        <f t="shared" si="70"/>
        <v>Open</v>
      </c>
      <c r="BT128" s="49">
        <f t="shared" ca="1" si="45"/>
        <v>73</v>
      </c>
    </row>
    <row r="129" spans="1:72" hidden="1" x14ac:dyDescent="0.25">
      <c r="A129" s="6" t="s">
        <v>19436</v>
      </c>
      <c r="B129" s="6">
        <v>1901.25</v>
      </c>
      <c r="C129" s="36">
        <v>46162</v>
      </c>
      <c r="D129" s="6" t="s">
        <v>19438</v>
      </c>
      <c r="E129" s="37">
        <v>500000</v>
      </c>
      <c r="F129" s="38" t="s">
        <v>19720</v>
      </c>
      <c r="G129" s="39" t="str">
        <f t="shared" si="46"/>
        <v>GRN Not Received</v>
      </c>
      <c r="H129" s="40" t="str">
        <f t="shared" si="47"/>
        <v>GRN Not Received</v>
      </c>
      <c r="I129" s="6" t="s">
        <v>19717</v>
      </c>
      <c r="J129" s="36">
        <v>46190</v>
      </c>
      <c r="K129" s="41">
        <f t="shared" si="77"/>
        <v>500000</v>
      </c>
      <c r="L129" s="42">
        <v>4.2999999999999997E-2</v>
      </c>
      <c r="M129" s="42">
        <f t="shared" si="48"/>
        <v>21500</v>
      </c>
      <c r="N129" s="42">
        <v>0</v>
      </c>
      <c r="O129" s="42">
        <v>0</v>
      </c>
      <c r="P129" s="42">
        <f t="shared" si="49"/>
        <v>21500</v>
      </c>
      <c r="Q129" s="38" t="s">
        <v>19721</v>
      </c>
      <c r="R129" s="36">
        <v>46165</v>
      </c>
      <c r="S129" s="6" t="s">
        <v>19450</v>
      </c>
      <c r="T129" s="50" t="s">
        <v>15032</v>
      </c>
      <c r="U129" s="6" t="str">
        <f>IFERROR(VLOOKUP(T129,'item master'!B:C,2,0),"")</f>
        <v>DICQUE-100 (DICLOFENAC) B/1X10 CES</v>
      </c>
      <c r="V129" s="41">
        <f t="shared" si="74"/>
        <v>500000</v>
      </c>
      <c r="X129" s="44">
        <f t="shared" si="75"/>
        <v>4.2999999999999997E-2</v>
      </c>
      <c r="Y129" s="42">
        <f t="shared" si="76"/>
        <v>21500</v>
      </c>
      <c r="Z129" s="42">
        <v>0</v>
      </c>
      <c r="AA129" s="42">
        <f t="shared" si="50"/>
        <v>21500</v>
      </c>
      <c r="AB129" s="45">
        <v>0.3</v>
      </c>
      <c r="AC129" s="42">
        <f t="shared" si="73"/>
        <v>6450</v>
      </c>
      <c r="AD129" s="42">
        <f t="shared" si="71"/>
        <v>6450</v>
      </c>
      <c r="AE129" s="36">
        <v>46197</v>
      </c>
      <c r="AF129" s="6" t="s">
        <v>19722</v>
      </c>
      <c r="AH129" s="41">
        <f t="shared" si="51"/>
        <v>0</v>
      </c>
      <c r="AJ129" s="41">
        <f t="shared" si="72"/>
        <v>500000</v>
      </c>
      <c r="AO129" s="46">
        <f t="shared" si="63"/>
        <v>0</v>
      </c>
      <c r="AP129" s="46"/>
      <c r="AQ129" s="46"/>
      <c r="AR129" s="46"/>
      <c r="AS129" s="42">
        <f t="shared" si="52"/>
        <v>0</v>
      </c>
      <c r="AV129" s="6" t="s">
        <v>19584</v>
      </c>
      <c r="AZ129" s="46">
        <v>0</v>
      </c>
      <c r="BA129" s="42">
        <f t="shared" si="64"/>
        <v>6450</v>
      </c>
      <c r="BB129" s="46">
        <v>0</v>
      </c>
      <c r="BC129" s="46">
        <v>0</v>
      </c>
      <c r="BD129" s="46" t="str">
        <f t="shared" si="53"/>
        <v>0</v>
      </c>
      <c r="BE129" s="46">
        <f t="shared" si="65"/>
        <v>6450</v>
      </c>
      <c r="BF129" s="46">
        <f t="shared" si="66"/>
        <v>-6450</v>
      </c>
      <c r="BG129" s="47">
        <f t="shared" si="67"/>
        <v>12900</v>
      </c>
      <c r="BH129" s="46">
        <f t="shared" si="54"/>
        <v>0</v>
      </c>
      <c r="BI129" s="46">
        <v>0</v>
      </c>
      <c r="BO129" s="48">
        <f t="shared" si="68"/>
        <v>0</v>
      </c>
      <c r="BP129" s="48">
        <f t="shared" si="69"/>
        <v>0</v>
      </c>
      <c r="BQ129" s="6" t="str">
        <f t="shared" si="43"/>
        <v>Advance With Supplier</v>
      </c>
      <c r="BS129" s="6" t="str">
        <f t="shared" si="70"/>
        <v>Open</v>
      </c>
      <c r="BT129" s="49">
        <f t="shared" ca="1" si="45"/>
        <v>73</v>
      </c>
    </row>
    <row r="130" spans="1:72" hidden="1" x14ac:dyDescent="0.25">
      <c r="A130" s="6" t="s">
        <v>19436</v>
      </c>
      <c r="B130" s="6">
        <v>1901.25</v>
      </c>
      <c r="C130" s="36">
        <v>46162</v>
      </c>
      <c r="D130" s="6" t="s">
        <v>19438</v>
      </c>
      <c r="E130" s="37">
        <v>10000</v>
      </c>
      <c r="F130" s="38" t="s">
        <v>19718</v>
      </c>
      <c r="G130" s="39" t="str">
        <f t="shared" si="46"/>
        <v>GRN Not Received</v>
      </c>
      <c r="H130" s="40" t="str">
        <f t="shared" si="47"/>
        <v>GRN Not Received</v>
      </c>
      <c r="I130" s="6" t="s">
        <v>19717</v>
      </c>
      <c r="J130" s="36">
        <v>46190</v>
      </c>
      <c r="K130" s="41">
        <v>100000</v>
      </c>
      <c r="L130" s="42">
        <v>0.69599999999999995</v>
      </c>
      <c r="M130" s="42">
        <f t="shared" si="48"/>
        <v>69600</v>
      </c>
      <c r="N130" s="42">
        <v>0</v>
      </c>
      <c r="O130" s="42">
        <v>0</v>
      </c>
      <c r="P130" s="42">
        <f t="shared" si="49"/>
        <v>69600</v>
      </c>
      <c r="Q130" s="38" t="s">
        <v>19721</v>
      </c>
      <c r="R130" s="36">
        <v>46165</v>
      </c>
      <c r="S130" s="6" t="s">
        <v>19450</v>
      </c>
      <c r="T130" s="50" t="s">
        <v>3301</v>
      </c>
      <c r="U130" s="6" t="str">
        <f>IFERROR(VLOOKUP(T130,'item master'!B:C,2,0),"")</f>
        <v>WERMOQUE (MEBENDAZOL) 100MG CROQUER B/25X6</v>
      </c>
      <c r="V130" s="41">
        <f t="shared" si="74"/>
        <v>100000</v>
      </c>
      <c r="X130" s="44">
        <f t="shared" si="75"/>
        <v>0.69599999999999995</v>
      </c>
      <c r="Y130" s="42">
        <f t="shared" si="76"/>
        <v>69600</v>
      </c>
      <c r="Z130" s="42">
        <v>0</v>
      </c>
      <c r="AA130" s="42">
        <f t="shared" si="50"/>
        <v>69600</v>
      </c>
      <c r="AB130" s="45">
        <v>0.3</v>
      </c>
      <c r="AC130" s="42">
        <f t="shared" si="73"/>
        <v>20880</v>
      </c>
      <c r="AD130" s="42">
        <f t="shared" si="71"/>
        <v>20880</v>
      </c>
      <c r="AE130" s="36">
        <v>46197</v>
      </c>
      <c r="AF130" s="6" t="s">
        <v>19722</v>
      </c>
      <c r="AH130" s="41">
        <f t="shared" si="51"/>
        <v>0</v>
      </c>
      <c r="AJ130" s="41">
        <f t="shared" si="72"/>
        <v>100000</v>
      </c>
      <c r="AO130" s="46">
        <f t="shared" si="63"/>
        <v>0</v>
      </c>
      <c r="AP130" s="46"/>
      <c r="AQ130" s="46"/>
      <c r="AR130" s="46"/>
      <c r="AS130" s="42">
        <f t="shared" si="52"/>
        <v>0</v>
      </c>
      <c r="AV130" s="6" t="s">
        <v>19584</v>
      </c>
      <c r="AZ130" s="46">
        <v>0</v>
      </c>
      <c r="BA130" s="42">
        <f t="shared" si="64"/>
        <v>20880</v>
      </c>
      <c r="BB130" s="46">
        <v>0</v>
      </c>
      <c r="BC130" s="46">
        <v>0</v>
      </c>
      <c r="BD130" s="46" t="str">
        <f t="shared" si="53"/>
        <v>0</v>
      </c>
      <c r="BE130" s="46">
        <f t="shared" si="65"/>
        <v>20880</v>
      </c>
      <c r="BF130" s="46">
        <f t="shared" si="66"/>
        <v>-20880</v>
      </c>
      <c r="BG130" s="47">
        <f t="shared" si="67"/>
        <v>41760</v>
      </c>
      <c r="BH130" s="46">
        <f t="shared" si="54"/>
        <v>0</v>
      </c>
      <c r="BI130" s="46">
        <v>0</v>
      </c>
      <c r="BO130" s="48">
        <f t="shared" si="68"/>
        <v>0</v>
      </c>
      <c r="BP130" s="48">
        <f t="shared" si="69"/>
        <v>0</v>
      </c>
      <c r="BQ130" s="6" t="str">
        <f t="shared" ref="BQ130:BQ187" si="78">IF(ROUND(BG130,2)&gt;0,"Advance With Supplier",IF(ROUND(BP130,2)&gt;0,"Payable Balance Supplier","Fully Paid"))</f>
        <v>Advance With Supplier</v>
      </c>
      <c r="BS130" s="6" t="str">
        <f t="shared" si="70"/>
        <v>Open</v>
      </c>
      <c r="BT130" s="49">
        <f t="shared" ref="BT130:BT187" ca="1" si="79">IF(BS130="Open",TODAY()-J130,"Closed")</f>
        <v>73</v>
      </c>
    </row>
    <row r="131" spans="1:72" hidden="1" x14ac:dyDescent="0.25">
      <c r="A131" s="6" t="s">
        <v>19436</v>
      </c>
      <c r="B131" s="6">
        <v>1785.26</v>
      </c>
      <c r="C131" s="36">
        <v>46037</v>
      </c>
      <c r="D131" s="6" t="s">
        <v>19440</v>
      </c>
      <c r="E131" s="37">
        <v>5000</v>
      </c>
      <c r="F131" s="38" t="s">
        <v>19702</v>
      </c>
      <c r="G131" s="39" t="str">
        <f t="shared" ref="G131:G188" si="80">IF(AG131="","GRN Not Received",AW131/AG131)</f>
        <v>GRN Not Received</v>
      </c>
      <c r="H131" s="40" t="str">
        <f t="shared" ref="H131:H188" si="81">IF(E131="PRF_Details_Not Availbale","PRF Qty Not Available",IF(G131="GRN Not Received","GRN Not Received",--E131*--G131))</f>
        <v>GRN Not Received</v>
      </c>
      <c r="I131" s="6" t="s">
        <v>19723</v>
      </c>
      <c r="J131" s="36">
        <v>46051</v>
      </c>
      <c r="K131" s="41">
        <v>5000</v>
      </c>
      <c r="L131" s="42">
        <v>2.7370000000000001</v>
      </c>
      <c r="M131" s="42">
        <f t="shared" ref="M131:M188" si="82">K131*L131</f>
        <v>13685</v>
      </c>
      <c r="N131" s="42">
        <v>0</v>
      </c>
      <c r="O131" s="42">
        <v>0</v>
      </c>
      <c r="P131" s="42">
        <f t="shared" ref="P131:P188" si="83">M131+O131</f>
        <v>13685</v>
      </c>
      <c r="Q131" s="38" t="s">
        <v>19724</v>
      </c>
      <c r="R131" s="36">
        <v>46052</v>
      </c>
      <c r="S131" s="6" t="s">
        <v>19450</v>
      </c>
      <c r="T131" s="50" t="s">
        <v>17185</v>
      </c>
      <c r="U131" s="6" t="str">
        <f>IFERROR(VLOOKUP(T131,'item master'!B:C,2,0),"")</f>
        <v>ERYTHROMYCINE 250MG B/10X10 CES***(ERINOCIN)</v>
      </c>
      <c r="V131" s="41">
        <v>5000</v>
      </c>
      <c r="X131" s="44">
        <f t="shared" si="75"/>
        <v>2.7370000000000001</v>
      </c>
      <c r="Y131" s="42">
        <f>V131*X131</f>
        <v>13685</v>
      </c>
      <c r="Z131" s="42">
        <v>0</v>
      </c>
      <c r="AA131" s="42">
        <f t="shared" ref="AA131:AA188" si="84">Y131+Z131</f>
        <v>13685</v>
      </c>
      <c r="AB131" s="45">
        <v>0.3</v>
      </c>
      <c r="AC131" s="42">
        <f t="shared" si="73"/>
        <v>4105.5</v>
      </c>
      <c r="AD131" s="42">
        <f t="shared" si="71"/>
        <v>4105.5</v>
      </c>
      <c r="AE131" s="36">
        <v>46057</v>
      </c>
      <c r="AH131" s="41">
        <f t="shared" si="51"/>
        <v>0</v>
      </c>
      <c r="AJ131" s="41">
        <f t="shared" si="72"/>
        <v>5000</v>
      </c>
      <c r="AO131" s="46">
        <f t="shared" si="63"/>
        <v>0</v>
      </c>
      <c r="AP131" s="46"/>
      <c r="AQ131" s="46"/>
      <c r="AR131" s="46"/>
      <c r="AS131" s="42">
        <f t="shared" ref="AS131:AS188" si="85">AO131+AP131+AQ131+AR131</f>
        <v>0</v>
      </c>
      <c r="AV131" s="6" t="s">
        <v>19584</v>
      </c>
      <c r="AZ131" s="46">
        <v>0</v>
      </c>
      <c r="BA131" s="42">
        <f t="shared" si="64"/>
        <v>4105.5</v>
      </c>
      <c r="BB131" s="46">
        <v>0</v>
      </c>
      <c r="BC131" s="46">
        <v>0</v>
      </c>
      <c r="BD131" s="46" t="str">
        <f t="shared" ref="BD131:BD188" si="86">IF(AK131&gt;0,BA131+BB131+BC131,"0")</f>
        <v>0</v>
      </c>
      <c r="BE131" s="46">
        <f t="shared" si="65"/>
        <v>4105.5</v>
      </c>
      <c r="BF131" s="46">
        <f t="shared" si="66"/>
        <v>-4105.5</v>
      </c>
      <c r="BG131" s="47">
        <f t="shared" si="67"/>
        <v>8211</v>
      </c>
      <c r="BH131" s="46">
        <f t="shared" ref="BH131:BH188" si="87">AS131-BD131</f>
        <v>0</v>
      </c>
      <c r="BO131" s="48">
        <f t="shared" si="68"/>
        <v>0</v>
      </c>
      <c r="BP131" s="48">
        <f t="shared" si="69"/>
        <v>0</v>
      </c>
      <c r="BQ131" s="6" t="str">
        <f t="shared" si="78"/>
        <v>Advance With Supplier</v>
      </c>
      <c r="BS131" s="6" t="str">
        <f t="shared" ref="BS131:BS183" si="88">IF(AX131&lt;&gt;"","Closed","Open")</f>
        <v>Open</v>
      </c>
      <c r="BT131" s="49">
        <f t="shared" ca="1" si="79"/>
        <v>212</v>
      </c>
    </row>
    <row r="132" spans="1:72" hidden="1" x14ac:dyDescent="0.25">
      <c r="A132" s="6" t="s">
        <v>19436</v>
      </c>
      <c r="B132" s="6">
        <v>1785.26</v>
      </c>
      <c r="C132" s="36">
        <v>46037</v>
      </c>
      <c r="D132" s="6" t="s">
        <v>19440</v>
      </c>
      <c r="E132" s="37">
        <v>8000</v>
      </c>
      <c r="F132" s="38" t="s">
        <v>19702</v>
      </c>
      <c r="G132" s="39" t="str">
        <f t="shared" si="80"/>
        <v>GRN Not Received</v>
      </c>
      <c r="H132" s="40" t="str">
        <f t="shared" si="81"/>
        <v>GRN Not Received</v>
      </c>
      <c r="I132" s="6" t="s">
        <v>19723</v>
      </c>
      <c r="J132" s="36">
        <v>46051</v>
      </c>
      <c r="K132" s="41">
        <v>8000</v>
      </c>
      <c r="L132" s="42">
        <v>4.6369999999999996</v>
      </c>
      <c r="M132" s="42">
        <f t="shared" si="82"/>
        <v>37096</v>
      </c>
      <c r="N132" s="42">
        <v>0</v>
      </c>
      <c r="O132" s="42">
        <v>0</v>
      </c>
      <c r="P132" s="42">
        <f t="shared" si="83"/>
        <v>37096</v>
      </c>
      <c r="Q132" s="38" t="s">
        <v>19724</v>
      </c>
      <c r="R132" s="36">
        <v>46052</v>
      </c>
      <c r="S132" s="6" t="s">
        <v>19450</v>
      </c>
      <c r="T132" s="50" t="s">
        <v>17187</v>
      </c>
      <c r="U132" s="6" t="str">
        <f>IFERROR(VLOOKUP(T132,'item master'!B:C,2,0),"")</f>
        <v>ERYTHROMYCINE 500MG B/10X10 CES***(ERINOCIN)</v>
      </c>
      <c r="V132" s="41">
        <v>8000</v>
      </c>
      <c r="X132" s="44">
        <f t="shared" si="75"/>
        <v>4.6369999999999996</v>
      </c>
      <c r="Y132" s="42">
        <f>V132*X132</f>
        <v>37096</v>
      </c>
      <c r="Z132" s="42">
        <v>0</v>
      </c>
      <c r="AA132" s="42">
        <f t="shared" si="84"/>
        <v>37096</v>
      </c>
      <c r="AB132" s="45">
        <v>0.3</v>
      </c>
      <c r="AC132" s="42">
        <f t="shared" si="73"/>
        <v>11128.8</v>
      </c>
      <c r="AD132" s="42">
        <f t="shared" si="71"/>
        <v>11128.8</v>
      </c>
      <c r="AE132" s="36">
        <v>46057</v>
      </c>
      <c r="AH132" s="41">
        <f t="shared" ref="AH132:AH139" si="89">AG132</f>
        <v>0</v>
      </c>
      <c r="AJ132" s="41">
        <f t="shared" si="72"/>
        <v>8000</v>
      </c>
      <c r="AO132" s="46">
        <f t="shared" si="63"/>
        <v>0</v>
      </c>
      <c r="AP132" s="46"/>
      <c r="AQ132" s="46"/>
      <c r="AR132" s="46"/>
      <c r="AS132" s="42">
        <f t="shared" si="85"/>
        <v>0</v>
      </c>
      <c r="AV132" s="6" t="s">
        <v>19584</v>
      </c>
      <c r="AZ132" s="46">
        <v>0</v>
      </c>
      <c r="BA132" s="42">
        <f t="shared" si="64"/>
        <v>11128.8</v>
      </c>
      <c r="BB132" s="46">
        <v>0</v>
      </c>
      <c r="BC132" s="46">
        <v>0</v>
      </c>
      <c r="BD132" s="46" t="str">
        <f t="shared" si="86"/>
        <v>0</v>
      </c>
      <c r="BE132" s="46">
        <f t="shared" si="65"/>
        <v>11128.8</v>
      </c>
      <c r="BF132" s="46">
        <f t="shared" si="66"/>
        <v>-11128.8</v>
      </c>
      <c r="BG132" s="47">
        <f t="shared" si="67"/>
        <v>22257.599999999999</v>
      </c>
      <c r="BH132" s="46">
        <f t="shared" si="87"/>
        <v>0</v>
      </c>
      <c r="BO132" s="48">
        <f t="shared" si="68"/>
        <v>0</v>
      </c>
      <c r="BP132" s="48">
        <f t="shared" si="69"/>
        <v>0</v>
      </c>
      <c r="BQ132" s="6" t="str">
        <f t="shared" si="78"/>
        <v>Advance With Supplier</v>
      </c>
      <c r="BS132" s="6" t="str">
        <f t="shared" si="88"/>
        <v>Open</v>
      </c>
      <c r="BT132" s="49">
        <f t="shared" ca="1" si="79"/>
        <v>212</v>
      </c>
    </row>
    <row r="133" spans="1:72" hidden="1" x14ac:dyDescent="0.25">
      <c r="A133" s="6" t="s">
        <v>19436</v>
      </c>
      <c r="B133" s="6">
        <v>1785.26</v>
      </c>
      <c r="C133" s="36">
        <v>46037</v>
      </c>
      <c r="D133" s="6" t="s">
        <v>19440</v>
      </c>
      <c r="E133" s="37">
        <v>20000</v>
      </c>
      <c r="F133" s="38" t="s">
        <v>19702</v>
      </c>
      <c r="G133" s="39" t="str">
        <f t="shared" si="80"/>
        <v>GRN Not Received</v>
      </c>
      <c r="H133" s="40" t="str">
        <f t="shared" si="81"/>
        <v>GRN Not Received</v>
      </c>
      <c r="I133" s="6" t="s">
        <v>19723</v>
      </c>
      <c r="J133" s="36">
        <v>46051</v>
      </c>
      <c r="K133" s="41">
        <v>20000</v>
      </c>
      <c r="L133" s="42">
        <v>0.46899999999999997</v>
      </c>
      <c r="M133" s="42">
        <f t="shared" si="82"/>
        <v>9380</v>
      </c>
      <c r="N133" s="42">
        <v>0</v>
      </c>
      <c r="O133" s="42">
        <v>0</v>
      </c>
      <c r="P133" s="42">
        <f t="shared" si="83"/>
        <v>9380</v>
      </c>
      <c r="Q133" s="38" t="s">
        <v>19724</v>
      </c>
      <c r="R133" s="36">
        <v>46052</v>
      </c>
      <c r="S133" s="6" t="s">
        <v>19450</v>
      </c>
      <c r="T133" s="50" t="s">
        <v>3778</v>
      </c>
      <c r="U133" s="6" t="str">
        <f>IFERROR(VLOOKUP(T133,'item master'!B:C,2,0),"")</f>
        <v>VITAMINE B1 100MG B/10X10CES</v>
      </c>
      <c r="V133" s="41">
        <v>20000</v>
      </c>
      <c r="X133" s="44">
        <f t="shared" si="75"/>
        <v>0.46899999999999997</v>
      </c>
      <c r="Y133" s="42">
        <f t="shared" ref="Y133:Y192" si="90">V133*X133</f>
        <v>9380</v>
      </c>
      <c r="Z133" s="42">
        <v>0</v>
      </c>
      <c r="AA133" s="42">
        <f t="shared" si="84"/>
        <v>9380</v>
      </c>
      <c r="AB133" s="45">
        <v>0.3</v>
      </c>
      <c r="AC133" s="42">
        <f t="shared" si="73"/>
        <v>2814</v>
      </c>
      <c r="AD133" s="42">
        <f t="shared" si="71"/>
        <v>2814</v>
      </c>
      <c r="AE133" s="36">
        <v>46057</v>
      </c>
      <c r="AH133" s="41">
        <f t="shared" si="89"/>
        <v>0</v>
      </c>
      <c r="AJ133" s="41">
        <f t="shared" si="72"/>
        <v>20000</v>
      </c>
      <c r="AO133" s="46">
        <f t="shared" si="63"/>
        <v>0</v>
      </c>
      <c r="AP133" s="46"/>
      <c r="AQ133" s="46"/>
      <c r="AR133" s="46"/>
      <c r="AS133" s="42">
        <f t="shared" si="85"/>
        <v>0</v>
      </c>
      <c r="AV133" s="6" t="s">
        <v>19584</v>
      </c>
      <c r="AZ133" s="46">
        <v>0</v>
      </c>
      <c r="BA133" s="42">
        <f t="shared" si="64"/>
        <v>2814</v>
      </c>
      <c r="BB133" s="46">
        <v>0</v>
      </c>
      <c r="BC133" s="46">
        <v>0</v>
      </c>
      <c r="BD133" s="46" t="str">
        <f t="shared" si="86"/>
        <v>0</v>
      </c>
      <c r="BE133" s="46">
        <f t="shared" si="65"/>
        <v>2814</v>
      </c>
      <c r="BF133" s="46">
        <f t="shared" si="66"/>
        <v>-2814</v>
      </c>
      <c r="BG133" s="47">
        <f t="shared" si="67"/>
        <v>5628</v>
      </c>
      <c r="BH133" s="46">
        <f t="shared" si="87"/>
        <v>0</v>
      </c>
      <c r="BO133" s="48">
        <f t="shared" si="68"/>
        <v>0</v>
      </c>
      <c r="BP133" s="48">
        <f t="shared" si="69"/>
        <v>0</v>
      </c>
      <c r="BQ133" s="6" t="str">
        <f t="shared" si="78"/>
        <v>Advance With Supplier</v>
      </c>
      <c r="BS133" s="6" t="str">
        <f t="shared" si="88"/>
        <v>Open</v>
      </c>
      <c r="BT133" s="49">
        <f t="shared" ca="1" si="79"/>
        <v>212</v>
      </c>
    </row>
    <row r="134" spans="1:72" hidden="1" x14ac:dyDescent="0.25">
      <c r="A134" s="6" t="s">
        <v>19436</v>
      </c>
      <c r="B134" s="6">
        <v>1782.26</v>
      </c>
      <c r="C134" s="36">
        <v>46037</v>
      </c>
      <c r="D134" s="6" t="s">
        <v>19439</v>
      </c>
      <c r="E134" s="37">
        <v>3000</v>
      </c>
      <c r="F134" s="38" t="s">
        <v>19702</v>
      </c>
      <c r="G134" s="39" t="str">
        <f t="shared" si="80"/>
        <v>GRN Not Received</v>
      </c>
      <c r="H134" s="40" t="str">
        <f t="shared" si="81"/>
        <v>GRN Not Received</v>
      </c>
      <c r="I134" s="6" t="s">
        <v>19725</v>
      </c>
      <c r="J134" s="36">
        <v>46051</v>
      </c>
      <c r="K134" s="41">
        <v>3000</v>
      </c>
      <c r="L134" s="42">
        <v>0.35799999999999998</v>
      </c>
      <c r="M134" s="42">
        <f t="shared" si="82"/>
        <v>1074</v>
      </c>
      <c r="N134" s="42">
        <v>0</v>
      </c>
      <c r="O134" s="42">
        <v>0</v>
      </c>
      <c r="P134" s="42">
        <f t="shared" si="83"/>
        <v>1074</v>
      </c>
      <c r="Q134" s="38" t="s">
        <v>19725</v>
      </c>
      <c r="R134" s="36">
        <v>46051</v>
      </c>
      <c r="S134" s="6" t="s">
        <v>19450</v>
      </c>
      <c r="T134" s="50" t="s">
        <v>15164</v>
      </c>
      <c r="U134" s="6" t="str">
        <f>IFERROR(VLOOKUP(T134,'item master'!B:C,2,0),"")</f>
        <v>UNIGEL-PLUS (MAGNESIUM + ALUMINIUM) B/10X10 CES</v>
      </c>
      <c r="V134" s="41">
        <v>3000</v>
      </c>
      <c r="X134" s="44">
        <f t="shared" si="75"/>
        <v>0.35799999999999998</v>
      </c>
      <c r="Y134" s="42">
        <f t="shared" si="90"/>
        <v>1074</v>
      </c>
      <c r="Z134" s="42">
        <v>0</v>
      </c>
      <c r="AA134" s="42">
        <f t="shared" si="84"/>
        <v>1074</v>
      </c>
      <c r="AB134" s="45">
        <v>0.3</v>
      </c>
      <c r="AC134" s="42">
        <f t="shared" si="73"/>
        <v>322.2</v>
      </c>
      <c r="AD134" s="42">
        <f t="shared" si="71"/>
        <v>322.2</v>
      </c>
      <c r="AE134" s="36">
        <v>46057</v>
      </c>
      <c r="AH134" s="41">
        <f t="shared" si="89"/>
        <v>0</v>
      </c>
      <c r="AJ134" s="41">
        <f t="shared" si="72"/>
        <v>3000</v>
      </c>
      <c r="AO134" s="46">
        <f t="shared" si="63"/>
        <v>0</v>
      </c>
      <c r="AP134" s="46"/>
      <c r="AQ134" s="46"/>
      <c r="AR134" s="46"/>
      <c r="AS134" s="42">
        <f t="shared" si="85"/>
        <v>0</v>
      </c>
      <c r="AV134" s="6" t="s">
        <v>19584</v>
      </c>
      <c r="AZ134" s="46">
        <v>0</v>
      </c>
      <c r="BA134" s="42">
        <f t="shared" si="64"/>
        <v>322.2</v>
      </c>
      <c r="BB134" s="46">
        <v>0</v>
      </c>
      <c r="BC134" s="46">
        <v>0</v>
      </c>
      <c r="BD134" s="46" t="str">
        <f t="shared" si="86"/>
        <v>0</v>
      </c>
      <c r="BE134" s="46">
        <f t="shared" si="65"/>
        <v>322.2</v>
      </c>
      <c r="BF134" s="46">
        <f t="shared" si="66"/>
        <v>-322.2</v>
      </c>
      <c r="BG134" s="47">
        <f t="shared" si="67"/>
        <v>644.4</v>
      </c>
      <c r="BH134" s="46">
        <f t="shared" si="87"/>
        <v>0</v>
      </c>
      <c r="BO134" s="48">
        <f t="shared" si="68"/>
        <v>0</v>
      </c>
      <c r="BP134" s="48">
        <f t="shared" si="69"/>
        <v>0</v>
      </c>
      <c r="BQ134" s="6" t="str">
        <f t="shared" si="78"/>
        <v>Advance With Supplier</v>
      </c>
      <c r="BS134" s="6" t="str">
        <f t="shared" si="88"/>
        <v>Open</v>
      </c>
      <c r="BT134" s="49">
        <f t="shared" ca="1" si="79"/>
        <v>212</v>
      </c>
    </row>
    <row r="135" spans="1:72" hidden="1" x14ac:dyDescent="0.25">
      <c r="A135" s="6" t="s">
        <v>19436</v>
      </c>
      <c r="B135" s="6">
        <v>1782.26</v>
      </c>
      <c r="C135" s="36">
        <v>46037</v>
      </c>
      <c r="D135" s="6" t="s">
        <v>19439</v>
      </c>
      <c r="E135" s="37">
        <v>10000</v>
      </c>
      <c r="F135" s="38" t="s">
        <v>19702</v>
      </c>
      <c r="G135" s="39" t="str">
        <f t="shared" si="80"/>
        <v>GRN Not Received</v>
      </c>
      <c r="H135" s="40" t="str">
        <f t="shared" si="81"/>
        <v>GRN Not Received</v>
      </c>
      <c r="I135" s="6" t="s">
        <v>19725</v>
      </c>
      <c r="J135" s="36">
        <v>46051</v>
      </c>
      <c r="K135" s="41">
        <v>10000</v>
      </c>
      <c r="L135" s="42">
        <v>0.46899999999999997</v>
      </c>
      <c r="M135" s="42">
        <f t="shared" si="82"/>
        <v>4690</v>
      </c>
      <c r="N135" s="42">
        <v>0</v>
      </c>
      <c r="O135" s="42">
        <v>0</v>
      </c>
      <c r="P135" s="42">
        <f t="shared" si="83"/>
        <v>4690</v>
      </c>
      <c r="Q135" s="38" t="s">
        <v>19725</v>
      </c>
      <c r="R135" s="36">
        <v>46051</v>
      </c>
      <c r="S135" s="6" t="s">
        <v>19450</v>
      </c>
      <c r="T135" s="50" t="s">
        <v>3778</v>
      </c>
      <c r="U135" s="6" t="str">
        <f>IFERROR(VLOOKUP(T135,'item master'!B:C,2,0),"")</f>
        <v>VITAMINE B1 100MG B/10X10CES</v>
      </c>
      <c r="V135" s="41">
        <v>10000</v>
      </c>
      <c r="X135" s="44">
        <f t="shared" si="75"/>
        <v>0.46899999999999997</v>
      </c>
      <c r="Y135" s="42">
        <f t="shared" si="90"/>
        <v>4690</v>
      </c>
      <c r="Z135" s="42">
        <v>0</v>
      </c>
      <c r="AA135" s="42">
        <f t="shared" si="84"/>
        <v>4690</v>
      </c>
      <c r="AB135" s="45">
        <v>0.3</v>
      </c>
      <c r="AC135" s="42">
        <f t="shared" si="73"/>
        <v>1407</v>
      </c>
      <c r="AD135" s="42">
        <f t="shared" si="71"/>
        <v>1407</v>
      </c>
      <c r="AE135" s="36">
        <v>46057</v>
      </c>
      <c r="AH135" s="41">
        <f t="shared" si="89"/>
        <v>0</v>
      </c>
      <c r="AJ135" s="41">
        <f t="shared" si="72"/>
        <v>10000</v>
      </c>
      <c r="AO135" s="46">
        <f t="shared" si="63"/>
        <v>0</v>
      </c>
      <c r="AP135" s="46"/>
      <c r="AQ135" s="46"/>
      <c r="AR135" s="46"/>
      <c r="AS135" s="42">
        <f t="shared" si="85"/>
        <v>0</v>
      </c>
      <c r="AV135" s="6" t="s">
        <v>19584</v>
      </c>
      <c r="AZ135" s="46">
        <v>0</v>
      </c>
      <c r="BA135" s="42">
        <f t="shared" si="64"/>
        <v>1407</v>
      </c>
      <c r="BB135" s="46">
        <v>0</v>
      </c>
      <c r="BC135" s="46">
        <v>0</v>
      </c>
      <c r="BD135" s="46" t="str">
        <f t="shared" si="86"/>
        <v>0</v>
      </c>
      <c r="BE135" s="46">
        <f t="shared" si="65"/>
        <v>1407</v>
      </c>
      <c r="BF135" s="46">
        <f t="shared" si="66"/>
        <v>-1407</v>
      </c>
      <c r="BG135" s="47">
        <f t="shared" si="67"/>
        <v>2814</v>
      </c>
      <c r="BH135" s="46">
        <f t="shared" si="87"/>
        <v>0</v>
      </c>
      <c r="BO135" s="48">
        <f t="shared" si="68"/>
        <v>0</v>
      </c>
      <c r="BP135" s="48">
        <f t="shared" si="69"/>
        <v>0</v>
      </c>
      <c r="BQ135" s="6" t="str">
        <f t="shared" si="78"/>
        <v>Advance With Supplier</v>
      </c>
      <c r="BS135" s="6" t="str">
        <f t="shared" si="88"/>
        <v>Open</v>
      </c>
      <c r="BT135" s="49">
        <f t="shared" ca="1" si="79"/>
        <v>212</v>
      </c>
    </row>
    <row r="136" spans="1:72" hidden="1" x14ac:dyDescent="0.25">
      <c r="A136" s="6" t="s">
        <v>19436</v>
      </c>
      <c r="B136" s="6">
        <v>1918.26</v>
      </c>
      <c r="C136" s="36">
        <v>46185</v>
      </c>
      <c r="D136" s="6" t="s">
        <v>19438</v>
      </c>
      <c r="E136" s="37">
        <v>10000</v>
      </c>
      <c r="F136" s="38" t="s">
        <v>19726</v>
      </c>
      <c r="G136" s="39" t="str">
        <f t="shared" si="80"/>
        <v>GRN Not Received</v>
      </c>
      <c r="H136" s="40" t="str">
        <f t="shared" si="81"/>
        <v>GRN Not Received</v>
      </c>
      <c r="I136" s="6" t="s">
        <v>19727</v>
      </c>
      <c r="J136" s="36">
        <v>46209</v>
      </c>
      <c r="K136" s="41">
        <v>5000</v>
      </c>
      <c r="L136" s="42">
        <v>0.6</v>
      </c>
      <c r="M136" s="42">
        <f t="shared" si="82"/>
        <v>3000</v>
      </c>
      <c r="N136" s="42">
        <v>0</v>
      </c>
      <c r="O136" s="42">
        <v>0</v>
      </c>
      <c r="P136" s="42">
        <f t="shared" si="83"/>
        <v>3000</v>
      </c>
      <c r="Q136" s="38" t="s">
        <v>19728</v>
      </c>
      <c r="R136" s="36">
        <v>46209</v>
      </c>
      <c r="S136" s="6" t="s">
        <v>19460</v>
      </c>
      <c r="T136" s="50" t="s">
        <v>16597</v>
      </c>
      <c r="U136" s="6" t="str">
        <f>IFERROR(VLOOKUP(T136,'item master'!B:C,2,0),"")</f>
        <v>SAFLU (SALMETEROL 50MCG +FLUTICASONE 100MCG) B/30CAPSULE</v>
      </c>
      <c r="V136" s="41">
        <v>5000</v>
      </c>
      <c r="X136" s="44">
        <f t="shared" si="75"/>
        <v>0.6</v>
      </c>
      <c r="Y136" s="42">
        <f t="shared" si="90"/>
        <v>3000</v>
      </c>
      <c r="Z136" s="42">
        <v>0</v>
      </c>
      <c r="AA136" s="42">
        <f t="shared" si="84"/>
        <v>3000</v>
      </c>
      <c r="AB136" s="45">
        <v>0.5</v>
      </c>
      <c r="AC136" s="42">
        <f t="shared" si="73"/>
        <v>1500</v>
      </c>
      <c r="AD136" s="42">
        <f t="shared" si="71"/>
        <v>1500</v>
      </c>
      <c r="AE136" s="36">
        <v>46216</v>
      </c>
      <c r="AF136" s="6" t="s">
        <v>19729</v>
      </c>
      <c r="AH136" s="41">
        <f t="shared" si="89"/>
        <v>0</v>
      </c>
      <c r="AJ136" s="41">
        <f t="shared" si="72"/>
        <v>5000</v>
      </c>
      <c r="AO136" s="46">
        <f t="shared" si="63"/>
        <v>0</v>
      </c>
      <c r="AP136" s="46"/>
      <c r="AQ136" s="46"/>
      <c r="AR136" s="46"/>
      <c r="AS136" s="42">
        <f t="shared" si="85"/>
        <v>0</v>
      </c>
      <c r="AV136" s="6" t="s">
        <v>19584</v>
      </c>
      <c r="AZ136" s="46">
        <v>0</v>
      </c>
      <c r="BA136" s="42">
        <f t="shared" si="64"/>
        <v>1500</v>
      </c>
      <c r="BB136" s="46">
        <v>0</v>
      </c>
      <c r="BC136" s="46">
        <v>0</v>
      </c>
      <c r="BD136" s="46" t="str">
        <f t="shared" si="86"/>
        <v>0</v>
      </c>
      <c r="BE136" s="46">
        <f t="shared" si="65"/>
        <v>1500</v>
      </c>
      <c r="BF136" s="46">
        <f t="shared" si="66"/>
        <v>-1500</v>
      </c>
      <c r="BG136" s="47">
        <f t="shared" si="67"/>
        <v>3000</v>
      </c>
      <c r="BH136" s="46">
        <f t="shared" si="87"/>
        <v>0</v>
      </c>
      <c r="BO136" s="48">
        <f t="shared" si="68"/>
        <v>0</v>
      </c>
      <c r="BP136" s="48">
        <f t="shared" si="69"/>
        <v>0</v>
      </c>
      <c r="BQ136" s="6" t="str">
        <f t="shared" si="78"/>
        <v>Advance With Supplier</v>
      </c>
      <c r="BS136" s="6" t="str">
        <f t="shared" si="88"/>
        <v>Open</v>
      </c>
      <c r="BT136" s="49">
        <f t="shared" ca="1" si="79"/>
        <v>54</v>
      </c>
    </row>
    <row r="137" spans="1:72" hidden="1" x14ac:dyDescent="0.25">
      <c r="A137" s="6" t="s">
        <v>19436</v>
      </c>
      <c r="B137" s="6">
        <v>1874.26</v>
      </c>
      <c r="C137" s="36">
        <v>46157</v>
      </c>
      <c r="D137" s="6" t="s">
        <v>19438</v>
      </c>
      <c r="E137" s="37">
        <v>40000</v>
      </c>
      <c r="F137" s="38" t="s">
        <v>19730</v>
      </c>
      <c r="G137" s="39" t="str">
        <f t="shared" si="80"/>
        <v>GRN Not Received</v>
      </c>
      <c r="H137" s="40" t="str">
        <f t="shared" si="81"/>
        <v>GRN Not Received</v>
      </c>
      <c r="I137" s="6" t="s">
        <v>19731</v>
      </c>
      <c r="J137" s="36">
        <v>46157</v>
      </c>
      <c r="K137" s="41">
        <v>40000</v>
      </c>
      <c r="L137" s="42">
        <v>0.26</v>
      </c>
      <c r="M137" s="42">
        <f t="shared" si="82"/>
        <v>10400</v>
      </c>
      <c r="N137" s="42">
        <v>0</v>
      </c>
      <c r="O137" s="42">
        <v>0</v>
      </c>
      <c r="P137" s="42">
        <f t="shared" si="83"/>
        <v>10400</v>
      </c>
      <c r="Q137" s="38" t="s">
        <v>19732</v>
      </c>
      <c r="R137" s="36">
        <v>46157</v>
      </c>
      <c r="S137" s="6" t="s">
        <v>19460</v>
      </c>
      <c r="T137" s="50" t="s">
        <v>16599</v>
      </c>
      <c r="U137" s="6" t="str">
        <f>IFERROR(VLOOKUP(T137,'item master'!B:C,2,0),"")</f>
        <v>DELABACT (CLOTRIMAZOLE) POUDRE **50GM**</v>
      </c>
      <c r="V137" s="41">
        <v>40000</v>
      </c>
      <c r="X137" s="44">
        <f t="shared" si="75"/>
        <v>0.26</v>
      </c>
      <c r="Y137" s="42">
        <f t="shared" si="90"/>
        <v>10400</v>
      </c>
      <c r="Z137" s="42">
        <v>0</v>
      </c>
      <c r="AA137" s="42">
        <f t="shared" si="84"/>
        <v>10400</v>
      </c>
      <c r="AB137" s="45">
        <v>0.5</v>
      </c>
      <c r="AC137" s="42">
        <f t="shared" si="73"/>
        <v>5200</v>
      </c>
      <c r="AD137" s="42">
        <f t="shared" si="71"/>
        <v>5200</v>
      </c>
      <c r="AE137" s="36">
        <v>46160</v>
      </c>
      <c r="AF137" s="6" t="s">
        <v>19733</v>
      </c>
      <c r="AH137" s="41">
        <f t="shared" si="89"/>
        <v>0</v>
      </c>
      <c r="AJ137" s="41">
        <f t="shared" si="72"/>
        <v>40000</v>
      </c>
      <c r="AO137" s="46">
        <f t="shared" si="63"/>
        <v>0</v>
      </c>
      <c r="AP137" s="46"/>
      <c r="AQ137" s="46"/>
      <c r="AR137" s="46"/>
      <c r="AS137" s="42">
        <f t="shared" si="85"/>
        <v>0</v>
      </c>
      <c r="AV137" s="6" t="s">
        <v>19584</v>
      </c>
      <c r="AZ137" s="46">
        <v>0</v>
      </c>
      <c r="BA137" s="42">
        <f t="shared" si="64"/>
        <v>5200</v>
      </c>
      <c r="BB137" s="46">
        <v>0</v>
      </c>
      <c r="BC137" s="46">
        <v>0</v>
      </c>
      <c r="BD137" s="46" t="str">
        <f t="shared" si="86"/>
        <v>0</v>
      </c>
      <c r="BE137" s="46">
        <f t="shared" si="65"/>
        <v>5200</v>
      </c>
      <c r="BF137" s="46">
        <f t="shared" si="66"/>
        <v>-5200</v>
      </c>
      <c r="BG137" s="47">
        <f t="shared" si="67"/>
        <v>10400</v>
      </c>
      <c r="BH137" s="46">
        <f t="shared" si="87"/>
        <v>0</v>
      </c>
      <c r="BO137" s="48">
        <f t="shared" si="68"/>
        <v>0</v>
      </c>
      <c r="BP137" s="48">
        <f t="shared" si="69"/>
        <v>0</v>
      </c>
      <c r="BQ137" s="6" t="str">
        <f t="shared" si="78"/>
        <v>Advance With Supplier</v>
      </c>
      <c r="BS137" s="6" t="str">
        <f t="shared" si="88"/>
        <v>Open</v>
      </c>
      <c r="BT137" s="49">
        <f t="shared" ca="1" si="79"/>
        <v>106</v>
      </c>
    </row>
    <row r="138" spans="1:72" hidden="1" x14ac:dyDescent="0.25">
      <c r="A138" s="6" t="s">
        <v>19436</v>
      </c>
      <c r="B138" s="6">
        <v>1874.26</v>
      </c>
      <c r="C138" s="36">
        <v>46157</v>
      </c>
      <c r="D138" s="6" t="s">
        <v>19438</v>
      </c>
      <c r="E138" s="37">
        <v>11000</v>
      </c>
      <c r="F138" s="38" t="s">
        <v>19551</v>
      </c>
      <c r="G138" s="39" t="str">
        <f t="shared" si="80"/>
        <v>GRN Not Received</v>
      </c>
      <c r="H138" s="40" t="str">
        <f t="shared" si="81"/>
        <v>GRN Not Received</v>
      </c>
      <c r="I138" s="6" t="s">
        <v>19731</v>
      </c>
      <c r="J138" s="36">
        <v>46157</v>
      </c>
      <c r="K138" s="41">
        <v>11000</v>
      </c>
      <c r="L138" s="42">
        <v>0.34</v>
      </c>
      <c r="M138" s="42">
        <f t="shared" si="82"/>
        <v>3740.0000000000005</v>
      </c>
      <c r="N138" s="42">
        <v>0</v>
      </c>
      <c r="O138" s="42">
        <v>0</v>
      </c>
      <c r="P138" s="42">
        <f t="shared" si="83"/>
        <v>3740.0000000000005</v>
      </c>
      <c r="Q138" s="38" t="s">
        <v>19732</v>
      </c>
      <c r="R138" s="36">
        <v>46157</v>
      </c>
      <c r="S138" s="6" t="s">
        <v>19460</v>
      </c>
      <c r="T138" s="50" t="s">
        <v>16601</v>
      </c>
      <c r="U138" s="6" t="str">
        <f>IFERROR(VLOOKUP(T138,'item master'!B:C,2,0),"")</f>
        <v>DELABACT (CLOTRIMAZOLE) POUDRE ###100GM###</v>
      </c>
      <c r="V138" s="41">
        <v>11000</v>
      </c>
      <c r="X138" s="44">
        <f t="shared" si="75"/>
        <v>0.34</v>
      </c>
      <c r="Y138" s="42">
        <f t="shared" si="90"/>
        <v>3740.0000000000005</v>
      </c>
      <c r="Z138" s="42">
        <v>0</v>
      </c>
      <c r="AA138" s="42">
        <f t="shared" si="84"/>
        <v>3740.0000000000005</v>
      </c>
      <c r="AB138" s="45">
        <v>0.5</v>
      </c>
      <c r="AC138" s="42">
        <f t="shared" si="73"/>
        <v>1870.0000000000002</v>
      </c>
      <c r="AD138" s="42">
        <f t="shared" si="71"/>
        <v>1870.0000000000002</v>
      </c>
      <c r="AE138" s="36">
        <v>46160</v>
      </c>
      <c r="AF138" s="6" t="s">
        <v>19733</v>
      </c>
      <c r="AH138" s="41">
        <f t="shared" si="89"/>
        <v>0</v>
      </c>
      <c r="AJ138" s="41">
        <f t="shared" si="72"/>
        <v>11000</v>
      </c>
      <c r="AO138" s="46">
        <f t="shared" si="63"/>
        <v>0</v>
      </c>
      <c r="AP138" s="46"/>
      <c r="AQ138" s="46"/>
      <c r="AR138" s="46"/>
      <c r="AS138" s="42">
        <f t="shared" si="85"/>
        <v>0</v>
      </c>
      <c r="AV138" s="6" t="s">
        <v>19584</v>
      </c>
      <c r="AZ138" s="46">
        <v>0</v>
      </c>
      <c r="BA138" s="42">
        <f t="shared" si="64"/>
        <v>1870.0000000000002</v>
      </c>
      <c r="BB138" s="46">
        <v>0</v>
      </c>
      <c r="BC138" s="46">
        <v>0</v>
      </c>
      <c r="BD138" s="46" t="str">
        <f t="shared" si="86"/>
        <v>0</v>
      </c>
      <c r="BE138" s="46">
        <f t="shared" si="65"/>
        <v>1870.0000000000002</v>
      </c>
      <c r="BF138" s="46">
        <f t="shared" si="66"/>
        <v>-1870.0000000000002</v>
      </c>
      <c r="BG138" s="47">
        <f t="shared" si="67"/>
        <v>3740.0000000000005</v>
      </c>
      <c r="BH138" s="46">
        <f t="shared" si="87"/>
        <v>0</v>
      </c>
      <c r="BO138" s="48">
        <f t="shared" si="68"/>
        <v>0</v>
      </c>
      <c r="BP138" s="48">
        <f t="shared" si="69"/>
        <v>0</v>
      </c>
      <c r="BQ138" s="6" t="str">
        <f t="shared" si="78"/>
        <v>Advance With Supplier</v>
      </c>
      <c r="BS138" s="6" t="str">
        <f t="shared" si="88"/>
        <v>Open</v>
      </c>
      <c r="BT138" s="49">
        <f t="shared" ca="1" si="79"/>
        <v>106</v>
      </c>
    </row>
    <row r="139" spans="1:72" hidden="1" x14ac:dyDescent="0.25">
      <c r="A139" s="6" t="s">
        <v>19436</v>
      </c>
      <c r="B139" s="6">
        <v>1839.26</v>
      </c>
      <c r="C139" s="36">
        <v>46114</v>
      </c>
      <c r="D139" s="6" t="s">
        <v>19438</v>
      </c>
      <c r="E139" s="37">
        <v>20000</v>
      </c>
      <c r="F139" s="38" t="s">
        <v>19735</v>
      </c>
      <c r="G139" s="39" t="str">
        <f t="shared" si="80"/>
        <v>GRN Not Received</v>
      </c>
      <c r="H139" s="40" t="str">
        <f t="shared" si="81"/>
        <v>GRN Not Received</v>
      </c>
      <c r="I139" s="6" t="s">
        <v>19734</v>
      </c>
      <c r="J139" s="36">
        <v>46115</v>
      </c>
      <c r="K139" s="41">
        <v>20000</v>
      </c>
      <c r="L139" s="42">
        <v>0.4</v>
      </c>
      <c r="M139" s="42">
        <f t="shared" si="82"/>
        <v>8000</v>
      </c>
      <c r="N139" s="42">
        <v>0</v>
      </c>
      <c r="O139" s="42">
        <v>0</v>
      </c>
      <c r="P139" s="42">
        <f t="shared" si="83"/>
        <v>8000</v>
      </c>
      <c r="Q139" s="38" t="s">
        <v>19737</v>
      </c>
      <c r="R139" s="36">
        <v>46114</v>
      </c>
      <c r="S139" s="6" t="s">
        <v>19474</v>
      </c>
      <c r="T139" s="50" t="s">
        <v>16609</v>
      </c>
      <c r="U139" s="6" t="str">
        <f>IFERROR(VLOOKUP(T139,'item master'!B:C,2,0),"")</f>
        <v>UNISANG (TONIQUE ANTI-ANEMIQUE) SIROP 200ML</v>
      </c>
      <c r="V139" s="41">
        <v>20000</v>
      </c>
      <c r="X139" s="44">
        <f t="shared" si="75"/>
        <v>0.4</v>
      </c>
      <c r="Y139" s="42">
        <f t="shared" si="90"/>
        <v>8000</v>
      </c>
      <c r="Z139" s="42">
        <v>0</v>
      </c>
      <c r="AA139" s="42">
        <f t="shared" si="84"/>
        <v>8000</v>
      </c>
      <c r="AB139" s="45">
        <v>0.5</v>
      </c>
      <c r="AC139" s="42">
        <f t="shared" si="73"/>
        <v>4000</v>
      </c>
      <c r="AD139" s="42">
        <f t="shared" si="71"/>
        <v>4000</v>
      </c>
      <c r="AE139" s="36">
        <v>46126</v>
      </c>
      <c r="AF139" s="6" t="s">
        <v>19738</v>
      </c>
      <c r="AH139" s="41">
        <f t="shared" si="89"/>
        <v>0</v>
      </c>
      <c r="AJ139" s="41">
        <f t="shared" si="72"/>
        <v>20000</v>
      </c>
      <c r="AO139" s="46">
        <f t="shared" si="63"/>
        <v>0</v>
      </c>
      <c r="AP139" s="46"/>
      <c r="AQ139" s="46"/>
      <c r="AR139" s="46"/>
      <c r="AS139" s="42">
        <f t="shared" si="85"/>
        <v>0</v>
      </c>
      <c r="AV139" s="6" t="s">
        <v>19584</v>
      </c>
      <c r="BA139" s="42">
        <f t="shared" si="64"/>
        <v>4000</v>
      </c>
      <c r="BD139" s="46" t="str">
        <f t="shared" si="86"/>
        <v>0</v>
      </c>
      <c r="BE139" s="46">
        <f t="shared" si="65"/>
        <v>4000</v>
      </c>
      <c r="BF139" s="46">
        <f t="shared" si="66"/>
        <v>-4000</v>
      </c>
      <c r="BG139" s="47">
        <f t="shared" si="67"/>
        <v>8000</v>
      </c>
      <c r="BH139" s="46">
        <f t="shared" si="87"/>
        <v>0</v>
      </c>
      <c r="BO139" s="48">
        <f t="shared" si="68"/>
        <v>0</v>
      </c>
      <c r="BP139" s="48">
        <f t="shared" si="69"/>
        <v>0</v>
      </c>
      <c r="BQ139" s="6" t="str">
        <f t="shared" si="78"/>
        <v>Advance With Supplier</v>
      </c>
      <c r="BS139" s="6" t="str">
        <f t="shared" si="88"/>
        <v>Open</v>
      </c>
      <c r="BT139" s="49">
        <f t="shared" ca="1" si="79"/>
        <v>148</v>
      </c>
    </row>
    <row r="140" spans="1:72" hidden="1" x14ac:dyDescent="0.25">
      <c r="A140" s="6" t="s">
        <v>19436</v>
      </c>
      <c r="B140" s="6">
        <v>1839.26</v>
      </c>
      <c r="C140" s="36">
        <v>46114</v>
      </c>
      <c r="D140" s="6" t="s">
        <v>19438</v>
      </c>
      <c r="E140" s="37">
        <v>20000</v>
      </c>
      <c r="F140" s="38" t="s">
        <v>19735</v>
      </c>
      <c r="G140" s="39" t="str">
        <f t="shared" si="80"/>
        <v>GRN Not Received</v>
      </c>
      <c r="H140" s="40" t="str">
        <f t="shared" si="81"/>
        <v>GRN Not Received</v>
      </c>
      <c r="I140" s="6" t="s">
        <v>19734</v>
      </c>
      <c r="J140" s="36">
        <v>46115</v>
      </c>
      <c r="K140" s="41">
        <v>20000</v>
      </c>
      <c r="L140" s="42">
        <v>0.4</v>
      </c>
      <c r="M140" s="42">
        <f t="shared" si="82"/>
        <v>8000</v>
      </c>
      <c r="N140" s="42">
        <v>0</v>
      </c>
      <c r="O140" s="42">
        <v>0</v>
      </c>
      <c r="P140" s="42">
        <f t="shared" si="83"/>
        <v>8000</v>
      </c>
      <c r="Q140" s="38" t="s">
        <v>19737</v>
      </c>
      <c r="R140" s="36">
        <v>46114</v>
      </c>
      <c r="S140" s="6" t="s">
        <v>19474</v>
      </c>
      <c r="T140" s="50" t="s">
        <v>16611</v>
      </c>
      <c r="U140" s="6" t="str">
        <f>IFERROR(VLOOKUP(T140,'item master'!B:C,2,0),"")</f>
        <v>UNIFORCE (TONIQUE) SIROP 200ML</v>
      </c>
      <c r="V140" s="41">
        <v>20000</v>
      </c>
      <c r="X140" s="44">
        <f t="shared" si="75"/>
        <v>0.4</v>
      </c>
      <c r="Y140" s="42">
        <f t="shared" si="90"/>
        <v>8000</v>
      </c>
      <c r="Z140" s="42">
        <v>0</v>
      </c>
      <c r="AA140" s="42">
        <f t="shared" si="84"/>
        <v>8000</v>
      </c>
      <c r="AB140" s="45">
        <v>0.5</v>
      </c>
      <c r="AC140" s="42">
        <f t="shared" si="73"/>
        <v>4000</v>
      </c>
      <c r="AD140" s="42">
        <f t="shared" si="71"/>
        <v>4000</v>
      </c>
      <c r="AE140" s="36">
        <v>46126</v>
      </c>
      <c r="AF140" s="6" t="s">
        <v>19738</v>
      </c>
      <c r="AJ140" s="41">
        <f t="shared" si="72"/>
        <v>20000</v>
      </c>
      <c r="AO140" s="46">
        <f t="shared" si="63"/>
        <v>0</v>
      </c>
      <c r="AP140" s="46"/>
      <c r="AQ140" s="46"/>
      <c r="AR140" s="46"/>
      <c r="AS140" s="42">
        <f t="shared" si="85"/>
        <v>0</v>
      </c>
      <c r="AV140" s="6" t="s">
        <v>19584</v>
      </c>
      <c r="BA140" s="42">
        <f t="shared" si="64"/>
        <v>4000</v>
      </c>
      <c r="BD140" s="46" t="str">
        <f t="shared" si="86"/>
        <v>0</v>
      </c>
      <c r="BE140" s="46">
        <f t="shared" si="65"/>
        <v>4000</v>
      </c>
      <c r="BF140" s="46">
        <f t="shared" si="66"/>
        <v>-4000</v>
      </c>
      <c r="BG140" s="47">
        <f t="shared" si="67"/>
        <v>8000</v>
      </c>
      <c r="BH140" s="46">
        <f t="shared" si="87"/>
        <v>0</v>
      </c>
      <c r="BO140" s="48">
        <f t="shared" si="68"/>
        <v>0</v>
      </c>
      <c r="BP140" s="48">
        <f t="shared" si="69"/>
        <v>0</v>
      </c>
      <c r="BQ140" s="6" t="str">
        <f t="shared" si="78"/>
        <v>Advance With Supplier</v>
      </c>
      <c r="BS140" s="6" t="str">
        <f t="shared" si="88"/>
        <v>Open</v>
      </c>
      <c r="BT140" s="49">
        <f t="shared" ca="1" si="79"/>
        <v>148</v>
      </c>
    </row>
    <row r="141" spans="1:72" hidden="1" x14ac:dyDescent="0.25">
      <c r="A141" s="6" t="s">
        <v>19436</v>
      </c>
      <c r="B141" s="6">
        <v>1839.26</v>
      </c>
      <c r="C141" s="36">
        <v>46114</v>
      </c>
      <c r="D141" s="6" t="s">
        <v>19438</v>
      </c>
      <c r="E141" s="37">
        <v>10000</v>
      </c>
      <c r="F141" s="38" t="s">
        <v>19736</v>
      </c>
      <c r="G141" s="39" t="str">
        <f t="shared" si="80"/>
        <v>GRN Not Received</v>
      </c>
      <c r="H141" s="40" t="str">
        <f t="shared" si="81"/>
        <v>GRN Not Received</v>
      </c>
      <c r="I141" s="6" t="s">
        <v>19734</v>
      </c>
      <c r="J141" s="36">
        <v>46115</v>
      </c>
      <c r="K141" s="41">
        <v>10000</v>
      </c>
      <c r="L141" s="42">
        <v>0.25</v>
      </c>
      <c r="M141" s="42">
        <f t="shared" si="82"/>
        <v>2500</v>
      </c>
      <c r="N141" s="42">
        <v>0</v>
      </c>
      <c r="O141" s="42">
        <v>0</v>
      </c>
      <c r="P141" s="42">
        <f t="shared" si="83"/>
        <v>2500</v>
      </c>
      <c r="Q141" s="38" t="s">
        <v>19737</v>
      </c>
      <c r="R141" s="36">
        <v>46114</v>
      </c>
      <c r="S141" s="6" t="s">
        <v>19474</v>
      </c>
      <c r="T141" s="50" t="s">
        <v>14876</v>
      </c>
      <c r="U141" s="6" t="str">
        <f>IFERROR(VLOOKUP(T141,'item master'!B:C,2,0),"")</f>
        <v>KAONIQUE (KAOLIN) SIROP 100ML</v>
      </c>
      <c r="V141" s="41">
        <v>10000</v>
      </c>
      <c r="X141" s="44">
        <f t="shared" si="75"/>
        <v>0.25</v>
      </c>
      <c r="Y141" s="42">
        <f t="shared" si="90"/>
        <v>2500</v>
      </c>
      <c r="Z141" s="42">
        <v>0</v>
      </c>
      <c r="AA141" s="42">
        <f t="shared" si="84"/>
        <v>2500</v>
      </c>
      <c r="AB141" s="45">
        <v>0.5</v>
      </c>
      <c r="AC141" s="42">
        <f t="shared" si="73"/>
        <v>1250</v>
      </c>
      <c r="AD141" s="42">
        <f t="shared" si="71"/>
        <v>1250</v>
      </c>
      <c r="AE141" s="36">
        <v>46126</v>
      </c>
      <c r="AF141" s="6" t="s">
        <v>19738</v>
      </c>
      <c r="AJ141" s="41">
        <f t="shared" si="72"/>
        <v>10000</v>
      </c>
      <c r="AO141" s="46">
        <f t="shared" si="63"/>
        <v>0</v>
      </c>
      <c r="AP141" s="46"/>
      <c r="AQ141" s="46"/>
      <c r="AR141" s="46"/>
      <c r="AS141" s="42">
        <f t="shared" si="85"/>
        <v>0</v>
      </c>
      <c r="AV141" s="6" t="s">
        <v>19584</v>
      </c>
      <c r="BA141" s="42">
        <f t="shared" si="64"/>
        <v>1250</v>
      </c>
      <c r="BD141" s="46" t="str">
        <f t="shared" si="86"/>
        <v>0</v>
      </c>
      <c r="BE141" s="46">
        <f t="shared" si="65"/>
        <v>1250</v>
      </c>
      <c r="BF141" s="46">
        <f t="shared" si="66"/>
        <v>-1250</v>
      </c>
      <c r="BG141" s="47">
        <f t="shared" si="67"/>
        <v>2500</v>
      </c>
      <c r="BH141" s="46">
        <f t="shared" si="87"/>
        <v>0</v>
      </c>
      <c r="BO141" s="48">
        <f t="shared" si="68"/>
        <v>0</v>
      </c>
      <c r="BP141" s="48">
        <f t="shared" si="69"/>
        <v>0</v>
      </c>
      <c r="BQ141" s="6" t="str">
        <f t="shared" si="78"/>
        <v>Advance With Supplier</v>
      </c>
      <c r="BS141" s="6" t="str">
        <f t="shared" si="88"/>
        <v>Open</v>
      </c>
      <c r="BT141" s="49">
        <f t="shared" ca="1" si="79"/>
        <v>148</v>
      </c>
    </row>
    <row r="142" spans="1:72" hidden="1" x14ac:dyDescent="0.25">
      <c r="A142" s="6" t="s">
        <v>19436</v>
      </c>
      <c r="B142" s="6">
        <v>1876.26</v>
      </c>
      <c r="C142" s="36">
        <v>46157</v>
      </c>
      <c r="D142" s="6" t="s">
        <v>19438</v>
      </c>
      <c r="E142" s="37">
        <v>40000</v>
      </c>
      <c r="F142" s="38" t="s">
        <v>19736</v>
      </c>
      <c r="G142" s="39" t="str">
        <f t="shared" si="80"/>
        <v>GRN Not Received</v>
      </c>
      <c r="H142" s="40" t="str">
        <f t="shared" si="81"/>
        <v>GRN Not Received</v>
      </c>
      <c r="I142" s="6" t="s">
        <v>19746</v>
      </c>
      <c r="J142" s="36">
        <v>46161</v>
      </c>
      <c r="K142" s="41">
        <v>40000</v>
      </c>
      <c r="L142" s="42">
        <v>0.21</v>
      </c>
      <c r="M142" s="42">
        <f t="shared" si="82"/>
        <v>8400</v>
      </c>
      <c r="N142" s="42">
        <v>0</v>
      </c>
      <c r="O142" s="42">
        <v>0</v>
      </c>
      <c r="P142" s="42">
        <f t="shared" si="83"/>
        <v>8400</v>
      </c>
      <c r="Q142" s="38" t="s">
        <v>19747</v>
      </c>
      <c r="R142" s="36">
        <v>46157</v>
      </c>
      <c r="S142" s="6" t="s">
        <v>19474</v>
      </c>
      <c r="T142" s="50" t="s">
        <v>19739</v>
      </c>
      <c r="U142" s="6" t="str">
        <f>IFERROR(VLOOKUP(T142,'item master'!B:C,2,0),"")</f>
        <v>PA-C (PARACETAMOL+VIT-C) SUSP 100ML</v>
      </c>
      <c r="V142" s="41">
        <v>40000</v>
      </c>
      <c r="X142" s="44">
        <f t="shared" si="75"/>
        <v>0.21</v>
      </c>
      <c r="Y142" s="42">
        <f t="shared" si="90"/>
        <v>8400</v>
      </c>
      <c r="Z142" s="42">
        <v>0</v>
      </c>
      <c r="AA142" s="42">
        <f t="shared" si="84"/>
        <v>8400</v>
      </c>
      <c r="AB142" s="45">
        <v>0.5</v>
      </c>
      <c r="AC142" s="42">
        <f t="shared" ref="AC142:AC167" si="91">Y142*AB142</f>
        <v>4200</v>
      </c>
      <c r="AD142" s="42">
        <f t="shared" si="71"/>
        <v>4200</v>
      </c>
      <c r="AE142" s="36">
        <v>46165</v>
      </c>
      <c r="AF142" s="6" t="s">
        <v>19748</v>
      </c>
      <c r="AJ142" s="41">
        <f t="shared" si="72"/>
        <v>40000</v>
      </c>
      <c r="AO142" s="46">
        <f t="shared" si="63"/>
        <v>0</v>
      </c>
      <c r="AP142" s="46"/>
      <c r="AQ142" s="46"/>
      <c r="AR142" s="46"/>
      <c r="AS142" s="42">
        <f t="shared" si="85"/>
        <v>0</v>
      </c>
      <c r="AV142" s="6" t="s">
        <v>19584</v>
      </c>
      <c r="BA142" s="42">
        <f t="shared" si="64"/>
        <v>4200</v>
      </c>
      <c r="BD142" s="46" t="str">
        <f t="shared" si="86"/>
        <v>0</v>
      </c>
      <c r="BE142" s="46">
        <f t="shared" si="65"/>
        <v>4200</v>
      </c>
      <c r="BF142" s="46">
        <f t="shared" si="66"/>
        <v>-4200</v>
      </c>
      <c r="BG142" s="47">
        <f t="shared" si="67"/>
        <v>8400</v>
      </c>
      <c r="BH142" s="46">
        <f t="shared" si="87"/>
        <v>0</v>
      </c>
      <c r="BO142" s="48">
        <f t="shared" si="68"/>
        <v>0</v>
      </c>
      <c r="BP142" s="48">
        <f t="shared" si="69"/>
        <v>0</v>
      </c>
      <c r="BQ142" s="6" t="str">
        <f t="shared" si="78"/>
        <v>Advance With Supplier</v>
      </c>
      <c r="BS142" s="6" t="str">
        <f t="shared" si="88"/>
        <v>Open</v>
      </c>
      <c r="BT142" s="49">
        <f t="shared" ca="1" si="79"/>
        <v>102</v>
      </c>
    </row>
    <row r="143" spans="1:72" hidden="1" x14ac:dyDescent="0.25">
      <c r="A143" s="6" t="s">
        <v>19436</v>
      </c>
      <c r="B143" s="6">
        <v>1876.26</v>
      </c>
      <c r="C143" s="36">
        <v>46157</v>
      </c>
      <c r="D143" s="6" t="s">
        <v>19438</v>
      </c>
      <c r="E143" s="37">
        <v>20000</v>
      </c>
      <c r="F143" s="38" t="s">
        <v>19736</v>
      </c>
      <c r="G143" s="39" t="str">
        <f t="shared" si="80"/>
        <v>GRN Not Received</v>
      </c>
      <c r="H143" s="40" t="str">
        <f t="shared" si="81"/>
        <v>GRN Not Received</v>
      </c>
      <c r="I143" s="6" t="s">
        <v>19746</v>
      </c>
      <c r="J143" s="36">
        <v>46161</v>
      </c>
      <c r="K143" s="41">
        <v>20000</v>
      </c>
      <c r="L143" s="42">
        <v>0.21</v>
      </c>
      <c r="M143" s="42">
        <f t="shared" si="82"/>
        <v>4200</v>
      </c>
      <c r="N143" s="42">
        <v>0</v>
      </c>
      <c r="O143" s="42">
        <v>0</v>
      </c>
      <c r="P143" s="42">
        <f t="shared" si="83"/>
        <v>4200</v>
      </c>
      <c r="Q143" s="38" t="s">
        <v>19747</v>
      </c>
      <c r="R143" s="36">
        <v>46157</v>
      </c>
      <c r="S143" s="6" t="s">
        <v>19474</v>
      </c>
      <c r="T143" s="50" t="s">
        <v>19740</v>
      </c>
      <c r="U143" s="6" t="str">
        <f>IFERROR(VLOOKUP(T143,'item master'!B:C,2,0),"")</f>
        <v>PERFAC-C (PARACETAMOL+VIT-C) SIROP 100ML</v>
      </c>
      <c r="V143" s="41">
        <v>20000</v>
      </c>
      <c r="X143" s="44">
        <f t="shared" si="75"/>
        <v>0.21</v>
      </c>
      <c r="Y143" s="42">
        <f t="shared" si="90"/>
        <v>4200</v>
      </c>
      <c r="Z143" s="42">
        <v>0</v>
      </c>
      <c r="AA143" s="42">
        <f t="shared" si="84"/>
        <v>4200</v>
      </c>
      <c r="AB143" s="45">
        <v>0.5</v>
      </c>
      <c r="AC143" s="42">
        <f t="shared" si="91"/>
        <v>2100</v>
      </c>
      <c r="AD143" s="42">
        <f t="shared" si="71"/>
        <v>2100</v>
      </c>
      <c r="AE143" s="36">
        <v>46165</v>
      </c>
      <c r="AF143" s="6" t="s">
        <v>19748</v>
      </c>
      <c r="AJ143" s="41">
        <f t="shared" si="72"/>
        <v>20000</v>
      </c>
      <c r="AO143" s="46">
        <f t="shared" si="63"/>
        <v>0</v>
      </c>
      <c r="AP143" s="46"/>
      <c r="AQ143" s="46"/>
      <c r="AR143" s="46"/>
      <c r="AS143" s="42">
        <f t="shared" si="85"/>
        <v>0</v>
      </c>
      <c r="AV143" s="6" t="s">
        <v>19584</v>
      </c>
      <c r="BA143" s="42">
        <f t="shared" si="64"/>
        <v>2100</v>
      </c>
      <c r="BD143" s="46" t="str">
        <f t="shared" si="86"/>
        <v>0</v>
      </c>
      <c r="BE143" s="46">
        <f t="shared" si="65"/>
        <v>2100</v>
      </c>
      <c r="BF143" s="46">
        <f t="shared" si="66"/>
        <v>-2100</v>
      </c>
      <c r="BG143" s="47">
        <f t="shared" si="67"/>
        <v>4200</v>
      </c>
      <c r="BH143" s="46">
        <f t="shared" si="87"/>
        <v>0</v>
      </c>
      <c r="BO143" s="48">
        <f t="shared" si="68"/>
        <v>0</v>
      </c>
      <c r="BP143" s="48">
        <f t="shared" si="69"/>
        <v>0</v>
      </c>
      <c r="BQ143" s="6" t="str">
        <f t="shared" si="78"/>
        <v>Advance With Supplier</v>
      </c>
      <c r="BS143" s="6" t="str">
        <f t="shared" si="88"/>
        <v>Open</v>
      </c>
      <c r="BT143" s="49">
        <f t="shared" ca="1" si="79"/>
        <v>102</v>
      </c>
    </row>
    <row r="144" spans="1:72" hidden="1" x14ac:dyDescent="0.25">
      <c r="A144" s="6" t="s">
        <v>19436</v>
      </c>
      <c r="B144" s="6">
        <v>1876.26</v>
      </c>
      <c r="C144" s="36">
        <v>46157</v>
      </c>
      <c r="D144" s="6" t="s">
        <v>19438</v>
      </c>
      <c r="E144" s="37">
        <v>10000</v>
      </c>
      <c r="F144" s="38" t="s">
        <v>19736</v>
      </c>
      <c r="G144" s="39" t="str">
        <f t="shared" si="80"/>
        <v>GRN Not Received</v>
      </c>
      <c r="H144" s="40" t="str">
        <f t="shared" si="81"/>
        <v>GRN Not Received</v>
      </c>
      <c r="I144" s="6" t="s">
        <v>19746</v>
      </c>
      <c r="J144" s="36">
        <v>46161</v>
      </c>
      <c r="K144" s="41">
        <v>10000</v>
      </c>
      <c r="L144" s="42">
        <v>0.3</v>
      </c>
      <c r="M144" s="42">
        <f t="shared" si="82"/>
        <v>3000</v>
      </c>
      <c r="N144" s="42">
        <v>0</v>
      </c>
      <c r="O144" s="42">
        <v>0</v>
      </c>
      <c r="P144" s="42">
        <f t="shared" si="83"/>
        <v>3000</v>
      </c>
      <c r="Q144" s="38" t="s">
        <v>19747</v>
      </c>
      <c r="R144" s="36">
        <v>46157</v>
      </c>
      <c r="S144" s="6" t="s">
        <v>19474</v>
      </c>
      <c r="T144" s="50" t="s">
        <v>14874</v>
      </c>
      <c r="U144" s="6" t="str">
        <f>IFERROR(VLOOKUP(T144,'item master'!B:C,2,0),"")</f>
        <v>BROMOVAN-PLUS (BROM.+SAL.+GUA.+MEN.) SIROP 100ML</v>
      </c>
      <c r="V144" s="41">
        <v>10000</v>
      </c>
      <c r="X144" s="44">
        <f t="shared" ref="X144:X174" si="92">L144</f>
        <v>0.3</v>
      </c>
      <c r="Y144" s="42">
        <f t="shared" si="90"/>
        <v>3000</v>
      </c>
      <c r="Z144" s="42">
        <v>0</v>
      </c>
      <c r="AA144" s="42">
        <f t="shared" si="84"/>
        <v>3000</v>
      </c>
      <c r="AB144" s="45">
        <v>0.5</v>
      </c>
      <c r="AC144" s="42">
        <f t="shared" si="91"/>
        <v>1500</v>
      </c>
      <c r="AD144" s="42">
        <f t="shared" si="71"/>
        <v>1500</v>
      </c>
      <c r="AE144" s="36">
        <v>46165</v>
      </c>
      <c r="AF144" s="6" t="s">
        <v>19748</v>
      </c>
      <c r="AJ144" s="41">
        <f t="shared" si="72"/>
        <v>10000</v>
      </c>
      <c r="AO144" s="46">
        <f t="shared" si="63"/>
        <v>0</v>
      </c>
      <c r="AP144" s="46"/>
      <c r="AQ144" s="46"/>
      <c r="AR144" s="46"/>
      <c r="AS144" s="42">
        <f t="shared" si="85"/>
        <v>0</v>
      </c>
      <c r="AV144" s="6" t="s">
        <v>19584</v>
      </c>
      <c r="BA144" s="42">
        <f t="shared" si="64"/>
        <v>1500</v>
      </c>
      <c r="BD144" s="46" t="str">
        <f t="shared" si="86"/>
        <v>0</v>
      </c>
      <c r="BE144" s="46">
        <f t="shared" si="65"/>
        <v>1500</v>
      </c>
      <c r="BF144" s="46">
        <f t="shared" si="66"/>
        <v>-1500</v>
      </c>
      <c r="BG144" s="47">
        <f t="shared" si="67"/>
        <v>3000</v>
      </c>
      <c r="BH144" s="46">
        <f t="shared" si="87"/>
        <v>0</v>
      </c>
      <c r="BO144" s="48">
        <f t="shared" si="68"/>
        <v>0</v>
      </c>
      <c r="BP144" s="48">
        <f t="shared" si="69"/>
        <v>0</v>
      </c>
      <c r="BQ144" s="6" t="str">
        <f t="shared" si="78"/>
        <v>Advance With Supplier</v>
      </c>
      <c r="BS144" s="6" t="str">
        <f t="shared" si="88"/>
        <v>Open</v>
      </c>
      <c r="BT144" s="49">
        <f t="shared" ca="1" si="79"/>
        <v>102</v>
      </c>
    </row>
    <row r="145" spans="1:72" hidden="1" x14ac:dyDescent="0.25">
      <c r="A145" s="6" t="s">
        <v>19436</v>
      </c>
      <c r="B145" s="6">
        <v>1876.26</v>
      </c>
      <c r="C145" s="36">
        <v>46157</v>
      </c>
      <c r="D145" s="6" t="s">
        <v>19438</v>
      </c>
      <c r="E145" s="37">
        <v>30000</v>
      </c>
      <c r="F145" s="38" t="s">
        <v>19736</v>
      </c>
      <c r="G145" s="39" t="str">
        <f t="shared" si="80"/>
        <v>GRN Not Received</v>
      </c>
      <c r="H145" s="40" t="str">
        <f t="shared" si="81"/>
        <v>GRN Not Received</v>
      </c>
      <c r="I145" s="6" t="s">
        <v>19746</v>
      </c>
      <c r="J145" s="36">
        <v>46161</v>
      </c>
      <c r="K145" s="41">
        <v>30000</v>
      </c>
      <c r="L145" s="42">
        <v>0.24</v>
      </c>
      <c r="M145" s="42">
        <f t="shared" si="82"/>
        <v>7200</v>
      </c>
      <c r="N145" s="42">
        <v>0</v>
      </c>
      <c r="O145" s="42">
        <v>0</v>
      </c>
      <c r="P145" s="42">
        <f t="shared" si="83"/>
        <v>7200</v>
      </c>
      <c r="Q145" s="38" t="s">
        <v>19747</v>
      </c>
      <c r="R145" s="36">
        <v>46157</v>
      </c>
      <c r="S145" s="6" t="s">
        <v>19474</v>
      </c>
      <c r="T145" s="50" t="s">
        <v>14876</v>
      </c>
      <c r="U145" s="6" t="str">
        <f>IFERROR(VLOOKUP(T145,'item master'!B:C,2,0),"")</f>
        <v>KAONIQUE (KAOLIN) SIROP 100ML</v>
      </c>
      <c r="V145" s="41">
        <v>30000</v>
      </c>
      <c r="X145" s="44">
        <f t="shared" si="92"/>
        <v>0.24</v>
      </c>
      <c r="Y145" s="42">
        <f t="shared" si="90"/>
        <v>7200</v>
      </c>
      <c r="Z145" s="42">
        <v>0</v>
      </c>
      <c r="AA145" s="42">
        <f t="shared" si="84"/>
        <v>7200</v>
      </c>
      <c r="AB145" s="45">
        <v>0.5</v>
      </c>
      <c r="AC145" s="42">
        <f t="shared" si="91"/>
        <v>3600</v>
      </c>
      <c r="AD145" s="42">
        <f t="shared" si="71"/>
        <v>3600</v>
      </c>
      <c r="AE145" s="36">
        <v>46165</v>
      </c>
      <c r="AF145" s="6" t="s">
        <v>19748</v>
      </c>
      <c r="AJ145" s="41">
        <f t="shared" si="72"/>
        <v>30000</v>
      </c>
      <c r="AO145" s="46">
        <f t="shared" si="63"/>
        <v>0</v>
      </c>
      <c r="AP145" s="46"/>
      <c r="AQ145" s="46"/>
      <c r="AR145" s="46"/>
      <c r="AS145" s="42">
        <f t="shared" si="85"/>
        <v>0</v>
      </c>
      <c r="AV145" s="6" t="s">
        <v>19584</v>
      </c>
      <c r="BA145" s="42">
        <f t="shared" si="64"/>
        <v>3600</v>
      </c>
      <c r="BD145" s="46" t="str">
        <f t="shared" si="86"/>
        <v>0</v>
      </c>
      <c r="BE145" s="46">
        <f t="shared" si="65"/>
        <v>3600</v>
      </c>
      <c r="BF145" s="46">
        <f t="shared" si="66"/>
        <v>-3600</v>
      </c>
      <c r="BG145" s="47">
        <f t="shared" si="67"/>
        <v>7200</v>
      </c>
      <c r="BH145" s="46">
        <f t="shared" si="87"/>
        <v>0</v>
      </c>
      <c r="BO145" s="48">
        <f t="shared" si="68"/>
        <v>0</v>
      </c>
      <c r="BP145" s="48">
        <f t="shared" si="69"/>
        <v>0</v>
      </c>
      <c r="BQ145" s="6" t="str">
        <f t="shared" si="78"/>
        <v>Advance With Supplier</v>
      </c>
      <c r="BS145" s="6" t="str">
        <f t="shared" si="88"/>
        <v>Open</v>
      </c>
      <c r="BT145" s="49">
        <f t="shared" ca="1" si="79"/>
        <v>102</v>
      </c>
    </row>
    <row r="146" spans="1:72" hidden="1" x14ac:dyDescent="0.25">
      <c r="A146" s="6" t="s">
        <v>19436</v>
      </c>
      <c r="B146" s="6">
        <v>1876.26</v>
      </c>
      <c r="C146" s="36">
        <v>46157</v>
      </c>
      <c r="D146" s="6" t="s">
        <v>19438</v>
      </c>
      <c r="E146" s="37">
        <v>20000</v>
      </c>
      <c r="F146" s="38" t="s">
        <v>19742</v>
      </c>
      <c r="G146" s="39" t="str">
        <f t="shared" si="80"/>
        <v>GRN Not Received</v>
      </c>
      <c r="H146" s="40" t="str">
        <f t="shared" si="81"/>
        <v>GRN Not Received</v>
      </c>
      <c r="I146" s="6" t="s">
        <v>19746</v>
      </c>
      <c r="J146" s="36">
        <v>46161</v>
      </c>
      <c r="K146" s="41">
        <v>20000</v>
      </c>
      <c r="L146" s="42">
        <v>0.18</v>
      </c>
      <c r="M146" s="42">
        <f t="shared" si="82"/>
        <v>3600</v>
      </c>
      <c r="N146" s="42">
        <v>0</v>
      </c>
      <c r="O146" s="42">
        <v>0</v>
      </c>
      <c r="P146" s="42">
        <f t="shared" si="83"/>
        <v>3600</v>
      </c>
      <c r="Q146" s="38" t="s">
        <v>19747</v>
      </c>
      <c r="R146" s="36">
        <v>46157</v>
      </c>
      <c r="S146" s="6" t="s">
        <v>19474</v>
      </c>
      <c r="T146" s="50" t="s">
        <v>14878</v>
      </c>
      <c r="U146" s="6" t="str">
        <f>IFERROR(VLOOKUP(T146,'item master'!B:C,2,0),"")</f>
        <v>PYRANIQUE (PYRANTEL PAMOATE) SUSP.15ML</v>
      </c>
      <c r="V146" s="41">
        <v>20000</v>
      </c>
      <c r="X146" s="44">
        <f t="shared" si="92"/>
        <v>0.18</v>
      </c>
      <c r="Y146" s="42">
        <f t="shared" si="90"/>
        <v>3600</v>
      </c>
      <c r="Z146" s="42">
        <v>0</v>
      </c>
      <c r="AA146" s="42">
        <f t="shared" si="84"/>
        <v>3600</v>
      </c>
      <c r="AB146" s="45">
        <v>0.5</v>
      </c>
      <c r="AC146" s="42">
        <f t="shared" si="91"/>
        <v>1800</v>
      </c>
      <c r="AD146" s="42">
        <f t="shared" si="71"/>
        <v>1800</v>
      </c>
      <c r="AE146" s="36">
        <v>46165</v>
      </c>
      <c r="AF146" s="6" t="s">
        <v>19748</v>
      </c>
      <c r="AJ146" s="41">
        <f t="shared" si="72"/>
        <v>20000</v>
      </c>
      <c r="AO146" s="46">
        <f t="shared" si="63"/>
        <v>0</v>
      </c>
      <c r="AP146" s="46"/>
      <c r="AQ146" s="46"/>
      <c r="AR146" s="46"/>
      <c r="AS146" s="42">
        <f t="shared" si="85"/>
        <v>0</v>
      </c>
      <c r="AV146" s="6" t="s">
        <v>19584</v>
      </c>
      <c r="BA146" s="42">
        <f t="shared" si="64"/>
        <v>1800</v>
      </c>
      <c r="BD146" s="46" t="str">
        <f t="shared" si="86"/>
        <v>0</v>
      </c>
      <c r="BE146" s="46">
        <f t="shared" si="65"/>
        <v>1800</v>
      </c>
      <c r="BF146" s="46">
        <f t="shared" si="66"/>
        <v>-1800</v>
      </c>
      <c r="BG146" s="47">
        <f t="shared" si="67"/>
        <v>3600</v>
      </c>
      <c r="BH146" s="46">
        <f t="shared" si="87"/>
        <v>0</v>
      </c>
      <c r="BO146" s="48">
        <f t="shared" si="68"/>
        <v>0</v>
      </c>
      <c r="BP146" s="48">
        <f t="shared" si="69"/>
        <v>0</v>
      </c>
      <c r="BQ146" s="6" t="str">
        <f t="shared" si="78"/>
        <v>Advance With Supplier</v>
      </c>
      <c r="BS146" s="6" t="str">
        <f t="shared" si="88"/>
        <v>Open</v>
      </c>
      <c r="BT146" s="49">
        <f t="shared" ca="1" si="79"/>
        <v>102</v>
      </c>
    </row>
    <row r="147" spans="1:72" hidden="1" x14ac:dyDescent="0.25">
      <c r="A147" s="6" t="s">
        <v>19436</v>
      </c>
      <c r="B147" s="6">
        <v>1876.26</v>
      </c>
      <c r="C147" s="36">
        <v>46157</v>
      </c>
      <c r="D147" s="6" t="s">
        <v>19438</v>
      </c>
      <c r="E147" s="37">
        <v>20000</v>
      </c>
      <c r="F147" s="38" t="s">
        <v>19735</v>
      </c>
      <c r="G147" s="39" t="str">
        <f t="shared" si="80"/>
        <v>GRN Not Received</v>
      </c>
      <c r="H147" s="40" t="str">
        <f t="shared" si="81"/>
        <v>GRN Not Received</v>
      </c>
      <c r="I147" s="6" t="s">
        <v>19746</v>
      </c>
      <c r="J147" s="36">
        <v>46161</v>
      </c>
      <c r="K147" s="41">
        <v>20000</v>
      </c>
      <c r="L147" s="42">
        <v>0.4</v>
      </c>
      <c r="M147" s="42">
        <f t="shared" si="82"/>
        <v>8000</v>
      </c>
      <c r="N147" s="42">
        <v>0</v>
      </c>
      <c r="O147" s="42">
        <v>0</v>
      </c>
      <c r="P147" s="42">
        <f t="shared" si="83"/>
        <v>8000</v>
      </c>
      <c r="Q147" s="38" t="s">
        <v>19747</v>
      </c>
      <c r="R147" s="36">
        <v>46157</v>
      </c>
      <c r="S147" s="6" t="s">
        <v>19474</v>
      </c>
      <c r="T147" s="50" t="s">
        <v>14880</v>
      </c>
      <c r="U147" s="6" t="str">
        <f>IFERROR(VLOOKUP(T147,'item master'!B:C,2,0),"")</f>
        <v>NOCIGEL-0 (ANTIACIDE+OXETACAINE) SUSP.200ML</v>
      </c>
      <c r="V147" s="41">
        <v>20000</v>
      </c>
      <c r="X147" s="44">
        <f t="shared" si="92"/>
        <v>0.4</v>
      </c>
      <c r="Y147" s="42">
        <f t="shared" si="90"/>
        <v>8000</v>
      </c>
      <c r="Z147" s="42">
        <v>0</v>
      </c>
      <c r="AA147" s="42">
        <f t="shared" si="84"/>
        <v>8000</v>
      </c>
      <c r="AB147" s="45">
        <v>0.5</v>
      </c>
      <c r="AC147" s="42">
        <f t="shared" si="91"/>
        <v>4000</v>
      </c>
      <c r="AD147" s="42">
        <f t="shared" si="71"/>
        <v>4000</v>
      </c>
      <c r="AE147" s="36">
        <v>46165</v>
      </c>
      <c r="AF147" s="6" t="s">
        <v>19748</v>
      </c>
      <c r="AJ147" s="41">
        <f t="shared" si="72"/>
        <v>20000</v>
      </c>
      <c r="AO147" s="46">
        <f t="shared" si="63"/>
        <v>0</v>
      </c>
      <c r="AP147" s="46"/>
      <c r="AQ147" s="46"/>
      <c r="AR147" s="46"/>
      <c r="AS147" s="42">
        <f t="shared" si="85"/>
        <v>0</v>
      </c>
      <c r="AV147" s="6" t="s">
        <v>19584</v>
      </c>
      <c r="BA147" s="42">
        <f t="shared" si="64"/>
        <v>4000</v>
      </c>
      <c r="BD147" s="46" t="str">
        <f t="shared" si="86"/>
        <v>0</v>
      </c>
      <c r="BE147" s="46">
        <f t="shared" si="65"/>
        <v>4000</v>
      </c>
      <c r="BF147" s="46">
        <f t="shared" si="66"/>
        <v>-4000</v>
      </c>
      <c r="BG147" s="47">
        <f t="shared" si="67"/>
        <v>8000</v>
      </c>
      <c r="BH147" s="46">
        <f t="shared" si="87"/>
        <v>0</v>
      </c>
      <c r="BO147" s="48">
        <f t="shared" si="68"/>
        <v>0</v>
      </c>
      <c r="BP147" s="48">
        <f t="shared" si="69"/>
        <v>0</v>
      </c>
      <c r="BQ147" s="6" t="str">
        <f t="shared" si="78"/>
        <v>Advance With Supplier</v>
      </c>
      <c r="BS147" s="6" t="str">
        <f t="shared" si="88"/>
        <v>Open</v>
      </c>
      <c r="BT147" s="49">
        <f t="shared" ca="1" si="79"/>
        <v>102</v>
      </c>
    </row>
    <row r="148" spans="1:72" hidden="1" x14ac:dyDescent="0.25">
      <c r="A148" s="6" t="s">
        <v>19436</v>
      </c>
      <c r="B148" s="6">
        <v>1876.26</v>
      </c>
      <c r="C148" s="36">
        <v>46157</v>
      </c>
      <c r="D148" s="6" t="s">
        <v>19438</v>
      </c>
      <c r="E148" s="37">
        <v>10000</v>
      </c>
      <c r="F148" s="38" t="s">
        <v>19736</v>
      </c>
      <c r="G148" s="39" t="str">
        <f t="shared" si="80"/>
        <v>GRN Not Received</v>
      </c>
      <c r="H148" s="40" t="str">
        <f t="shared" si="81"/>
        <v>GRN Not Received</v>
      </c>
      <c r="I148" s="6" t="s">
        <v>19746</v>
      </c>
      <c r="J148" s="36">
        <v>46161</v>
      </c>
      <c r="K148" s="41">
        <v>10000</v>
      </c>
      <c r="L148" s="42">
        <v>1.5</v>
      </c>
      <c r="M148" s="42">
        <f t="shared" si="82"/>
        <v>15000</v>
      </c>
      <c r="N148" s="42">
        <v>0</v>
      </c>
      <c r="O148" s="42">
        <v>0</v>
      </c>
      <c r="P148" s="42">
        <f t="shared" si="83"/>
        <v>15000</v>
      </c>
      <c r="Q148" s="38" t="s">
        <v>19747</v>
      </c>
      <c r="R148" s="36">
        <v>46157</v>
      </c>
      <c r="S148" s="6" t="s">
        <v>19474</v>
      </c>
      <c r="T148" s="50" t="s">
        <v>14886</v>
      </c>
      <c r="U148" s="6" t="str">
        <f>IFERROR(VLOOKUP(T148,'item master'!B:C,2,0),"")</f>
        <v>FORTOMEGA (HUILE DE FOIE DE MORUE) SOL.BUV. 100ML</v>
      </c>
      <c r="V148" s="41">
        <v>10000</v>
      </c>
      <c r="X148" s="44">
        <f t="shared" si="92"/>
        <v>1.5</v>
      </c>
      <c r="Y148" s="42">
        <f t="shared" si="90"/>
        <v>15000</v>
      </c>
      <c r="Z148" s="42">
        <v>0</v>
      </c>
      <c r="AA148" s="42">
        <f t="shared" si="84"/>
        <v>15000</v>
      </c>
      <c r="AB148" s="45">
        <v>0.5</v>
      </c>
      <c r="AC148" s="42">
        <f t="shared" si="91"/>
        <v>7500</v>
      </c>
      <c r="AD148" s="42">
        <f t="shared" si="71"/>
        <v>7500</v>
      </c>
      <c r="AE148" s="36">
        <v>46165</v>
      </c>
      <c r="AF148" s="6" t="s">
        <v>19748</v>
      </c>
      <c r="AJ148" s="41">
        <f t="shared" si="72"/>
        <v>10000</v>
      </c>
      <c r="AO148" s="46">
        <f t="shared" si="63"/>
        <v>0</v>
      </c>
      <c r="AP148" s="46"/>
      <c r="AQ148" s="46"/>
      <c r="AR148" s="46"/>
      <c r="AS148" s="42">
        <f t="shared" si="85"/>
        <v>0</v>
      </c>
      <c r="AV148" s="6" t="s">
        <v>19584</v>
      </c>
      <c r="BA148" s="42">
        <f t="shared" si="64"/>
        <v>7500</v>
      </c>
      <c r="BD148" s="46" t="str">
        <f t="shared" si="86"/>
        <v>0</v>
      </c>
      <c r="BE148" s="46">
        <f t="shared" si="65"/>
        <v>7500</v>
      </c>
      <c r="BF148" s="46">
        <f t="shared" si="66"/>
        <v>-7500</v>
      </c>
      <c r="BG148" s="47">
        <f t="shared" si="67"/>
        <v>15000</v>
      </c>
      <c r="BH148" s="46">
        <f t="shared" si="87"/>
        <v>0</v>
      </c>
      <c r="BO148" s="48">
        <f t="shared" si="68"/>
        <v>0</v>
      </c>
      <c r="BP148" s="48">
        <f t="shared" si="69"/>
        <v>0</v>
      </c>
      <c r="BQ148" s="6" t="str">
        <f t="shared" si="78"/>
        <v>Advance With Supplier</v>
      </c>
      <c r="BS148" s="6" t="str">
        <f t="shared" si="88"/>
        <v>Open</v>
      </c>
      <c r="BT148" s="49">
        <f t="shared" ca="1" si="79"/>
        <v>102</v>
      </c>
    </row>
    <row r="149" spans="1:72" hidden="1" x14ac:dyDescent="0.25">
      <c r="A149" s="6" t="s">
        <v>19436</v>
      </c>
      <c r="B149" s="6">
        <v>1876.26</v>
      </c>
      <c r="C149" s="36">
        <v>46157</v>
      </c>
      <c r="D149" s="6" t="s">
        <v>19438</v>
      </c>
      <c r="E149" s="37">
        <v>20000</v>
      </c>
      <c r="F149" s="38" t="s">
        <v>19735</v>
      </c>
      <c r="G149" s="39" t="str">
        <f t="shared" si="80"/>
        <v>GRN Not Received</v>
      </c>
      <c r="H149" s="40" t="str">
        <f t="shared" si="81"/>
        <v>GRN Not Received</v>
      </c>
      <c r="I149" s="6" t="s">
        <v>19746</v>
      </c>
      <c r="J149" s="36">
        <v>46161</v>
      </c>
      <c r="K149" s="41">
        <v>20000</v>
      </c>
      <c r="L149" s="42">
        <v>0.54</v>
      </c>
      <c r="M149" s="42">
        <f t="shared" si="82"/>
        <v>10800</v>
      </c>
      <c r="N149" s="42">
        <v>0</v>
      </c>
      <c r="O149" s="42">
        <v>0</v>
      </c>
      <c r="P149" s="42">
        <f t="shared" si="83"/>
        <v>10800</v>
      </c>
      <c r="Q149" s="38" t="s">
        <v>19747</v>
      </c>
      <c r="R149" s="36">
        <v>46157</v>
      </c>
      <c r="S149" s="6" t="s">
        <v>19474</v>
      </c>
      <c r="T149" s="50" t="s">
        <v>14888</v>
      </c>
      <c r="U149" s="6" t="str">
        <f>IFERROR(VLOOKUP(T149,'item master'!B:C,2,0),"")</f>
        <v>Q-ENZY (DIASTASE FONGIQUE PEPSINE) SIROP 200ML</v>
      </c>
      <c r="V149" s="41">
        <v>20000</v>
      </c>
      <c r="X149" s="44">
        <f t="shared" si="92"/>
        <v>0.54</v>
      </c>
      <c r="Y149" s="42">
        <f t="shared" si="90"/>
        <v>10800</v>
      </c>
      <c r="Z149" s="42">
        <v>0</v>
      </c>
      <c r="AA149" s="42">
        <f t="shared" si="84"/>
        <v>10800</v>
      </c>
      <c r="AB149" s="45">
        <v>0.5</v>
      </c>
      <c r="AC149" s="42">
        <f t="shared" si="91"/>
        <v>5400</v>
      </c>
      <c r="AD149" s="42">
        <f t="shared" si="71"/>
        <v>5400</v>
      </c>
      <c r="AE149" s="36">
        <v>46165</v>
      </c>
      <c r="AF149" s="6" t="s">
        <v>19748</v>
      </c>
      <c r="AJ149" s="41">
        <f t="shared" si="72"/>
        <v>20000</v>
      </c>
      <c r="AO149" s="46">
        <f t="shared" si="63"/>
        <v>0</v>
      </c>
      <c r="AP149" s="46"/>
      <c r="AQ149" s="46"/>
      <c r="AR149" s="46"/>
      <c r="AS149" s="42">
        <f t="shared" si="85"/>
        <v>0</v>
      </c>
      <c r="AV149" s="6" t="s">
        <v>19584</v>
      </c>
      <c r="BA149" s="42">
        <f t="shared" si="64"/>
        <v>5400</v>
      </c>
      <c r="BD149" s="46" t="str">
        <f t="shared" si="86"/>
        <v>0</v>
      </c>
      <c r="BE149" s="46">
        <f t="shared" si="65"/>
        <v>5400</v>
      </c>
      <c r="BF149" s="46">
        <f t="shared" si="66"/>
        <v>-5400</v>
      </c>
      <c r="BG149" s="47">
        <f t="shared" si="67"/>
        <v>10800</v>
      </c>
      <c r="BH149" s="46">
        <f t="shared" si="87"/>
        <v>0</v>
      </c>
      <c r="BO149" s="48">
        <f t="shared" si="68"/>
        <v>0</v>
      </c>
      <c r="BP149" s="48">
        <f t="shared" si="69"/>
        <v>0</v>
      </c>
      <c r="BQ149" s="6" t="str">
        <f t="shared" si="78"/>
        <v>Advance With Supplier</v>
      </c>
      <c r="BS149" s="6" t="str">
        <f t="shared" si="88"/>
        <v>Open</v>
      </c>
      <c r="BT149" s="49">
        <f t="shared" ca="1" si="79"/>
        <v>102</v>
      </c>
    </row>
    <row r="150" spans="1:72" hidden="1" x14ac:dyDescent="0.25">
      <c r="A150" s="6" t="s">
        <v>19436</v>
      </c>
      <c r="B150" s="6">
        <v>1876.26</v>
      </c>
      <c r="C150" s="36">
        <v>46157</v>
      </c>
      <c r="D150" s="6" t="s">
        <v>19438</v>
      </c>
      <c r="E150" s="37">
        <v>10000</v>
      </c>
      <c r="F150" s="38" t="s">
        <v>19743</v>
      </c>
      <c r="G150" s="39" t="str">
        <f t="shared" si="80"/>
        <v>GRN Not Received</v>
      </c>
      <c r="H150" s="40" t="str">
        <f t="shared" si="81"/>
        <v>GRN Not Received</v>
      </c>
      <c r="I150" s="6" t="s">
        <v>19746</v>
      </c>
      <c r="J150" s="36">
        <v>46161</v>
      </c>
      <c r="K150" s="41">
        <v>10000</v>
      </c>
      <c r="L150" s="42">
        <v>0.315</v>
      </c>
      <c r="M150" s="42">
        <f t="shared" si="82"/>
        <v>3150</v>
      </c>
      <c r="N150" s="42">
        <v>0</v>
      </c>
      <c r="O150" s="42">
        <v>0</v>
      </c>
      <c r="P150" s="42">
        <f t="shared" si="83"/>
        <v>3150</v>
      </c>
      <c r="Q150" s="38" t="s">
        <v>19747</v>
      </c>
      <c r="R150" s="36">
        <v>46157</v>
      </c>
      <c r="S150" s="6" t="s">
        <v>19474</v>
      </c>
      <c r="T150" s="50" t="s">
        <v>14892</v>
      </c>
      <c r="U150" s="6" t="str">
        <f>IFERROR(VLOOKUP(T150,'item master'!B:C,2,0),"")</f>
        <v>PH-ALKA (S.CITRATE + CITRIC) ORALE SOLUTION 120ML</v>
      </c>
      <c r="V150" s="41">
        <v>10000</v>
      </c>
      <c r="X150" s="44">
        <f t="shared" si="92"/>
        <v>0.315</v>
      </c>
      <c r="Y150" s="42">
        <f t="shared" si="90"/>
        <v>3150</v>
      </c>
      <c r="Z150" s="42">
        <v>0</v>
      </c>
      <c r="AA150" s="42">
        <f t="shared" si="84"/>
        <v>3150</v>
      </c>
      <c r="AB150" s="45">
        <v>0.5</v>
      </c>
      <c r="AC150" s="42">
        <f t="shared" si="91"/>
        <v>1575</v>
      </c>
      <c r="AD150" s="42">
        <f t="shared" si="71"/>
        <v>1575</v>
      </c>
      <c r="AE150" s="36">
        <v>46165</v>
      </c>
      <c r="AF150" s="6" t="s">
        <v>19748</v>
      </c>
      <c r="AJ150" s="41">
        <f t="shared" si="72"/>
        <v>10000</v>
      </c>
      <c r="AO150" s="46">
        <f t="shared" si="63"/>
        <v>0</v>
      </c>
      <c r="AP150" s="46"/>
      <c r="AQ150" s="46"/>
      <c r="AR150" s="46"/>
      <c r="AS150" s="42">
        <f t="shared" si="85"/>
        <v>0</v>
      </c>
      <c r="AV150" s="6" t="s">
        <v>19584</v>
      </c>
      <c r="BA150" s="42">
        <f t="shared" si="64"/>
        <v>1575</v>
      </c>
      <c r="BD150" s="46" t="str">
        <f t="shared" si="86"/>
        <v>0</v>
      </c>
      <c r="BE150" s="46">
        <f t="shared" si="65"/>
        <v>1575</v>
      </c>
      <c r="BF150" s="46">
        <f t="shared" si="66"/>
        <v>-1575</v>
      </c>
      <c r="BG150" s="47">
        <f t="shared" si="67"/>
        <v>3150</v>
      </c>
      <c r="BH150" s="46">
        <f t="shared" si="87"/>
        <v>0</v>
      </c>
      <c r="BO150" s="48">
        <f t="shared" si="68"/>
        <v>0</v>
      </c>
      <c r="BP150" s="48">
        <f t="shared" si="69"/>
        <v>0</v>
      </c>
      <c r="BQ150" s="6" t="str">
        <f t="shared" si="78"/>
        <v>Advance With Supplier</v>
      </c>
      <c r="BS150" s="6" t="str">
        <f t="shared" si="88"/>
        <v>Open</v>
      </c>
      <c r="BT150" s="49">
        <f t="shared" ca="1" si="79"/>
        <v>102</v>
      </c>
    </row>
    <row r="151" spans="1:72" hidden="1" x14ac:dyDescent="0.25">
      <c r="A151" s="6" t="s">
        <v>19436</v>
      </c>
      <c r="B151" s="6">
        <v>1876.26</v>
      </c>
      <c r="C151" s="36">
        <v>46157</v>
      </c>
      <c r="D151" s="6" t="s">
        <v>19438</v>
      </c>
      <c r="E151" s="37">
        <v>10000</v>
      </c>
      <c r="F151" s="38" t="s">
        <v>19743</v>
      </c>
      <c r="G151" s="39" t="str">
        <f t="shared" si="80"/>
        <v>GRN Not Received</v>
      </c>
      <c r="H151" s="40" t="str">
        <f t="shared" si="81"/>
        <v>GRN Not Received</v>
      </c>
      <c r="I151" s="6" t="s">
        <v>19746</v>
      </c>
      <c r="J151" s="36">
        <v>46161</v>
      </c>
      <c r="K151" s="41">
        <v>10000</v>
      </c>
      <c r="L151" s="42">
        <v>0.42</v>
      </c>
      <c r="M151" s="42">
        <f t="shared" si="82"/>
        <v>4200</v>
      </c>
      <c r="N151" s="42">
        <v>0</v>
      </c>
      <c r="O151" s="42">
        <v>0</v>
      </c>
      <c r="P151" s="42">
        <f t="shared" si="83"/>
        <v>4200</v>
      </c>
      <c r="Q151" s="38" t="s">
        <v>19747</v>
      </c>
      <c r="R151" s="36">
        <v>46157</v>
      </c>
      <c r="S151" s="6" t="s">
        <v>19474</v>
      </c>
      <c r="T151" s="50" t="s">
        <v>14894</v>
      </c>
      <c r="U151" s="6" t="str">
        <f>IFERROR(VLOOKUP(T151,'item master'!B:C,2,0),"")</f>
        <v>SORTOUX ( LEVODROPROPIZINE) 30MG/5ML SIROP 120ML</v>
      </c>
      <c r="V151" s="41">
        <v>10000</v>
      </c>
      <c r="X151" s="44">
        <f t="shared" si="92"/>
        <v>0.42</v>
      </c>
      <c r="Y151" s="42">
        <f t="shared" si="90"/>
        <v>4200</v>
      </c>
      <c r="Z151" s="42">
        <v>0</v>
      </c>
      <c r="AA151" s="42">
        <f t="shared" si="84"/>
        <v>4200</v>
      </c>
      <c r="AB151" s="45">
        <v>0.5</v>
      </c>
      <c r="AC151" s="42">
        <f t="shared" si="91"/>
        <v>2100</v>
      </c>
      <c r="AD151" s="42">
        <f t="shared" si="71"/>
        <v>2100</v>
      </c>
      <c r="AE151" s="36">
        <v>46165</v>
      </c>
      <c r="AF151" s="6" t="s">
        <v>19748</v>
      </c>
      <c r="AJ151" s="41">
        <f t="shared" si="72"/>
        <v>10000</v>
      </c>
      <c r="AO151" s="46">
        <f t="shared" si="63"/>
        <v>0</v>
      </c>
      <c r="AP151" s="46"/>
      <c r="AQ151" s="46"/>
      <c r="AR151" s="46"/>
      <c r="AS151" s="42">
        <f t="shared" si="85"/>
        <v>0</v>
      </c>
      <c r="AV151" s="6" t="s">
        <v>19584</v>
      </c>
      <c r="BA151" s="42">
        <f t="shared" si="64"/>
        <v>2100</v>
      </c>
      <c r="BD151" s="46" t="str">
        <f t="shared" si="86"/>
        <v>0</v>
      </c>
      <c r="BE151" s="46">
        <f t="shared" si="65"/>
        <v>2100</v>
      </c>
      <c r="BF151" s="46">
        <f t="shared" si="66"/>
        <v>-2100</v>
      </c>
      <c r="BG151" s="47">
        <f t="shared" si="67"/>
        <v>4200</v>
      </c>
      <c r="BH151" s="46">
        <f t="shared" si="87"/>
        <v>0</v>
      </c>
      <c r="BO151" s="48">
        <f t="shared" si="68"/>
        <v>0</v>
      </c>
      <c r="BP151" s="48">
        <f t="shared" si="69"/>
        <v>0</v>
      </c>
      <c r="BQ151" s="6" t="str">
        <f t="shared" si="78"/>
        <v>Advance With Supplier</v>
      </c>
      <c r="BS151" s="6" t="str">
        <f t="shared" si="88"/>
        <v>Open</v>
      </c>
      <c r="BT151" s="49">
        <f t="shared" ca="1" si="79"/>
        <v>102</v>
      </c>
    </row>
    <row r="152" spans="1:72" hidden="1" x14ac:dyDescent="0.25">
      <c r="A152" s="6" t="s">
        <v>19436</v>
      </c>
      <c r="B152" s="6">
        <v>1876.26</v>
      </c>
      <c r="C152" s="36">
        <v>46157</v>
      </c>
      <c r="D152" s="6" t="s">
        <v>19438</v>
      </c>
      <c r="E152" s="37">
        <v>50000</v>
      </c>
      <c r="F152" s="38" t="s">
        <v>19735</v>
      </c>
      <c r="G152" s="39" t="str">
        <f t="shared" si="80"/>
        <v>GRN Not Received</v>
      </c>
      <c r="H152" s="40" t="str">
        <f t="shared" si="81"/>
        <v>GRN Not Received</v>
      </c>
      <c r="I152" s="6" t="s">
        <v>19746</v>
      </c>
      <c r="J152" s="36">
        <v>46161</v>
      </c>
      <c r="K152" s="41">
        <v>50000</v>
      </c>
      <c r="L152" s="42">
        <v>0.43</v>
      </c>
      <c r="M152" s="42">
        <f t="shared" si="82"/>
        <v>21500</v>
      </c>
      <c r="N152" s="42">
        <v>0</v>
      </c>
      <c r="O152" s="42">
        <v>0</v>
      </c>
      <c r="P152" s="42">
        <f t="shared" si="83"/>
        <v>21500</v>
      </c>
      <c r="Q152" s="38" t="s">
        <v>19747</v>
      </c>
      <c r="R152" s="36">
        <v>46157</v>
      </c>
      <c r="S152" s="6" t="s">
        <v>19474</v>
      </c>
      <c r="T152" s="50" t="s">
        <v>14900</v>
      </c>
      <c r="U152" s="6" t="str">
        <f>IFERROR(VLOOKUP(T152,'item master'!B:C,2,0),"")</f>
        <v>Q-AMINO ( ACIDE AMINO+VITAMINS) SIROP 200ML</v>
      </c>
      <c r="V152" s="41">
        <v>50000</v>
      </c>
      <c r="X152" s="44">
        <f t="shared" si="92"/>
        <v>0.43</v>
      </c>
      <c r="Y152" s="42">
        <f t="shared" si="90"/>
        <v>21500</v>
      </c>
      <c r="Z152" s="42">
        <v>0</v>
      </c>
      <c r="AA152" s="42">
        <f t="shared" si="84"/>
        <v>21500</v>
      </c>
      <c r="AB152" s="45">
        <v>0.5</v>
      </c>
      <c r="AC152" s="42">
        <f t="shared" si="91"/>
        <v>10750</v>
      </c>
      <c r="AD152" s="42">
        <f t="shared" si="71"/>
        <v>10750</v>
      </c>
      <c r="AE152" s="36">
        <v>46165</v>
      </c>
      <c r="AF152" s="6" t="s">
        <v>19748</v>
      </c>
      <c r="AJ152" s="41">
        <f t="shared" si="72"/>
        <v>50000</v>
      </c>
      <c r="AO152" s="46">
        <f t="shared" si="63"/>
        <v>0</v>
      </c>
      <c r="AP152" s="46"/>
      <c r="AQ152" s="46"/>
      <c r="AR152" s="46"/>
      <c r="AS152" s="42">
        <f t="shared" si="85"/>
        <v>0</v>
      </c>
      <c r="AV152" s="6" t="s">
        <v>19584</v>
      </c>
      <c r="BA152" s="42">
        <f t="shared" si="64"/>
        <v>10750</v>
      </c>
      <c r="BD152" s="46" t="str">
        <f t="shared" si="86"/>
        <v>0</v>
      </c>
      <c r="BE152" s="46">
        <f t="shared" si="65"/>
        <v>10750</v>
      </c>
      <c r="BF152" s="46">
        <f t="shared" si="66"/>
        <v>-10750</v>
      </c>
      <c r="BG152" s="47">
        <f t="shared" si="67"/>
        <v>21500</v>
      </c>
      <c r="BH152" s="46">
        <f t="shared" si="87"/>
        <v>0</v>
      </c>
      <c r="BO152" s="48">
        <f t="shared" si="68"/>
        <v>0</v>
      </c>
      <c r="BP152" s="48">
        <f t="shared" si="69"/>
        <v>0</v>
      </c>
      <c r="BQ152" s="6" t="str">
        <f t="shared" si="78"/>
        <v>Advance With Supplier</v>
      </c>
      <c r="BS152" s="6" t="str">
        <f t="shared" si="88"/>
        <v>Open</v>
      </c>
      <c r="BT152" s="49">
        <f t="shared" ca="1" si="79"/>
        <v>102</v>
      </c>
    </row>
    <row r="153" spans="1:72" hidden="1" x14ac:dyDescent="0.25">
      <c r="A153" s="6" t="s">
        <v>19436</v>
      </c>
      <c r="B153" s="6">
        <v>1876.26</v>
      </c>
      <c r="C153" s="36">
        <v>46157</v>
      </c>
      <c r="D153" s="6" t="s">
        <v>19438</v>
      </c>
      <c r="E153" s="37">
        <v>10000</v>
      </c>
      <c r="F153" s="38" t="s">
        <v>19736</v>
      </c>
      <c r="G153" s="39" t="str">
        <f t="shared" si="80"/>
        <v>GRN Not Received</v>
      </c>
      <c r="H153" s="40" t="str">
        <f t="shared" si="81"/>
        <v>GRN Not Received</v>
      </c>
      <c r="I153" s="6" t="s">
        <v>19746</v>
      </c>
      <c r="J153" s="36">
        <v>46161</v>
      </c>
      <c r="K153" s="41">
        <v>10000</v>
      </c>
      <c r="L153" s="42">
        <v>0.55000000000000004</v>
      </c>
      <c r="M153" s="42">
        <f t="shared" si="82"/>
        <v>5500</v>
      </c>
      <c r="N153" s="42">
        <v>0</v>
      </c>
      <c r="O153" s="42">
        <v>0</v>
      </c>
      <c r="P153" s="42">
        <f t="shared" si="83"/>
        <v>5500</v>
      </c>
      <c r="Q153" s="38" t="s">
        <v>19747</v>
      </c>
      <c r="R153" s="36">
        <v>46157</v>
      </c>
      <c r="S153" s="6" t="s">
        <v>19474</v>
      </c>
      <c r="T153" s="50" t="s">
        <v>14910</v>
      </c>
      <c r="U153" s="6" t="str">
        <f>IFERROR(VLOOKUP(T153,'item master'!B:C,2,0),"")</f>
        <v>MON-LC (MONTE.+LEVOCET.) SIROP 100ML</v>
      </c>
      <c r="V153" s="41">
        <v>10000</v>
      </c>
      <c r="X153" s="44">
        <f t="shared" si="92"/>
        <v>0.55000000000000004</v>
      </c>
      <c r="Y153" s="42">
        <f t="shared" si="90"/>
        <v>5500</v>
      </c>
      <c r="Z153" s="42">
        <v>0</v>
      </c>
      <c r="AA153" s="42">
        <f t="shared" si="84"/>
        <v>5500</v>
      </c>
      <c r="AB153" s="45">
        <v>0.5</v>
      </c>
      <c r="AC153" s="42">
        <f t="shared" si="91"/>
        <v>2750</v>
      </c>
      <c r="AD153" s="42">
        <f t="shared" si="71"/>
        <v>2750</v>
      </c>
      <c r="AE153" s="36">
        <v>46165</v>
      </c>
      <c r="AF153" s="6" t="s">
        <v>19748</v>
      </c>
      <c r="AJ153" s="41">
        <f t="shared" si="72"/>
        <v>10000</v>
      </c>
      <c r="AO153" s="46">
        <f t="shared" si="63"/>
        <v>0</v>
      </c>
      <c r="AP153" s="46"/>
      <c r="AQ153" s="46"/>
      <c r="AR153" s="46"/>
      <c r="AS153" s="42">
        <f t="shared" si="85"/>
        <v>0</v>
      </c>
      <c r="AV153" s="6" t="s">
        <v>19584</v>
      </c>
      <c r="BA153" s="42">
        <f t="shared" si="64"/>
        <v>2750</v>
      </c>
      <c r="BD153" s="46" t="str">
        <f t="shared" si="86"/>
        <v>0</v>
      </c>
      <c r="BE153" s="46">
        <f t="shared" si="65"/>
        <v>2750</v>
      </c>
      <c r="BF153" s="46">
        <f t="shared" si="66"/>
        <v>-2750</v>
      </c>
      <c r="BG153" s="47">
        <f t="shared" si="67"/>
        <v>5500</v>
      </c>
      <c r="BH153" s="46">
        <f t="shared" si="87"/>
        <v>0</v>
      </c>
      <c r="BO153" s="48">
        <f t="shared" si="68"/>
        <v>0</v>
      </c>
      <c r="BP153" s="48">
        <f t="shared" si="69"/>
        <v>0</v>
      </c>
      <c r="BQ153" s="6" t="str">
        <f t="shared" si="78"/>
        <v>Advance With Supplier</v>
      </c>
      <c r="BS153" s="6" t="str">
        <f t="shared" si="88"/>
        <v>Open</v>
      </c>
      <c r="BT153" s="49">
        <f t="shared" ca="1" si="79"/>
        <v>102</v>
      </c>
    </row>
    <row r="154" spans="1:72" hidden="1" x14ac:dyDescent="0.25">
      <c r="A154" s="6" t="s">
        <v>19436</v>
      </c>
      <c r="B154" s="6">
        <v>1876.26</v>
      </c>
      <c r="C154" s="36">
        <v>46157</v>
      </c>
      <c r="D154" s="6" t="s">
        <v>19438</v>
      </c>
      <c r="E154" s="37">
        <v>50000</v>
      </c>
      <c r="F154" s="38" t="s">
        <v>19744</v>
      </c>
      <c r="G154" s="39" t="str">
        <f t="shared" si="80"/>
        <v>GRN Not Received</v>
      </c>
      <c r="H154" s="40" t="str">
        <f t="shared" si="81"/>
        <v>GRN Not Received</v>
      </c>
      <c r="I154" s="6" t="s">
        <v>19746</v>
      </c>
      <c r="J154" s="36">
        <v>46161</v>
      </c>
      <c r="K154" s="41">
        <v>50000</v>
      </c>
      <c r="L154" s="42">
        <v>0.33</v>
      </c>
      <c r="M154" s="42">
        <f t="shared" si="82"/>
        <v>16500</v>
      </c>
      <c r="N154" s="42">
        <v>0</v>
      </c>
      <c r="O154" s="42">
        <v>0</v>
      </c>
      <c r="P154" s="42">
        <f t="shared" si="83"/>
        <v>16500</v>
      </c>
      <c r="Q154" s="38" t="s">
        <v>19747</v>
      </c>
      <c r="R154" s="36">
        <v>46157</v>
      </c>
      <c r="S154" s="6" t="s">
        <v>19474</v>
      </c>
      <c r="T154" s="50" t="s">
        <v>15520</v>
      </c>
      <c r="U154" s="6" t="str">
        <f>IFERROR(VLOOKUP(T154,'item master'!B:C,2,0),"")</f>
        <v>AMYLASE 200 U.CEIP/ML (ALFA-AMYLASE) SIROP 150ML</v>
      </c>
      <c r="V154" s="41">
        <v>50000</v>
      </c>
      <c r="X154" s="44">
        <f t="shared" si="92"/>
        <v>0.33</v>
      </c>
      <c r="Y154" s="42">
        <f t="shared" si="90"/>
        <v>16500</v>
      </c>
      <c r="Z154" s="42">
        <v>0</v>
      </c>
      <c r="AA154" s="42">
        <f t="shared" si="84"/>
        <v>16500</v>
      </c>
      <c r="AB154" s="45">
        <v>0.5</v>
      </c>
      <c r="AC154" s="42">
        <f t="shared" si="91"/>
        <v>8250</v>
      </c>
      <c r="AD154" s="42">
        <f t="shared" si="71"/>
        <v>8250</v>
      </c>
      <c r="AE154" s="36">
        <v>46165</v>
      </c>
      <c r="AF154" s="6" t="s">
        <v>19748</v>
      </c>
      <c r="AJ154" s="41">
        <f t="shared" si="72"/>
        <v>50000</v>
      </c>
      <c r="AO154" s="46">
        <f t="shared" si="63"/>
        <v>0</v>
      </c>
      <c r="AP154" s="46"/>
      <c r="AQ154" s="46"/>
      <c r="AR154" s="46"/>
      <c r="AS154" s="42">
        <f t="shared" si="85"/>
        <v>0</v>
      </c>
      <c r="AV154" s="6" t="s">
        <v>19584</v>
      </c>
      <c r="BA154" s="42">
        <f t="shared" si="64"/>
        <v>8250</v>
      </c>
      <c r="BD154" s="46" t="str">
        <f t="shared" si="86"/>
        <v>0</v>
      </c>
      <c r="BE154" s="46">
        <f t="shared" si="65"/>
        <v>8250</v>
      </c>
      <c r="BF154" s="46">
        <f t="shared" si="66"/>
        <v>-8250</v>
      </c>
      <c r="BG154" s="47">
        <f t="shared" si="67"/>
        <v>16500</v>
      </c>
      <c r="BH154" s="46">
        <f t="shared" si="87"/>
        <v>0</v>
      </c>
      <c r="BO154" s="48">
        <f t="shared" si="68"/>
        <v>0</v>
      </c>
      <c r="BP154" s="48">
        <f t="shared" si="69"/>
        <v>0</v>
      </c>
      <c r="BQ154" s="6" t="str">
        <f t="shared" si="78"/>
        <v>Advance With Supplier</v>
      </c>
      <c r="BS154" s="6" t="str">
        <f t="shared" si="88"/>
        <v>Open</v>
      </c>
      <c r="BT154" s="49">
        <f t="shared" ca="1" si="79"/>
        <v>102</v>
      </c>
    </row>
    <row r="155" spans="1:72" hidden="1" x14ac:dyDescent="0.25">
      <c r="A155" s="6" t="s">
        <v>19436</v>
      </c>
      <c r="B155" s="6">
        <v>1876.26</v>
      </c>
      <c r="C155" s="36">
        <v>46157</v>
      </c>
      <c r="D155" s="6" t="s">
        <v>19438</v>
      </c>
      <c r="E155" s="37">
        <v>20000</v>
      </c>
      <c r="F155" s="38" t="s">
        <v>19735</v>
      </c>
      <c r="G155" s="39" t="str">
        <f t="shared" si="80"/>
        <v>GRN Not Received</v>
      </c>
      <c r="H155" s="40" t="str">
        <f t="shared" si="81"/>
        <v>GRN Not Received</v>
      </c>
      <c r="I155" s="6" t="s">
        <v>19746</v>
      </c>
      <c r="J155" s="36">
        <v>46161</v>
      </c>
      <c r="K155" s="41">
        <v>20000</v>
      </c>
      <c r="L155" s="42">
        <v>0.4</v>
      </c>
      <c r="M155" s="42">
        <f t="shared" si="82"/>
        <v>8000</v>
      </c>
      <c r="N155" s="42">
        <v>0</v>
      </c>
      <c r="O155" s="42">
        <v>0</v>
      </c>
      <c r="P155" s="42">
        <f t="shared" si="83"/>
        <v>8000</v>
      </c>
      <c r="Q155" s="38" t="s">
        <v>19747</v>
      </c>
      <c r="R155" s="36">
        <v>46157</v>
      </c>
      <c r="S155" s="6" t="s">
        <v>19474</v>
      </c>
      <c r="T155" s="50" t="s">
        <v>16609</v>
      </c>
      <c r="U155" s="6" t="str">
        <f>IFERROR(VLOOKUP(T155,'item master'!B:C,2,0),"")</f>
        <v>UNISANG (TONIQUE ANTI-ANEMIQUE) SIROP 200ML</v>
      </c>
      <c r="V155" s="41">
        <v>20000</v>
      </c>
      <c r="X155" s="44">
        <f t="shared" si="92"/>
        <v>0.4</v>
      </c>
      <c r="Y155" s="42">
        <f t="shared" si="90"/>
        <v>8000</v>
      </c>
      <c r="Z155" s="42">
        <v>0</v>
      </c>
      <c r="AA155" s="42">
        <f t="shared" si="84"/>
        <v>8000</v>
      </c>
      <c r="AB155" s="45">
        <v>0.5</v>
      </c>
      <c r="AC155" s="42">
        <f t="shared" si="91"/>
        <v>4000</v>
      </c>
      <c r="AD155" s="42">
        <f t="shared" si="71"/>
        <v>4000</v>
      </c>
      <c r="AE155" s="36">
        <v>46165</v>
      </c>
      <c r="AF155" s="6" t="s">
        <v>19748</v>
      </c>
      <c r="AJ155" s="41">
        <f t="shared" si="72"/>
        <v>20000</v>
      </c>
      <c r="AO155" s="46">
        <f t="shared" si="63"/>
        <v>0</v>
      </c>
      <c r="AP155" s="46"/>
      <c r="AQ155" s="46"/>
      <c r="AR155" s="46"/>
      <c r="AS155" s="42">
        <f t="shared" si="85"/>
        <v>0</v>
      </c>
      <c r="AV155" s="6" t="s">
        <v>19584</v>
      </c>
      <c r="BA155" s="42">
        <f t="shared" si="64"/>
        <v>4000</v>
      </c>
      <c r="BD155" s="46" t="str">
        <f t="shared" si="86"/>
        <v>0</v>
      </c>
      <c r="BE155" s="46">
        <f t="shared" si="65"/>
        <v>4000</v>
      </c>
      <c r="BF155" s="46">
        <f t="shared" si="66"/>
        <v>-4000</v>
      </c>
      <c r="BG155" s="47">
        <f t="shared" si="67"/>
        <v>8000</v>
      </c>
      <c r="BH155" s="46">
        <f t="shared" si="87"/>
        <v>0</v>
      </c>
      <c r="BO155" s="48">
        <f t="shared" si="68"/>
        <v>0</v>
      </c>
      <c r="BP155" s="48">
        <f t="shared" si="69"/>
        <v>0</v>
      </c>
      <c r="BQ155" s="6" t="str">
        <f t="shared" si="78"/>
        <v>Advance With Supplier</v>
      </c>
      <c r="BS155" s="6" t="str">
        <f t="shared" si="88"/>
        <v>Open</v>
      </c>
      <c r="BT155" s="49">
        <f t="shared" ca="1" si="79"/>
        <v>102</v>
      </c>
    </row>
    <row r="156" spans="1:72" hidden="1" x14ac:dyDescent="0.25">
      <c r="A156" s="6" t="s">
        <v>19436</v>
      </c>
      <c r="B156" s="6">
        <v>1876.26</v>
      </c>
      <c r="C156" s="36">
        <v>46157</v>
      </c>
      <c r="D156" s="6" t="s">
        <v>19438</v>
      </c>
      <c r="E156" s="37">
        <v>10000</v>
      </c>
      <c r="F156" s="38" t="s">
        <v>19735</v>
      </c>
      <c r="G156" s="39" t="str">
        <f t="shared" si="80"/>
        <v>GRN Not Received</v>
      </c>
      <c r="H156" s="40" t="str">
        <f t="shared" si="81"/>
        <v>GRN Not Received</v>
      </c>
      <c r="I156" s="6" t="s">
        <v>19746</v>
      </c>
      <c r="J156" s="36">
        <v>46161</v>
      </c>
      <c r="K156" s="41">
        <v>10000</v>
      </c>
      <c r="L156" s="42">
        <v>0.4</v>
      </c>
      <c r="M156" s="42">
        <f t="shared" si="82"/>
        <v>4000</v>
      </c>
      <c r="N156" s="42">
        <v>0</v>
      </c>
      <c r="O156" s="42">
        <v>0</v>
      </c>
      <c r="P156" s="42">
        <f t="shared" si="83"/>
        <v>4000</v>
      </c>
      <c r="Q156" s="38" t="s">
        <v>19747</v>
      </c>
      <c r="R156" s="36">
        <v>46157</v>
      </c>
      <c r="S156" s="6" t="s">
        <v>19474</v>
      </c>
      <c r="T156" s="50" t="s">
        <v>16611</v>
      </c>
      <c r="U156" s="6" t="str">
        <f>IFERROR(VLOOKUP(T156,'item master'!B:C,2,0),"")</f>
        <v>UNIFORCE (TONIQUE) SIROP 200ML</v>
      </c>
      <c r="V156" s="41">
        <v>10000</v>
      </c>
      <c r="X156" s="44">
        <f t="shared" si="92"/>
        <v>0.4</v>
      </c>
      <c r="Y156" s="42">
        <f t="shared" si="90"/>
        <v>4000</v>
      </c>
      <c r="Z156" s="42">
        <v>0</v>
      </c>
      <c r="AA156" s="42">
        <f t="shared" si="84"/>
        <v>4000</v>
      </c>
      <c r="AB156" s="45">
        <v>0.5</v>
      </c>
      <c r="AC156" s="42">
        <f t="shared" si="91"/>
        <v>2000</v>
      </c>
      <c r="AD156" s="42">
        <f t="shared" si="71"/>
        <v>2000</v>
      </c>
      <c r="AE156" s="36">
        <v>46165</v>
      </c>
      <c r="AF156" s="6" t="s">
        <v>19748</v>
      </c>
      <c r="AJ156" s="41">
        <f t="shared" si="72"/>
        <v>10000</v>
      </c>
      <c r="AO156" s="46">
        <f t="shared" si="63"/>
        <v>0</v>
      </c>
      <c r="AP156" s="46"/>
      <c r="AQ156" s="46"/>
      <c r="AR156" s="46"/>
      <c r="AS156" s="42">
        <f t="shared" si="85"/>
        <v>0</v>
      </c>
      <c r="AV156" s="6" t="s">
        <v>19584</v>
      </c>
      <c r="BA156" s="42">
        <f t="shared" si="64"/>
        <v>2000</v>
      </c>
      <c r="BD156" s="46" t="str">
        <f t="shared" si="86"/>
        <v>0</v>
      </c>
      <c r="BE156" s="46">
        <f t="shared" si="65"/>
        <v>2000</v>
      </c>
      <c r="BF156" s="46">
        <f t="shared" si="66"/>
        <v>-2000</v>
      </c>
      <c r="BG156" s="47">
        <f t="shared" si="67"/>
        <v>4000</v>
      </c>
      <c r="BH156" s="46">
        <f t="shared" si="87"/>
        <v>0</v>
      </c>
      <c r="BO156" s="48">
        <f t="shared" si="68"/>
        <v>0</v>
      </c>
      <c r="BP156" s="48">
        <f t="shared" si="69"/>
        <v>0</v>
      </c>
      <c r="BQ156" s="6" t="str">
        <f t="shared" si="78"/>
        <v>Advance With Supplier</v>
      </c>
      <c r="BS156" s="6" t="str">
        <f t="shared" si="88"/>
        <v>Open</v>
      </c>
      <c r="BT156" s="49">
        <f t="shared" ca="1" si="79"/>
        <v>102</v>
      </c>
    </row>
    <row r="157" spans="1:72" hidden="1" x14ac:dyDescent="0.25">
      <c r="A157" s="6" t="s">
        <v>19436</v>
      </c>
      <c r="B157" s="6">
        <v>1876.26</v>
      </c>
      <c r="C157" s="36">
        <v>46157</v>
      </c>
      <c r="D157" s="6" t="s">
        <v>19438</v>
      </c>
      <c r="E157" s="37">
        <v>5000</v>
      </c>
      <c r="F157" s="38" t="s">
        <v>19745</v>
      </c>
      <c r="G157" s="39" t="str">
        <f t="shared" si="80"/>
        <v>GRN Not Received</v>
      </c>
      <c r="H157" s="40" t="str">
        <f t="shared" si="81"/>
        <v>GRN Not Received</v>
      </c>
      <c r="I157" s="6" t="s">
        <v>19746</v>
      </c>
      <c r="J157" s="36">
        <v>46161</v>
      </c>
      <c r="K157" s="41">
        <v>5000</v>
      </c>
      <c r="L157" s="42">
        <v>1.1000000000000001</v>
      </c>
      <c r="M157" s="42">
        <f t="shared" si="82"/>
        <v>5500</v>
      </c>
      <c r="N157" s="42">
        <v>0</v>
      </c>
      <c r="O157" s="42">
        <v>0</v>
      </c>
      <c r="P157" s="42">
        <f t="shared" si="83"/>
        <v>5500</v>
      </c>
      <c r="Q157" s="38" t="s">
        <v>19747</v>
      </c>
      <c r="R157" s="36">
        <v>46157</v>
      </c>
      <c r="S157" s="6" t="s">
        <v>19474</v>
      </c>
      <c r="T157" s="50" t="s">
        <v>16617</v>
      </c>
      <c r="U157" s="6" t="str">
        <f>IFERROR(VLOOKUP(T157,'item master'!B:C,2,0),"")</f>
        <v>GAVISIL (ANTIACIDE ET ALGINATE) B/24 SACHETS DE 10ML</v>
      </c>
      <c r="V157" s="41">
        <v>5000</v>
      </c>
      <c r="X157" s="44">
        <f t="shared" si="92"/>
        <v>1.1000000000000001</v>
      </c>
      <c r="Y157" s="42">
        <f t="shared" si="90"/>
        <v>5500</v>
      </c>
      <c r="Z157" s="42">
        <v>0</v>
      </c>
      <c r="AA157" s="42">
        <f t="shared" si="84"/>
        <v>5500</v>
      </c>
      <c r="AB157" s="45">
        <v>0.5</v>
      </c>
      <c r="AC157" s="42">
        <f t="shared" si="91"/>
        <v>2750</v>
      </c>
      <c r="AD157" s="42">
        <f t="shared" si="71"/>
        <v>2750</v>
      </c>
      <c r="AE157" s="36">
        <v>46165</v>
      </c>
      <c r="AF157" s="6" t="s">
        <v>19748</v>
      </c>
      <c r="AJ157" s="41">
        <f t="shared" si="72"/>
        <v>5000</v>
      </c>
      <c r="AO157" s="46">
        <f t="shared" si="63"/>
        <v>0</v>
      </c>
      <c r="AP157" s="46"/>
      <c r="AQ157" s="46"/>
      <c r="AR157" s="46"/>
      <c r="AS157" s="42">
        <f t="shared" si="85"/>
        <v>0</v>
      </c>
      <c r="AV157" s="6" t="s">
        <v>19584</v>
      </c>
      <c r="BA157" s="42">
        <f t="shared" si="64"/>
        <v>2750</v>
      </c>
      <c r="BD157" s="46" t="str">
        <f t="shared" si="86"/>
        <v>0</v>
      </c>
      <c r="BE157" s="46">
        <f t="shared" si="65"/>
        <v>2750</v>
      </c>
      <c r="BF157" s="46">
        <f t="shared" si="66"/>
        <v>-2750</v>
      </c>
      <c r="BG157" s="47">
        <f t="shared" si="67"/>
        <v>5500</v>
      </c>
      <c r="BH157" s="46">
        <f t="shared" si="87"/>
        <v>0</v>
      </c>
      <c r="BO157" s="48">
        <f t="shared" si="68"/>
        <v>0</v>
      </c>
      <c r="BP157" s="48">
        <f t="shared" si="69"/>
        <v>0</v>
      </c>
      <c r="BQ157" s="6" t="str">
        <f t="shared" si="78"/>
        <v>Advance With Supplier</v>
      </c>
      <c r="BS157" s="6" t="str">
        <f t="shared" si="88"/>
        <v>Open</v>
      </c>
      <c r="BT157" s="49">
        <f t="shared" ca="1" si="79"/>
        <v>102</v>
      </c>
    </row>
    <row r="158" spans="1:72" hidden="1" x14ac:dyDescent="0.25">
      <c r="A158" s="6" t="s">
        <v>19436</v>
      </c>
      <c r="B158" s="6">
        <v>1876.26</v>
      </c>
      <c r="C158" s="36">
        <v>46157</v>
      </c>
      <c r="D158" s="6" t="s">
        <v>19438</v>
      </c>
      <c r="E158" s="37">
        <v>30000</v>
      </c>
      <c r="F158" s="38" t="s">
        <v>19742</v>
      </c>
      <c r="G158" s="39" t="str">
        <f t="shared" si="80"/>
        <v>GRN Not Received</v>
      </c>
      <c r="H158" s="40" t="str">
        <f t="shared" si="81"/>
        <v>GRN Not Received</v>
      </c>
      <c r="I158" s="6" t="s">
        <v>19746</v>
      </c>
      <c r="J158" s="36">
        <v>46161</v>
      </c>
      <c r="K158" s="41">
        <v>30000</v>
      </c>
      <c r="L158" s="42">
        <v>0.17</v>
      </c>
      <c r="M158" s="42">
        <f t="shared" si="82"/>
        <v>5100</v>
      </c>
      <c r="N158" s="42">
        <v>0</v>
      </c>
      <c r="O158" s="42">
        <v>0</v>
      </c>
      <c r="P158" s="42">
        <f t="shared" si="83"/>
        <v>5100</v>
      </c>
      <c r="Q158" s="38" t="s">
        <v>19747</v>
      </c>
      <c r="R158" s="36">
        <v>46157</v>
      </c>
      <c r="S158" s="6" t="s">
        <v>19474</v>
      </c>
      <c r="T158" s="50" t="s">
        <v>19741</v>
      </c>
      <c r="U158" s="6" t="str">
        <f>IFERROR(VLOOKUP(T158,'item master'!B:C,2,0),"")</f>
        <v>UFLAM (PARACETAMOL+IBUPROFEN) SIROP 60ML</v>
      </c>
      <c r="V158" s="41">
        <v>30000</v>
      </c>
      <c r="X158" s="44">
        <f t="shared" si="92"/>
        <v>0.17</v>
      </c>
      <c r="Y158" s="42">
        <f t="shared" si="90"/>
        <v>5100</v>
      </c>
      <c r="Z158" s="42">
        <v>0</v>
      </c>
      <c r="AA158" s="42">
        <f t="shared" si="84"/>
        <v>5100</v>
      </c>
      <c r="AB158" s="45">
        <v>0.5</v>
      </c>
      <c r="AC158" s="42">
        <f t="shared" si="91"/>
        <v>2550</v>
      </c>
      <c r="AD158" s="42">
        <f t="shared" si="71"/>
        <v>2550</v>
      </c>
      <c r="AE158" s="36">
        <v>46165</v>
      </c>
      <c r="AF158" s="6" t="s">
        <v>19748</v>
      </c>
      <c r="AJ158" s="41">
        <f t="shared" si="72"/>
        <v>30000</v>
      </c>
      <c r="AO158" s="46">
        <f t="shared" si="63"/>
        <v>0</v>
      </c>
      <c r="AP158" s="46"/>
      <c r="AQ158" s="46"/>
      <c r="AR158" s="46"/>
      <c r="AS158" s="42">
        <f t="shared" si="85"/>
        <v>0</v>
      </c>
      <c r="AV158" s="6" t="s">
        <v>19584</v>
      </c>
      <c r="BA158" s="42">
        <f t="shared" si="64"/>
        <v>2550</v>
      </c>
      <c r="BD158" s="46" t="str">
        <f t="shared" si="86"/>
        <v>0</v>
      </c>
      <c r="BE158" s="46">
        <f t="shared" si="65"/>
        <v>2550</v>
      </c>
      <c r="BF158" s="46">
        <f t="shared" si="66"/>
        <v>-2550</v>
      </c>
      <c r="BG158" s="47">
        <f t="shared" si="67"/>
        <v>5100</v>
      </c>
      <c r="BH158" s="46">
        <f t="shared" si="87"/>
        <v>0</v>
      </c>
      <c r="BO158" s="48">
        <f t="shared" si="68"/>
        <v>0</v>
      </c>
      <c r="BP158" s="48">
        <f t="shared" si="69"/>
        <v>0</v>
      </c>
      <c r="BQ158" s="6" t="str">
        <f t="shared" si="78"/>
        <v>Advance With Supplier</v>
      </c>
      <c r="BS158" s="6" t="str">
        <f t="shared" si="88"/>
        <v>Open</v>
      </c>
      <c r="BT158" s="49">
        <f t="shared" ca="1" si="79"/>
        <v>102</v>
      </c>
    </row>
    <row r="159" spans="1:72" hidden="1" x14ac:dyDescent="0.25">
      <c r="A159" s="6" t="s">
        <v>19436</v>
      </c>
      <c r="B159" s="6">
        <v>1923.26</v>
      </c>
      <c r="C159" s="36">
        <v>46185</v>
      </c>
      <c r="D159" s="6" t="s">
        <v>19438</v>
      </c>
      <c r="E159" s="37">
        <v>100000</v>
      </c>
      <c r="F159" s="38" t="s">
        <v>19702</v>
      </c>
      <c r="G159" s="39">
        <f t="shared" si="80"/>
        <v>0</v>
      </c>
      <c r="H159" s="40">
        <f t="shared" si="81"/>
        <v>0</v>
      </c>
      <c r="I159" s="6" t="s">
        <v>19750</v>
      </c>
      <c r="J159" s="36">
        <v>46197</v>
      </c>
      <c r="K159" s="41">
        <v>100000</v>
      </c>
      <c r="L159" s="42">
        <v>0.27</v>
      </c>
      <c r="M159" s="42">
        <f t="shared" si="82"/>
        <v>27000</v>
      </c>
      <c r="N159" s="42">
        <v>0</v>
      </c>
      <c r="O159" s="42">
        <v>0</v>
      </c>
      <c r="P159" s="42">
        <f t="shared" si="83"/>
        <v>27000</v>
      </c>
      <c r="Q159" s="38" t="s">
        <v>19751</v>
      </c>
      <c r="R159" s="36">
        <v>46197</v>
      </c>
      <c r="S159" s="6" t="s">
        <v>19480</v>
      </c>
      <c r="T159" s="50" t="s">
        <v>19752</v>
      </c>
      <c r="U159" s="6" t="str">
        <f>IFERROR(VLOOKUP(T159,'item master'!B:C,2,0),"")</f>
        <v>NISTA-V (NYSTA.) 14 OV. AVEC APPLICATE</v>
      </c>
      <c r="V159" s="41">
        <v>100000</v>
      </c>
      <c r="X159" s="44">
        <v>0.19</v>
      </c>
      <c r="Y159" s="42">
        <f t="shared" si="90"/>
        <v>19000</v>
      </c>
      <c r="Z159" s="42">
        <v>0</v>
      </c>
      <c r="AA159" s="42">
        <f t="shared" si="84"/>
        <v>19000</v>
      </c>
      <c r="AB159" s="45">
        <v>0.3</v>
      </c>
      <c r="AC159" s="42">
        <f t="shared" si="91"/>
        <v>5700</v>
      </c>
      <c r="AD159" s="42">
        <f t="shared" si="71"/>
        <v>5700</v>
      </c>
      <c r="AE159" s="36">
        <v>46202</v>
      </c>
      <c r="AF159" s="6" t="s">
        <v>19753</v>
      </c>
      <c r="AG159" s="41">
        <v>99900</v>
      </c>
      <c r="AH159" s="41">
        <v>99900</v>
      </c>
      <c r="AJ159" s="41">
        <f t="shared" si="72"/>
        <v>100</v>
      </c>
      <c r="AN159" s="41">
        <v>0.19</v>
      </c>
      <c r="AO159" s="46">
        <f>AH159*AN159</f>
        <v>18981</v>
      </c>
      <c r="AP159" s="46"/>
      <c r="AQ159" s="46"/>
      <c r="AR159" s="46"/>
      <c r="AS159" s="42">
        <f t="shared" si="85"/>
        <v>18981</v>
      </c>
      <c r="AV159" s="6" t="s">
        <v>19584</v>
      </c>
      <c r="BA159" s="42">
        <f t="shared" si="64"/>
        <v>5700</v>
      </c>
      <c r="BD159" s="46" t="str">
        <f t="shared" si="86"/>
        <v>0</v>
      </c>
      <c r="BE159" s="46">
        <f t="shared" si="65"/>
        <v>5700</v>
      </c>
      <c r="BF159" s="46">
        <f t="shared" si="66"/>
        <v>-5700</v>
      </c>
      <c r="BG159" s="47">
        <f t="shared" si="67"/>
        <v>11400</v>
      </c>
      <c r="BH159" s="46">
        <f t="shared" si="87"/>
        <v>18981</v>
      </c>
      <c r="BO159" s="48">
        <f t="shared" si="68"/>
        <v>0</v>
      </c>
      <c r="BP159" s="48">
        <f t="shared" si="69"/>
        <v>18981</v>
      </c>
      <c r="BQ159" s="6" t="str">
        <f t="shared" si="78"/>
        <v>Advance With Supplier</v>
      </c>
      <c r="BS159" s="6" t="str">
        <f t="shared" si="88"/>
        <v>Open</v>
      </c>
      <c r="BT159" s="49">
        <f t="shared" ca="1" si="79"/>
        <v>66</v>
      </c>
    </row>
    <row r="160" spans="1:72" hidden="1" x14ac:dyDescent="0.25">
      <c r="A160" s="6" t="s">
        <v>19436</v>
      </c>
      <c r="B160" s="6">
        <v>1923.26</v>
      </c>
      <c r="C160" s="36">
        <v>46185</v>
      </c>
      <c r="D160" s="6" t="s">
        <v>19438</v>
      </c>
      <c r="E160" s="37">
        <v>100000</v>
      </c>
      <c r="F160" s="38" t="s">
        <v>19749</v>
      </c>
      <c r="G160" s="39">
        <f t="shared" si="80"/>
        <v>0</v>
      </c>
      <c r="H160" s="40">
        <f t="shared" si="81"/>
        <v>0</v>
      </c>
      <c r="I160" s="6" t="s">
        <v>19750</v>
      </c>
      <c r="J160" s="36">
        <v>46197</v>
      </c>
      <c r="K160" s="41">
        <v>100000</v>
      </c>
      <c r="L160" s="42">
        <v>0.19</v>
      </c>
      <c r="M160" s="42">
        <f t="shared" si="82"/>
        <v>19000</v>
      </c>
      <c r="N160" s="42">
        <v>0</v>
      </c>
      <c r="O160" s="42">
        <v>0</v>
      </c>
      <c r="P160" s="42">
        <f t="shared" si="83"/>
        <v>19000</v>
      </c>
      <c r="Q160" s="38" t="s">
        <v>19751</v>
      </c>
      <c r="R160" s="36">
        <v>46197</v>
      </c>
      <c r="S160" s="6" t="s">
        <v>19480</v>
      </c>
      <c r="T160" s="50" t="s">
        <v>3740</v>
      </c>
      <c r="U160" s="6" t="str">
        <f>IFERROR(VLOOKUP(T160,'item master'!B:C,2,0),"")</f>
        <v>PREDNISOLONE 5MG B/10X10CES</v>
      </c>
      <c r="V160" s="41">
        <v>100000</v>
      </c>
      <c r="X160" s="44">
        <v>0.27</v>
      </c>
      <c r="Y160" s="42">
        <f t="shared" si="90"/>
        <v>27000</v>
      </c>
      <c r="Z160" s="42">
        <v>0</v>
      </c>
      <c r="AA160" s="42">
        <f t="shared" si="84"/>
        <v>27000</v>
      </c>
      <c r="AB160" s="45">
        <v>0.3</v>
      </c>
      <c r="AC160" s="42">
        <f t="shared" si="91"/>
        <v>8100</v>
      </c>
      <c r="AD160" s="42">
        <f t="shared" si="71"/>
        <v>8100</v>
      </c>
      <c r="AE160" s="36">
        <v>46202</v>
      </c>
      <c r="AF160" s="6" t="s">
        <v>19753</v>
      </c>
      <c r="AG160" s="41">
        <v>101033</v>
      </c>
      <c r="AH160" s="41">
        <v>100000</v>
      </c>
      <c r="AI160" s="41">
        <v>1033</v>
      </c>
      <c r="AJ160" s="41">
        <f t="shared" si="72"/>
        <v>-1033</v>
      </c>
      <c r="AN160" s="41">
        <v>0.27</v>
      </c>
      <c r="AO160" s="46">
        <f>AH160*AN160</f>
        <v>27000</v>
      </c>
      <c r="AP160" s="46"/>
      <c r="AQ160" s="46"/>
      <c r="AR160" s="46"/>
      <c r="AS160" s="42">
        <f t="shared" si="85"/>
        <v>27000</v>
      </c>
      <c r="AV160" s="6" t="s">
        <v>19584</v>
      </c>
      <c r="BA160" s="42">
        <f t="shared" si="64"/>
        <v>8100</v>
      </c>
      <c r="BD160" s="46" t="str">
        <f t="shared" si="86"/>
        <v>0</v>
      </c>
      <c r="BE160" s="46">
        <f t="shared" si="65"/>
        <v>8100</v>
      </c>
      <c r="BF160" s="46">
        <f t="shared" si="66"/>
        <v>-8100</v>
      </c>
      <c r="BG160" s="47">
        <f t="shared" si="67"/>
        <v>16200</v>
      </c>
      <c r="BH160" s="46">
        <f t="shared" si="87"/>
        <v>27000</v>
      </c>
      <c r="BO160" s="48">
        <f t="shared" si="68"/>
        <v>0</v>
      </c>
      <c r="BP160" s="48">
        <f t="shared" si="69"/>
        <v>27000</v>
      </c>
      <c r="BQ160" s="6" t="str">
        <f t="shared" si="78"/>
        <v>Advance With Supplier</v>
      </c>
      <c r="BS160" s="6" t="str">
        <f t="shared" si="88"/>
        <v>Open</v>
      </c>
      <c r="BT160" s="49">
        <f t="shared" ca="1" si="79"/>
        <v>66</v>
      </c>
    </row>
    <row r="161" spans="1:72" hidden="1" x14ac:dyDescent="0.25">
      <c r="A161" s="6" t="s">
        <v>19436</v>
      </c>
      <c r="B161" s="6">
        <v>1966.26</v>
      </c>
      <c r="C161" s="36">
        <v>46202</v>
      </c>
      <c r="D161" s="6" t="s">
        <v>19439</v>
      </c>
      <c r="E161" s="37">
        <v>2400</v>
      </c>
      <c r="F161" s="38" t="s">
        <v>19754</v>
      </c>
      <c r="G161" s="39" t="str">
        <f t="shared" si="80"/>
        <v>GRN Not Received</v>
      </c>
      <c r="H161" s="40" t="str">
        <f t="shared" si="81"/>
        <v>GRN Not Received</v>
      </c>
      <c r="I161" s="6" t="s">
        <v>19755</v>
      </c>
      <c r="J161" s="36">
        <v>46206</v>
      </c>
      <c r="K161" s="41">
        <v>2400</v>
      </c>
      <c r="L161" s="42">
        <v>0.52500000000000002</v>
      </c>
      <c r="M161" s="42">
        <f t="shared" si="82"/>
        <v>1260</v>
      </c>
      <c r="N161" s="42">
        <v>0</v>
      </c>
      <c r="O161" s="42">
        <v>0</v>
      </c>
      <c r="P161" s="42">
        <f t="shared" si="83"/>
        <v>1260</v>
      </c>
      <c r="Q161" s="38" t="s">
        <v>19756</v>
      </c>
      <c r="R161" s="36">
        <v>46207</v>
      </c>
      <c r="S161" s="6" t="s">
        <v>19482</v>
      </c>
      <c r="T161" s="50" t="s">
        <v>19757</v>
      </c>
      <c r="U161" s="6" t="str">
        <f>IFERROR(VLOOKUP(T161,'item master'!B:C,2,0),"")</f>
        <v>UNIDINE (POVIDONE IODEE) 10% SOLUTION 125 ML</v>
      </c>
      <c r="V161" s="41">
        <v>2400</v>
      </c>
      <c r="X161" s="44">
        <f t="shared" si="92"/>
        <v>0.52500000000000002</v>
      </c>
      <c r="Y161" s="42">
        <f t="shared" si="90"/>
        <v>1260</v>
      </c>
      <c r="Z161" s="42">
        <v>0</v>
      </c>
      <c r="AA161" s="42">
        <f t="shared" si="84"/>
        <v>1260</v>
      </c>
      <c r="AB161" s="45">
        <v>1</v>
      </c>
      <c r="AC161" s="42">
        <f t="shared" si="91"/>
        <v>1260</v>
      </c>
      <c r="AD161" s="42">
        <f t="shared" si="71"/>
        <v>1260</v>
      </c>
      <c r="AE161" s="36">
        <v>46216</v>
      </c>
      <c r="AF161" s="6" t="s">
        <v>19762</v>
      </c>
      <c r="AJ161" s="41">
        <f t="shared" si="72"/>
        <v>2400</v>
      </c>
      <c r="AO161" s="46">
        <f t="shared" si="63"/>
        <v>0</v>
      </c>
      <c r="AP161" s="46"/>
      <c r="AQ161" s="46"/>
      <c r="AR161" s="46"/>
      <c r="AS161" s="42">
        <f t="shared" si="85"/>
        <v>0</v>
      </c>
      <c r="AV161" s="6" t="s">
        <v>19584</v>
      </c>
      <c r="BA161" s="42">
        <f t="shared" si="64"/>
        <v>1260</v>
      </c>
      <c r="BD161" s="46" t="str">
        <f t="shared" si="86"/>
        <v>0</v>
      </c>
      <c r="BE161" s="46">
        <f t="shared" si="65"/>
        <v>1260</v>
      </c>
      <c r="BF161" s="46">
        <f t="shared" si="66"/>
        <v>-1260</v>
      </c>
      <c r="BG161" s="47">
        <f t="shared" si="67"/>
        <v>2520</v>
      </c>
      <c r="BH161" s="46">
        <f t="shared" si="87"/>
        <v>0</v>
      </c>
      <c r="BO161" s="48">
        <f t="shared" si="68"/>
        <v>0</v>
      </c>
      <c r="BP161" s="48">
        <f t="shared" si="69"/>
        <v>0</v>
      </c>
      <c r="BQ161" s="6" t="str">
        <f t="shared" si="78"/>
        <v>Advance With Supplier</v>
      </c>
      <c r="BS161" s="6" t="str">
        <f t="shared" si="88"/>
        <v>Open</v>
      </c>
      <c r="BT161" s="49">
        <f t="shared" ca="1" si="79"/>
        <v>57</v>
      </c>
    </row>
    <row r="162" spans="1:72" hidden="1" x14ac:dyDescent="0.25">
      <c r="A162" s="6" t="s">
        <v>19436</v>
      </c>
      <c r="B162" s="6">
        <v>1965.26</v>
      </c>
      <c r="C162" s="36">
        <v>46202</v>
      </c>
      <c r="D162" s="6" t="s">
        <v>19440</v>
      </c>
      <c r="E162" s="37">
        <v>6000</v>
      </c>
      <c r="F162" s="38" t="s">
        <v>19754</v>
      </c>
      <c r="G162" s="39" t="str">
        <f t="shared" si="80"/>
        <v>GRN Not Received</v>
      </c>
      <c r="H162" s="40" t="str">
        <f t="shared" si="81"/>
        <v>GRN Not Received</v>
      </c>
      <c r="I162" s="6" t="s">
        <v>19758</v>
      </c>
      <c r="J162" s="36">
        <v>46206</v>
      </c>
      <c r="K162" s="41">
        <v>6000</v>
      </c>
      <c r="L162" s="42">
        <v>0.52500000000000002</v>
      </c>
      <c r="M162" s="42">
        <f t="shared" si="82"/>
        <v>3150</v>
      </c>
      <c r="N162" s="42">
        <v>0</v>
      </c>
      <c r="O162" s="42">
        <v>0</v>
      </c>
      <c r="P162" s="42">
        <f t="shared" si="83"/>
        <v>3150</v>
      </c>
      <c r="Q162" s="38" t="s">
        <v>19759</v>
      </c>
      <c r="R162" s="36">
        <v>46207</v>
      </c>
      <c r="S162" s="6" t="s">
        <v>19482</v>
      </c>
      <c r="T162" s="50" t="s">
        <v>19757</v>
      </c>
      <c r="U162" s="6" t="str">
        <f>IFERROR(VLOOKUP(T162,'item master'!B:C,2,0),"")</f>
        <v>UNIDINE (POVIDONE IODEE) 10% SOLUTION 125 ML</v>
      </c>
      <c r="V162" s="41">
        <v>6000</v>
      </c>
      <c r="X162" s="44">
        <f t="shared" si="92"/>
        <v>0.52500000000000002</v>
      </c>
      <c r="Y162" s="42">
        <f t="shared" si="90"/>
        <v>3150</v>
      </c>
      <c r="Z162" s="42">
        <v>0</v>
      </c>
      <c r="AA162" s="42">
        <f t="shared" si="84"/>
        <v>3150</v>
      </c>
      <c r="AB162" s="45">
        <v>1</v>
      </c>
      <c r="AC162" s="42">
        <f t="shared" si="91"/>
        <v>3150</v>
      </c>
      <c r="AD162" s="42">
        <f t="shared" si="71"/>
        <v>3150</v>
      </c>
      <c r="AE162" s="36">
        <v>46216</v>
      </c>
      <c r="AF162" s="6" t="s">
        <v>19762</v>
      </c>
      <c r="AJ162" s="41">
        <f t="shared" si="72"/>
        <v>6000</v>
      </c>
      <c r="AO162" s="46">
        <f t="shared" si="63"/>
        <v>0</v>
      </c>
      <c r="AP162" s="46"/>
      <c r="AQ162" s="46"/>
      <c r="AR162" s="46"/>
      <c r="AS162" s="42">
        <f t="shared" si="85"/>
        <v>0</v>
      </c>
      <c r="AV162" s="6" t="s">
        <v>19584</v>
      </c>
      <c r="BA162" s="42">
        <f t="shared" si="64"/>
        <v>3150</v>
      </c>
      <c r="BD162" s="46" t="str">
        <f t="shared" si="86"/>
        <v>0</v>
      </c>
      <c r="BE162" s="46">
        <f t="shared" si="65"/>
        <v>3150</v>
      </c>
      <c r="BF162" s="46">
        <f t="shared" si="66"/>
        <v>-3150</v>
      </c>
      <c r="BG162" s="47">
        <f t="shared" si="67"/>
        <v>6300</v>
      </c>
      <c r="BH162" s="46">
        <f t="shared" si="87"/>
        <v>0</v>
      </c>
      <c r="BO162" s="48">
        <f t="shared" si="68"/>
        <v>0</v>
      </c>
      <c r="BP162" s="48">
        <f t="shared" si="69"/>
        <v>0</v>
      </c>
      <c r="BQ162" s="6" t="str">
        <f t="shared" si="78"/>
        <v>Advance With Supplier</v>
      </c>
      <c r="BS162" s="6" t="str">
        <f t="shared" si="88"/>
        <v>Open</v>
      </c>
      <c r="BT162" s="49">
        <f t="shared" ca="1" si="79"/>
        <v>57</v>
      </c>
    </row>
    <row r="163" spans="1:72" hidden="1" x14ac:dyDescent="0.25">
      <c r="A163" s="6" t="s">
        <v>19436</v>
      </c>
      <c r="B163" s="6">
        <v>1922.26</v>
      </c>
      <c r="C163" s="36">
        <v>46185</v>
      </c>
      <c r="D163" s="6" t="s">
        <v>19438</v>
      </c>
      <c r="E163" s="37">
        <v>10000</v>
      </c>
      <c r="F163" s="38" t="s">
        <v>19736</v>
      </c>
      <c r="G163" s="39" t="str">
        <f t="shared" si="80"/>
        <v>GRN Not Received</v>
      </c>
      <c r="H163" s="40" t="str">
        <f t="shared" si="81"/>
        <v>GRN Not Received</v>
      </c>
      <c r="I163" s="6" t="s">
        <v>19760</v>
      </c>
      <c r="J163" s="36">
        <v>46206</v>
      </c>
      <c r="K163" s="41">
        <v>20000</v>
      </c>
      <c r="L163" s="42">
        <v>0.48</v>
      </c>
      <c r="M163" s="42">
        <f t="shared" si="82"/>
        <v>9600</v>
      </c>
      <c r="N163" s="42">
        <v>0</v>
      </c>
      <c r="O163" s="42">
        <v>0</v>
      </c>
      <c r="P163" s="42">
        <f t="shared" si="83"/>
        <v>9600</v>
      </c>
      <c r="Q163" s="38" t="s">
        <v>19761</v>
      </c>
      <c r="R163" s="36">
        <v>46204</v>
      </c>
      <c r="S163" s="6" t="s">
        <v>19482</v>
      </c>
      <c r="T163" s="50" t="s">
        <v>16633</v>
      </c>
      <c r="U163" s="6" t="str">
        <f>IFERROR(VLOOKUP(T163,'item master'!B:C,2,0),"")</f>
        <v>MOUSTICARE SPRAY (ANTI-MOUSTIQUE) 100ML</v>
      </c>
      <c r="V163" s="41">
        <v>20000</v>
      </c>
      <c r="X163" s="44">
        <f t="shared" si="92"/>
        <v>0.48</v>
      </c>
      <c r="Y163" s="42">
        <f t="shared" si="90"/>
        <v>9600</v>
      </c>
      <c r="Z163" s="42">
        <v>0</v>
      </c>
      <c r="AA163" s="42">
        <f t="shared" si="84"/>
        <v>9600</v>
      </c>
      <c r="AB163" s="45">
        <v>1</v>
      </c>
      <c r="AC163" s="42">
        <f t="shared" si="91"/>
        <v>9600</v>
      </c>
      <c r="AD163" s="42">
        <f t="shared" si="71"/>
        <v>9600</v>
      </c>
      <c r="AE163" s="36">
        <v>46216</v>
      </c>
      <c r="AF163" s="6" t="s">
        <v>19762</v>
      </c>
      <c r="AJ163" s="41">
        <f t="shared" si="72"/>
        <v>20000</v>
      </c>
      <c r="AO163" s="46">
        <f t="shared" si="63"/>
        <v>0</v>
      </c>
      <c r="AP163" s="46"/>
      <c r="AQ163" s="46"/>
      <c r="AR163" s="46"/>
      <c r="AS163" s="42">
        <f t="shared" si="85"/>
        <v>0</v>
      </c>
      <c r="AV163" s="6" t="s">
        <v>19584</v>
      </c>
      <c r="BA163" s="42">
        <f t="shared" si="64"/>
        <v>9600</v>
      </c>
      <c r="BD163" s="46" t="str">
        <f t="shared" si="86"/>
        <v>0</v>
      </c>
      <c r="BE163" s="46">
        <f t="shared" si="65"/>
        <v>9600</v>
      </c>
      <c r="BF163" s="46">
        <f t="shared" si="66"/>
        <v>-9600</v>
      </c>
      <c r="BG163" s="47">
        <f t="shared" si="67"/>
        <v>19200</v>
      </c>
      <c r="BH163" s="46">
        <f t="shared" si="87"/>
        <v>0</v>
      </c>
      <c r="BO163" s="48">
        <f t="shared" si="68"/>
        <v>0</v>
      </c>
      <c r="BP163" s="48">
        <f t="shared" si="69"/>
        <v>0</v>
      </c>
      <c r="BQ163" s="6" t="str">
        <f t="shared" si="78"/>
        <v>Advance With Supplier</v>
      </c>
      <c r="BS163" s="6" t="str">
        <f t="shared" si="88"/>
        <v>Open</v>
      </c>
      <c r="BT163" s="49">
        <f t="shared" ca="1" si="79"/>
        <v>57</v>
      </c>
    </row>
    <row r="164" spans="1:72" hidden="1" x14ac:dyDescent="0.25">
      <c r="A164" s="6" t="s">
        <v>19436</v>
      </c>
      <c r="B164" s="6">
        <v>1870.26</v>
      </c>
      <c r="C164" s="36">
        <v>46155</v>
      </c>
      <c r="D164" s="6" t="s">
        <v>19438</v>
      </c>
      <c r="E164" s="37">
        <v>100000</v>
      </c>
      <c r="F164" s="38" t="s">
        <v>19641</v>
      </c>
      <c r="G164" s="39" t="str">
        <f t="shared" si="80"/>
        <v>GRN Not Received</v>
      </c>
      <c r="H164" s="40" t="str">
        <f t="shared" si="81"/>
        <v>GRN Not Received</v>
      </c>
      <c r="I164" s="6" t="s">
        <v>19763</v>
      </c>
      <c r="J164" s="36">
        <v>46156</v>
      </c>
      <c r="K164" s="41">
        <v>100000</v>
      </c>
      <c r="L164" s="42">
        <v>0.95</v>
      </c>
      <c r="M164" s="42">
        <f t="shared" si="82"/>
        <v>95000</v>
      </c>
      <c r="N164" s="42">
        <v>0</v>
      </c>
      <c r="O164" s="42">
        <v>0</v>
      </c>
      <c r="P164" s="42">
        <f t="shared" si="83"/>
        <v>95000</v>
      </c>
      <c r="Q164" s="38" t="s">
        <v>19764</v>
      </c>
      <c r="R164" s="36">
        <v>46155</v>
      </c>
      <c r="S164" s="6" t="s">
        <v>19485</v>
      </c>
      <c r="T164" s="50" t="s">
        <v>15928</v>
      </c>
      <c r="U164" s="6" t="str">
        <f>IFERROR(VLOOKUP(T164,'item master'!B:C,2,0),"")</f>
        <v>UNISPAS (PHLOROG+TRIMETHY) 4ML B/6AMP</v>
      </c>
      <c r="V164" s="41">
        <v>100000</v>
      </c>
      <c r="X164" s="44">
        <f t="shared" si="92"/>
        <v>0.95</v>
      </c>
      <c r="Y164" s="42">
        <f t="shared" si="90"/>
        <v>95000</v>
      </c>
      <c r="Z164" s="42">
        <v>0</v>
      </c>
      <c r="AA164" s="42">
        <f t="shared" si="84"/>
        <v>95000</v>
      </c>
      <c r="AB164" s="45">
        <v>0.3</v>
      </c>
      <c r="AC164" s="42">
        <f t="shared" si="91"/>
        <v>28500</v>
      </c>
      <c r="AD164" s="42">
        <f t="shared" si="71"/>
        <v>28500</v>
      </c>
      <c r="AE164" s="36">
        <v>46160</v>
      </c>
      <c r="AF164" s="6" t="s">
        <v>19765</v>
      </c>
      <c r="AJ164" s="41">
        <f t="shared" si="72"/>
        <v>100000</v>
      </c>
      <c r="AO164" s="46">
        <f t="shared" si="63"/>
        <v>0</v>
      </c>
      <c r="AP164" s="46"/>
      <c r="AQ164" s="46"/>
      <c r="AR164" s="46"/>
      <c r="AS164" s="42">
        <f t="shared" si="85"/>
        <v>0</v>
      </c>
      <c r="AV164" s="6" t="s">
        <v>19584</v>
      </c>
      <c r="BA164" s="42">
        <f t="shared" ref="BA164:BA221" si="93">AD164+AZ164</f>
        <v>28500</v>
      </c>
      <c r="BD164" s="46" t="str">
        <f t="shared" si="86"/>
        <v>0</v>
      </c>
      <c r="BE164" s="46">
        <f t="shared" ref="BE164:BF221" si="94">BA164-BD164</f>
        <v>28500</v>
      </c>
      <c r="BF164" s="46">
        <f t="shared" si="94"/>
        <v>-28500</v>
      </c>
      <c r="BG164" s="47">
        <f t="shared" ref="BG164:BG221" si="95">BE164-BF164</f>
        <v>57000</v>
      </c>
      <c r="BH164" s="46">
        <f t="shared" si="87"/>
        <v>0</v>
      </c>
      <c r="BO164" s="48">
        <f t="shared" ref="BO164:BO221" si="96">BI164+BL164</f>
        <v>0</v>
      </c>
      <c r="BP164" s="48">
        <f t="shared" ref="BP164:BP221" si="97">BH164-BO164</f>
        <v>0</v>
      </c>
      <c r="BQ164" s="6" t="str">
        <f t="shared" si="78"/>
        <v>Advance With Supplier</v>
      </c>
      <c r="BS164" s="6" t="str">
        <f t="shared" si="88"/>
        <v>Open</v>
      </c>
      <c r="BT164" s="49">
        <f t="shared" ca="1" si="79"/>
        <v>107</v>
      </c>
    </row>
    <row r="165" spans="1:72" hidden="1" x14ac:dyDescent="0.25">
      <c r="A165" s="6" t="s">
        <v>19436</v>
      </c>
      <c r="B165" s="6">
        <v>1921.26</v>
      </c>
      <c r="C165" s="36">
        <v>46185</v>
      </c>
      <c r="D165" s="6" t="s">
        <v>19438</v>
      </c>
      <c r="E165" s="37">
        <v>100000</v>
      </c>
      <c r="F165" s="38" t="s">
        <v>19641</v>
      </c>
      <c r="G165" s="39" t="str">
        <f t="shared" si="80"/>
        <v>GRN Not Received</v>
      </c>
      <c r="H165" s="40" t="str">
        <f t="shared" si="81"/>
        <v>GRN Not Received</v>
      </c>
      <c r="I165" s="6" t="s">
        <v>19766</v>
      </c>
      <c r="J165" s="36">
        <v>46197</v>
      </c>
      <c r="K165" s="41">
        <v>100000</v>
      </c>
      <c r="L165" s="42">
        <v>0.95</v>
      </c>
      <c r="M165" s="42">
        <f t="shared" si="82"/>
        <v>95000</v>
      </c>
      <c r="N165" s="42">
        <v>0</v>
      </c>
      <c r="O165" s="42">
        <v>0</v>
      </c>
      <c r="P165" s="42">
        <f t="shared" si="83"/>
        <v>95000</v>
      </c>
      <c r="Q165" s="38" t="s">
        <v>19767</v>
      </c>
      <c r="R165" s="36">
        <v>46197</v>
      </c>
      <c r="S165" s="6" t="s">
        <v>19485</v>
      </c>
      <c r="T165" s="50" t="s">
        <v>15928</v>
      </c>
      <c r="U165" s="6" t="str">
        <f>IFERROR(VLOOKUP(T165,'item master'!B:C,2,0),"")</f>
        <v>UNISPAS (PHLOROG+TRIMETHY) 4ML B/6AMP</v>
      </c>
      <c r="V165" s="41">
        <v>100000</v>
      </c>
      <c r="X165" s="44">
        <f t="shared" si="92"/>
        <v>0.95</v>
      </c>
      <c r="Y165" s="42">
        <f t="shared" si="90"/>
        <v>95000</v>
      </c>
      <c r="Z165" s="42">
        <v>0</v>
      </c>
      <c r="AA165" s="42">
        <f t="shared" si="84"/>
        <v>95000</v>
      </c>
      <c r="AB165" s="45">
        <v>0.3</v>
      </c>
      <c r="AC165" s="42">
        <f t="shared" si="91"/>
        <v>28500</v>
      </c>
      <c r="AD165" s="42">
        <f t="shared" si="71"/>
        <v>28500</v>
      </c>
      <c r="AE165" s="36">
        <v>46200</v>
      </c>
      <c r="AF165" s="6" t="s">
        <v>19768</v>
      </c>
      <c r="AJ165" s="41">
        <f t="shared" si="72"/>
        <v>100000</v>
      </c>
      <c r="AO165" s="46">
        <f t="shared" ref="AO165:AO170" si="98">AG165*AN165</f>
        <v>0</v>
      </c>
      <c r="AP165" s="46"/>
      <c r="AQ165" s="46"/>
      <c r="AR165" s="46"/>
      <c r="AS165" s="42">
        <f t="shared" si="85"/>
        <v>0</v>
      </c>
      <c r="AV165" s="6" t="s">
        <v>19584</v>
      </c>
      <c r="BA165" s="42">
        <f t="shared" si="93"/>
        <v>28500</v>
      </c>
      <c r="BD165" s="46" t="str">
        <f t="shared" si="86"/>
        <v>0</v>
      </c>
      <c r="BE165" s="46">
        <f t="shared" si="94"/>
        <v>28500</v>
      </c>
      <c r="BF165" s="46">
        <f t="shared" si="94"/>
        <v>-28500</v>
      </c>
      <c r="BG165" s="47">
        <f t="shared" si="95"/>
        <v>57000</v>
      </c>
      <c r="BH165" s="46">
        <f t="shared" si="87"/>
        <v>0</v>
      </c>
      <c r="BO165" s="48">
        <f t="shared" si="96"/>
        <v>0</v>
      </c>
      <c r="BP165" s="48">
        <f t="shared" si="97"/>
        <v>0</v>
      </c>
      <c r="BQ165" s="6" t="str">
        <f t="shared" si="78"/>
        <v>Advance With Supplier</v>
      </c>
      <c r="BS165" s="6" t="str">
        <f t="shared" si="88"/>
        <v>Open</v>
      </c>
      <c r="BT165" s="49">
        <f t="shared" ca="1" si="79"/>
        <v>66</v>
      </c>
    </row>
    <row r="166" spans="1:72" hidden="1" x14ac:dyDescent="0.25">
      <c r="A166" s="6" t="s">
        <v>19436</v>
      </c>
      <c r="B166" s="6">
        <v>1917.26</v>
      </c>
      <c r="C166" s="36">
        <v>46185</v>
      </c>
      <c r="D166" s="6" t="s">
        <v>19438</v>
      </c>
      <c r="E166" s="37">
        <v>14400</v>
      </c>
      <c r="F166" s="38" t="s">
        <v>19550</v>
      </c>
      <c r="G166" s="39" t="str">
        <f t="shared" si="80"/>
        <v>GRN Not Received</v>
      </c>
      <c r="H166" s="40" t="str">
        <f t="shared" si="81"/>
        <v>GRN Not Received</v>
      </c>
      <c r="I166" s="6" t="s">
        <v>19770</v>
      </c>
      <c r="J166" s="36">
        <v>46216</v>
      </c>
      <c r="K166" s="41">
        <v>14500</v>
      </c>
      <c r="L166" s="42">
        <v>0.19</v>
      </c>
      <c r="M166" s="42">
        <f t="shared" si="82"/>
        <v>2755</v>
      </c>
      <c r="N166" s="42">
        <v>0</v>
      </c>
      <c r="O166" s="42">
        <v>0</v>
      </c>
      <c r="P166" s="42">
        <f t="shared" si="83"/>
        <v>2755</v>
      </c>
      <c r="Q166" s="38">
        <v>1109</v>
      </c>
      <c r="R166" s="36">
        <v>46214</v>
      </c>
      <c r="S166" s="6" t="s">
        <v>19489</v>
      </c>
      <c r="T166" s="50" t="s">
        <v>17089</v>
      </c>
      <c r="U166" s="6" t="str">
        <f>IFERROR(VLOOKUP(T166,'item master'!B:C,2,0),"")</f>
        <v>DELABACT SAVON HYDRATANT 75G (POUR UNE PEAU DOUCE, SAINE ET RAJEUNIE)</v>
      </c>
      <c r="V166" s="41">
        <v>14500</v>
      </c>
      <c r="X166" s="44">
        <f t="shared" si="92"/>
        <v>0.19</v>
      </c>
      <c r="Y166" s="42">
        <f t="shared" si="90"/>
        <v>2755</v>
      </c>
      <c r="Z166" s="42">
        <v>0</v>
      </c>
      <c r="AA166" s="42">
        <f t="shared" si="84"/>
        <v>2755</v>
      </c>
      <c r="AB166" s="45">
        <v>0.5</v>
      </c>
      <c r="AC166" s="42">
        <f t="shared" si="91"/>
        <v>1377.5</v>
      </c>
      <c r="AD166" s="42">
        <f t="shared" si="71"/>
        <v>1377.5</v>
      </c>
      <c r="AE166" s="36">
        <v>46218</v>
      </c>
      <c r="AF166" s="6" t="s">
        <v>19771</v>
      </c>
      <c r="AJ166" s="41">
        <f t="shared" si="72"/>
        <v>14500</v>
      </c>
      <c r="AO166" s="46">
        <f t="shared" si="98"/>
        <v>0</v>
      </c>
      <c r="AP166" s="46"/>
      <c r="AQ166" s="46"/>
      <c r="AR166" s="46"/>
      <c r="AS166" s="42">
        <f t="shared" si="85"/>
        <v>0</v>
      </c>
      <c r="AV166" s="6" t="s">
        <v>19584</v>
      </c>
      <c r="BA166" s="42">
        <f t="shared" si="93"/>
        <v>1377.5</v>
      </c>
      <c r="BB166" s="46">
        <v>0</v>
      </c>
      <c r="BC166" s="46">
        <v>0</v>
      </c>
      <c r="BD166" s="46" t="str">
        <f t="shared" si="86"/>
        <v>0</v>
      </c>
      <c r="BE166" s="46">
        <f t="shared" si="94"/>
        <v>1377.5</v>
      </c>
      <c r="BF166" s="46">
        <f t="shared" si="94"/>
        <v>-1377.5</v>
      </c>
      <c r="BG166" s="47">
        <f t="shared" si="95"/>
        <v>2755</v>
      </c>
      <c r="BH166" s="46">
        <f t="shared" si="87"/>
        <v>0</v>
      </c>
      <c r="BO166" s="48">
        <f t="shared" si="96"/>
        <v>0</v>
      </c>
      <c r="BP166" s="48">
        <f t="shared" si="97"/>
        <v>0</v>
      </c>
      <c r="BQ166" s="6" t="str">
        <f t="shared" si="78"/>
        <v>Advance With Supplier</v>
      </c>
      <c r="BS166" s="6" t="str">
        <f t="shared" si="88"/>
        <v>Open</v>
      </c>
      <c r="BT166" s="49">
        <f t="shared" ca="1" si="79"/>
        <v>47</v>
      </c>
    </row>
    <row r="167" spans="1:72" hidden="1" x14ac:dyDescent="0.25">
      <c r="A167" s="6" t="s">
        <v>19436</v>
      </c>
      <c r="B167" s="6">
        <v>1944.26</v>
      </c>
      <c r="C167" s="36">
        <v>46196</v>
      </c>
      <c r="D167" s="6" t="s">
        <v>19438</v>
      </c>
      <c r="E167" s="37">
        <v>100000</v>
      </c>
      <c r="F167" s="38" t="s">
        <v>19772</v>
      </c>
      <c r="G167" s="39" t="str">
        <f t="shared" si="80"/>
        <v>GRN Not Received</v>
      </c>
      <c r="H167" s="40" t="str">
        <f t="shared" si="81"/>
        <v>GRN Not Received</v>
      </c>
      <c r="I167" s="6" t="s">
        <v>19774</v>
      </c>
      <c r="J167" s="36">
        <v>46198</v>
      </c>
      <c r="K167" s="41">
        <v>248000</v>
      </c>
      <c r="L167" s="42">
        <v>0.71</v>
      </c>
      <c r="M167" s="42">
        <f t="shared" si="82"/>
        <v>176080</v>
      </c>
      <c r="N167" s="42">
        <v>0</v>
      </c>
      <c r="O167" s="42">
        <v>0</v>
      </c>
      <c r="P167" s="42">
        <f t="shared" si="83"/>
        <v>176080</v>
      </c>
      <c r="Q167" s="38" t="s">
        <v>19775</v>
      </c>
      <c r="R167" s="36">
        <v>46196</v>
      </c>
      <c r="S167" s="6" t="s">
        <v>19495</v>
      </c>
      <c r="T167" s="50" t="s">
        <v>3443</v>
      </c>
      <c r="U167" s="6" t="str">
        <f>IFERROR(VLOOKUP(T167,'item master'!B:C,2,0),"")</f>
        <v>EAU DISTILLEE B/50 PCS</v>
      </c>
      <c r="V167" s="41">
        <v>248000</v>
      </c>
      <c r="X167" s="44">
        <f t="shared" si="92"/>
        <v>0.71</v>
      </c>
      <c r="Y167" s="42">
        <f t="shared" si="90"/>
        <v>176080</v>
      </c>
      <c r="Z167" s="42">
        <v>0</v>
      </c>
      <c r="AA167" s="42">
        <f t="shared" si="84"/>
        <v>176080</v>
      </c>
      <c r="AB167" s="45">
        <v>0.3</v>
      </c>
      <c r="AC167" s="42">
        <f t="shared" si="91"/>
        <v>52824</v>
      </c>
      <c r="AD167" s="42">
        <f t="shared" ref="AD167:AD173" si="99">AC167</f>
        <v>52824</v>
      </c>
      <c r="AE167" s="36">
        <v>46202</v>
      </c>
      <c r="AF167" s="6" t="s">
        <v>19777</v>
      </c>
      <c r="AJ167" s="41">
        <f t="shared" ref="AJ167:AJ227" si="100">V167-AG167</f>
        <v>248000</v>
      </c>
      <c r="AO167" s="46">
        <f t="shared" si="98"/>
        <v>0</v>
      </c>
      <c r="AP167" s="46"/>
      <c r="AQ167" s="46"/>
      <c r="AR167" s="46"/>
      <c r="AS167" s="42">
        <f t="shared" si="85"/>
        <v>0</v>
      </c>
      <c r="AV167" s="6" t="s">
        <v>19584</v>
      </c>
      <c r="BA167" s="42">
        <f t="shared" si="93"/>
        <v>52824</v>
      </c>
      <c r="BD167" s="46" t="str">
        <f t="shared" si="86"/>
        <v>0</v>
      </c>
      <c r="BE167" s="46">
        <f t="shared" si="94"/>
        <v>52824</v>
      </c>
      <c r="BF167" s="46">
        <f t="shared" si="94"/>
        <v>-52824</v>
      </c>
      <c r="BG167" s="47">
        <f t="shared" si="95"/>
        <v>105648</v>
      </c>
      <c r="BH167" s="46">
        <f t="shared" si="87"/>
        <v>0</v>
      </c>
      <c r="BO167" s="48">
        <f t="shared" si="96"/>
        <v>0</v>
      </c>
      <c r="BP167" s="48">
        <f t="shared" si="97"/>
        <v>0</v>
      </c>
      <c r="BQ167" s="6" t="str">
        <f t="shared" si="78"/>
        <v>Advance With Supplier</v>
      </c>
      <c r="BS167" s="6" t="str">
        <f t="shared" si="88"/>
        <v>Open</v>
      </c>
      <c r="BT167" s="49">
        <f t="shared" ca="1" si="79"/>
        <v>65</v>
      </c>
    </row>
    <row r="168" spans="1:72" hidden="1" x14ac:dyDescent="0.25">
      <c r="A168" s="6" t="s">
        <v>19436</v>
      </c>
      <c r="B168" s="6">
        <v>1944.26</v>
      </c>
      <c r="C168" s="36">
        <v>46196</v>
      </c>
      <c r="D168" s="6" t="s">
        <v>19438</v>
      </c>
      <c r="E168" s="37">
        <v>248000</v>
      </c>
      <c r="F168" s="38" t="s">
        <v>19773</v>
      </c>
      <c r="G168" s="39" t="str">
        <f t="shared" si="80"/>
        <v>GRN Not Received</v>
      </c>
      <c r="H168" s="40" t="str">
        <f t="shared" si="81"/>
        <v>GRN Not Received</v>
      </c>
      <c r="I168" s="6" t="s">
        <v>19774</v>
      </c>
      <c r="J168" s="36">
        <v>46198</v>
      </c>
      <c r="K168" s="37">
        <v>100000</v>
      </c>
      <c r="L168" s="42">
        <v>0.15</v>
      </c>
      <c r="M168" s="42">
        <f t="shared" si="82"/>
        <v>15000</v>
      </c>
      <c r="N168" s="42">
        <v>0</v>
      </c>
      <c r="O168" s="42">
        <v>0</v>
      </c>
      <c r="P168" s="42">
        <f t="shared" si="83"/>
        <v>15000</v>
      </c>
      <c r="Q168" s="38" t="s">
        <v>19775</v>
      </c>
      <c r="R168" s="36">
        <v>46196</v>
      </c>
      <c r="S168" s="6" t="s">
        <v>19495</v>
      </c>
      <c r="T168" s="50" t="s">
        <v>10716</v>
      </c>
      <c r="U168" s="6" t="str">
        <f>IFERROR(VLOOKUP(T168,'item master'!B:C,2,0),"")</f>
        <v>GLUCOSE HYPERTONIQUE 50ML</v>
      </c>
      <c r="V168" s="41">
        <v>100000</v>
      </c>
      <c r="X168" s="44">
        <f t="shared" si="92"/>
        <v>0.15</v>
      </c>
      <c r="Y168" s="42">
        <f t="shared" si="90"/>
        <v>15000</v>
      </c>
      <c r="Z168" s="42">
        <v>0</v>
      </c>
      <c r="AA168" s="42">
        <f t="shared" si="84"/>
        <v>15000</v>
      </c>
      <c r="AB168" s="45">
        <v>0.3</v>
      </c>
      <c r="AC168" s="42">
        <f t="shared" ref="AC168:AC199" si="101">Y168*AB168</f>
        <v>4500</v>
      </c>
      <c r="AD168" s="42">
        <f t="shared" si="99"/>
        <v>4500</v>
      </c>
      <c r="AE168" s="36">
        <v>46202</v>
      </c>
      <c r="AF168" s="6" t="s">
        <v>19777</v>
      </c>
      <c r="AJ168" s="41">
        <f t="shared" si="100"/>
        <v>100000</v>
      </c>
      <c r="AO168" s="46">
        <f t="shared" si="98"/>
        <v>0</v>
      </c>
      <c r="AP168" s="46"/>
      <c r="AQ168" s="46"/>
      <c r="AR168" s="46"/>
      <c r="AS168" s="42">
        <f t="shared" si="85"/>
        <v>0</v>
      </c>
      <c r="AV168" s="6" t="s">
        <v>19584</v>
      </c>
      <c r="BA168" s="42">
        <f t="shared" si="93"/>
        <v>4500</v>
      </c>
      <c r="BD168" s="46" t="str">
        <f t="shared" si="86"/>
        <v>0</v>
      </c>
      <c r="BE168" s="46">
        <f t="shared" si="94"/>
        <v>4500</v>
      </c>
      <c r="BF168" s="46">
        <f t="shared" si="94"/>
        <v>-4500</v>
      </c>
      <c r="BG168" s="47">
        <f t="shared" si="95"/>
        <v>9000</v>
      </c>
      <c r="BH168" s="46">
        <f t="shared" si="87"/>
        <v>0</v>
      </c>
      <c r="BO168" s="48">
        <f t="shared" si="96"/>
        <v>0</v>
      </c>
      <c r="BP168" s="48">
        <f t="shared" si="97"/>
        <v>0</v>
      </c>
      <c r="BQ168" s="6" t="str">
        <f t="shared" si="78"/>
        <v>Advance With Supplier</v>
      </c>
      <c r="BS168" s="6" t="str">
        <f t="shared" si="88"/>
        <v>Open</v>
      </c>
      <c r="BT168" s="49">
        <f t="shared" ca="1" si="79"/>
        <v>65</v>
      </c>
    </row>
    <row r="169" spans="1:72" hidden="1" x14ac:dyDescent="0.25">
      <c r="A169" s="6" t="s">
        <v>19436</v>
      </c>
      <c r="B169" s="6">
        <v>1944.26</v>
      </c>
      <c r="C169" s="36">
        <v>46196</v>
      </c>
      <c r="D169" s="6" t="s">
        <v>19438</v>
      </c>
      <c r="E169" s="37">
        <v>1080000</v>
      </c>
      <c r="F169" s="38" t="s">
        <v>19769</v>
      </c>
      <c r="G169" s="39" t="str">
        <f t="shared" si="80"/>
        <v>GRN Not Received</v>
      </c>
      <c r="H169" s="40" t="str">
        <f t="shared" si="81"/>
        <v>GRN Not Received</v>
      </c>
      <c r="I169" s="6" t="s">
        <v>19774</v>
      </c>
      <c r="J169" s="36">
        <v>46198</v>
      </c>
      <c r="K169" s="41">
        <v>1080000</v>
      </c>
      <c r="L169" s="42">
        <v>0.05</v>
      </c>
      <c r="M169" s="42">
        <f t="shared" si="82"/>
        <v>54000</v>
      </c>
      <c r="N169" s="42">
        <v>0</v>
      </c>
      <c r="O169" s="42">
        <v>0</v>
      </c>
      <c r="P169" s="42">
        <f t="shared" si="83"/>
        <v>54000</v>
      </c>
      <c r="Q169" s="38" t="s">
        <v>19776</v>
      </c>
      <c r="R169" s="36">
        <v>46196</v>
      </c>
      <c r="S169" s="6" t="s">
        <v>19495</v>
      </c>
      <c r="T169" s="50" t="s">
        <v>14212</v>
      </c>
      <c r="U169" s="6" t="str">
        <f>IFERROR(VLOOKUP(T169,'item master'!B:C,2,0),"")</f>
        <v>TROUSSE DE PERIFUSION PCS (NORMALE)</v>
      </c>
      <c r="V169" s="41">
        <v>1080000</v>
      </c>
      <c r="X169" s="44">
        <f t="shared" si="92"/>
        <v>0.05</v>
      </c>
      <c r="Y169" s="42">
        <f t="shared" si="90"/>
        <v>54000</v>
      </c>
      <c r="Z169" s="42">
        <v>0</v>
      </c>
      <c r="AA169" s="42">
        <f t="shared" si="84"/>
        <v>54000</v>
      </c>
      <c r="AB169" s="45">
        <v>0.3</v>
      </c>
      <c r="AC169" s="42">
        <f t="shared" si="101"/>
        <v>16200</v>
      </c>
      <c r="AD169" s="42">
        <f t="shared" si="99"/>
        <v>16200</v>
      </c>
      <c r="AE169" s="36">
        <v>46202</v>
      </c>
      <c r="AF169" s="6" t="s">
        <v>19777</v>
      </c>
      <c r="AJ169" s="41">
        <f t="shared" si="100"/>
        <v>1080000</v>
      </c>
      <c r="AO169" s="46">
        <f t="shared" si="98"/>
        <v>0</v>
      </c>
      <c r="AP169" s="46"/>
      <c r="AQ169" s="46"/>
      <c r="AR169" s="46"/>
      <c r="AS169" s="42">
        <f t="shared" si="85"/>
        <v>0</v>
      </c>
      <c r="AV169" s="6" t="s">
        <v>19584</v>
      </c>
      <c r="BA169" s="42">
        <f t="shared" si="93"/>
        <v>16200</v>
      </c>
      <c r="BD169" s="46" t="str">
        <f t="shared" si="86"/>
        <v>0</v>
      </c>
      <c r="BE169" s="46">
        <f t="shared" si="94"/>
        <v>16200</v>
      </c>
      <c r="BF169" s="46">
        <f t="shared" si="94"/>
        <v>-16200</v>
      </c>
      <c r="BG169" s="47">
        <f t="shared" si="95"/>
        <v>32400</v>
      </c>
      <c r="BH169" s="46">
        <f t="shared" si="87"/>
        <v>0</v>
      </c>
      <c r="BO169" s="48">
        <f t="shared" si="96"/>
        <v>0</v>
      </c>
      <c r="BP169" s="48">
        <f t="shared" si="97"/>
        <v>0</v>
      </c>
      <c r="BQ169" s="6" t="str">
        <f t="shared" si="78"/>
        <v>Advance With Supplier</v>
      </c>
      <c r="BS169" s="6" t="str">
        <f t="shared" si="88"/>
        <v>Open</v>
      </c>
      <c r="BT169" s="49">
        <f t="shared" ca="1" si="79"/>
        <v>65</v>
      </c>
    </row>
    <row r="170" spans="1:72" hidden="1" x14ac:dyDescent="0.25">
      <c r="A170" s="6" t="s">
        <v>19436</v>
      </c>
      <c r="B170" s="6">
        <v>1960.26</v>
      </c>
      <c r="C170" s="36">
        <v>46202</v>
      </c>
      <c r="D170" s="6" t="s">
        <v>19440</v>
      </c>
      <c r="E170" s="37">
        <v>10000</v>
      </c>
      <c r="F170" s="38" t="s">
        <v>19772</v>
      </c>
      <c r="G170" s="39" t="str">
        <f t="shared" si="80"/>
        <v>GRN Not Received</v>
      </c>
      <c r="H170" s="40" t="str">
        <f t="shared" si="81"/>
        <v>GRN Not Received</v>
      </c>
      <c r="I170" s="6" t="s">
        <v>19778</v>
      </c>
      <c r="J170" s="36">
        <v>46209</v>
      </c>
      <c r="K170" s="41">
        <v>12000</v>
      </c>
      <c r="L170" s="42">
        <v>0.71</v>
      </c>
      <c r="M170" s="42">
        <f t="shared" si="82"/>
        <v>8520</v>
      </c>
      <c r="N170" s="42">
        <v>0</v>
      </c>
      <c r="O170" s="42">
        <v>0</v>
      </c>
      <c r="P170" s="42">
        <f t="shared" si="83"/>
        <v>8520</v>
      </c>
      <c r="Q170" s="38" t="s">
        <v>19779</v>
      </c>
      <c r="R170" s="36">
        <v>46214</v>
      </c>
      <c r="S170" s="6" t="s">
        <v>19495</v>
      </c>
      <c r="T170" s="50" t="s">
        <v>3443</v>
      </c>
      <c r="U170" s="6" t="str">
        <f>IFERROR(VLOOKUP(T170,'item master'!B:C,2,0),"")</f>
        <v>EAU DISTILLEE B/50 PCS</v>
      </c>
      <c r="V170" s="41">
        <v>12000</v>
      </c>
      <c r="X170" s="44">
        <f t="shared" si="92"/>
        <v>0.71</v>
      </c>
      <c r="Y170" s="42">
        <f t="shared" si="90"/>
        <v>8520</v>
      </c>
      <c r="Z170" s="42">
        <v>0</v>
      </c>
      <c r="AA170" s="42">
        <f t="shared" si="84"/>
        <v>8520</v>
      </c>
      <c r="AB170" s="45">
        <v>0.3</v>
      </c>
      <c r="AC170" s="42">
        <f t="shared" si="101"/>
        <v>2556</v>
      </c>
      <c r="AD170" s="42">
        <f t="shared" si="99"/>
        <v>2556</v>
      </c>
      <c r="AE170" s="36">
        <v>46216</v>
      </c>
      <c r="AF170" s="6" t="s">
        <v>19780</v>
      </c>
      <c r="AJ170" s="41">
        <f t="shared" si="100"/>
        <v>12000</v>
      </c>
      <c r="AO170" s="46">
        <f t="shared" si="98"/>
        <v>0</v>
      </c>
      <c r="AP170" s="46"/>
      <c r="AQ170" s="46"/>
      <c r="AR170" s="46"/>
      <c r="AS170" s="42">
        <f t="shared" si="85"/>
        <v>0</v>
      </c>
      <c r="AV170" s="6" t="s">
        <v>19584</v>
      </c>
      <c r="BA170" s="42">
        <f t="shared" si="93"/>
        <v>2556</v>
      </c>
      <c r="BD170" s="46" t="str">
        <f t="shared" si="86"/>
        <v>0</v>
      </c>
      <c r="BE170" s="46">
        <f t="shared" si="94"/>
        <v>2556</v>
      </c>
      <c r="BF170" s="46">
        <f t="shared" si="94"/>
        <v>-2556</v>
      </c>
      <c r="BG170" s="47">
        <f t="shared" si="95"/>
        <v>5112</v>
      </c>
      <c r="BH170" s="46">
        <f t="shared" si="87"/>
        <v>0</v>
      </c>
      <c r="BO170" s="48">
        <f t="shared" si="96"/>
        <v>0</v>
      </c>
      <c r="BP170" s="48">
        <f t="shared" si="97"/>
        <v>0</v>
      </c>
      <c r="BQ170" s="6" t="str">
        <f t="shared" si="78"/>
        <v>Advance With Supplier</v>
      </c>
      <c r="BS170" s="6" t="str">
        <f t="shared" si="88"/>
        <v>Open</v>
      </c>
      <c r="BT170" s="49">
        <f t="shared" ca="1" si="79"/>
        <v>54</v>
      </c>
    </row>
    <row r="171" spans="1:72" hidden="1" x14ac:dyDescent="0.25">
      <c r="A171" s="6" t="s">
        <v>19436</v>
      </c>
      <c r="B171" s="6">
        <v>1892.26</v>
      </c>
      <c r="C171" s="36">
        <v>46159</v>
      </c>
      <c r="D171" s="6" t="s">
        <v>19438</v>
      </c>
      <c r="E171" s="37">
        <v>13350</v>
      </c>
      <c r="F171" s="38" t="s">
        <v>19782</v>
      </c>
      <c r="G171" s="39" t="str">
        <f t="shared" si="80"/>
        <v>GRN Not Received</v>
      </c>
      <c r="H171" s="40" t="str">
        <f t="shared" si="81"/>
        <v>GRN Not Received</v>
      </c>
      <c r="I171" s="6" t="s">
        <v>19781</v>
      </c>
      <c r="J171" s="36">
        <v>46174</v>
      </c>
      <c r="K171" s="41">
        <v>13350</v>
      </c>
      <c r="L171" s="42">
        <v>2.79</v>
      </c>
      <c r="M171" s="42">
        <f t="shared" si="82"/>
        <v>37246.5</v>
      </c>
      <c r="N171" s="42">
        <v>0</v>
      </c>
      <c r="O171" s="42">
        <v>0</v>
      </c>
      <c r="P171" s="42">
        <f t="shared" si="83"/>
        <v>37246.5</v>
      </c>
      <c r="Q171" s="38" t="s">
        <v>19783</v>
      </c>
      <c r="R171" s="36">
        <v>46190</v>
      </c>
      <c r="S171" s="6" t="s">
        <v>19496</v>
      </c>
      <c r="T171" s="50" t="s">
        <v>15074</v>
      </c>
      <c r="U171" s="6" t="str">
        <f>IFERROR(VLOOKUP(T171,'item master'!B:C,2,0),"")</f>
        <v>ANDROBOOST (TESTOSTERONE 40MG) B/3X10 CAPS. MOLLES</v>
      </c>
      <c r="V171" s="41">
        <v>13350</v>
      </c>
      <c r="X171" s="44">
        <f t="shared" si="92"/>
        <v>2.79</v>
      </c>
      <c r="Y171" s="42">
        <f t="shared" si="90"/>
        <v>37246.5</v>
      </c>
      <c r="Z171" s="42">
        <v>0</v>
      </c>
      <c r="AA171" s="42">
        <f t="shared" si="84"/>
        <v>37246.5</v>
      </c>
      <c r="AB171" s="45">
        <v>0.3</v>
      </c>
      <c r="AC171" s="42">
        <f t="shared" si="101"/>
        <v>11173.949999999999</v>
      </c>
      <c r="AD171" s="42">
        <f t="shared" si="99"/>
        <v>11173.949999999999</v>
      </c>
      <c r="AE171" s="36">
        <v>46197</v>
      </c>
      <c r="AF171" s="6" t="s">
        <v>19784</v>
      </c>
      <c r="AJ171" s="41">
        <f t="shared" si="100"/>
        <v>13350</v>
      </c>
      <c r="AS171" s="42">
        <f t="shared" si="85"/>
        <v>0</v>
      </c>
      <c r="AV171" s="6" t="s">
        <v>19584</v>
      </c>
      <c r="BA171" s="42">
        <f t="shared" si="93"/>
        <v>11173.949999999999</v>
      </c>
      <c r="BD171" s="46" t="str">
        <f t="shared" si="86"/>
        <v>0</v>
      </c>
      <c r="BE171" s="46">
        <f t="shared" si="94"/>
        <v>11173.949999999999</v>
      </c>
      <c r="BF171" s="46">
        <f t="shared" si="94"/>
        <v>-11173.949999999999</v>
      </c>
      <c r="BG171" s="47">
        <f t="shared" si="95"/>
        <v>22347.899999999998</v>
      </c>
      <c r="BH171" s="46">
        <f t="shared" si="87"/>
        <v>0</v>
      </c>
      <c r="BO171" s="48">
        <f t="shared" si="96"/>
        <v>0</v>
      </c>
      <c r="BP171" s="48">
        <f t="shared" si="97"/>
        <v>0</v>
      </c>
      <c r="BQ171" s="6" t="str">
        <f t="shared" si="78"/>
        <v>Advance With Supplier</v>
      </c>
      <c r="BS171" s="6" t="str">
        <f t="shared" si="88"/>
        <v>Open</v>
      </c>
      <c r="BT171" s="49">
        <f t="shared" ca="1" si="79"/>
        <v>89</v>
      </c>
    </row>
    <row r="172" spans="1:72" hidden="1" x14ac:dyDescent="0.25">
      <c r="A172" s="6" t="s">
        <v>19436</v>
      </c>
      <c r="B172" s="6">
        <v>1958.26</v>
      </c>
      <c r="C172" s="36">
        <v>46202</v>
      </c>
      <c r="D172" s="6" t="s">
        <v>19440</v>
      </c>
      <c r="E172" s="37">
        <v>6675</v>
      </c>
      <c r="F172" s="38" t="s">
        <v>19782</v>
      </c>
      <c r="G172" s="39" t="str">
        <f t="shared" si="80"/>
        <v>GRN Not Received</v>
      </c>
      <c r="H172" s="40" t="str">
        <f t="shared" si="81"/>
        <v>GRN Not Received</v>
      </c>
      <c r="I172" s="6" t="s">
        <v>19785</v>
      </c>
      <c r="J172" s="36">
        <v>46206</v>
      </c>
      <c r="K172" s="41">
        <v>6675</v>
      </c>
      <c r="L172" s="42">
        <v>2.79</v>
      </c>
      <c r="M172" s="42">
        <f t="shared" si="82"/>
        <v>18623.25</v>
      </c>
      <c r="N172" s="42">
        <v>0</v>
      </c>
      <c r="O172" s="42">
        <v>0</v>
      </c>
      <c r="P172" s="42">
        <f t="shared" si="83"/>
        <v>18623.25</v>
      </c>
      <c r="Q172" s="38" t="s">
        <v>19786</v>
      </c>
      <c r="R172" s="36">
        <v>46210</v>
      </c>
      <c r="S172" s="6" t="s">
        <v>19496</v>
      </c>
      <c r="T172" s="50" t="s">
        <v>15074</v>
      </c>
      <c r="U172" s="6" t="str">
        <f>IFERROR(VLOOKUP(T172,'item master'!B:C,2,0),"")</f>
        <v>ANDROBOOST (TESTOSTERONE 40MG) B/3X10 CAPS. MOLLES</v>
      </c>
      <c r="V172" s="41">
        <v>6675</v>
      </c>
      <c r="X172" s="44">
        <f t="shared" si="92"/>
        <v>2.79</v>
      </c>
      <c r="Y172" s="42">
        <f t="shared" si="90"/>
        <v>18623.25</v>
      </c>
      <c r="Z172" s="42">
        <v>0</v>
      </c>
      <c r="AA172" s="42">
        <f t="shared" si="84"/>
        <v>18623.25</v>
      </c>
      <c r="AB172" s="45">
        <v>0.3</v>
      </c>
      <c r="AC172" s="42">
        <f t="shared" si="101"/>
        <v>5586.9749999999995</v>
      </c>
      <c r="AD172" s="42">
        <f t="shared" si="99"/>
        <v>5586.9749999999995</v>
      </c>
      <c r="AE172" s="36">
        <v>46216</v>
      </c>
      <c r="AF172" s="6" t="s">
        <v>19789</v>
      </c>
      <c r="AJ172" s="41">
        <f t="shared" si="100"/>
        <v>6675</v>
      </c>
      <c r="AS172" s="42">
        <f t="shared" si="85"/>
        <v>0</v>
      </c>
      <c r="AV172" s="6" t="s">
        <v>19584</v>
      </c>
      <c r="BA172" s="42">
        <f t="shared" si="93"/>
        <v>5586.9749999999995</v>
      </c>
      <c r="BD172" s="46" t="str">
        <f t="shared" si="86"/>
        <v>0</v>
      </c>
      <c r="BE172" s="46">
        <f t="shared" si="94"/>
        <v>5586.9749999999995</v>
      </c>
      <c r="BF172" s="46">
        <f t="shared" si="94"/>
        <v>-5586.9749999999995</v>
      </c>
      <c r="BG172" s="47">
        <f t="shared" si="95"/>
        <v>11173.949999999999</v>
      </c>
      <c r="BH172" s="46">
        <f t="shared" si="87"/>
        <v>0</v>
      </c>
      <c r="BO172" s="48">
        <f t="shared" si="96"/>
        <v>0</v>
      </c>
      <c r="BP172" s="48">
        <f t="shared" si="97"/>
        <v>0</v>
      </c>
      <c r="BQ172" s="6" t="str">
        <f t="shared" si="78"/>
        <v>Advance With Supplier</v>
      </c>
      <c r="BS172" s="6" t="str">
        <f t="shared" si="88"/>
        <v>Open</v>
      </c>
      <c r="BT172" s="49">
        <f t="shared" ca="1" si="79"/>
        <v>57</v>
      </c>
    </row>
    <row r="173" spans="1:72" hidden="1" x14ac:dyDescent="0.25">
      <c r="A173" s="6" t="s">
        <v>19436</v>
      </c>
      <c r="B173" s="6">
        <v>1959.26</v>
      </c>
      <c r="C173" s="36">
        <v>46202</v>
      </c>
      <c r="D173" s="6" t="s">
        <v>19439</v>
      </c>
      <c r="E173" s="37">
        <v>6675</v>
      </c>
      <c r="F173" s="38" t="s">
        <v>19782</v>
      </c>
      <c r="G173" s="39" t="str">
        <f t="shared" si="80"/>
        <v>GRN Not Received</v>
      </c>
      <c r="H173" s="40" t="str">
        <f t="shared" si="81"/>
        <v>GRN Not Received</v>
      </c>
      <c r="I173" s="6" t="s">
        <v>19787</v>
      </c>
      <c r="J173" s="36">
        <v>46206</v>
      </c>
      <c r="K173" s="41">
        <v>6675</v>
      </c>
      <c r="L173" s="42">
        <v>2.79</v>
      </c>
      <c r="M173" s="42">
        <f t="shared" si="82"/>
        <v>18623.25</v>
      </c>
      <c r="N173" s="42">
        <v>0</v>
      </c>
      <c r="O173" s="42">
        <v>0</v>
      </c>
      <c r="P173" s="42">
        <f t="shared" si="83"/>
        <v>18623.25</v>
      </c>
      <c r="Q173" s="38" t="s">
        <v>19788</v>
      </c>
      <c r="R173" s="36">
        <v>46210</v>
      </c>
      <c r="S173" s="6" t="s">
        <v>19496</v>
      </c>
      <c r="T173" s="50" t="s">
        <v>15074</v>
      </c>
      <c r="U173" s="6" t="str">
        <f>IFERROR(VLOOKUP(T173,'item master'!B:C,2,0),"")</f>
        <v>ANDROBOOST (TESTOSTERONE 40MG) B/3X10 CAPS. MOLLES</v>
      </c>
      <c r="V173" s="41">
        <v>6675</v>
      </c>
      <c r="X173" s="44">
        <f t="shared" si="92"/>
        <v>2.79</v>
      </c>
      <c r="Y173" s="42">
        <f t="shared" si="90"/>
        <v>18623.25</v>
      </c>
      <c r="Z173" s="42">
        <v>0</v>
      </c>
      <c r="AA173" s="42">
        <f t="shared" si="84"/>
        <v>18623.25</v>
      </c>
      <c r="AB173" s="45">
        <v>0.3</v>
      </c>
      <c r="AC173" s="42">
        <f t="shared" si="101"/>
        <v>5586.9749999999995</v>
      </c>
      <c r="AD173" s="42">
        <f t="shared" si="99"/>
        <v>5586.9749999999995</v>
      </c>
      <c r="AE173" s="36">
        <v>46216</v>
      </c>
      <c r="AF173" s="6" t="s">
        <v>19789</v>
      </c>
      <c r="AJ173" s="41">
        <f t="shared" si="100"/>
        <v>6675</v>
      </c>
      <c r="AS173" s="42">
        <f t="shared" si="85"/>
        <v>0</v>
      </c>
      <c r="AV173" s="6" t="s">
        <v>19584</v>
      </c>
      <c r="BA173" s="42">
        <f t="shared" si="93"/>
        <v>5586.9749999999995</v>
      </c>
      <c r="BD173" s="46" t="str">
        <f t="shared" si="86"/>
        <v>0</v>
      </c>
      <c r="BE173" s="46">
        <f t="shared" si="94"/>
        <v>5586.9749999999995</v>
      </c>
      <c r="BF173" s="46">
        <f t="shared" si="94"/>
        <v>-5586.9749999999995</v>
      </c>
      <c r="BG173" s="47">
        <f t="shared" si="95"/>
        <v>11173.949999999999</v>
      </c>
      <c r="BH173" s="46">
        <f t="shared" si="87"/>
        <v>0</v>
      </c>
      <c r="BO173" s="48">
        <f t="shared" si="96"/>
        <v>0</v>
      </c>
      <c r="BP173" s="48">
        <f t="shared" si="97"/>
        <v>0</v>
      </c>
      <c r="BQ173" s="6" t="str">
        <f t="shared" si="78"/>
        <v>Advance With Supplier</v>
      </c>
      <c r="BS173" s="6" t="str">
        <f t="shared" si="88"/>
        <v>Open</v>
      </c>
      <c r="BT173" s="49">
        <f t="shared" ca="1" si="79"/>
        <v>57</v>
      </c>
    </row>
    <row r="174" spans="1:72" hidden="1" x14ac:dyDescent="0.25">
      <c r="A174" s="6" t="s">
        <v>19436</v>
      </c>
      <c r="B174" s="6">
        <v>1882.26</v>
      </c>
      <c r="C174" s="36">
        <v>46158</v>
      </c>
      <c r="D174" s="6" t="s">
        <v>19438</v>
      </c>
      <c r="E174" s="37">
        <v>400000</v>
      </c>
      <c r="F174" s="38" t="s">
        <v>19799</v>
      </c>
      <c r="G174" s="39" t="str">
        <f t="shared" si="80"/>
        <v>GRN Not Received</v>
      </c>
      <c r="H174" s="40" t="str">
        <f t="shared" si="81"/>
        <v>GRN Not Received</v>
      </c>
      <c r="I174" s="6" t="s">
        <v>19795</v>
      </c>
      <c r="J174" s="36">
        <v>46190</v>
      </c>
      <c r="K174" s="41">
        <v>200000</v>
      </c>
      <c r="L174" s="42">
        <v>0.3</v>
      </c>
      <c r="M174" s="42">
        <f t="shared" si="82"/>
        <v>60000</v>
      </c>
      <c r="N174" s="42">
        <v>0</v>
      </c>
      <c r="O174" s="42">
        <v>0</v>
      </c>
      <c r="P174" s="42">
        <f t="shared" si="83"/>
        <v>60000</v>
      </c>
      <c r="Q174" s="38" t="s">
        <v>19801</v>
      </c>
      <c r="R174" s="36">
        <v>46197</v>
      </c>
      <c r="S174" s="6" t="s">
        <v>19508</v>
      </c>
      <c r="T174" s="50" t="s">
        <v>19792</v>
      </c>
      <c r="U174" s="6" t="str">
        <f>IFERROR(VLOOKUP(T174,'item master'!B:C,2,0),"")</f>
        <v>SILDEQUE-100MG (SILDENAFIL) B/4CES</v>
      </c>
      <c r="V174" s="41">
        <f>K174</f>
        <v>200000</v>
      </c>
      <c r="X174" s="44">
        <f t="shared" si="92"/>
        <v>0.3</v>
      </c>
      <c r="Y174" s="42">
        <f t="shared" si="90"/>
        <v>60000</v>
      </c>
      <c r="Z174" s="42">
        <v>0</v>
      </c>
      <c r="AA174" s="42">
        <f t="shared" si="84"/>
        <v>60000</v>
      </c>
      <c r="AB174" s="45">
        <v>0.5</v>
      </c>
      <c r="AC174" s="42">
        <f t="shared" si="101"/>
        <v>30000</v>
      </c>
      <c r="AD174" s="42">
        <f t="shared" ref="AD174:AD184" si="102">AC174</f>
        <v>30000</v>
      </c>
      <c r="AE174" s="36">
        <v>46216</v>
      </c>
      <c r="AF174" s="6" t="s">
        <v>19807</v>
      </c>
      <c r="AH174" s="41">
        <f t="shared" ref="AH174:AH192" si="103">AG174</f>
        <v>0</v>
      </c>
      <c r="AJ174" s="41">
        <f t="shared" si="100"/>
        <v>200000</v>
      </c>
      <c r="AS174" s="42">
        <f t="shared" si="85"/>
        <v>0</v>
      </c>
      <c r="AV174" s="6" t="s">
        <v>19584</v>
      </c>
      <c r="BA174" s="42">
        <f t="shared" si="93"/>
        <v>30000</v>
      </c>
      <c r="BD174" s="46" t="str">
        <f t="shared" si="86"/>
        <v>0</v>
      </c>
      <c r="BE174" s="46">
        <f t="shared" si="94"/>
        <v>30000</v>
      </c>
      <c r="BF174" s="46">
        <f t="shared" si="94"/>
        <v>-30000</v>
      </c>
      <c r="BG174" s="47">
        <f t="shared" si="95"/>
        <v>60000</v>
      </c>
      <c r="BH174" s="46">
        <f t="shared" si="87"/>
        <v>0</v>
      </c>
      <c r="BO174" s="48">
        <f t="shared" si="96"/>
        <v>0</v>
      </c>
      <c r="BP174" s="48">
        <f t="shared" si="97"/>
        <v>0</v>
      </c>
      <c r="BQ174" s="6" t="str">
        <f t="shared" si="78"/>
        <v>Advance With Supplier</v>
      </c>
      <c r="BS174" s="6" t="str">
        <f t="shared" si="88"/>
        <v>Open</v>
      </c>
      <c r="BT174" s="49">
        <f t="shared" ca="1" si="79"/>
        <v>73</v>
      </c>
    </row>
    <row r="175" spans="1:72" hidden="1" x14ac:dyDescent="0.25">
      <c r="A175" s="6" t="s">
        <v>19436</v>
      </c>
      <c r="B175" s="6">
        <v>1882.26</v>
      </c>
      <c r="C175" s="36">
        <v>46158</v>
      </c>
      <c r="D175" s="6" t="s">
        <v>19438</v>
      </c>
      <c r="E175" s="37">
        <v>300000</v>
      </c>
      <c r="F175" s="38" t="s">
        <v>19796</v>
      </c>
      <c r="G175" s="39" t="str">
        <f t="shared" si="80"/>
        <v>GRN Not Received</v>
      </c>
      <c r="H175" s="40" t="str">
        <f t="shared" si="81"/>
        <v>GRN Not Received</v>
      </c>
      <c r="I175" s="6" t="s">
        <v>19795</v>
      </c>
      <c r="J175" s="36">
        <v>46190</v>
      </c>
      <c r="K175" s="41">
        <v>5000</v>
      </c>
      <c r="L175" s="42">
        <v>0.72</v>
      </c>
      <c r="M175" s="42">
        <f t="shared" si="82"/>
        <v>3600</v>
      </c>
      <c r="N175" s="42">
        <v>0</v>
      </c>
      <c r="O175" s="42">
        <v>0</v>
      </c>
      <c r="P175" s="42">
        <f t="shared" si="83"/>
        <v>3600</v>
      </c>
      <c r="Q175" s="38" t="s">
        <v>19801</v>
      </c>
      <c r="R175" s="36">
        <v>46197</v>
      </c>
      <c r="S175" s="6" t="s">
        <v>19508</v>
      </c>
      <c r="T175" s="50" t="s">
        <v>19793</v>
      </c>
      <c r="U175" s="6" t="str">
        <f>IFERROR(VLOOKUP(T175,'item master'!B:C,2,0),"")</f>
        <v>SILDEQUE-50 MG (SILDENAFIL) B/4 CES</v>
      </c>
      <c r="V175" s="41">
        <f t="shared" ref="V175:V203" si="104">K175</f>
        <v>5000</v>
      </c>
      <c r="X175" s="44">
        <f t="shared" ref="X175:X192" si="105">L175</f>
        <v>0.72</v>
      </c>
      <c r="Y175" s="42">
        <f t="shared" si="90"/>
        <v>3600</v>
      </c>
      <c r="Z175" s="42">
        <v>0</v>
      </c>
      <c r="AA175" s="42">
        <f t="shared" si="84"/>
        <v>3600</v>
      </c>
      <c r="AB175" s="45">
        <v>0.5</v>
      </c>
      <c r="AC175" s="42">
        <f t="shared" si="101"/>
        <v>1800</v>
      </c>
      <c r="AD175" s="42">
        <f t="shared" si="102"/>
        <v>1800</v>
      </c>
      <c r="AE175" s="36">
        <v>46216</v>
      </c>
      <c r="AF175" s="6" t="s">
        <v>19807</v>
      </c>
      <c r="AH175" s="41">
        <f t="shared" si="103"/>
        <v>0</v>
      </c>
      <c r="AJ175" s="41">
        <f t="shared" si="100"/>
        <v>5000</v>
      </c>
      <c r="AS175" s="42">
        <f t="shared" si="85"/>
        <v>0</v>
      </c>
      <c r="AV175" s="6" t="s">
        <v>19584</v>
      </c>
      <c r="BA175" s="42">
        <f t="shared" si="93"/>
        <v>1800</v>
      </c>
      <c r="BD175" s="46" t="str">
        <f t="shared" si="86"/>
        <v>0</v>
      </c>
      <c r="BE175" s="46">
        <f t="shared" si="94"/>
        <v>1800</v>
      </c>
      <c r="BF175" s="46">
        <f t="shared" si="94"/>
        <v>-1800</v>
      </c>
      <c r="BG175" s="47">
        <f t="shared" si="95"/>
        <v>3600</v>
      </c>
      <c r="BH175" s="46">
        <f t="shared" si="87"/>
        <v>0</v>
      </c>
      <c r="BO175" s="48">
        <f t="shared" si="96"/>
        <v>0</v>
      </c>
      <c r="BP175" s="48">
        <f t="shared" si="97"/>
        <v>0</v>
      </c>
      <c r="BQ175" s="6" t="str">
        <f t="shared" si="78"/>
        <v>Advance With Supplier</v>
      </c>
      <c r="BS175" s="6" t="str">
        <f t="shared" si="88"/>
        <v>Open</v>
      </c>
      <c r="BT175" s="49">
        <f t="shared" ca="1" si="79"/>
        <v>73</v>
      </c>
    </row>
    <row r="176" spans="1:72" hidden="1" x14ac:dyDescent="0.25">
      <c r="A176" s="6" t="s">
        <v>19436</v>
      </c>
      <c r="B176" s="6">
        <v>1882.26</v>
      </c>
      <c r="C176" s="36">
        <v>46158</v>
      </c>
      <c r="D176" s="6" t="s">
        <v>19438</v>
      </c>
      <c r="E176" s="37">
        <v>10000</v>
      </c>
      <c r="F176" s="38" t="s">
        <v>19736</v>
      </c>
      <c r="G176" s="39" t="str">
        <f t="shared" si="80"/>
        <v>GRN Not Received</v>
      </c>
      <c r="H176" s="40" t="str">
        <f t="shared" si="81"/>
        <v>GRN Not Received</v>
      </c>
      <c r="I176" s="6" t="s">
        <v>19795</v>
      </c>
      <c r="J176" s="36">
        <v>46190</v>
      </c>
      <c r="K176" s="41">
        <v>10000</v>
      </c>
      <c r="L176" s="42">
        <v>0.67500000000000004</v>
      </c>
      <c r="M176" s="42">
        <f t="shared" si="82"/>
        <v>6750</v>
      </c>
      <c r="N176" s="42">
        <v>0</v>
      </c>
      <c r="O176" s="42">
        <v>0</v>
      </c>
      <c r="P176" s="42">
        <f t="shared" si="83"/>
        <v>6750</v>
      </c>
      <c r="Q176" s="38" t="s">
        <v>19801</v>
      </c>
      <c r="R176" s="36">
        <v>46197</v>
      </c>
      <c r="S176" s="6" t="s">
        <v>19508</v>
      </c>
      <c r="T176" s="50" t="s">
        <v>17201</v>
      </c>
      <c r="U176" s="6" t="str">
        <f>IFERROR(VLOOKUP(T176,'item master'!B:C,2,0),"")</f>
        <v>SECOURS – HUILE AYURVEDIQUE ANTIDOULER – PACK ECONOMIQUE (100 ML)</v>
      </c>
      <c r="V176" s="41">
        <f t="shared" si="104"/>
        <v>10000</v>
      </c>
      <c r="X176" s="44">
        <f t="shared" si="105"/>
        <v>0.67500000000000004</v>
      </c>
      <c r="Y176" s="42">
        <f t="shared" si="90"/>
        <v>6750</v>
      </c>
      <c r="Z176" s="42">
        <v>0</v>
      </c>
      <c r="AA176" s="42">
        <f t="shared" si="84"/>
        <v>6750</v>
      </c>
      <c r="AB176" s="45">
        <v>0.5</v>
      </c>
      <c r="AC176" s="42">
        <f t="shared" si="101"/>
        <v>3375</v>
      </c>
      <c r="AD176" s="42">
        <f t="shared" si="102"/>
        <v>3375</v>
      </c>
      <c r="AE176" s="36">
        <v>46216</v>
      </c>
      <c r="AF176" s="6" t="s">
        <v>19807</v>
      </c>
      <c r="AH176" s="41">
        <f t="shared" si="103"/>
        <v>0</v>
      </c>
      <c r="AJ176" s="41">
        <f t="shared" si="100"/>
        <v>10000</v>
      </c>
      <c r="AS176" s="42">
        <f t="shared" si="85"/>
        <v>0</v>
      </c>
      <c r="AV176" s="6" t="s">
        <v>19584</v>
      </c>
      <c r="BA176" s="42">
        <f t="shared" si="93"/>
        <v>3375</v>
      </c>
      <c r="BD176" s="46" t="str">
        <f t="shared" si="86"/>
        <v>0</v>
      </c>
      <c r="BE176" s="46">
        <f t="shared" si="94"/>
        <v>3375</v>
      </c>
      <c r="BF176" s="46">
        <f t="shared" si="94"/>
        <v>-3375</v>
      </c>
      <c r="BG176" s="47">
        <f t="shared" si="95"/>
        <v>6750</v>
      </c>
      <c r="BH176" s="46">
        <f t="shared" si="87"/>
        <v>0</v>
      </c>
      <c r="BO176" s="48">
        <f t="shared" si="96"/>
        <v>0</v>
      </c>
      <c r="BP176" s="48">
        <f t="shared" si="97"/>
        <v>0</v>
      </c>
      <c r="BQ176" s="6" t="str">
        <f t="shared" si="78"/>
        <v>Advance With Supplier</v>
      </c>
      <c r="BS176" s="6" t="str">
        <f t="shared" si="88"/>
        <v>Open</v>
      </c>
      <c r="BT176" s="49">
        <f t="shared" ca="1" si="79"/>
        <v>73</v>
      </c>
    </row>
    <row r="177" spans="1:72" hidden="1" x14ac:dyDescent="0.25">
      <c r="A177" s="6" t="s">
        <v>19436</v>
      </c>
      <c r="B177" s="6">
        <v>1882.26</v>
      </c>
      <c r="C177" s="36">
        <v>46158</v>
      </c>
      <c r="D177" s="6" t="s">
        <v>19438</v>
      </c>
      <c r="E177" s="37">
        <v>25000</v>
      </c>
      <c r="F177" s="38" t="s">
        <v>19735</v>
      </c>
      <c r="G177" s="39" t="str">
        <f t="shared" si="80"/>
        <v>GRN Not Received</v>
      </c>
      <c r="H177" s="40" t="str">
        <f t="shared" si="81"/>
        <v>GRN Not Received</v>
      </c>
      <c r="I177" s="6" t="s">
        <v>19795</v>
      </c>
      <c r="J177" s="36">
        <v>46190</v>
      </c>
      <c r="K177" s="41">
        <v>100000</v>
      </c>
      <c r="L177" s="42">
        <v>0.51</v>
      </c>
      <c r="M177" s="42">
        <f t="shared" si="82"/>
        <v>51000</v>
      </c>
      <c r="N177" s="42">
        <v>0</v>
      </c>
      <c r="O177" s="42">
        <v>0</v>
      </c>
      <c r="P177" s="42">
        <f t="shared" si="83"/>
        <v>51000</v>
      </c>
      <c r="Q177" s="38" t="s">
        <v>19801</v>
      </c>
      <c r="R177" s="36">
        <v>46197</v>
      </c>
      <c r="S177" s="6" t="s">
        <v>19508</v>
      </c>
      <c r="T177" s="50" t="s">
        <v>17203</v>
      </c>
      <c r="U177" s="6" t="str">
        <f>IFERROR(VLOOKUP(T177,'item master'!B:C,2,0),"")</f>
        <v>SUPER MANGE FORTE (L-LYSINE + CYPROHEPTADINE + VIT. B COM.) SYRUP 200ML</v>
      </c>
      <c r="V177" s="41">
        <f t="shared" si="104"/>
        <v>100000</v>
      </c>
      <c r="X177" s="44">
        <f t="shared" si="105"/>
        <v>0.51</v>
      </c>
      <c r="Y177" s="42">
        <f t="shared" si="90"/>
        <v>51000</v>
      </c>
      <c r="Z177" s="42">
        <v>0</v>
      </c>
      <c r="AA177" s="42">
        <f t="shared" si="84"/>
        <v>51000</v>
      </c>
      <c r="AB177" s="45">
        <v>0.5</v>
      </c>
      <c r="AC177" s="42">
        <f t="shared" si="101"/>
        <v>25500</v>
      </c>
      <c r="AD177" s="42">
        <f t="shared" si="102"/>
        <v>25500</v>
      </c>
      <c r="AE177" s="36">
        <v>46216</v>
      </c>
      <c r="AF177" s="6" t="s">
        <v>19807</v>
      </c>
      <c r="AH177" s="41">
        <f t="shared" si="103"/>
        <v>0</v>
      </c>
      <c r="AJ177" s="41">
        <f t="shared" si="100"/>
        <v>100000</v>
      </c>
      <c r="AS177" s="42">
        <f t="shared" si="85"/>
        <v>0</v>
      </c>
      <c r="AV177" s="6" t="s">
        <v>19584</v>
      </c>
      <c r="BA177" s="42">
        <f t="shared" si="93"/>
        <v>25500</v>
      </c>
      <c r="BD177" s="46" t="str">
        <f t="shared" si="86"/>
        <v>0</v>
      </c>
      <c r="BE177" s="46">
        <f t="shared" si="94"/>
        <v>25500</v>
      </c>
      <c r="BF177" s="46">
        <f t="shared" si="94"/>
        <v>-25500</v>
      </c>
      <c r="BG177" s="47">
        <f t="shared" si="95"/>
        <v>51000</v>
      </c>
      <c r="BH177" s="46">
        <f t="shared" si="87"/>
        <v>0</v>
      </c>
      <c r="BO177" s="48">
        <f t="shared" si="96"/>
        <v>0</v>
      </c>
      <c r="BP177" s="48">
        <f t="shared" si="97"/>
        <v>0</v>
      </c>
      <c r="BQ177" s="6" t="str">
        <f t="shared" si="78"/>
        <v>Advance With Supplier</v>
      </c>
      <c r="BS177" s="6" t="str">
        <f t="shared" si="88"/>
        <v>Open</v>
      </c>
      <c r="BT177" s="49">
        <f t="shared" ca="1" si="79"/>
        <v>73</v>
      </c>
    </row>
    <row r="178" spans="1:72" hidden="1" x14ac:dyDescent="0.25">
      <c r="A178" s="6" t="s">
        <v>19436</v>
      </c>
      <c r="B178" s="6">
        <v>1882.26</v>
      </c>
      <c r="C178" s="36">
        <v>46158</v>
      </c>
      <c r="D178" s="6" t="s">
        <v>19438</v>
      </c>
      <c r="E178" s="37">
        <v>20000</v>
      </c>
      <c r="F178" s="38" t="s">
        <v>19797</v>
      </c>
      <c r="G178" s="39" t="str">
        <f t="shared" si="80"/>
        <v>GRN Not Received</v>
      </c>
      <c r="H178" s="40" t="str">
        <f t="shared" si="81"/>
        <v>GRN Not Received</v>
      </c>
      <c r="I178" s="6" t="s">
        <v>19795</v>
      </c>
      <c r="J178" s="36">
        <v>46190</v>
      </c>
      <c r="K178" s="41">
        <v>10000</v>
      </c>
      <c r="L178" s="42">
        <v>3.4</v>
      </c>
      <c r="M178" s="42">
        <f t="shared" si="82"/>
        <v>34000</v>
      </c>
      <c r="N178" s="42">
        <v>0</v>
      </c>
      <c r="O178" s="42">
        <v>0</v>
      </c>
      <c r="P178" s="42">
        <f t="shared" si="83"/>
        <v>34000</v>
      </c>
      <c r="Q178" s="38" t="s">
        <v>19801</v>
      </c>
      <c r="R178" s="36">
        <v>46197</v>
      </c>
      <c r="S178" s="6" t="s">
        <v>19508</v>
      </c>
      <c r="T178" s="50" t="s">
        <v>19794</v>
      </c>
      <c r="U178" s="6" t="str">
        <f>IFERROR(VLOOKUP(T178,'item master'!B:C,2,0),"")</f>
        <v>NOCI KIT – H. PYLORI (7 KITS DE COMBI)</v>
      </c>
      <c r="V178" s="41">
        <f t="shared" si="104"/>
        <v>10000</v>
      </c>
      <c r="X178" s="44">
        <f t="shared" si="105"/>
        <v>3.4</v>
      </c>
      <c r="Y178" s="42">
        <f t="shared" si="90"/>
        <v>34000</v>
      </c>
      <c r="Z178" s="42">
        <v>0</v>
      </c>
      <c r="AA178" s="42">
        <f t="shared" si="84"/>
        <v>34000</v>
      </c>
      <c r="AB178" s="45">
        <v>0.5</v>
      </c>
      <c r="AC178" s="42">
        <f t="shared" si="101"/>
        <v>17000</v>
      </c>
      <c r="AD178" s="42">
        <f t="shared" si="102"/>
        <v>17000</v>
      </c>
      <c r="AE178" s="36">
        <v>46216</v>
      </c>
      <c r="AF178" s="6" t="s">
        <v>19807</v>
      </c>
      <c r="AH178" s="41">
        <f t="shared" si="103"/>
        <v>0</v>
      </c>
      <c r="AJ178" s="41">
        <f t="shared" si="100"/>
        <v>10000</v>
      </c>
      <c r="AS178" s="42">
        <f t="shared" si="85"/>
        <v>0</v>
      </c>
      <c r="AV178" s="6" t="s">
        <v>19584</v>
      </c>
      <c r="BA178" s="42">
        <f t="shared" si="93"/>
        <v>17000</v>
      </c>
      <c r="BD178" s="46" t="str">
        <f t="shared" si="86"/>
        <v>0</v>
      </c>
      <c r="BE178" s="46">
        <f t="shared" si="94"/>
        <v>17000</v>
      </c>
      <c r="BF178" s="46">
        <f t="shared" si="94"/>
        <v>-17000</v>
      </c>
      <c r="BG178" s="47">
        <f t="shared" si="95"/>
        <v>34000</v>
      </c>
      <c r="BH178" s="46">
        <f t="shared" si="87"/>
        <v>0</v>
      </c>
      <c r="BO178" s="48">
        <f t="shared" si="96"/>
        <v>0</v>
      </c>
      <c r="BP178" s="48">
        <f t="shared" si="97"/>
        <v>0</v>
      </c>
      <c r="BQ178" s="6" t="str">
        <f t="shared" si="78"/>
        <v>Advance With Supplier</v>
      </c>
      <c r="BS178" s="6" t="str">
        <f t="shared" si="88"/>
        <v>Open</v>
      </c>
      <c r="BT178" s="49">
        <f t="shared" ca="1" si="79"/>
        <v>73</v>
      </c>
    </row>
    <row r="179" spans="1:72" hidden="1" x14ac:dyDescent="0.25">
      <c r="A179" s="6" t="s">
        <v>19436</v>
      </c>
      <c r="B179" s="6">
        <v>1882.26</v>
      </c>
      <c r="C179" s="36">
        <v>46158</v>
      </c>
      <c r="D179" s="6" t="s">
        <v>19438</v>
      </c>
      <c r="E179" s="37">
        <v>20000</v>
      </c>
      <c r="F179" s="38" t="s">
        <v>19798</v>
      </c>
      <c r="G179" s="39" t="str">
        <f t="shared" si="80"/>
        <v>GRN Not Received</v>
      </c>
      <c r="H179" s="40" t="str">
        <f t="shared" si="81"/>
        <v>GRN Not Received</v>
      </c>
      <c r="I179" s="6" t="s">
        <v>19795</v>
      </c>
      <c r="J179" s="36">
        <v>46190</v>
      </c>
      <c r="K179" s="41">
        <v>20000</v>
      </c>
      <c r="L179" s="42">
        <v>0.31</v>
      </c>
      <c r="M179" s="42">
        <f t="shared" si="82"/>
        <v>6200</v>
      </c>
      <c r="N179" s="42">
        <v>0</v>
      </c>
      <c r="O179" s="42">
        <v>0</v>
      </c>
      <c r="P179" s="42">
        <f t="shared" si="83"/>
        <v>6200</v>
      </c>
      <c r="Q179" s="38" t="s">
        <v>19801</v>
      </c>
      <c r="R179" s="36">
        <v>46197</v>
      </c>
      <c r="S179" s="6" t="s">
        <v>19508</v>
      </c>
      <c r="T179" s="50" t="s">
        <v>17293</v>
      </c>
      <c r="U179" s="6" t="str">
        <f>IFERROR(VLOOKUP(T179,'item master'!B:C,2,0),"")</f>
        <v>PERFECT FEMME (CAPSULE HERBAL POUR FEMME) – 2X15 CAPSULES</v>
      </c>
      <c r="V179" s="41">
        <f t="shared" si="104"/>
        <v>20000</v>
      </c>
      <c r="X179" s="44">
        <f t="shared" si="105"/>
        <v>0.31</v>
      </c>
      <c r="Y179" s="42">
        <f t="shared" si="90"/>
        <v>6200</v>
      </c>
      <c r="Z179" s="42">
        <v>0</v>
      </c>
      <c r="AA179" s="42">
        <f t="shared" si="84"/>
        <v>6200</v>
      </c>
      <c r="AB179" s="45">
        <v>0.5</v>
      </c>
      <c r="AC179" s="42">
        <f t="shared" si="101"/>
        <v>3100</v>
      </c>
      <c r="AD179" s="42">
        <f t="shared" si="102"/>
        <v>3100</v>
      </c>
      <c r="AE179" s="36">
        <v>46216</v>
      </c>
      <c r="AF179" s="6" t="s">
        <v>19807</v>
      </c>
      <c r="AH179" s="41">
        <f t="shared" si="103"/>
        <v>0</v>
      </c>
      <c r="AJ179" s="41">
        <f t="shared" si="100"/>
        <v>20000</v>
      </c>
      <c r="AS179" s="42">
        <f t="shared" si="85"/>
        <v>0</v>
      </c>
      <c r="AV179" s="6" t="s">
        <v>19584</v>
      </c>
      <c r="BA179" s="42">
        <f t="shared" si="93"/>
        <v>3100</v>
      </c>
      <c r="BD179" s="46" t="str">
        <f t="shared" si="86"/>
        <v>0</v>
      </c>
      <c r="BE179" s="46">
        <f t="shared" si="94"/>
        <v>3100</v>
      </c>
      <c r="BF179" s="46">
        <f t="shared" si="94"/>
        <v>-3100</v>
      </c>
      <c r="BG179" s="47">
        <f t="shared" si="95"/>
        <v>6200</v>
      </c>
      <c r="BH179" s="46">
        <f t="shared" si="87"/>
        <v>0</v>
      </c>
      <c r="BO179" s="48">
        <f t="shared" si="96"/>
        <v>0</v>
      </c>
      <c r="BP179" s="48">
        <f t="shared" si="97"/>
        <v>0</v>
      </c>
      <c r="BQ179" s="6" t="str">
        <f t="shared" si="78"/>
        <v>Advance With Supplier</v>
      </c>
      <c r="BS179" s="6" t="str">
        <f t="shared" si="88"/>
        <v>Open</v>
      </c>
      <c r="BT179" s="49">
        <f t="shared" ca="1" si="79"/>
        <v>73</v>
      </c>
    </row>
    <row r="180" spans="1:72" hidden="1" x14ac:dyDescent="0.25">
      <c r="A180" s="6" t="s">
        <v>19436</v>
      </c>
      <c r="B180" s="6">
        <v>1882.26</v>
      </c>
      <c r="C180" s="36">
        <v>46158</v>
      </c>
      <c r="D180" s="6" t="s">
        <v>19438</v>
      </c>
      <c r="E180" s="37">
        <v>10000</v>
      </c>
      <c r="F180" s="38" t="s">
        <v>19735</v>
      </c>
      <c r="G180" s="39" t="str">
        <f t="shared" si="80"/>
        <v>GRN Not Received</v>
      </c>
      <c r="H180" s="40" t="str">
        <f t="shared" si="81"/>
        <v>GRN Not Received</v>
      </c>
      <c r="I180" s="6" t="s">
        <v>19795</v>
      </c>
      <c r="J180" s="36">
        <v>46190</v>
      </c>
      <c r="K180" s="41">
        <v>5000</v>
      </c>
      <c r="L180" s="42">
        <v>0.34799999999999998</v>
      </c>
      <c r="M180" s="42">
        <f t="shared" si="82"/>
        <v>1739.9999999999998</v>
      </c>
      <c r="N180" s="42">
        <v>0</v>
      </c>
      <c r="O180" s="42">
        <v>0</v>
      </c>
      <c r="P180" s="42">
        <f t="shared" si="83"/>
        <v>1739.9999999999998</v>
      </c>
      <c r="Q180" s="38" t="s">
        <v>19801</v>
      </c>
      <c r="R180" s="36">
        <v>46197</v>
      </c>
      <c r="S180" s="6" t="s">
        <v>19508</v>
      </c>
      <c r="T180" s="50" t="s">
        <v>17279</v>
      </c>
      <c r="U180" s="6" t="str">
        <f>IFERROR(VLOOKUP(T180,'item master'!B:C,2,0),"")</f>
        <v>FOIREX (SIROP HEPATOTONIQUE A BASE DE PLANTES) – 200 ML</v>
      </c>
      <c r="V180" s="41">
        <f t="shared" si="104"/>
        <v>5000</v>
      </c>
      <c r="X180" s="44">
        <f t="shared" si="105"/>
        <v>0.34799999999999998</v>
      </c>
      <c r="Y180" s="42">
        <f t="shared" si="90"/>
        <v>1739.9999999999998</v>
      </c>
      <c r="Z180" s="42">
        <v>0</v>
      </c>
      <c r="AA180" s="42">
        <f t="shared" si="84"/>
        <v>1739.9999999999998</v>
      </c>
      <c r="AB180" s="45">
        <v>0.5</v>
      </c>
      <c r="AC180" s="42">
        <f t="shared" si="101"/>
        <v>869.99999999999989</v>
      </c>
      <c r="AD180" s="42">
        <f t="shared" si="102"/>
        <v>869.99999999999989</v>
      </c>
      <c r="AE180" s="36">
        <v>46216</v>
      </c>
      <c r="AF180" s="6" t="s">
        <v>19807</v>
      </c>
      <c r="AH180" s="41">
        <f t="shared" si="103"/>
        <v>0</v>
      </c>
      <c r="AJ180" s="41">
        <f t="shared" si="100"/>
        <v>5000</v>
      </c>
      <c r="AS180" s="42">
        <f t="shared" si="85"/>
        <v>0</v>
      </c>
      <c r="AV180" s="6" t="s">
        <v>19584</v>
      </c>
      <c r="BA180" s="42">
        <f t="shared" si="93"/>
        <v>869.99999999999989</v>
      </c>
      <c r="BD180" s="46" t="str">
        <f t="shared" si="86"/>
        <v>0</v>
      </c>
      <c r="BE180" s="46">
        <f t="shared" si="94"/>
        <v>869.99999999999989</v>
      </c>
      <c r="BF180" s="46">
        <f t="shared" si="94"/>
        <v>-869.99999999999989</v>
      </c>
      <c r="BG180" s="47">
        <f t="shared" si="95"/>
        <v>1739.9999999999998</v>
      </c>
      <c r="BH180" s="46">
        <f t="shared" si="87"/>
        <v>0</v>
      </c>
      <c r="BO180" s="48">
        <f t="shared" si="96"/>
        <v>0</v>
      </c>
      <c r="BP180" s="48">
        <f t="shared" si="97"/>
        <v>0</v>
      </c>
      <c r="BQ180" s="6" t="str">
        <f t="shared" si="78"/>
        <v>Advance With Supplier</v>
      </c>
      <c r="BS180" s="6" t="str">
        <f t="shared" si="88"/>
        <v>Open</v>
      </c>
      <c r="BT180" s="49">
        <f t="shared" ca="1" si="79"/>
        <v>73</v>
      </c>
    </row>
    <row r="181" spans="1:72" hidden="1" x14ac:dyDescent="0.25">
      <c r="A181" s="6" t="s">
        <v>19436</v>
      </c>
      <c r="B181" s="6">
        <v>1882.26</v>
      </c>
      <c r="C181" s="36">
        <v>46158</v>
      </c>
      <c r="D181" s="6" t="s">
        <v>19438</v>
      </c>
      <c r="E181" s="37">
        <v>20000</v>
      </c>
      <c r="F181" s="38" t="s">
        <v>19800</v>
      </c>
      <c r="G181" s="39" t="str">
        <f t="shared" si="80"/>
        <v>GRN Not Received</v>
      </c>
      <c r="H181" s="40" t="str">
        <f t="shared" si="81"/>
        <v>GRN Not Received</v>
      </c>
      <c r="I181" s="6" t="s">
        <v>19795</v>
      </c>
      <c r="J181" s="36">
        <v>46190</v>
      </c>
      <c r="K181" s="41">
        <v>20000</v>
      </c>
      <c r="L181" s="42">
        <v>0.27500000000000002</v>
      </c>
      <c r="M181" s="42">
        <f t="shared" si="82"/>
        <v>5500</v>
      </c>
      <c r="N181" s="42">
        <v>0</v>
      </c>
      <c r="O181" s="42">
        <v>0</v>
      </c>
      <c r="P181" s="42">
        <f t="shared" si="83"/>
        <v>5500</v>
      </c>
      <c r="Q181" s="38" t="s">
        <v>19801</v>
      </c>
      <c r="R181" s="36">
        <v>46197</v>
      </c>
      <c r="S181" s="6" t="s">
        <v>19508</v>
      </c>
      <c r="T181" s="50" t="s">
        <v>17281</v>
      </c>
      <c r="U181" s="6" t="str">
        <f>IFERROR(VLOOKUP(T181,'item master'!B:C,2,0),"")</f>
        <v>Q-FAM (TONIFIANT DE L’UTERUS A BASE DE PLANTES) – 2X10 GELULES</v>
      </c>
      <c r="V181" s="41">
        <f t="shared" si="104"/>
        <v>20000</v>
      </c>
      <c r="X181" s="44">
        <f t="shared" si="105"/>
        <v>0.27500000000000002</v>
      </c>
      <c r="Y181" s="42">
        <f t="shared" si="90"/>
        <v>5500</v>
      </c>
      <c r="Z181" s="42">
        <v>0</v>
      </c>
      <c r="AA181" s="42">
        <f t="shared" si="84"/>
        <v>5500</v>
      </c>
      <c r="AB181" s="45">
        <v>0.5</v>
      </c>
      <c r="AC181" s="42">
        <f t="shared" si="101"/>
        <v>2750</v>
      </c>
      <c r="AD181" s="42">
        <f t="shared" si="102"/>
        <v>2750</v>
      </c>
      <c r="AE181" s="36">
        <v>46216</v>
      </c>
      <c r="AF181" s="6" t="s">
        <v>19807</v>
      </c>
      <c r="AH181" s="41">
        <f t="shared" si="103"/>
        <v>0</v>
      </c>
      <c r="AJ181" s="41">
        <f t="shared" si="100"/>
        <v>20000</v>
      </c>
      <c r="AS181" s="42">
        <f t="shared" si="85"/>
        <v>0</v>
      </c>
      <c r="AV181" s="6" t="s">
        <v>19584</v>
      </c>
      <c r="BA181" s="42">
        <f t="shared" si="93"/>
        <v>2750</v>
      </c>
      <c r="BD181" s="46" t="str">
        <f t="shared" si="86"/>
        <v>0</v>
      </c>
      <c r="BE181" s="46">
        <f t="shared" si="94"/>
        <v>2750</v>
      </c>
      <c r="BF181" s="46">
        <f t="shared" si="94"/>
        <v>-2750</v>
      </c>
      <c r="BG181" s="47">
        <f t="shared" si="95"/>
        <v>5500</v>
      </c>
      <c r="BH181" s="46">
        <f t="shared" si="87"/>
        <v>0</v>
      </c>
      <c r="BO181" s="48">
        <f t="shared" si="96"/>
        <v>0</v>
      </c>
      <c r="BP181" s="48">
        <f t="shared" si="97"/>
        <v>0</v>
      </c>
      <c r="BQ181" s="6" t="str">
        <f t="shared" si="78"/>
        <v>Advance With Supplier</v>
      </c>
      <c r="BS181" s="6" t="str">
        <f t="shared" si="88"/>
        <v>Open</v>
      </c>
      <c r="BT181" s="49">
        <f t="shared" ca="1" si="79"/>
        <v>73</v>
      </c>
    </row>
    <row r="182" spans="1:72" hidden="1" x14ac:dyDescent="0.25">
      <c r="A182" s="6" t="s">
        <v>19436</v>
      </c>
      <c r="B182" s="6">
        <v>1882.26</v>
      </c>
      <c r="C182" s="36">
        <v>46158</v>
      </c>
      <c r="D182" s="6" t="s">
        <v>19438</v>
      </c>
      <c r="E182" s="37">
        <v>30000</v>
      </c>
      <c r="F182" s="38" t="s">
        <v>19736</v>
      </c>
      <c r="G182" s="39" t="str">
        <f t="shared" si="80"/>
        <v>GRN Not Received</v>
      </c>
      <c r="H182" s="40" t="str">
        <f t="shared" si="81"/>
        <v>GRN Not Received</v>
      </c>
      <c r="I182" s="6" t="s">
        <v>19795</v>
      </c>
      <c r="J182" s="36">
        <v>46190</v>
      </c>
      <c r="K182" s="41">
        <v>30000</v>
      </c>
      <c r="L182" s="42">
        <v>0.24</v>
      </c>
      <c r="M182" s="42">
        <f t="shared" si="82"/>
        <v>7200</v>
      </c>
      <c r="N182" s="42">
        <v>0</v>
      </c>
      <c r="O182" s="42">
        <v>0</v>
      </c>
      <c r="P182" s="42">
        <f t="shared" si="83"/>
        <v>7200</v>
      </c>
      <c r="Q182" s="38" t="s">
        <v>19801</v>
      </c>
      <c r="R182" s="36">
        <v>46197</v>
      </c>
      <c r="S182" s="6" t="s">
        <v>19508</v>
      </c>
      <c r="T182" s="50" t="s">
        <v>17283</v>
      </c>
      <c r="U182" s="6" t="str">
        <f>IFERROR(VLOOKUP(T182,'item master'!B:C,2,0),"")</f>
        <v>SORTOUX (SIROP CONTRE LA TOUX A BASE DE PLANTES MEDICINALES) – 100 ML</v>
      </c>
      <c r="V182" s="41">
        <f t="shared" si="104"/>
        <v>30000</v>
      </c>
      <c r="X182" s="44">
        <f t="shared" si="105"/>
        <v>0.24</v>
      </c>
      <c r="Y182" s="42">
        <f t="shared" si="90"/>
        <v>7200</v>
      </c>
      <c r="Z182" s="42">
        <v>0</v>
      </c>
      <c r="AA182" s="42">
        <f t="shared" si="84"/>
        <v>7200</v>
      </c>
      <c r="AB182" s="45">
        <v>0.5</v>
      </c>
      <c r="AC182" s="42">
        <f t="shared" si="101"/>
        <v>3600</v>
      </c>
      <c r="AD182" s="42">
        <f t="shared" si="102"/>
        <v>3600</v>
      </c>
      <c r="AE182" s="36">
        <v>46216</v>
      </c>
      <c r="AF182" s="6" t="s">
        <v>19807</v>
      </c>
      <c r="AH182" s="41">
        <f t="shared" si="103"/>
        <v>0</v>
      </c>
      <c r="AJ182" s="41">
        <f t="shared" si="100"/>
        <v>30000</v>
      </c>
      <c r="AS182" s="42">
        <f t="shared" si="85"/>
        <v>0</v>
      </c>
      <c r="AV182" s="6" t="s">
        <v>19584</v>
      </c>
      <c r="BA182" s="42">
        <f t="shared" si="93"/>
        <v>3600</v>
      </c>
      <c r="BD182" s="46" t="str">
        <f t="shared" si="86"/>
        <v>0</v>
      </c>
      <c r="BE182" s="46">
        <f t="shared" si="94"/>
        <v>3600</v>
      </c>
      <c r="BF182" s="46">
        <f t="shared" si="94"/>
        <v>-3600</v>
      </c>
      <c r="BG182" s="47">
        <f t="shared" si="95"/>
        <v>7200</v>
      </c>
      <c r="BH182" s="46">
        <f t="shared" si="87"/>
        <v>0</v>
      </c>
      <c r="BO182" s="48">
        <f t="shared" si="96"/>
        <v>0</v>
      </c>
      <c r="BP182" s="48">
        <f t="shared" si="97"/>
        <v>0</v>
      </c>
      <c r="BQ182" s="6" t="str">
        <f t="shared" si="78"/>
        <v>Advance With Supplier</v>
      </c>
      <c r="BS182" s="6" t="str">
        <f t="shared" si="88"/>
        <v>Open</v>
      </c>
      <c r="BT182" s="49">
        <f t="shared" ca="1" si="79"/>
        <v>73</v>
      </c>
    </row>
    <row r="183" spans="1:72" hidden="1" x14ac:dyDescent="0.25">
      <c r="A183" s="6" t="s">
        <v>19436</v>
      </c>
      <c r="B183" s="6">
        <v>1882.26</v>
      </c>
      <c r="C183" s="36">
        <v>46158</v>
      </c>
      <c r="D183" s="6" t="s">
        <v>19438</v>
      </c>
      <c r="E183" s="37">
        <v>30000</v>
      </c>
      <c r="F183" s="38" t="s">
        <v>19736</v>
      </c>
      <c r="G183" s="39" t="str">
        <f t="shared" si="80"/>
        <v>GRN Not Received</v>
      </c>
      <c r="H183" s="40" t="str">
        <f t="shared" si="81"/>
        <v>GRN Not Received</v>
      </c>
      <c r="I183" s="6" t="s">
        <v>19795</v>
      </c>
      <c r="J183" s="36">
        <v>46190</v>
      </c>
      <c r="K183" s="41">
        <v>30000</v>
      </c>
      <c r="L183" s="42">
        <v>0.24</v>
      </c>
      <c r="M183" s="42">
        <f t="shared" si="82"/>
        <v>7200</v>
      </c>
      <c r="N183" s="42">
        <v>0</v>
      </c>
      <c r="O183" s="42">
        <v>0</v>
      </c>
      <c r="P183" s="42">
        <f t="shared" si="83"/>
        <v>7200</v>
      </c>
      <c r="Q183" s="38" t="s">
        <v>19801</v>
      </c>
      <c r="R183" s="36">
        <v>46197</v>
      </c>
      <c r="S183" s="6" t="s">
        <v>19508</v>
      </c>
      <c r="T183" s="50" t="s">
        <v>17291</v>
      </c>
      <c r="U183" s="6" t="str">
        <f>IFERROR(VLOOKUP(T183,'item master'!B:C,2,0),"")</f>
        <v>COSHU-TOL (SIROP EXPECTORANT A BASE DE PLANTES AVEC MIEL) – 100 ML</v>
      </c>
      <c r="V183" s="41">
        <f t="shared" si="104"/>
        <v>30000</v>
      </c>
      <c r="X183" s="44">
        <f t="shared" si="105"/>
        <v>0.24</v>
      </c>
      <c r="Y183" s="42">
        <f t="shared" si="90"/>
        <v>7200</v>
      </c>
      <c r="Z183" s="42">
        <v>0</v>
      </c>
      <c r="AA183" s="42">
        <f t="shared" si="84"/>
        <v>7200</v>
      </c>
      <c r="AB183" s="45">
        <v>0.5</v>
      </c>
      <c r="AC183" s="42">
        <f t="shared" si="101"/>
        <v>3600</v>
      </c>
      <c r="AD183" s="42">
        <f t="shared" si="102"/>
        <v>3600</v>
      </c>
      <c r="AE183" s="36">
        <v>46216</v>
      </c>
      <c r="AF183" s="6" t="s">
        <v>19807</v>
      </c>
      <c r="AH183" s="41">
        <f t="shared" si="103"/>
        <v>0</v>
      </c>
      <c r="AJ183" s="41">
        <f t="shared" si="100"/>
        <v>30000</v>
      </c>
      <c r="AS183" s="42">
        <f t="shared" si="85"/>
        <v>0</v>
      </c>
      <c r="AV183" s="6" t="s">
        <v>19584</v>
      </c>
      <c r="BA183" s="42">
        <f t="shared" si="93"/>
        <v>3600</v>
      </c>
      <c r="BD183" s="46" t="str">
        <f t="shared" si="86"/>
        <v>0</v>
      </c>
      <c r="BE183" s="46">
        <f t="shared" si="94"/>
        <v>3600</v>
      </c>
      <c r="BF183" s="46">
        <f t="shared" si="94"/>
        <v>-3600</v>
      </c>
      <c r="BG183" s="47">
        <f t="shared" si="95"/>
        <v>7200</v>
      </c>
      <c r="BH183" s="46">
        <f t="shared" si="87"/>
        <v>0</v>
      </c>
      <c r="BO183" s="48">
        <f t="shared" si="96"/>
        <v>0</v>
      </c>
      <c r="BP183" s="48">
        <f t="shared" si="97"/>
        <v>0</v>
      </c>
      <c r="BQ183" s="6" t="str">
        <f t="shared" si="78"/>
        <v>Advance With Supplier</v>
      </c>
      <c r="BS183" s="6" t="str">
        <f t="shared" si="88"/>
        <v>Open</v>
      </c>
      <c r="BT183" s="49">
        <f t="shared" ca="1" si="79"/>
        <v>73</v>
      </c>
    </row>
    <row r="184" spans="1:72" hidden="1" x14ac:dyDescent="0.25">
      <c r="A184" s="6" t="s">
        <v>19436</v>
      </c>
      <c r="B184" s="6">
        <v>1882.26</v>
      </c>
      <c r="C184" s="36">
        <v>46158</v>
      </c>
      <c r="D184" s="6" t="s">
        <v>19438</v>
      </c>
      <c r="E184" s="37">
        <v>20000</v>
      </c>
      <c r="F184" s="38" t="s">
        <v>19798</v>
      </c>
      <c r="G184" s="39" t="str">
        <f t="shared" si="80"/>
        <v>GRN Not Received</v>
      </c>
      <c r="H184" s="40" t="str">
        <f t="shared" si="81"/>
        <v>GRN Not Received</v>
      </c>
      <c r="I184" s="6" t="s">
        <v>19795</v>
      </c>
      <c r="J184" s="36">
        <v>46190</v>
      </c>
      <c r="K184" s="41">
        <v>20000</v>
      </c>
      <c r="L184" s="42">
        <v>0.31</v>
      </c>
      <c r="M184" s="42">
        <f t="shared" si="82"/>
        <v>6200</v>
      </c>
      <c r="N184" s="42">
        <v>0</v>
      </c>
      <c r="O184" s="42">
        <v>0</v>
      </c>
      <c r="P184" s="42">
        <f t="shared" si="83"/>
        <v>6200</v>
      </c>
      <c r="Q184" s="38" t="s">
        <v>19801</v>
      </c>
      <c r="R184" s="36">
        <v>46197</v>
      </c>
      <c r="S184" s="6" t="s">
        <v>19508</v>
      </c>
      <c r="T184" s="50" t="s">
        <v>17295</v>
      </c>
      <c r="U184" s="6" t="str">
        <f>IFERROR(VLOOKUP(T184,'item master'!B:C,2,0),"")</f>
        <v>PERFECT HOMME (CAPSULE HERBAL POUR HOMME) – 2X15 CAPSULES</v>
      </c>
      <c r="V184" s="41">
        <f t="shared" si="104"/>
        <v>20000</v>
      </c>
      <c r="X184" s="44">
        <f t="shared" si="105"/>
        <v>0.31</v>
      </c>
      <c r="Y184" s="42">
        <f t="shared" si="90"/>
        <v>6200</v>
      </c>
      <c r="Z184" s="42">
        <v>0</v>
      </c>
      <c r="AA184" s="42">
        <f t="shared" si="84"/>
        <v>6200</v>
      </c>
      <c r="AB184" s="45">
        <v>0.5</v>
      </c>
      <c r="AC184" s="42">
        <f t="shared" si="101"/>
        <v>3100</v>
      </c>
      <c r="AD184" s="42">
        <f t="shared" si="102"/>
        <v>3100</v>
      </c>
      <c r="AE184" s="36">
        <v>46216</v>
      </c>
      <c r="AF184" s="6" t="s">
        <v>19807</v>
      </c>
      <c r="AH184" s="41">
        <f t="shared" si="103"/>
        <v>0</v>
      </c>
      <c r="AJ184" s="41">
        <f t="shared" si="100"/>
        <v>20000</v>
      </c>
      <c r="AS184" s="42">
        <f t="shared" si="85"/>
        <v>0</v>
      </c>
      <c r="AV184" s="6" t="s">
        <v>19584</v>
      </c>
      <c r="BA184" s="42">
        <f t="shared" si="93"/>
        <v>3100</v>
      </c>
      <c r="BD184" s="46" t="str">
        <f t="shared" si="86"/>
        <v>0</v>
      </c>
      <c r="BE184" s="46">
        <f t="shared" si="94"/>
        <v>3100</v>
      </c>
      <c r="BF184" s="46">
        <f t="shared" si="94"/>
        <v>-3100</v>
      </c>
      <c r="BG184" s="47">
        <f t="shared" si="95"/>
        <v>6200</v>
      </c>
      <c r="BH184" s="46">
        <f t="shared" si="87"/>
        <v>0</v>
      </c>
      <c r="BO184" s="48">
        <f t="shared" si="96"/>
        <v>0</v>
      </c>
      <c r="BP184" s="48">
        <f t="shared" si="97"/>
        <v>0</v>
      </c>
      <c r="BQ184" s="6" t="str">
        <f t="shared" si="78"/>
        <v>Advance With Supplier</v>
      </c>
      <c r="BS184" s="6" t="str">
        <f t="shared" ref="BS184:BS231" si="106">IF(AX184&lt;&gt;"","Closed","Open")</f>
        <v>Open</v>
      </c>
      <c r="BT184" s="49">
        <f t="shared" ca="1" si="79"/>
        <v>73</v>
      </c>
    </row>
    <row r="185" spans="1:72" hidden="1" x14ac:dyDescent="0.25">
      <c r="A185" s="6" t="s">
        <v>19436</v>
      </c>
      <c r="B185" s="6">
        <v>1969.26</v>
      </c>
      <c r="C185" s="36">
        <v>46202</v>
      </c>
      <c r="D185" s="6" t="s">
        <v>19439</v>
      </c>
      <c r="E185" s="37">
        <v>18000</v>
      </c>
      <c r="F185" s="38" t="s">
        <v>19803</v>
      </c>
      <c r="G185" s="39" t="str">
        <f t="shared" si="80"/>
        <v>GRN Not Received</v>
      </c>
      <c r="H185" s="40" t="str">
        <f t="shared" si="81"/>
        <v>GRN Not Received</v>
      </c>
      <c r="I185" s="6" t="s">
        <v>19802</v>
      </c>
      <c r="J185" s="36">
        <v>46210</v>
      </c>
      <c r="K185" s="41">
        <v>18000</v>
      </c>
      <c r="L185" s="42">
        <v>9.8000000000000004E-2</v>
      </c>
      <c r="M185" s="42">
        <f t="shared" si="82"/>
        <v>1764</v>
      </c>
      <c r="N185" s="42">
        <v>0</v>
      </c>
      <c r="O185" s="42">
        <v>0</v>
      </c>
      <c r="P185" s="42">
        <f t="shared" si="83"/>
        <v>1764</v>
      </c>
      <c r="Q185" s="38" t="s">
        <v>19804</v>
      </c>
      <c r="R185" s="36">
        <v>46203</v>
      </c>
      <c r="S185" s="6" t="s">
        <v>19508</v>
      </c>
      <c r="T185" s="50" t="s">
        <v>7774</v>
      </c>
      <c r="U185" s="6" t="str">
        <f>IFERROR(VLOOKUP(T185,'item master'!B:C,2,0),"")</f>
        <v>BONNE NUIT-100 (SILDENAFIL) B/5 A CROQUER CES CHOCOLATE</v>
      </c>
      <c r="V185" s="41">
        <f t="shared" si="104"/>
        <v>18000</v>
      </c>
      <c r="X185" s="44">
        <f t="shared" si="105"/>
        <v>9.8000000000000004E-2</v>
      </c>
      <c r="Y185" s="42">
        <f t="shared" si="90"/>
        <v>1764</v>
      </c>
      <c r="Z185" s="42">
        <v>0</v>
      </c>
      <c r="AA185" s="42">
        <f t="shared" si="84"/>
        <v>1764</v>
      </c>
      <c r="AB185" s="45">
        <v>0.5</v>
      </c>
      <c r="AC185" s="42">
        <f t="shared" si="101"/>
        <v>882</v>
      </c>
      <c r="AD185" s="42">
        <f t="shared" ref="AD185:AD194" si="107">AC185</f>
        <v>882</v>
      </c>
      <c r="AE185" s="36">
        <v>46216</v>
      </c>
      <c r="AF185" s="6" t="s">
        <v>19807</v>
      </c>
      <c r="AH185" s="41">
        <f t="shared" si="103"/>
        <v>0</v>
      </c>
      <c r="AJ185" s="41">
        <f t="shared" si="100"/>
        <v>18000</v>
      </c>
      <c r="AS185" s="42">
        <f t="shared" si="85"/>
        <v>0</v>
      </c>
      <c r="AV185" s="6" t="s">
        <v>19584</v>
      </c>
      <c r="BA185" s="42">
        <f t="shared" si="93"/>
        <v>882</v>
      </c>
      <c r="BD185" s="46" t="str">
        <f t="shared" si="86"/>
        <v>0</v>
      </c>
      <c r="BE185" s="46">
        <f t="shared" si="94"/>
        <v>882</v>
      </c>
      <c r="BF185" s="46">
        <f t="shared" si="94"/>
        <v>-882</v>
      </c>
      <c r="BG185" s="47">
        <f t="shared" si="95"/>
        <v>1764</v>
      </c>
      <c r="BH185" s="46">
        <f t="shared" si="87"/>
        <v>0</v>
      </c>
      <c r="BO185" s="48">
        <f t="shared" si="96"/>
        <v>0</v>
      </c>
      <c r="BP185" s="48">
        <f t="shared" si="97"/>
        <v>0</v>
      </c>
      <c r="BQ185" s="6" t="str">
        <f t="shared" si="78"/>
        <v>Advance With Supplier</v>
      </c>
      <c r="BS185" s="6" t="str">
        <f t="shared" si="106"/>
        <v>Open</v>
      </c>
      <c r="BT185" s="49">
        <f t="shared" ca="1" si="79"/>
        <v>53</v>
      </c>
    </row>
    <row r="186" spans="1:72" hidden="1" x14ac:dyDescent="0.25">
      <c r="A186" s="6" t="s">
        <v>19436</v>
      </c>
      <c r="B186" s="6">
        <v>1969.26</v>
      </c>
      <c r="C186" s="36">
        <v>46202</v>
      </c>
      <c r="D186" s="6" t="s">
        <v>19439</v>
      </c>
      <c r="E186" s="37">
        <v>4000</v>
      </c>
      <c r="F186" s="38" t="s">
        <v>19797</v>
      </c>
      <c r="G186" s="39" t="str">
        <f t="shared" si="80"/>
        <v>GRN Not Received</v>
      </c>
      <c r="H186" s="40" t="str">
        <f t="shared" si="81"/>
        <v>GRN Not Received</v>
      </c>
      <c r="I186" s="6" t="s">
        <v>19802</v>
      </c>
      <c r="J186" s="36">
        <v>46210</v>
      </c>
      <c r="K186" s="41">
        <v>4000</v>
      </c>
      <c r="L186" s="42">
        <v>3.4</v>
      </c>
      <c r="M186" s="42">
        <f t="shared" si="82"/>
        <v>13600</v>
      </c>
      <c r="N186" s="42">
        <v>0</v>
      </c>
      <c r="O186" s="42">
        <v>0</v>
      </c>
      <c r="P186" s="42">
        <f t="shared" si="83"/>
        <v>13600</v>
      </c>
      <c r="Q186" s="38" t="s">
        <v>19804</v>
      </c>
      <c r="R186" s="36">
        <v>46203</v>
      </c>
      <c r="S186" s="6" t="s">
        <v>19508</v>
      </c>
      <c r="T186" s="50" t="s">
        <v>19794</v>
      </c>
      <c r="U186" s="6" t="str">
        <f>IFERROR(VLOOKUP(T186,'item master'!B:C,2,0),"")</f>
        <v>NOCI KIT – H. PYLORI (7 KITS DE COMBI)</v>
      </c>
      <c r="V186" s="41">
        <f t="shared" si="104"/>
        <v>4000</v>
      </c>
      <c r="X186" s="44">
        <f t="shared" si="105"/>
        <v>3.4</v>
      </c>
      <c r="Y186" s="42">
        <f t="shared" si="90"/>
        <v>13600</v>
      </c>
      <c r="Z186" s="42">
        <v>0</v>
      </c>
      <c r="AA186" s="42">
        <f t="shared" si="84"/>
        <v>13600</v>
      </c>
      <c r="AB186" s="45">
        <v>0.5</v>
      </c>
      <c r="AC186" s="42">
        <f t="shared" si="101"/>
        <v>6800</v>
      </c>
      <c r="AD186" s="42">
        <f t="shared" si="107"/>
        <v>6800</v>
      </c>
      <c r="AE186" s="36">
        <v>46216</v>
      </c>
      <c r="AF186" s="6" t="s">
        <v>19807</v>
      </c>
      <c r="AH186" s="41">
        <f t="shared" si="103"/>
        <v>0</v>
      </c>
      <c r="AJ186" s="41">
        <f t="shared" si="100"/>
        <v>4000</v>
      </c>
      <c r="AS186" s="42">
        <f t="shared" si="85"/>
        <v>0</v>
      </c>
      <c r="AV186" s="6" t="s">
        <v>19584</v>
      </c>
      <c r="BA186" s="42">
        <f t="shared" si="93"/>
        <v>6800</v>
      </c>
      <c r="BD186" s="46" t="str">
        <f t="shared" si="86"/>
        <v>0</v>
      </c>
      <c r="BE186" s="46">
        <f t="shared" si="94"/>
        <v>6800</v>
      </c>
      <c r="BF186" s="46">
        <f t="shared" si="94"/>
        <v>-6800</v>
      </c>
      <c r="BG186" s="47">
        <f t="shared" si="95"/>
        <v>13600</v>
      </c>
      <c r="BH186" s="46">
        <f t="shared" si="87"/>
        <v>0</v>
      </c>
      <c r="BO186" s="48">
        <f t="shared" si="96"/>
        <v>0</v>
      </c>
      <c r="BP186" s="48">
        <f t="shared" si="97"/>
        <v>0</v>
      </c>
      <c r="BQ186" s="6" t="str">
        <f t="shared" si="78"/>
        <v>Advance With Supplier</v>
      </c>
      <c r="BS186" s="6" t="str">
        <f t="shared" si="106"/>
        <v>Open</v>
      </c>
      <c r="BT186" s="49">
        <f t="shared" ca="1" si="79"/>
        <v>53</v>
      </c>
    </row>
    <row r="187" spans="1:72" hidden="1" x14ac:dyDescent="0.25">
      <c r="A187" s="6" t="s">
        <v>19436</v>
      </c>
      <c r="B187" s="6">
        <v>1969.26</v>
      </c>
      <c r="C187" s="36">
        <v>46202</v>
      </c>
      <c r="D187" s="6" t="s">
        <v>19439</v>
      </c>
      <c r="E187" s="37">
        <v>3000</v>
      </c>
      <c r="F187" s="38" t="s">
        <v>19798</v>
      </c>
      <c r="G187" s="39" t="str">
        <f t="shared" si="80"/>
        <v>GRN Not Received</v>
      </c>
      <c r="H187" s="40" t="str">
        <f t="shared" si="81"/>
        <v>GRN Not Received</v>
      </c>
      <c r="I187" s="6" t="s">
        <v>19802</v>
      </c>
      <c r="J187" s="36">
        <v>46210</v>
      </c>
      <c r="K187" s="41">
        <v>3000</v>
      </c>
      <c r="L187" s="42">
        <v>0.31</v>
      </c>
      <c r="M187" s="42">
        <f t="shared" si="82"/>
        <v>930</v>
      </c>
      <c r="N187" s="42">
        <v>0</v>
      </c>
      <c r="O187" s="42">
        <v>0</v>
      </c>
      <c r="P187" s="42">
        <f t="shared" si="83"/>
        <v>930</v>
      </c>
      <c r="Q187" s="38" t="s">
        <v>19804</v>
      </c>
      <c r="R187" s="36">
        <v>46203</v>
      </c>
      <c r="S187" s="6" t="s">
        <v>19508</v>
      </c>
      <c r="T187" s="50" t="s">
        <v>17293</v>
      </c>
      <c r="U187" s="6" t="str">
        <f>IFERROR(VLOOKUP(T187,'item master'!B:C,2,0),"")</f>
        <v>PERFECT FEMME (CAPSULE HERBAL POUR FEMME) – 2X15 CAPSULES</v>
      </c>
      <c r="V187" s="41">
        <f t="shared" si="104"/>
        <v>3000</v>
      </c>
      <c r="X187" s="44">
        <f t="shared" si="105"/>
        <v>0.31</v>
      </c>
      <c r="Y187" s="42">
        <f t="shared" si="90"/>
        <v>930</v>
      </c>
      <c r="Z187" s="42">
        <v>0</v>
      </c>
      <c r="AA187" s="42">
        <f t="shared" si="84"/>
        <v>930</v>
      </c>
      <c r="AB187" s="45">
        <v>0.5</v>
      </c>
      <c r="AC187" s="42">
        <f t="shared" si="101"/>
        <v>465</v>
      </c>
      <c r="AD187" s="42">
        <f t="shared" si="107"/>
        <v>465</v>
      </c>
      <c r="AE187" s="36">
        <v>46216</v>
      </c>
      <c r="AF187" s="6" t="s">
        <v>19807</v>
      </c>
      <c r="AH187" s="41">
        <f t="shared" si="103"/>
        <v>0</v>
      </c>
      <c r="AJ187" s="41">
        <f t="shared" si="100"/>
        <v>3000</v>
      </c>
      <c r="AS187" s="42">
        <f t="shared" si="85"/>
        <v>0</v>
      </c>
      <c r="AV187" s="6" t="s">
        <v>19584</v>
      </c>
      <c r="BA187" s="42">
        <f t="shared" si="93"/>
        <v>465</v>
      </c>
      <c r="BD187" s="46" t="str">
        <f t="shared" si="86"/>
        <v>0</v>
      </c>
      <c r="BE187" s="46">
        <f t="shared" si="94"/>
        <v>465</v>
      </c>
      <c r="BF187" s="46">
        <f t="shared" si="94"/>
        <v>-465</v>
      </c>
      <c r="BG187" s="47">
        <f t="shared" si="95"/>
        <v>930</v>
      </c>
      <c r="BH187" s="46">
        <f t="shared" si="87"/>
        <v>0</v>
      </c>
      <c r="BO187" s="48">
        <f t="shared" si="96"/>
        <v>0</v>
      </c>
      <c r="BP187" s="48">
        <f t="shared" si="97"/>
        <v>0</v>
      </c>
      <c r="BQ187" s="6" t="str">
        <f t="shared" si="78"/>
        <v>Advance With Supplier</v>
      </c>
      <c r="BS187" s="6" t="str">
        <f t="shared" si="106"/>
        <v>Open</v>
      </c>
      <c r="BT187" s="49">
        <f t="shared" ca="1" si="79"/>
        <v>53</v>
      </c>
    </row>
    <row r="188" spans="1:72" hidden="1" x14ac:dyDescent="0.25">
      <c r="A188" s="6" t="s">
        <v>19436</v>
      </c>
      <c r="B188" s="6">
        <v>1969.26</v>
      </c>
      <c r="C188" s="36">
        <v>46202</v>
      </c>
      <c r="D188" s="6" t="s">
        <v>19439</v>
      </c>
      <c r="E188" s="37">
        <v>500</v>
      </c>
      <c r="F188" s="38" t="s">
        <v>19735</v>
      </c>
      <c r="G188" s="39" t="str">
        <f t="shared" si="80"/>
        <v>GRN Not Received</v>
      </c>
      <c r="H188" s="40" t="str">
        <f t="shared" si="81"/>
        <v>GRN Not Received</v>
      </c>
      <c r="I188" s="6" t="s">
        <v>19802</v>
      </c>
      <c r="J188" s="36">
        <v>46210</v>
      </c>
      <c r="K188" s="41">
        <v>500</v>
      </c>
      <c r="L188" s="42">
        <v>0.34799999999999998</v>
      </c>
      <c r="M188" s="42">
        <f t="shared" si="82"/>
        <v>174</v>
      </c>
      <c r="N188" s="42">
        <v>0</v>
      </c>
      <c r="O188" s="42">
        <v>0</v>
      </c>
      <c r="P188" s="42">
        <f t="shared" si="83"/>
        <v>174</v>
      </c>
      <c r="Q188" s="38" t="s">
        <v>19804</v>
      </c>
      <c r="R188" s="36">
        <v>46203</v>
      </c>
      <c r="S188" s="6" t="s">
        <v>19508</v>
      </c>
      <c r="T188" s="50" t="s">
        <v>17279</v>
      </c>
      <c r="U188" s="6" t="str">
        <f>IFERROR(VLOOKUP(T188,'item master'!B:C,2,0),"")</f>
        <v>FOIREX (SIROP HEPATOTONIQUE A BASE DE PLANTES) – 200 ML</v>
      </c>
      <c r="V188" s="41">
        <f t="shared" si="104"/>
        <v>500</v>
      </c>
      <c r="X188" s="44">
        <f t="shared" si="105"/>
        <v>0.34799999999999998</v>
      </c>
      <c r="Y188" s="42">
        <f t="shared" si="90"/>
        <v>174</v>
      </c>
      <c r="Z188" s="42">
        <v>0</v>
      </c>
      <c r="AA188" s="42">
        <f t="shared" si="84"/>
        <v>174</v>
      </c>
      <c r="AB188" s="45">
        <v>0.5</v>
      </c>
      <c r="AC188" s="42">
        <f t="shared" si="101"/>
        <v>87</v>
      </c>
      <c r="AD188" s="42">
        <f t="shared" si="107"/>
        <v>87</v>
      </c>
      <c r="AE188" s="36">
        <v>46216</v>
      </c>
      <c r="AF188" s="6" t="s">
        <v>19807</v>
      </c>
      <c r="AH188" s="41">
        <f t="shared" si="103"/>
        <v>0</v>
      </c>
      <c r="AJ188" s="41">
        <f t="shared" si="100"/>
        <v>500</v>
      </c>
      <c r="AS188" s="42">
        <f t="shared" si="85"/>
        <v>0</v>
      </c>
      <c r="AV188" s="6" t="s">
        <v>19584</v>
      </c>
      <c r="BA188" s="42">
        <f t="shared" si="93"/>
        <v>87</v>
      </c>
      <c r="BD188" s="46" t="str">
        <f t="shared" si="86"/>
        <v>0</v>
      </c>
      <c r="BE188" s="46">
        <f t="shared" si="94"/>
        <v>87</v>
      </c>
      <c r="BF188" s="46">
        <f t="shared" si="94"/>
        <v>-87</v>
      </c>
      <c r="BG188" s="47">
        <f t="shared" si="95"/>
        <v>174</v>
      </c>
      <c r="BH188" s="46">
        <f t="shared" si="87"/>
        <v>0</v>
      </c>
      <c r="BO188" s="48">
        <f t="shared" si="96"/>
        <v>0</v>
      </c>
      <c r="BP188" s="48">
        <f t="shared" si="97"/>
        <v>0</v>
      </c>
      <c r="BQ188" s="6" t="str">
        <f t="shared" ref="BQ188:BQ247" si="108">IF(ROUND(BG188,2)&gt;0,"Advance With Supplier",IF(ROUND(BP188,2)&gt;0,"Payable Balance Supplier","Fully Paid"))</f>
        <v>Advance With Supplier</v>
      </c>
      <c r="BS188" s="6" t="str">
        <f t="shared" si="106"/>
        <v>Open</v>
      </c>
      <c r="BT188" s="49">
        <f t="shared" ref="BT188:BT247" ca="1" si="109">IF(BS188="Open",TODAY()-J188,"Closed")</f>
        <v>53</v>
      </c>
    </row>
    <row r="189" spans="1:72" hidden="1" x14ac:dyDescent="0.25">
      <c r="A189" s="6" t="s">
        <v>19436</v>
      </c>
      <c r="B189" s="6">
        <v>1969.26</v>
      </c>
      <c r="C189" s="36">
        <v>46202</v>
      </c>
      <c r="D189" s="6" t="s">
        <v>19439</v>
      </c>
      <c r="E189" s="37">
        <v>1000</v>
      </c>
      <c r="F189" s="38" t="s">
        <v>19736</v>
      </c>
      <c r="G189" s="39" t="str">
        <f t="shared" ref="G189:G252" si="110">IF(AG189="","GRN Not Received",AW189/AG189)</f>
        <v>GRN Not Received</v>
      </c>
      <c r="H189" s="40" t="str">
        <f t="shared" ref="H189:H252" si="111">IF(E189="PRF_Details_Not Availbale","PRF Qty Not Available",IF(G189="GRN Not Received","GRN Not Received",--E189*--G189))</f>
        <v>GRN Not Received</v>
      </c>
      <c r="I189" s="6" t="s">
        <v>19802</v>
      </c>
      <c r="J189" s="36">
        <v>46210</v>
      </c>
      <c r="K189" s="41">
        <v>1000</v>
      </c>
      <c r="L189" s="42">
        <v>0.24</v>
      </c>
      <c r="M189" s="42">
        <f t="shared" ref="M189:M231" si="112">K189*L189</f>
        <v>240</v>
      </c>
      <c r="N189" s="42">
        <v>0</v>
      </c>
      <c r="O189" s="42">
        <v>0</v>
      </c>
      <c r="P189" s="42">
        <f t="shared" ref="P189:P231" si="113">M189+O189</f>
        <v>240</v>
      </c>
      <c r="Q189" s="38" t="s">
        <v>19804</v>
      </c>
      <c r="R189" s="36">
        <v>46203</v>
      </c>
      <c r="S189" s="6" t="s">
        <v>19508</v>
      </c>
      <c r="T189" s="50" t="s">
        <v>17283</v>
      </c>
      <c r="U189" s="6" t="str">
        <f>IFERROR(VLOOKUP(T189,'item master'!B:C,2,0),"")</f>
        <v>SORTOUX (SIROP CONTRE LA TOUX A BASE DE PLANTES MEDICINALES) – 100 ML</v>
      </c>
      <c r="V189" s="41">
        <f t="shared" si="104"/>
        <v>1000</v>
      </c>
      <c r="X189" s="44">
        <f t="shared" si="105"/>
        <v>0.24</v>
      </c>
      <c r="Y189" s="42">
        <f t="shared" si="90"/>
        <v>240</v>
      </c>
      <c r="Z189" s="42">
        <v>0</v>
      </c>
      <c r="AA189" s="42">
        <f t="shared" ref="AA189:AA242" si="114">Y189+Z189</f>
        <v>240</v>
      </c>
      <c r="AB189" s="45">
        <v>0.5</v>
      </c>
      <c r="AC189" s="42">
        <f t="shared" si="101"/>
        <v>120</v>
      </c>
      <c r="AD189" s="42">
        <f t="shared" si="107"/>
        <v>120</v>
      </c>
      <c r="AE189" s="36">
        <v>46216</v>
      </c>
      <c r="AF189" s="6" t="s">
        <v>19807</v>
      </c>
      <c r="AH189" s="41">
        <f t="shared" si="103"/>
        <v>0</v>
      </c>
      <c r="AJ189" s="41">
        <f t="shared" si="100"/>
        <v>1000</v>
      </c>
      <c r="AS189" s="42">
        <f t="shared" ref="AS189:AS246" si="115">AO189+AP189+AQ189+AR189</f>
        <v>0</v>
      </c>
      <c r="AV189" s="6" t="s">
        <v>19584</v>
      </c>
      <c r="BA189" s="42">
        <f t="shared" si="93"/>
        <v>120</v>
      </c>
      <c r="BD189" s="46" t="str">
        <f t="shared" ref="BD189:BD245" si="116">IF(AK189&gt;0,BA189+BB189+BC189,"0")</f>
        <v>0</v>
      </c>
      <c r="BE189" s="46">
        <f t="shared" si="94"/>
        <v>120</v>
      </c>
      <c r="BF189" s="46">
        <f t="shared" si="94"/>
        <v>-120</v>
      </c>
      <c r="BG189" s="47">
        <f t="shared" si="95"/>
        <v>240</v>
      </c>
      <c r="BH189" s="46">
        <f t="shared" ref="BH189:BH245" si="117">AS189-BD189</f>
        <v>0</v>
      </c>
      <c r="BO189" s="48">
        <f t="shared" si="96"/>
        <v>0</v>
      </c>
      <c r="BP189" s="48">
        <f t="shared" si="97"/>
        <v>0</v>
      </c>
      <c r="BQ189" s="6" t="str">
        <f t="shared" si="108"/>
        <v>Advance With Supplier</v>
      </c>
      <c r="BS189" s="6" t="str">
        <f t="shared" si="106"/>
        <v>Open</v>
      </c>
      <c r="BT189" s="49">
        <f t="shared" ca="1" si="109"/>
        <v>53</v>
      </c>
    </row>
    <row r="190" spans="1:72" hidden="1" x14ac:dyDescent="0.25">
      <c r="A190" s="6" t="s">
        <v>19436</v>
      </c>
      <c r="B190" s="6">
        <v>1969.26</v>
      </c>
      <c r="C190" s="36">
        <v>46202</v>
      </c>
      <c r="D190" s="6" t="s">
        <v>19439</v>
      </c>
      <c r="E190" s="37">
        <v>1000</v>
      </c>
      <c r="F190" s="38" t="s">
        <v>19736</v>
      </c>
      <c r="G190" s="39" t="str">
        <f t="shared" si="110"/>
        <v>GRN Not Received</v>
      </c>
      <c r="H190" s="40" t="str">
        <f t="shared" si="111"/>
        <v>GRN Not Received</v>
      </c>
      <c r="I190" s="6" t="s">
        <v>19802</v>
      </c>
      <c r="J190" s="36">
        <v>46210</v>
      </c>
      <c r="K190" s="41">
        <v>1000</v>
      </c>
      <c r="L190" s="42">
        <v>0.24</v>
      </c>
      <c r="M190" s="42">
        <f t="shared" si="112"/>
        <v>240</v>
      </c>
      <c r="N190" s="42">
        <v>0</v>
      </c>
      <c r="O190" s="42">
        <v>0</v>
      </c>
      <c r="P190" s="42">
        <f t="shared" si="113"/>
        <v>240</v>
      </c>
      <c r="Q190" s="38" t="s">
        <v>19804</v>
      </c>
      <c r="R190" s="36">
        <v>46203</v>
      </c>
      <c r="S190" s="6" t="s">
        <v>19508</v>
      </c>
      <c r="T190" s="50" t="s">
        <v>17291</v>
      </c>
      <c r="U190" s="6" t="str">
        <f>IFERROR(VLOOKUP(T190,'item master'!B:C,2,0),"")</f>
        <v>COSHU-TOL (SIROP EXPECTORANT A BASE DE PLANTES AVEC MIEL) – 100 ML</v>
      </c>
      <c r="V190" s="41">
        <f t="shared" si="104"/>
        <v>1000</v>
      </c>
      <c r="X190" s="44">
        <f t="shared" si="105"/>
        <v>0.24</v>
      </c>
      <c r="Y190" s="42">
        <f t="shared" si="90"/>
        <v>240</v>
      </c>
      <c r="Z190" s="42">
        <v>0</v>
      </c>
      <c r="AA190" s="42">
        <f t="shared" si="114"/>
        <v>240</v>
      </c>
      <c r="AB190" s="45">
        <v>0.5</v>
      </c>
      <c r="AC190" s="42">
        <f t="shared" si="101"/>
        <v>120</v>
      </c>
      <c r="AD190" s="42">
        <f t="shared" si="107"/>
        <v>120</v>
      </c>
      <c r="AE190" s="36">
        <v>46216</v>
      </c>
      <c r="AF190" s="6" t="s">
        <v>19807</v>
      </c>
      <c r="AH190" s="41">
        <f t="shared" si="103"/>
        <v>0</v>
      </c>
      <c r="AJ190" s="41">
        <f t="shared" si="100"/>
        <v>1000</v>
      </c>
      <c r="AS190" s="42">
        <f t="shared" si="115"/>
        <v>0</v>
      </c>
      <c r="AV190" s="6" t="s">
        <v>19584</v>
      </c>
      <c r="BA190" s="42">
        <f t="shared" si="93"/>
        <v>120</v>
      </c>
      <c r="BD190" s="46" t="str">
        <f t="shared" si="116"/>
        <v>0</v>
      </c>
      <c r="BE190" s="46">
        <f t="shared" si="94"/>
        <v>120</v>
      </c>
      <c r="BF190" s="46">
        <f t="shared" si="94"/>
        <v>-120</v>
      </c>
      <c r="BG190" s="47">
        <f t="shared" si="95"/>
        <v>240</v>
      </c>
      <c r="BH190" s="46">
        <f t="shared" si="117"/>
        <v>0</v>
      </c>
      <c r="BO190" s="48">
        <f t="shared" si="96"/>
        <v>0</v>
      </c>
      <c r="BP190" s="48">
        <f t="shared" si="97"/>
        <v>0</v>
      </c>
      <c r="BQ190" s="6" t="str">
        <f t="shared" si="108"/>
        <v>Advance With Supplier</v>
      </c>
      <c r="BS190" s="6" t="str">
        <f t="shared" si="106"/>
        <v>Open</v>
      </c>
      <c r="BT190" s="49">
        <f t="shared" ca="1" si="109"/>
        <v>53</v>
      </c>
    </row>
    <row r="191" spans="1:72" hidden="1" x14ac:dyDescent="0.25">
      <c r="A191" s="6" t="s">
        <v>19436</v>
      </c>
      <c r="B191" s="6">
        <v>1969.26</v>
      </c>
      <c r="C191" s="36">
        <v>46202</v>
      </c>
      <c r="D191" s="6" t="s">
        <v>19439</v>
      </c>
      <c r="E191" s="37">
        <v>3000</v>
      </c>
      <c r="F191" s="38" t="s">
        <v>19798</v>
      </c>
      <c r="G191" s="39" t="str">
        <f t="shared" si="110"/>
        <v>GRN Not Received</v>
      </c>
      <c r="H191" s="40" t="str">
        <f t="shared" si="111"/>
        <v>GRN Not Received</v>
      </c>
      <c r="I191" s="6" t="s">
        <v>19802</v>
      </c>
      <c r="J191" s="36">
        <v>46210</v>
      </c>
      <c r="K191" s="41">
        <v>3000</v>
      </c>
      <c r="L191" s="42">
        <v>0.31</v>
      </c>
      <c r="M191" s="42">
        <f t="shared" si="112"/>
        <v>930</v>
      </c>
      <c r="N191" s="42">
        <v>0</v>
      </c>
      <c r="O191" s="42">
        <v>0</v>
      </c>
      <c r="P191" s="42">
        <f t="shared" si="113"/>
        <v>930</v>
      </c>
      <c r="Q191" s="38" t="s">
        <v>19804</v>
      </c>
      <c r="R191" s="36">
        <v>46203</v>
      </c>
      <c r="S191" s="6" t="s">
        <v>19508</v>
      </c>
      <c r="T191" s="50" t="s">
        <v>17295</v>
      </c>
      <c r="U191" s="6" t="str">
        <f>IFERROR(VLOOKUP(T191,'item master'!B:C,2,0),"")</f>
        <v>PERFECT HOMME (CAPSULE HERBAL POUR HOMME) – 2X15 CAPSULES</v>
      </c>
      <c r="V191" s="41">
        <f t="shared" si="104"/>
        <v>3000</v>
      </c>
      <c r="X191" s="44">
        <f t="shared" si="105"/>
        <v>0.31</v>
      </c>
      <c r="Y191" s="42">
        <f t="shared" si="90"/>
        <v>930</v>
      </c>
      <c r="Z191" s="42">
        <v>0</v>
      </c>
      <c r="AA191" s="42">
        <f t="shared" si="114"/>
        <v>930</v>
      </c>
      <c r="AB191" s="45">
        <v>0.5</v>
      </c>
      <c r="AC191" s="42">
        <f t="shared" si="101"/>
        <v>465</v>
      </c>
      <c r="AD191" s="42">
        <f t="shared" si="107"/>
        <v>465</v>
      </c>
      <c r="AE191" s="36">
        <v>46216</v>
      </c>
      <c r="AF191" s="6" t="s">
        <v>19807</v>
      </c>
      <c r="AH191" s="41">
        <f t="shared" si="103"/>
        <v>0</v>
      </c>
      <c r="AJ191" s="41">
        <f t="shared" si="100"/>
        <v>3000</v>
      </c>
      <c r="AS191" s="42">
        <f t="shared" si="115"/>
        <v>0</v>
      </c>
      <c r="AV191" s="6" t="s">
        <v>19584</v>
      </c>
      <c r="BA191" s="42">
        <f t="shared" si="93"/>
        <v>465</v>
      </c>
      <c r="BD191" s="46" t="str">
        <f t="shared" si="116"/>
        <v>0</v>
      </c>
      <c r="BE191" s="46">
        <f t="shared" si="94"/>
        <v>465</v>
      </c>
      <c r="BF191" s="46">
        <f t="shared" si="94"/>
        <v>-465</v>
      </c>
      <c r="BG191" s="47">
        <f t="shared" si="95"/>
        <v>930</v>
      </c>
      <c r="BH191" s="46">
        <f t="shared" si="117"/>
        <v>0</v>
      </c>
      <c r="BO191" s="48">
        <f t="shared" si="96"/>
        <v>0</v>
      </c>
      <c r="BP191" s="48">
        <f t="shared" si="97"/>
        <v>0</v>
      </c>
      <c r="BQ191" s="6" t="str">
        <f t="shared" si="108"/>
        <v>Advance With Supplier</v>
      </c>
      <c r="BS191" s="6" t="str">
        <f t="shared" si="106"/>
        <v>Open</v>
      </c>
      <c r="BT191" s="49">
        <f t="shared" ca="1" si="109"/>
        <v>53</v>
      </c>
    </row>
    <row r="192" spans="1:72" hidden="1" x14ac:dyDescent="0.25">
      <c r="A192" s="6" t="s">
        <v>19436</v>
      </c>
      <c r="B192" s="6">
        <v>1937.26</v>
      </c>
      <c r="C192" s="36">
        <v>46193</v>
      </c>
      <c r="D192" s="6" t="s">
        <v>19438</v>
      </c>
      <c r="E192" s="37">
        <v>5000</v>
      </c>
      <c r="F192" s="38" t="s">
        <v>19735</v>
      </c>
      <c r="G192" s="39" t="str">
        <f t="shared" si="110"/>
        <v>GRN Not Received</v>
      </c>
      <c r="H192" s="40" t="str">
        <f t="shared" si="111"/>
        <v>GRN Not Received</v>
      </c>
      <c r="I192" s="6" t="s">
        <v>19805</v>
      </c>
      <c r="J192" s="36">
        <v>46210</v>
      </c>
      <c r="K192" s="41">
        <v>5000</v>
      </c>
      <c r="L192" s="42">
        <v>0.34799999999999998</v>
      </c>
      <c r="M192" s="42">
        <f t="shared" si="112"/>
        <v>1739.9999999999998</v>
      </c>
      <c r="N192" s="42">
        <v>0</v>
      </c>
      <c r="O192" s="42">
        <v>0</v>
      </c>
      <c r="P192" s="42">
        <f t="shared" si="113"/>
        <v>1739.9999999999998</v>
      </c>
      <c r="Q192" s="38" t="s">
        <v>19806</v>
      </c>
      <c r="R192" s="36">
        <v>46211</v>
      </c>
      <c r="S192" s="6" t="s">
        <v>19508</v>
      </c>
      <c r="T192" s="50" t="s">
        <v>17279</v>
      </c>
      <c r="U192" s="6" t="str">
        <f>IFERROR(VLOOKUP(T192,'item master'!B:C,2,0),"")</f>
        <v>FOIREX (SIROP HEPATOTONIQUE A BASE DE PLANTES) – 200 ML</v>
      </c>
      <c r="V192" s="41">
        <f t="shared" si="104"/>
        <v>5000</v>
      </c>
      <c r="X192" s="44">
        <f t="shared" si="105"/>
        <v>0.34799999999999998</v>
      </c>
      <c r="Y192" s="42">
        <f t="shared" si="90"/>
        <v>1739.9999999999998</v>
      </c>
      <c r="Z192" s="42">
        <v>0</v>
      </c>
      <c r="AA192" s="42">
        <f t="shared" si="114"/>
        <v>1739.9999999999998</v>
      </c>
      <c r="AB192" s="45">
        <v>0.5</v>
      </c>
      <c r="AC192" s="42">
        <f t="shared" si="101"/>
        <v>869.99999999999989</v>
      </c>
      <c r="AD192" s="42">
        <f t="shared" si="107"/>
        <v>869.99999999999989</v>
      </c>
      <c r="AE192" s="36">
        <v>46216</v>
      </c>
      <c r="AF192" s="6" t="s">
        <v>19807</v>
      </c>
      <c r="AH192" s="41">
        <f t="shared" si="103"/>
        <v>0</v>
      </c>
      <c r="AJ192" s="41">
        <f t="shared" si="100"/>
        <v>5000</v>
      </c>
      <c r="AS192" s="42">
        <f t="shared" si="115"/>
        <v>0</v>
      </c>
      <c r="AV192" s="6" t="s">
        <v>19584</v>
      </c>
      <c r="BA192" s="42">
        <f t="shared" si="93"/>
        <v>869.99999999999989</v>
      </c>
      <c r="BD192" s="46" t="str">
        <f t="shared" si="116"/>
        <v>0</v>
      </c>
      <c r="BE192" s="46">
        <f t="shared" si="94"/>
        <v>869.99999999999989</v>
      </c>
      <c r="BF192" s="46">
        <f t="shared" si="94"/>
        <v>-869.99999999999989</v>
      </c>
      <c r="BG192" s="47">
        <f t="shared" si="95"/>
        <v>1739.9999999999998</v>
      </c>
      <c r="BH192" s="46">
        <f t="shared" si="117"/>
        <v>0</v>
      </c>
      <c r="BO192" s="48">
        <f t="shared" si="96"/>
        <v>0</v>
      </c>
      <c r="BP192" s="48">
        <f t="shared" si="97"/>
        <v>0</v>
      </c>
      <c r="BQ192" s="6" t="str">
        <f t="shared" si="108"/>
        <v>Advance With Supplier</v>
      </c>
      <c r="BS192" s="6" t="str">
        <f t="shared" si="106"/>
        <v>Open</v>
      </c>
      <c r="BT192" s="49">
        <f t="shared" ca="1" si="109"/>
        <v>53</v>
      </c>
    </row>
    <row r="193" spans="1:72" hidden="1" x14ac:dyDescent="0.25">
      <c r="A193" s="6" t="s">
        <v>19436</v>
      </c>
      <c r="B193" s="6">
        <v>1964.26</v>
      </c>
      <c r="C193" s="36">
        <v>46202</v>
      </c>
      <c r="D193" s="6" t="s">
        <v>19440</v>
      </c>
      <c r="E193" s="37">
        <v>600</v>
      </c>
      <c r="F193" s="38" t="s">
        <v>19809</v>
      </c>
      <c r="G193" s="39" t="str">
        <f t="shared" si="110"/>
        <v>GRN Not Received</v>
      </c>
      <c r="H193" s="40" t="str">
        <f t="shared" si="111"/>
        <v>GRN Not Received</v>
      </c>
      <c r="I193" s="6" t="s">
        <v>19810</v>
      </c>
      <c r="J193" s="36">
        <v>46206</v>
      </c>
      <c r="K193" s="41">
        <v>600</v>
      </c>
      <c r="L193" s="42">
        <v>2.8</v>
      </c>
      <c r="M193" s="42">
        <f t="shared" si="112"/>
        <v>1680</v>
      </c>
      <c r="N193" s="42">
        <v>0</v>
      </c>
      <c r="O193" s="42">
        <v>0</v>
      </c>
      <c r="P193" s="42">
        <f t="shared" si="113"/>
        <v>1680</v>
      </c>
      <c r="Q193" s="38" t="s">
        <v>19811</v>
      </c>
      <c r="R193" s="36">
        <v>46207</v>
      </c>
      <c r="S193" s="6" t="s">
        <v>19509</v>
      </c>
      <c r="T193" s="50" t="s">
        <v>15468</v>
      </c>
      <c r="U193" s="6" t="str">
        <f>IFERROR(VLOOKUP(T193,'item master'!B:C,2,0),"")</f>
        <v>SECOURS PASTILLES B/200 PCS</v>
      </c>
      <c r="V193" s="41">
        <f t="shared" si="104"/>
        <v>600</v>
      </c>
      <c r="X193" s="44">
        <v>2.8</v>
      </c>
      <c r="Y193" s="42">
        <f t="shared" ref="Y193:Y203" si="118">V193*X193</f>
        <v>1680</v>
      </c>
      <c r="Z193" s="42">
        <v>0</v>
      </c>
      <c r="AA193" s="42">
        <f t="shared" si="114"/>
        <v>1680</v>
      </c>
      <c r="AB193" s="45">
        <v>0.3</v>
      </c>
      <c r="AC193" s="42">
        <f t="shared" si="101"/>
        <v>504</v>
      </c>
      <c r="AD193" s="42">
        <f t="shared" si="107"/>
        <v>504</v>
      </c>
      <c r="AE193" s="36">
        <v>46216</v>
      </c>
      <c r="AF193" s="6" t="s">
        <v>19814</v>
      </c>
      <c r="AJ193" s="41">
        <f t="shared" si="100"/>
        <v>600</v>
      </c>
      <c r="AS193" s="42">
        <f t="shared" si="115"/>
        <v>0</v>
      </c>
      <c r="AV193" s="6" t="s">
        <v>19584</v>
      </c>
      <c r="BA193" s="42">
        <f t="shared" si="93"/>
        <v>504</v>
      </c>
      <c r="BD193" s="46" t="str">
        <f t="shared" si="116"/>
        <v>0</v>
      </c>
      <c r="BE193" s="46">
        <f t="shared" si="94"/>
        <v>504</v>
      </c>
      <c r="BF193" s="46">
        <f t="shared" si="94"/>
        <v>-504</v>
      </c>
      <c r="BG193" s="47">
        <f t="shared" si="95"/>
        <v>1008</v>
      </c>
      <c r="BH193" s="46">
        <f t="shared" si="117"/>
        <v>0</v>
      </c>
      <c r="BO193" s="48">
        <f t="shared" si="96"/>
        <v>0</v>
      </c>
      <c r="BP193" s="48">
        <f t="shared" si="97"/>
        <v>0</v>
      </c>
      <c r="BQ193" s="6" t="str">
        <f t="shared" si="108"/>
        <v>Advance With Supplier</v>
      </c>
      <c r="BS193" s="6" t="str">
        <f t="shared" si="106"/>
        <v>Open</v>
      </c>
      <c r="BT193" s="49">
        <f t="shared" ca="1" si="109"/>
        <v>57</v>
      </c>
    </row>
    <row r="194" spans="1:72" hidden="1" x14ac:dyDescent="0.25">
      <c r="A194" s="6" t="s">
        <v>19436</v>
      </c>
      <c r="B194" s="6">
        <v>1963.26</v>
      </c>
      <c r="C194" s="36">
        <v>46202</v>
      </c>
      <c r="D194" s="6" t="s">
        <v>19438</v>
      </c>
      <c r="E194" s="37">
        <v>400</v>
      </c>
      <c r="F194" s="38" t="s">
        <v>19809</v>
      </c>
      <c r="G194" s="39" t="str">
        <f t="shared" si="110"/>
        <v>GRN Not Received</v>
      </c>
      <c r="H194" s="40" t="str">
        <f t="shared" si="111"/>
        <v>GRN Not Received</v>
      </c>
      <c r="I194" s="6" t="s">
        <v>19812</v>
      </c>
      <c r="J194" s="36">
        <v>46206</v>
      </c>
      <c r="K194" s="41">
        <v>400</v>
      </c>
      <c r="L194" s="42">
        <v>2.8</v>
      </c>
      <c r="M194" s="42">
        <f t="shared" si="112"/>
        <v>1120</v>
      </c>
      <c r="N194" s="42">
        <v>0</v>
      </c>
      <c r="O194" s="42">
        <v>0</v>
      </c>
      <c r="P194" s="42">
        <f t="shared" si="113"/>
        <v>1120</v>
      </c>
      <c r="Q194" s="38" t="s">
        <v>19813</v>
      </c>
      <c r="R194" s="36">
        <v>46207</v>
      </c>
      <c r="S194" s="6" t="s">
        <v>19509</v>
      </c>
      <c r="T194" s="50" t="s">
        <v>15468</v>
      </c>
      <c r="U194" s="6" t="str">
        <f>IFERROR(VLOOKUP(T194,'item master'!B:C,2,0),"")</f>
        <v>SECOURS PASTILLES B/200 PCS</v>
      </c>
      <c r="V194" s="41">
        <f t="shared" si="104"/>
        <v>400</v>
      </c>
      <c r="X194" s="44">
        <v>2.8</v>
      </c>
      <c r="Y194" s="42">
        <f t="shared" si="118"/>
        <v>1120</v>
      </c>
      <c r="Z194" s="42">
        <v>0</v>
      </c>
      <c r="AA194" s="42">
        <f t="shared" si="114"/>
        <v>1120</v>
      </c>
      <c r="AB194" s="45">
        <v>0.3</v>
      </c>
      <c r="AC194" s="42">
        <f t="shared" si="101"/>
        <v>336</v>
      </c>
      <c r="AD194" s="42">
        <f t="shared" si="107"/>
        <v>336</v>
      </c>
      <c r="AE194" s="36">
        <v>46216</v>
      </c>
      <c r="AF194" s="6" t="s">
        <v>19814</v>
      </c>
      <c r="AJ194" s="41">
        <f t="shared" si="100"/>
        <v>400</v>
      </c>
      <c r="AS194" s="42">
        <f t="shared" si="115"/>
        <v>0</v>
      </c>
      <c r="AV194" s="6" t="s">
        <v>19584</v>
      </c>
      <c r="BA194" s="42">
        <f t="shared" si="93"/>
        <v>336</v>
      </c>
      <c r="BD194" s="46" t="str">
        <f t="shared" si="116"/>
        <v>0</v>
      </c>
      <c r="BE194" s="46">
        <f t="shared" si="94"/>
        <v>336</v>
      </c>
      <c r="BF194" s="46">
        <f t="shared" si="94"/>
        <v>-336</v>
      </c>
      <c r="BG194" s="47">
        <f t="shared" si="95"/>
        <v>672</v>
      </c>
      <c r="BH194" s="46">
        <f t="shared" si="117"/>
        <v>0</v>
      </c>
      <c r="BO194" s="48">
        <f t="shared" si="96"/>
        <v>0</v>
      </c>
      <c r="BP194" s="48">
        <f t="shared" si="97"/>
        <v>0</v>
      </c>
      <c r="BQ194" s="6" t="str">
        <f t="shared" si="108"/>
        <v>Advance With Supplier</v>
      </c>
      <c r="BS194" s="6" t="str">
        <f t="shared" si="106"/>
        <v>Open</v>
      </c>
      <c r="BT194" s="49">
        <f t="shared" ca="1" si="109"/>
        <v>57</v>
      </c>
    </row>
    <row r="195" spans="1:72" hidden="1" x14ac:dyDescent="0.25">
      <c r="A195" s="6" t="s">
        <v>19436</v>
      </c>
      <c r="B195" s="6">
        <v>1879.26</v>
      </c>
      <c r="C195" s="36">
        <v>46158</v>
      </c>
      <c r="D195" s="6" t="s">
        <v>19438</v>
      </c>
      <c r="E195" s="37">
        <v>25000</v>
      </c>
      <c r="F195" s="38" t="s">
        <v>19815</v>
      </c>
      <c r="G195" s="39" t="str">
        <f t="shared" si="110"/>
        <v>GRN Not Received</v>
      </c>
      <c r="H195" s="40" t="str">
        <f t="shared" si="111"/>
        <v>GRN Not Received</v>
      </c>
      <c r="I195" s="6" t="s">
        <v>19816</v>
      </c>
      <c r="J195" s="36">
        <v>46190</v>
      </c>
      <c r="K195" s="41">
        <v>25000</v>
      </c>
      <c r="L195" s="42">
        <v>0.91</v>
      </c>
      <c r="M195" s="42">
        <f t="shared" si="112"/>
        <v>22750</v>
      </c>
      <c r="N195" s="42">
        <v>0</v>
      </c>
      <c r="O195" s="42">
        <v>0</v>
      </c>
      <c r="P195" s="42">
        <f t="shared" si="113"/>
        <v>22750</v>
      </c>
      <c r="Q195" s="38" t="s">
        <v>19817</v>
      </c>
      <c r="R195" s="36">
        <v>46157</v>
      </c>
      <c r="S195" s="6" t="s">
        <v>19509</v>
      </c>
      <c r="T195" s="50" t="s">
        <v>15474</v>
      </c>
      <c r="U195" s="6" t="str">
        <f>IFERROR(VLOOKUP(T195,'item master'!B:C,2,0),"")</f>
        <v>SORTOUX PASTILLES B/8X10</v>
      </c>
      <c r="V195" s="41">
        <f t="shared" si="104"/>
        <v>25000</v>
      </c>
      <c r="X195" s="44">
        <v>0.91</v>
      </c>
      <c r="Y195" s="42">
        <f t="shared" si="118"/>
        <v>22750</v>
      </c>
      <c r="Z195" s="42">
        <v>0</v>
      </c>
      <c r="AA195" s="42">
        <f t="shared" si="114"/>
        <v>22750</v>
      </c>
      <c r="AB195" s="45">
        <v>0.3</v>
      </c>
      <c r="AC195" s="42">
        <f t="shared" si="101"/>
        <v>6825</v>
      </c>
      <c r="AD195" s="42">
        <f t="shared" ref="AD195:AD208" si="119">AC195</f>
        <v>6825</v>
      </c>
      <c r="AE195" s="36">
        <v>46195</v>
      </c>
      <c r="AF195" s="6" t="s">
        <v>19818</v>
      </c>
      <c r="AJ195" s="41">
        <f t="shared" si="100"/>
        <v>25000</v>
      </c>
      <c r="AS195" s="42">
        <f t="shared" si="115"/>
        <v>0</v>
      </c>
      <c r="AV195" s="6" t="s">
        <v>19584</v>
      </c>
      <c r="BA195" s="42">
        <f t="shared" si="93"/>
        <v>6825</v>
      </c>
      <c r="BD195" s="46" t="str">
        <f t="shared" si="116"/>
        <v>0</v>
      </c>
      <c r="BE195" s="46">
        <f t="shared" si="94"/>
        <v>6825</v>
      </c>
      <c r="BF195" s="46">
        <f t="shared" si="94"/>
        <v>-6825</v>
      </c>
      <c r="BG195" s="47">
        <f t="shared" si="95"/>
        <v>13650</v>
      </c>
      <c r="BH195" s="46">
        <f t="shared" si="117"/>
        <v>0</v>
      </c>
      <c r="BO195" s="48">
        <f t="shared" si="96"/>
        <v>0</v>
      </c>
      <c r="BP195" s="48">
        <f t="shared" si="97"/>
        <v>0</v>
      </c>
      <c r="BQ195" s="6" t="str">
        <f t="shared" si="108"/>
        <v>Advance With Supplier</v>
      </c>
      <c r="BS195" s="6" t="str">
        <f t="shared" si="106"/>
        <v>Open</v>
      </c>
      <c r="BT195" s="49">
        <f t="shared" ca="1" si="109"/>
        <v>73</v>
      </c>
    </row>
    <row r="196" spans="1:72" hidden="1" x14ac:dyDescent="0.25">
      <c r="A196" s="6" t="s">
        <v>19436</v>
      </c>
      <c r="B196" s="6">
        <v>1940.26</v>
      </c>
      <c r="C196" s="36">
        <v>46193</v>
      </c>
      <c r="D196" s="6" t="s">
        <v>19438</v>
      </c>
      <c r="E196" s="37">
        <v>5000</v>
      </c>
      <c r="F196" s="38" t="s">
        <v>19809</v>
      </c>
      <c r="G196" s="39" t="str">
        <f t="shared" si="110"/>
        <v>GRN Not Received</v>
      </c>
      <c r="H196" s="40" t="str">
        <f t="shared" si="111"/>
        <v>GRN Not Received</v>
      </c>
      <c r="I196" s="6" t="s">
        <v>19819</v>
      </c>
      <c r="J196" s="36">
        <v>46198</v>
      </c>
      <c r="K196" s="41">
        <v>5000</v>
      </c>
      <c r="L196" s="42">
        <v>2.8</v>
      </c>
      <c r="M196" s="42">
        <f t="shared" si="112"/>
        <v>14000</v>
      </c>
      <c r="N196" s="42">
        <v>0</v>
      </c>
      <c r="O196" s="42">
        <v>0</v>
      </c>
      <c r="P196" s="42">
        <f t="shared" si="113"/>
        <v>14000</v>
      </c>
      <c r="Q196" s="38" t="s">
        <v>19820</v>
      </c>
      <c r="R196" s="36">
        <v>46198</v>
      </c>
      <c r="S196" s="6" t="s">
        <v>19509</v>
      </c>
      <c r="T196" s="50" t="s">
        <v>15468</v>
      </c>
      <c r="U196" s="6" t="str">
        <f>IFERROR(VLOOKUP(T196,'item master'!B:C,2,0),"")</f>
        <v>SECOURS PASTILLES B/200 PCS</v>
      </c>
      <c r="V196" s="41">
        <f t="shared" si="104"/>
        <v>5000</v>
      </c>
      <c r="X196" s="44">
        <v>2.8</v>
      </c>
      <c r="Y196" s="42">
        <f t="shared" si="118"/>
        <v>14000</v>
      </c>
      <c r="Z196" s="42">
        <v>0</v>
      </c>
      <c r="AA196" s="42">
        <f t="shared" si="114"/>
        <v>14000</v>
      </c>
      <c r="AB196" s="45">
        <v>0.3</v>
      </c>
      <c r="AC196" s="42">
        <f t="shared" si="101"/>
        <v>4200</v>
      </c>
      <c r="AD196" s="42">
        <f t="shared" si="119"/>
        <v>4200</v>
      </c>
      <c r="AE196" s="36">
        <v>46199</v>
      </c>
      <c r="AF196" s="6" t="s">
        <v>19821</v>
      </c>
      <c r="AJ196" s="41">
        <f t="shared" si="100"/>
        <v>5000</v>
      </c>
      <c r="AS196" s="42">
        <f t="shared" si="115"/>
        <v>0</v>
      </c>
      <c r="AV196" s="6" t="s">
        <v>19584</v>
      </c>
      <c r="BA196" s="42">
        <f t="shared" si="93"/>
        <v>4200</v>
      </c>
      <c r="BD196" s="46" t="str">
        <f t="shared" si="116"/>
        <v>0</v>
      </c>
      <c r="BE196" s="46">
        <f t="shared" si="94"/>
        <v>4200</v>
      </c>
      <c r="BF196" s="46">
        <f t="shared" si="94"/>
        <v>-4200</v>
      </c>
      <c r="BG196" s="47">
        <f t="shared" si="95"/>
        <v>8400</v>
      </c>
      <c r="BH196" s="46">
        <f t="shared" si="117"/>
        <v>0</v>
      </c>
      <c r="BO196" s="48">
        <f t="shared" si="96"/>
        <v>0</v>
      </c>
      <c r="BP196" s="48">
        <f t="shared" si="97"/>
        <v>0</v>
      </c>
      <c r="BQ196" s="6" t="str">
        <f t="shared" si="108"/>
        <v>Advance With Supplier</v>
      </c>
      <c r="BS196" s="6" t="str">
        <f t="shared" si="106"/>
        <v>Open</v>
      </c>
      <c r="BT196" s="49">
        <f t="shared" ca="1" si="109"/>
        <v>65</v>
      </c>
    </row>
    <row r="197" spans="1:72" hidden="1" x14ac:dyDescent="0.25">
      <c r="A197" s="6" t="s">
        <v>19436</v>
      </c>
      <c r="B197" s="6">
        <v>1880.26</v>
      </c>
      <c r="C197" s="36">
        <v>46158</v>
      </c>
      <c r="D197" s="6" t="s">
        <v>19438</v>
      </c>
      <c r="E197" s="37">
        <v>10000</v>
      </c>
      <c r="F197" s="38" t="s">
        <v>19822</v>
      </c>
      <c r="G197" s="39" t="str">
        <f t="shared" si="110"/>
        <v>GRN Not Received</v>
      </c>
      <c r="H197" s="40" t="str">
        <f t="shared" si="111"/>
        <v>GRN Not Received</v>
      </c>
      <c r="I197" s="6" t="s">
        <v>19824</v>
      </c>
      <c r="J197" s="36">
        <v>46174</v>
      </c>
      <c r="K197" s="41">
        <v>10000</v>
      </c>
      <c r="L197" s="42">
        <v>0.8</v>
      </c>
      <c r="M197" s="42">
        <f t="shared" si="112"/>
        <v>8000</v>
      </c>
      <c r="N197" s="42">
        <v>0</v>
      </c>
      <c r="O197" s="42">
        <v>0</v>
      </c>
      <c r="P197" s="42">
        <f t="shared" si="113"/>
        <v>8000</v>
      </c>
      <c r="Q197" s="38" t="s">
        <v>19825</v>
      </c>
      <c r="R197" s="36">
        <v>46157</v>
      </c>
      <c r="S197" s="6" t="s">
        <v>19510</v>
      </c>
      <c r="T197" s="50" t="s">
        <v>16271</v>
      </c>
      <c r="U197" s="6" t="str">
        <f>IFERROR(VLOOKUP(T197,'item master'!B:C,2,0),"")</f>
        <v>A TO Z (MULTIVITAMINES) B/30 BONBONS GELIFIES</v>
      </c>
      <c r="V197" s="41">
        <f t="shared" si="104"/>
        <v>10000</v>
      </c>
      <c r="X197" s="44">
        <v>0.8</v>
      </c>
      <c r="Y197" s="42">
        <f t="shared" si="118"/>
        <v>8000</v>
      </c>
      <c r="Z197" s="42">
        <v>0</v>
      </c>
      <c r="AA197" s="42">
        <f t="shared" si="114"/>
        <v>8000</v>
      </c>
      <c r="AB197" s="45">
        <v>0.3</v>
      </c>
      <c r="AC197" s="42">
        <f t="shared" si="101"/>
        <v>2400</v>
      </c>
      <c r="AD197" s="42">
        <f t="shared" si="119"/>
        <v>2400</v>
      </c>
      <c r="AE197" s="36">
        <v>46216</v>
      </c>
      <c r="AF197" s="6" t="s">
        <v>19826</v>
      </c>
      <c r="AJ197" s="41">
        <f t="shared" si="100"/>
        <v>10000</v>
      </c>
      <c r="AS197" s="42">
        <f t="shared" si="115"/>
        <v>0</v>
      </c>
      <c r="AV197" s="6" t="s">
        <v>19584</v>
      </c>
      <c r="BA197" s="42">
        <f t="shared" si="93"/>
        <v>2400</v>
      </c>
      <c r="BD197" s="46" t="str">
        <f t="shared" si="116"/>
        <v>0</v>
      </c>
      <c r="BE197" s="46">
        <f t="shared" si="94"/>
        <v>2400</v>
      </c>
      <c r="BF197" s="46">
        <f t="shared" si="94"/>
        <v>-2400</v>
      </c>
      <c r="BG197" s="47">
        <f t="shared" si="95"/>
        <v>4800</v>
      </c>
      <c r="BH197" s="46">
        <f t="shared" si="117"/>
        <v>0</v>
      </c>
      <c r="BO197" s="48">
        <f t="shared" si="96"/>
        <v>0</v>
      </c>
      <c r="BP197" s="48">
        <f t="shared" si="97"/>
        <v>0</v>
      </c>
      <c r="BQ197" s="6" t="str">
        <f t="shared" si="108"/>
        <v>Advance With Supplier</v>
      </c>
      <c r="BS197" s="6" t="str">
        <f t="shared" si="106"/>
        <v>Open</v>
      </c>
      <c r="BT197" s="49">
        <f t="shared" ca="1" si="109"/>
        <v>89</v>
      </c>
    </row>
    <row r="198" spans="1:72" hidden="1" x14ac:dyDescent="0.25">
      <c r="A198" s="6" t="s">
        <v>19436</v>
      </c>
      <c r="B198" s="6">
        <v>1880.26</v>
      </c>
      <c r="C198" s="36">
        <v>46158</v>
      </c>
      <c r="D198" s="6" t="s">
        <v>19438</v>
      </c>
      <c r="E198" s="37">
        <v>10000</v>
      </c>
      <c r="F198" s="38" t="s">
        <v>19823</v>
      </c>
      <c r="G198" s="39" t="str">
        <f t="shared" si="110"/>
        <v>GRN Not Received</v>
      </c>
      <c r="H198" s="40" t="str">
        <f t="shared" si="111"/>
        <v>GRN Not Received</v>
      </c>
      <c r="I198" s="6" t="s">
        <v>19824</v>
      </c>
      <c r="J198" s="36">
        <v>46174</v>
      </c>
      <c r="K198" s="41">
        <v>10000</v>
      </c>
      <c r="L198" s="42">
        <v>1.6839999999999999</v>
      </c>
      <c r="M198" s="42">
        <f t="shared" si="112"/>
        <v>16840</v>
      </c>
      <c r="N198" s="42">
        <v>0</v>
      </c>
      <c r="O198" s="42">
        <v>0</v>
      </c>
      <c r="P198" s="42">
        <f t="shared" si="113"/>
        <v>16840</v>
      </c>
      <c r="Q198" s="38" t="s">
        <v>19825</v>
      </c>
      <c r="R198" s="36">
        <v>46157</v>
      </c>
      <c r="S198" s="6" t="s">
        <v>19510</v>
      </c>
      <c r="T198" s="50" t="s">
        <v>16273</v>
      </c>
      <c r="U198" s="6" t="str">
        <f>IFERROR(VLOOKUP(T198,'item master'!B:C,2,0),"")</f>
        <v>CARNITONE 5GM (COMPLEMENTS ALIMENTAIRES) B/10 SACHETS</v>
      </c>
      <c r="V198" s="41">
        <f t="shared" si="104"/>
        <v>10000</v>
      </c>
      <c r="X198" s="44">
        <v>1.6839999999999999</v>
      </c>
      <c r="Y198" s="42">
        <f t="shared" si="118"/>
        <v>16840</v>
      </c>
      <c r="Z198" s="42">
        <v>0</v>
      </c>
      <c r="AA198" s="42">
        <f t="shared" si="114"/>
        <v>16840</v>
      </c>
      <c r="AB198" s="45">
        <v>0.3</v>
      </c>
      <c r="AC198" s="42">
        <f t="shared" si="101"/>
        <v>5052</v>
      </c>
      <c r="AD198" s="42">
        <f t="shared" si="119"/>
        <v>5052</v>
      </c>
      <c r="AE198" s="36">
        <v>46216</v>
      </c>
      <c r="AF198" s="6" t="s">
        <v>19826</v>
      </c>
      <c r="AJ198" s="41">
        <f t="shared" si="100"/>
        <v>10000</v>
      </c>
      <c r="AS198" s="42">
        <f t="shared" si="115"/>
        <v>0</v>
      </c>
      <c r="AV198" s="6" t="s">
        <v>19584</v>
      </c>
      <c r="BA198" s="42">
        <f t="shared" si="93"/>
        <v>5052</v>
      </c>
      <c r="BD198" s="46" t="str">
        <f t="shared" si="116"/>
        <v>0</v>
      </c>
      <c r="BE198" s="46">
        <f t="shared" si="94"/>
        <v>5052</v>
      </c>
      <c r="BF198" s="46">
        <f t="shared" si="94"/>
        <v>-5052</v>
      </c>
      <c r="BG198" s="47">
        <f t="shared" si="95"/>
        <v>10104</v>
      </c>
      <c r="BH198" s="46">
        <f t="shared" si="117"/>
        <v>0</v>
      </c>
      <c r="BO198" s="48">
        <f t="shared" si="96"/>
        <v>0</v>
      </c>
      <c r="BP198" s="48">
        <f t="shared" si="97"/>
        <v>0</v>
      </c>
      <c r="BQ198" s="6" t="str">
        <f t="shared" si="108"/>
        <v>Advance With Supplier</v>
      </c>
      <c r="BS198" s="6" t="str">
        <f t="shared" si="106"/>
        <v>Open</v>
      </c>
      <c r="BT198" s="49">
        <f t="shared" ca="1" si="109"/>
        <v>89</v>
      </c>
    </row>
    <row r="199" spans="1:72" hidden="1" x14ac:dyDescent="0.25">
      <c r="A199" s="6" t="s">
        <v>19436</v>
      </c>
      <c r="B199" s="6">
        <v>1880.26</v>
      </c>
      <c r="C199" s="36">
        <v>46158</v>
      </c>
      <c r="D199" s="6" t="s">
        <v>19438</v>
      </c>
      <c r="E199" s="37">
        <v>20000</v>
      </c>
      <c r="F199" s="38" t="s">
        <v>19772</v>
      </c>
      <c r="G199" s="39" t="str">
        <f t="shared" si="110"/>
        <v>GRN Not Received</v>
      </c>
      <c r="H199" s="40" t="str">
        <f t="shared" si="111"/>
        <v>GRN Not Received</v>
      </c>
      <c r="I199" s="6" t="s">
        <v>19824</v>
      </c>
      <c r="J199" s="36">
        <v>46174</v>
      </c>
      <c r="K199" s="41">
        <v>20000</v>
      </c>
      <c r="L199" s="42">
        <v>0.23</v>
      </c>
      <c r="M199" s="42">
        <f t="shared" si="112"/>
        <v>4600</v>
      </c>
      <c r="N199" s="42">
        <v>0</v>
      </c>
      <c r="O199" s="42">
        <v>0</v>
      </c>
      <c r="P199" s="42">
        <f t="shared" si="113"/>
        <v>4600</v>
      </c>
      <c r="Q199" s="38" t="s">
        <v>19825</v>
      </c>
      <c r="R199" s="36">
        <v>46157</v>
      </c>
      <c r="S199" s="6" t="s">
        <v>19510</v>
      </c>
      <c r="T199" s="50" t="s">
        <v>16277</v>
      </c>
      <c r="U199" s="6" t="str">
        <f>IFERROR(VLOOKUP(T199,'item master'!B:C,2,0),"")</f>
        <v>BIOFLORE (PROBIOTIQUE) 10G DE POUDRE POUR 50ML DE SIROP</v>
      </c>
      <c r="V199" s="41">
        <f t="shared" si="104"/>
        <v>20000</v>
      </c>
      <c r="X199" s="44">
        <v>0.23</v>
      </c>
      <c r="Y199" s="42">
        <f t="shared" si="118"/>
        <v>4600</v>
      </c>
      <c r="Z199" s="42">
        <v>0</v>
      </c>
      <c r="AA199" s="42">
        <f t="shared" si="114"/>
        <v>4600</v>
      </c>
      <c r="AB199" s="45">
        <v>0.3</v>
      </c>
      <c r="AC199" s="42">
        <f t="shared" si="101"/>
        <v>1380</v>
      </c>
      <c r="AD199" s="42">
        <f t="shared" si="119"/>
        <v>1380</v>
      </c>
      <c r="AE199" s="36">
        <v>46216</v>
      </c>
      <c r="AF199" s="6" t="s">
        <v>19826</v>
      </c>
      <c r="AJ199" s="41">
        <f t="shared" si="100"/>
        <v>20000</v>
      </c>
      <c r="AS199" s="42">
        <f t="shared" si="115"/>
        <v>0</v>
      </c>
      <c r="AV199" s="6" t="s">
        <v>19584</v>
      </c>
      <c r="BA199" s="42">
        <f t="shared" si="93"/>
        <v>1380</v>
      </c>
      <c r="BD199" s="46" t="str">
        <f t="shared" si="116"/>
        <v>0</v>
      </c>
      <c r="BE199" s="46">
        <f t="shared" si="94"/>
        <v>1380</v>
      </c>
      <c r="BF199" s="46">
        <f t="shared" si="94"/>
        <v>-1380</v>
      </c>
      <c r="BG199" s="47">
        <f t="shared" si="95"/>
        <v>2760</v>
      </c>
      <c r="BH199" s="46">
        <f t="shared" si="117"/>
        <v>0</v>
      </c>
      <c r="BO199" s="48">
        <f t="shared" si="96"/>
        <v>0</v>
      </c>
      <c r="BP199" s="48">
        <f t="shared" si="97"/>
        <v>0</v>
      </c>
      <c r="BQ199" s="6" t="str">
        <f t="shared" si="108"/>
        <v>Advance With Supplier</v>
      </c>
      <c r="BS199" s="6" t="str">
        <f t="shared" si="106"/>
        <v>Open</v>
      </c>
      <c r="BT199" s="49">
        <f t="shared" ca="1" si="109"/>
        <v>89</v>
      </c>
    </row>
    <row r="200" spans="1:72" hidden="1" x14ac:dyDescent="0.25">
      <c r="A200" s="6" t="s">
        <v>19436</v>
      </c>
      <c r="B200" s="6">
        <v>1880.26</v>
      </c>
      <c r="C200" s="36">
        <v>46158</v>
      </c>
      <c r="D200" s="6" t="s">
        <v>19438</v>
      </c>
      <c r="E200" s="37">
        <v>10000</v>
      </c>
      <c r="F200" s="38" t="s">
        <v>19823</v>
      </c>
      <c r="G200" s="39" t="str">
        <f t="shared" si="110"/>
        <v>GRN Not Received</v>
      </c>
      <c r="H200" s="40" t="str">
        <f t="shared" si="111"/>
        <v>GRN Not Received</v>
      </c>
      <c r="I200" s="6" t="s">
        <v>19824</v>
      </c>
      <c r="J200" s="36">
        <v>46174</v>
      </c>
      <c r="K200" s="41">
        <v>10000</v>
      </c>
      <c r="L200" s="42">
        <v>0.54</v>
      </c>
      <c r="M200" s="42">
        <f t="shared" si="112"/>
        <v>5400</v>
      </c>
      <c r="N200" s="42">
        <v>0</v>
      </c>
      <c r="O200" s="42">
        <v>0</v>
      </c>
      <c r="P200" s="42">
        <f t="shared" si="113"/>
        <v>5400</v>
      </c>
      <c r="Q200" s="38" t="s">
        <v>19825</v>
      </c>
      <c r="R200" s="36">
        <v>46157</v>
      </c>
      <c r="S200" s="6" t="s">
        <v>19510</v>
      </c>
      <c r="T200" s="50" t="s">
        <v>16281</v>
      </c>
      <c r="U200" s="6" t="str">
        <f>IFERROR(VLOOKUP(T200,'item master'!B:C,2,0),"")</f>
        <v>UNIBIOTIC-Z 1GM (TRAITEMENT DE LA DIARRHEE) B/10 SACHETS</v>
      </c>
      <c r="V200" s="41">
        <f t="shared" si="104"/>
        <v>10000</v>
      </c>
      <c r="X200" s="44">
        <v>0.54</v>
      </c>
      <c r="Y200" s="42">
        <f t="shared" si="118"/>
        <v>5400</v>
      </c>
      <c r="Z200" s="42">
        <v>0</v>
      </c>
      <c r="AA200" s="42">
        <f t="shared" si="114"/>
        <v>5400</v>
      </c>
      <c r="AB200" s="45">
        <v>0.3</v>
      </c>
      <c r="AC200" s="42">
        <f t="shared" ref="AC200:AC231" si="120">Y200*AB200</f>
        <v>1620</v>
      </c>
      <c r="AD200" s="42">
        <f t="shared" si="119"/>
        <v>1620</v>
      </c>
      <c r="AE200" s="36">
        <v>46216</v>
      </c>
      <c r="AF200" s="6" t="s">
        <v>19826</v>
      </c>
      <c r="AJ200" s="41">
        <f t="shared" si="100"/>
        <v>10000</v>
      </c>
      <c r="AS200" s="42">
        <f t="shared" si="115"/>
        <v>0</v>
      </c>
      <c r="AV200" s="6" t="s">
        <v>19584</v>
      </c>
      <c r="BA200" s="42">
        <f t="shared" si="93"/>
        <v>1620</v>
      </c>
      <c r="BD200" s="46" t="str">
        <f t="shared" si="116"/>
        <v>0</v>
      </c>
      <c r="BE200" s="46">
        <f t="shared" si="94"/>
        <v>1620</v>
      </c>
      <c r="BF200" s="46">
        <f t="shared" si="94"/>
        <v>-1620</v>
      </c>
      <c r="BG200" s="47">
        <f t="shared" si="95"/>
        <v>3240</v>
      </c>
      <c r="BH200" s="46">
        <f t="shared" si="117"/>
        <v>0</v>
      </c>
      <c r="BO200" s="48">
        <f t="shared" si="96"/>
        <v>0</v>
      </c>
      <c r="BP200" s="48">
        <f t="shared" si="97"/>
        <v>0</v>
      </c>
      <c r="BQ200" s="6" t="str">
        <f t="shared" si="108"/>
        <v>Advance With Supplier</v>
      </c>
      <c r="BS200" s="6" t="str">
        <f t="shared" si="106"/>
        <v>Open</v>
      </c>
      <c r="BT200" s="49">
        <f t="shared" ca="1" si="109"/>
        <v>89</v>
      </c>
    </row>
    <row r="201" spans="1:72" hidden="1" x14ac:dyDescent="0.25">
      <c r="A201" s="6" t="s">
        <v>19436</v>
      </c>
      <c r="B201" s="6">
        <v>1915.26</v>
      </c>
      <c r="C201" s="36">
        <v>46185</v>
      </c>
      <c r="D201" s="6" t="s">
        <v>19438</v>
      </c>
      <c r="E201" s="37">
        <v>20000</v>
      </c>
      <c r="F201" s="38" t="s">
        <v>19827</v>
      </c>
      <c r="G201" s="39" t="str">
        <f t="shared" si="110"/>
        <v>GRN Not Received</v>
      </c>
      <c r="H201" s="40" t="str">
        <f t="shared" si="111"/>
        <v>GRN Not Received</v>
      </c>
      <c r="I201" s="6" t="s">
        <v>19829</v>
      </c>
      <c r="J201" s="36">
        <v>46206</v>
      </c>
      <c r="K201" s="41">
        <v>20000</v>
      </c>
      <c r="L201" s="42">
        <v>0.64</v>
      </c>
      <c r="M201" s="42">
        <f t="shared" si="112"/>
        <v>12800</v>
      </c>
      <c r="N201" s="42">
        <v>0</v>
      </c>
      <c r="O201" s="42">
        <v>0</v>
      </c>
      <c r="P201" s="42">
        <f t="shared" si="113"/>
        <v>12800</v>
      </c>
      <c r="Q201" s="38" t="s">
        <v>19830</v>
      </c>
      <c r="R201" s="36">
        <v>46205</v>
      </c>
      <c r="S201" s="6" t="s">
        <v>19510</v>
      </c>
      <c r="T201" s="50" t="s">
        <v>17421</v>
      </c>
      <c r="U201" s="6" t="str">
        <f>IFERROR(VLOOKUP(T201,'item master'!B:C,2,0),"")</f>
        <v>AMYLASE (ALFA-AMYLASE 3000 U.CEIP) B/2X15 CES</v>
      </c>
      <c r="V201" s="41">
        <f t="shared" si="104"/>
        <v>20000</v>
      </c>
      <c r="X201" s="44">
        <v>0.64</v>
      </c>
      <c r="Y201" s="42">
        <f t="shared" si="118"/>
        <v>12800</v>
      </c>
      <c r="Z201" s="42">
        <v>0</v>
      </c>
      <c r="AA201" s="42">
        <f t="shared" si="114"/>
        <v>12800</v>
      </c>
      <c r="AB201" s="45">
        <v>0.3</v>
      </c>
      <c r="AC201" s="42">
        <f t="shared" si="120"/>
        <v>3840</v>
      </c>
      <c r="AD201" s="42">
        <f t="shared" si="119"/>
        <v>3840</v>
      </c>
      <c r="AE201" s="36">
        <v>46212</v>
      </c>
      <c r="AF201" s="6" t="s">
        <v>19831</v>
      </c>
      <c r="AJ201" s="41">
        <f t="shared" si="100"/>
        <v>20000</v>
      </c>
      <c r="AS201" s="42">
        <f t="shared" si="115"/>
        <v>0</v>
      </c>
      <c r="AV201" s="6" t="s">
        <v>19584</v>
      </c>
      <c r="BA201" s="42">
        <f t="shared" si="93"/>
        <v>3840</v>
      </c>
      <c r="BD201" s="46" t="str">
        <f t="shared" si="116"/>
        <v>0</v>
      </c>
      <c r="BE201" s="46">
        <f t="shared" si="94"/>
        <v>3840</v>
      </c>
      <c r="BF201" s="46">
        <f t="shared" si="94"/>
        <v>-3840</v>
      </c>
      <c r="BG201" s="47">
        <f t="shared" si="95"/>
        <v>7680</v>
      </c>
      <c r="BH201" s="46">
        <f t="shared" si="117"/>
        <v>0</v>
      </c>
      <c r="BO201" s="48">
        <f t="shared" si="96"/>
        <v>0</v>
      </c>
      <c r="BP201" s="48">
        <f t="shared" si="97"/>
        <v>0</v>
      </c>
      <c r="BQ201" s="6" t="str">
        <f t="shared" si="108"/>
        <v>Advance With Supplier</v>
      </c>
      <c r="BS201" s="6" t="str">
        <f t="shared" si="106"/>
        <v>Open</v>
      </c>
      <c r="BT201" s="49">
        <f t="shared" ca="1" si="109"/>
        <v>57</v>
      </c>
    </row>
    <row r="202" spans="1:72" hidden="1" x14ac:dyDescent="0.25">
      <c r="A202" s="6" t="s">
        <v>19436</v>
      </c>
      <c r="B202" s="6">
        <v>1915.26</v>
      </c>
      <c r="C202" s="36">
        <v>46185</v>
      </c>
      <c r="D202" s="6" t="s">
        <v>19438</v>
      </c>
      <c r="E202" s="37">
        <v>10000</v>
      </c>
      <c r="F202" s="38" t="s">
        <v>19828</v>
      </c>
      <c r="G202" s="39" t="str">
        <f t="shared" si="110"/>
        <v>GRN Not Received</v>
      </c>
      <c r="H202" s="40" t="str">
        <f t="shared" si="111"/>
        <v>GRN Not Received</v>
      </c>
      <c r="I202" s="6" t="s">
        <v>19829</v>
      </c>
      <c r="J202" s="36">
        <v>46206</v>
      </c>
      <c r="K202" s="41">
        <v>10000</v>
      </c>
      <c r="L202" s="42">
        <v>0.65</v>
      </c>
      <c r="M202" s="42">
        <f t="shared" si="112"/>
        <v>6500</v>
      </c>
      <c r="N202" s="42">
        <v>0</v>
      </c>
      <c r="O202" s="42">
        <v>0</v>
      </c>
      <c r="P202" s="42">
        <f t="shared" si="113"/>
        <v>6500</v>
      </c>
      <c r="Q202" s="38" t="s">
        <v>19830</v>
      </c>
      <c r="R202" s="36">
        <v>46205</v>
      </c>
      <c r="S202" s="6" t="s">
        <v>19510</v>
      </c>
      <c r="T202" s="50" t="s">
        <v>16283</v>
      </c>
      <c r="U202" s="6" t="str">
        <f>IFERROR(VLOOKUP(T202,'item master'!B:C,2,0),"")</f>
        <v>NEURONORM 120MG (GINKGO BILOBA) B/30CES</v>
      </c>
      <c r="V202" s="41">
        <f t="shared" si="104"/>
        <v>10000</v>
      </c>
      <c r="X202" s="44">
        <v>0.65</v>
      </c>
      <c r="Y202" s="42">
        <f t="shared" si="118"/>
        <v>6500</v>
      </c>
      <c r="Z202" s="42">
        <v>0</v>
      </c>
      <c r="AA202" s="42">
        <f t="shared" si="114"/>
        <v>6500</v>
      </c>
      <c r="AB202" s="45">
        <v>0.3</v>
      </c>
      <c r="AC202" s="42">
        <f t="shared" si="120"/>
        <v>1950</v>
      </c>
      <c r="AD202" s="42">
        <f t="shared" si="119"/>
        <v>1950</v>
      </c>
      <c r="AE202" s="36">
        <v>46212</v>
      </c>
      <c r="AF202" s="6" t="s">
        <v>19831</v>
      </c>
      <c r="AJ202" s="41">
        <f t="shared" si="100"/>
        <v>10000</v>
      </c>
      <c r="AS202" s="42">
        <f t="shared" si="115"/>
        <v>0</v>
      </c>
      <c r="AV202" s="6" t="s">
        <v>19584</v>
      </c>
      <c r="BA202" s="42">
        <f t="shared" si="93"/>
        <v>1950</v>
      </c>
      <c r="BD202" s="46" t="str">
        <f t="shared" si="116"/>
        <v>0</v>
      </c>
      <c r="BE202" s="46">
        <f t="shared" si="94"/>
        <v>1950</v>
      </c>
      <c r="BF202" s="46">
        <f t="shared" si="94"/>
        <v>-1950</v>
      </c>
      <c r="BG202" s="47">
        <f t="shared" si="95"/>
        <v>3900</v>
      </c>
      <c r="BH202" s="46">
        <f t="shared" si="117"/>
        <v>0</v>
      </c>
      <c r="BO202" s="48">
        <f t="shared" si="96"/>
        <v>0</v>
      </c>
      <c r="BP202" s="48">
        <f t="shared" si="97"/>
        <v>0</v>
      </c>
      <c r="BQ202" s="6" t="str">
        <f t="shared" si="108"/>
        <v>Advance With Supplier</v>
      </c>
      <c r="BS202" s="6" t="str">
        <f t="shared" si="106"/>
        <v>Open</v>
      </c>
      <c r="BT202" s="49">
        <f t="shared" ca="1" si="109"/>
        <v>57</v>
      </c>
    </row>
    <row r="203" spans="1:72" hidden="1" x14ac:dyDescent="0.25">
      <c r="A203" s="6" t="s">
        <v>19436</v>
      </c>
      <c r="B203" s="6">
        <v>1915.26</v>
      </c>
      <c r="C203" s="36">
        <v>46185</v>
      </c>
      <c r="D203" s="6" t="s">
        <v>19438</v>
      </c>
      <c r="E203" s="37">
        <v>20000</v>
      </c>
      <c r="F203" s="38" t="s">
        <v>19823</v>
      </c>
      <c r="G203" s="39" t="str">
        <f t="shared" si="110"/>
        <v>GRN Not Received</v>
      </c>
      <c r="H203" s="40" t="str">
        <f t="shared" si="111"/>
        <v>GRN Not Received</v>
      </c>
      <c r="I203" s="6" t="s">
        <v>19829</v>
      </c>
      <c r="J203" s="36">
        <v>46206</v>
      </c>
      <c r="K203" s="41">
        <v>20000</v>
      </c>
      <c r="L203" s="42">
        <v>0.54</v>
      </c>
      <c r="M203" s="42">
        <f t="shared" si="112"/>
        <v>10800</v>
      </c>
      <c r="N203" s="42">
        <v>0</v>
      </c>
      <c r="O203" s="42">
        <v>0</v>
      </c>
      <c r="P203" s="42">
        <f t="shared" si="113"/>
        <v>10800</v>
      </c>
      <c r="Q203" s="38" t="s">
        <v>19830</v>
      </c>
      <c r="R203" s="36">
        <v>46205</v>
      </c>
      <c r="S203" s="6" t="s">
        <v>19510</v>
      </c>
      <c r="T203" s="50" t="s">
        <v>16281</v>
      </c>
      <c r="U203" s="6" t="str">
        <f>IFERROR(VLOOKUP(T203,'item master'!B:C,2,0),"")</f>
        <v>UNIBIOTIC-Z 1GM (TRAITEMENT DE LA DIARRHEE) B/10 SACHETS</v>
      </c>
      <c r="V203" s="41">
        <f t="shared" si="104"/>
        <v>20000</v>
      </c>
      <c r="X203" s="44">
        <v>0.54</v>
      </c>
      <c r="Y203" s="42">
        <f t="shared" si="118"/>
        <v>10800</v>
      </c>
      <c r="Z203" s="42">
        <v>0</v>
      </c>
      <c r="AA203" s="42">
        <f t="shared" si="114"/>
        <v>10800</v>
      </c>
      <c r="AB203" s="45">
        <v>0.3</v>
      </c>
      <c r="AC203" s="42">
        <f t="shared" si="120"/>
        <v>3240</v>
      </c>
      <c r="AD203" s="42">
        <f t="shared" si="119"/>
        <v>3240</v>
      </c>
      <c r="AE203" s="36">
        <v>46212</v>
      </c>
      <c r="AF203" s="6" t="s">
        <v>19831</v>
      </c>
      <c r="AJ203" s="41">
        <f t="shared" si="100"/>
        <v>20000</v>
      </c>
      <c r="AS203" s="42">
        <f t="shared" si="115"/>
        <v>0</v>
      </c>
      <c r="AV203" s="6" t="s">
        <v>19584</v>
      </c>
      <c r="BA203" s="42">
        <f t="shared" si="93"/>
        <v>3240</v>
      </c>
      <c r="BD203" s="46" t="str">
        <f t="shared" si="116"/>
        <v>0</v>
      </c>
      <c r="BE203" s="46">
        <f t="shared" si="94"/>
        <v>3240</v>
      </c>
      <c r="BF203" s="46">
        <f t="shared" si="94"/>
        <v>-3240</v>
      </c>
      <c r="BG203" s="47">
        <f t="shared" si="95"/>
        <v>6480</v>
      </c>
      <c r="BH203" s="46">
        <f t="shared" si="117"/>
        <v>0</v>
      </c>
      <c r="BO203" s="48">
        <f t="shared" si="96"/>
        <v>0</v>
      </c>
      <c r="BP203" s="48">
        <f t="shared" si="97"/>
        <v>0</v>
      </c>
      <c r="BQ203" s="6" t="str">
        <f t="shared" si="108"/>
        <v>Advance With Supplier</v>
      </c>
      <c r="BS203" s="6" t="str">
        <f t="shared" si="106"/>
        <v>Open</v>
      </c>
      <c r="BT203" s="49">
        <f t="shared" ca="1" si="109"/>
        <v>57</v>
      </c>
    </row>
    <row r="204" spans="1:72" hidden="1" x14ac:dyDescent="0.25">
      <c r="A204" s="6" t="s">
        <v>19436</v>
      </c>
      <c r="B204" s="6">
        <v>1905.26</v>
      </c>
      <c r="C204" s="36">
        <v>46175</v>
      </c>
      <c r="D204" s="6" t="s">
        <v>19438</v>
      </c>
      <c r="E204" s="37">
        <v>72000</v>
      </c>
      <c r="F204" s="38" t="s">
        <v>19832</v>
      </c>
      <c r="G204" s="39" t="str">
        <f t="shared" si="110"/>
        <v>GRN Not Received</v>
      </c>
      <c r="H204" s="40" t="str">
        <f t="shared" si="111"/>
        <v>GRN Not Received</v>
      </c>
      <c r="I204" s="6" t="s">
        <v>19835</v>
      </c>
      <c r="J204" s="36">
        <v>46190</v>
      </c>
      <c r="K204" s="41">
        <v>72000</v>
      </c>
      <c r="L204" s="42">
        <v>0.39600000000000002</v>
      </c>
      <c r="M204" s="42">
        <f t="shared" si="112"/>
        <v>28512</v>
      </c>
      <c r="N204" s="42">
        <v>0</v>
      </c>
      <c r="O204" s="42">
        <v>0</v>
      </c>
      <c r="P204" s="42">
        <f t="shared" si="113"/>
        <v>28512</v>
      </c>
      <c r="Q204" s="38" t="s">
        <v>19836</v>
      </c>
      <c r="R204" s="36">
        <v>46139</v>
      </c>
      <c r="S204" s="6" t="s">
        <v>19514</v>
      </c>
      <c r="T204" s="50" t="s">
        <v>12061</v>
      </c>
      <c r="U204" s="6" t="str">
        <f>IFERROR(VLOOKUP(T204,'item master'!B:C,2,0),"")</f>
        <v>NOREX 1MG/ML (NORADRENALINE) 4ML INJ. B/1AMP</v>
      </c>
      <c r="V204" s="41">
        <v>72000</v>
      </c>
      <c r="X204" s="44">
        <v>0.39600000000000002</v>
      </c>
      <c r="Y204" s="42">
        <f>V204*X204</f>
        <v>28512</v>
      </c>
      <c r="Z204" s="42">
        <v>0</v>
      </c>
      <c r="AA204" s="42">
        <f t="shared" si="114"/>
        <v>28512</v>
      </c>
      <c r="AB204" s="45">
        <v>0.5</v>
      </c>
      <c r="AC204" s="42">
        <f t="shared" si="120"/>
        <v>14256</v>
      </c>
      <c r="AD204" s="42">
        <f t="shared" si="119"/>
        <v>14256</v>
      </c>
      <c r="AE204" s="36">
        <v>46197</v>
      </c>
      <c r="AF204" s="6" t="s">
        <v>19837</v>
      </c>
      <c r="AJ204" s="41">
        <f t="shared" si="100"/>
        <v>72000</v>
      </c>
      <c r="AS204" s="42">
        <f t="shared" si="115"/>
        <v>0</v>
      </c>
      <c r="AV204" s="6" t="s">
        <v>19584</v>
      </c>
      <c r="BA204" s="42">
        <f t="shared" si="93"/>
        <v>14256</v>
      </c>
      <c r="BD204" s="46" t="str">
        <f t="shared" si="116"/>
        <v>0</v>
      </c>
      <c r="BE204" s="46">
        <f t="shared" si="94"/>
        <v>14256</v>
      </c>
      <c r="BF204" s="46">
        <f t="shared" si="94"/>
        <v>-14256</v>
      </c>
      <c r="BG204" s="47">
        <f t="shared" si="95"/>
        <v>28512</v>
      </c>
      <c r="BH204" s="46">
        <f t="shared" si="117"/>
        <v>0</v>
      </c>
      <c r="BO204" s="48">
        <f t="shared" si="96"/>
        <v>0</v>
      </c>
      <c r="BP204" s="48">
        <f t="shared" si="97"/>
        <v>0</v>
      </c>
      <c r="BQ204" s="6" t="str">
        <f t="shared" si="108"/>
        <v>Advance With Supplier</v>
      </c>
      <c r="BS204" s="6" t="str">
        <f t="shared" si="106"/>
        <v>Open</v>
      </c>
      <c r="BT204" s="49">
        <f t="shared" ca="1" si="109"/>
        <v>73</v>
      </c>
    </row>
    <row r="205" spans="1:72" hidden="1" x14ac:dyDescent="0.25">
      <c r="A205" s="6" t="s">
        <v>19436</v>
      </c>
      <c r="B205" s="6">
        <v>1905.26</v>
      </c>
      <c r="C205" s="36">
        <v>46175</v>
      </c>
      <c r="D205" s="6" t="s">
        <v>19438</v>
      </c>
      <c r="E205" s="37">
        <v>10000</v>
      </c>
      <c r="F205" s="38" t="s">
        <v>19833</v>
      </c>
      <c r="G205" s="39" t="str">
        <f t="shared" si="110"/>
        <v>GRN Not Received</v>
      </c>
      <c r="H205" s="40" t="str">
        <f t="shared" si="111"/>
        <v>GRN Not Received</v>
      </c>
      <c r="I205" s="6" t="s">
        <v>19835</v>
      </c>
      <c r="J205" s="36">
        <v>46190</v>
      </c>
      <c r="K205" s="41">
        <v>10000</v>
      </c>
      <c r="L205" s="42">
        <v>0.7</v>
      </c>
      <c r="M205" s="42">
        <f t="shared" si="112"/>
        <v>7000</v>
      </c>
      <c r="N205" s="42">
        <v>0</v>
      </c>
      <c r="O205" s="42">
        <v>0</v>
      </c>
      <c r="P205" s="42">
        <f t="shared" si="113"/>
        <v>7000</v>
      </c>
      <c r="Q205" s="38" t="s">
        <v>19836</v>
      </c>
      <c r="R205" s="36">
        <v>46139</v>
      </c>
      <c r="S205" s="6" t="s">
        <v>19514</v>
      </c>
      <c r="T205" s="50" t="s">
        <v>2641</v>
      </c>
      <c r="U205" s="6" t="str">
        <f>IFERROR(VLOOKUP(T205,'item master'!B:C,2,0),"")</f>
        <v>FRENIQUE (PHENYLEPHRINE) 10MG/ML 1 AMP</v>
      </c>
      <c r="V205" s="41">
        <v>10000</v>
      </c>
      <c r="X205" s="44">
        <v>0.7</v>
      </c>
      <c r="Y205" s="42">
        <f>V205*X205</f>
        <v>7000</v>
      </c>
      <c r="Z205" s="42">
        <v>0</v>
      </c>
      <c r="AA205" s="42">
        <f t="shared" si="114"/>
        <v>7000</v>
      </c>
      <c r="AB205" s="45">
        <v>0.5</v>
      </c>
      <c r="AC205" s="42">
        <f t="shared" si="120"/>
        <v>3500</v>
      </c>
      <c r="AD205" s="42">
        <f t="shared" si="119"/>
        <v>3500</v>
      </c>
      <c r="AE205" s="36">
        <v>46197</v>
      </c>
      <c r="AF205" s="6" t="s">
        <v>19837</v>
      </c>
      <c r="AJ205" s="41">
        <f t="shared" si="100"/>
        <v>10000</v>
      </c>
      <c r="AS205" s="42">
        <f t="shared" si="115"/>
        <v>0</v>
      </c>
      <c r="AV205" s="6" t="s">
        <v>19584</v>
      </c>
      <c r="BA205" s="42">
        <f t="shared" si="93"/>
        <v>3500</v>
      </c>
      <c r="BD205" s="46" t="str">
        <f t="shared" si="116"/>
        <v>0</v>
      </c>
      <c r="BE205" s="46">
        <f t="shared" si="94"/>
        <v>3500</v>
      </c>
      <c r="BF205" s="46">
        <f t="shared" si="94"/>
        <v>-3500</v>
      </c>
      <c r="BG205" s="47">
        <f t="shared" si="95"/>
        <v>7000</v>
      </c>
      <c r="BH205" s="46">
        <f t="shared" si="117"/>
        <v>0</v>
      </c>
      <c r="BO205" s="48">
        <f t="shared" si="96"/>
        <v>0</v>
      </c>
      <c r="BP205" s="48">
        <f t="shared" si="97"/>
        <v>0</v>
      </c>
      <c r="BQ205" s="6" t="str">
        <f t="shared" si="108"/>
        <v>Advance With Supplier</v>
      </c>
      <c r="BS205" s="6" t="str">
        <f t="shared" si="106"/>
        <v>Open</v>
      </c>
      <c r="BT205" s="49">
        <f t="shared" ca="1" si="109"/>
        <v>73</v>
      </c>
    </row>
    <row r="206" spans="1:72" hidden="1" x14ac:dyDescent="0.25">
      <c r="A206" s="6" t="s">
        <v>19436</v>
      </c>
      <c r="B206" s="6">
        <v>1905.26</v>
      </c>
      <c r="C206" s="36">
        <v>46175</v>
      </c>
      <c r="D206" s="6" t="s">
        <v>19438</v>
      </c>
      <c r="E206" s="37">
        <v>15000</v>
      </c>
      <c r="F206" s="38" t="s">
        <v>19834</v>
      </c>
      <c r="G206" s="39" t="str">
        <f t="shared" si="110"/>
        <v>GRN Not Received</v>
      </c>
      <c r="H206" s="40" t="str">
        <f t="shared" si="111"/>
        <v>GRN Not Received</v>
      </c>
      <c r="I206" s="6" t="s">
        <v>19835</v>
      </c>
      <c r="J206" s="36">
        <v>46190</v>
      </c>
      <c r="K206" s="41">
        <v>15000</v>
      </c>
      <c r="L206" s="42">
        <v>0.35</v>
      </c>
      <c r="M206" s="42">
        <f t="shared" si="112"/>
        <v>5250</v>
      </c>
      <c r="N206" s="42">
        <v>0</v>
      </c>
      <c r="O206" s="42">
        <v>0</v>
      </c>
      <c r="P206" s="42">
        <f t="shared" si="113"/>
        <v>5250</v>
      </c>
      <c r="Q206" s="38" t="s">
        <v>19836</v>
      </c>
      <c r="R206" s="36">
        <v>46139</v>
      </c>
      <c r="S206" s="6" t="s">
        <v>19514</v>
      </c>
      <c r="T206" s="50" t="s">
        <v>9966</v>
      </c>
      <c r="U206" s="6" t="str">
        <f>IFERROR(VLOOKUP(T206,'item master'!B:C,2,0),"")</f>
        <v>DOBUCURE 50MG/5ML (DOBUTAMINE) INJ. 1 AMP</v>
      </c>
      <c r="V206" s="41">
        <v>15000</v>
      </c>
      <c r="X206" s="44">
        <v>0.35</v>
      </c>
      <c r="Y206" s="42">
        <f>V206*X206</f>
        <v>5250</v>
      </c>
      <c r="Z206" s="42">
        <v>0</v>
      </c>
      <c r="AA206" s="42">
        <f t="shared" si="114"/>
        <v>5250</v>
      </c>
      <c r="AB206" s="45">
        <v>0.5</v>
      </c>
      <c r="AC206" s="42">
        <f t="shared" si="120"/>
        <v>2625</v>
      </c>
      <c r="AD206" s="42">
        <f t="shared" si="119"/>
        <v>2625</v>
      </c>
      <c r="AE206" s="36">
        <v>46197</v>
      </c>
      <c r="AF206" s="6" t="s">
        <v>19837</v>
      </c>
      <c r="AJ206" s="41">
        <f t="shared" si="100"/>
        <v>15000</v>
      </c>
      <c r="AS206" s="42">
        <f t="shared" si="115"/>
        <v>0</v>
      </c>
      <c r="AV206" s="6" t="s">
        <v>19584</v>
      </c>
      <c r="BA206" s="42">
        <f t="shared" si="93"/>
        <v>2625</v>
      </c>
      <c r="BD206" s="46" t="str">
        <f t="shared" si="116"/>
        <v>0</v>
      </c>
      <c r="BE206" s="46">
        <f t="shared" si="94"/>
        <v>2625</v>
      </c>
      <c r="BF206" s="46">
        <f t="shared" si="94"/>
        <v>-2625</v>
      </c>
      <c r="BG206" s="47">
        <f t="shared" si="95"/>
        <v>5250</v>
      </c>
      <c r="BH206" s="46">
        <f t="shared" si="117"/>
        <v>0</v>
      </c>
      <c r="BO206" s="48">
        <f t="shared" si="96"/>
        <v>0</v>
      </c>
      <c r="BP206" s="48">
        <f t="shared" si="97"/>
        <v>0</v>
      </c>
      <c r="BQ206" s="6" t="str">
        <f t="shared" si="108"/>
        <v>Advance With Supplier</v>
      </c>
      <c r="BS206" s="6" t="str">
        <f t="shared" si="106"/>
        <v>Open</v>
      </c>
      <c r="BT206" s="49">
        <f t="shared" ca="1" si="109"/>
        <v>73</v>
      </c>
    </row>
    <row r="207" spans="1:72" hidden="1" x14ac:dyDescent="0.25">
      <c r="A207" s="6" t="s">
        <v>19436</v>
      </c>
      <c r="B207" s="6">
        <v>1905.26</v>
      </c>
      <c r="C207" s="36">
        <v>46175</v>
      </c>
      <c r="D207" s="6" t="s">
        <v>19438</v>
      </c>
      <c r="E207" s="37">
        <v>15000</v>
      </c>
      <c r="F207" s="38" t="s">
        <v>19834</v>
      </c>
      <c r="G207" s="39" t="str">
        <f t="shared" si="110"/>
        <v>GRN Not Received</v>
      </c>
      <c r="H207" s="40" t="str">
        <f t="shared" si="111"/>
        <v>GRN Not Received</v>
      </c>
      <c r="I207" s="6" t="s">
        <v>19835</v>
      </c>
      <c r="J207" s="36">
        <v>46190</v>
      </c>
      <c r="K207" s="41">
        <v>15000</v>
      </c>
      <c r="L207" s="42">
        <v>0.33</v>
      </c>
      <c r="M207" s="42">
        <f t="shared" si="112"/>
        <v>4950</v>
      </c>
      <c r="N207" s="42">
        <v>0</v>
      </c>
      <c r="O207" s="42">
        <v>0</v>
      </c>
      <c r="P207" s="42">
        <f t="shared" si="113"/>
        <v>4950</v>
      </c>
      <c r="Q207" s="38" t="s">
        <v>19836</v>
      </c>
      <c r="R207" s="36">
        <v>46139</v>
      </c>
      <c r="S207" s="6" t="s">
        <v>19514</v>
      </c>
      <c r="T207" s="50" t="s">
        <v>3043</v>
      </c>
      <c r="U207" s="6" t="str">
        <f>IFERROR(VLOOKUP(T207,'item master'!B:C,2,0),"")</f>
        <v>MIDOTRIX (MIDAZOLAM) 1MG/1ML 5ML 1 AMP</v>
      </c>
      <c r="V207" s="41">
        <v>15000</v>
      </c>
      <c r="X207" s="44">
        <v>0.33</v>
      </c>
      <c r="Y207" s="42">
        <f>V207*X207</f>
        <v>4950</v>
      </c>
      <c r="Z207" s="42">
        <v>0</v>
      </c>
      <c r="AA207" s="42">
        <f t="shared" si="114"/>
        <v>4950</v>
      </c>
      <c r="AB207" s="45">
        <v>0.5</v>
      </c>
      <c r="AC207" s="42">
        <f t="shared" si="120"/>
        <v>2475</v>
      </c>
      <c r="AD207" s="42">
        <f t="shared" si="119"/>
        <v>2475</v>
      </c>
      <c r="AE207" s="36">
        <v>46197</v>
      </c>
      <c r="AF207" s="6" t="s">
        <v>19837</v>
      </c>
      <c r="AJ207" s="41">
        <f t="shared" si="100"/>
        <v>15000</v>
      </c>
      <c r="AS207" s="42">
        <f t="shared" si="115"/>
        <v>0</v>
      </c>
      <c r="AV207" s="6" t="s">
        <v>19584</v>
      </c>
      <c r="BA207" s="42">
        <f t="shared" si="93"/>
        <v>2475</v>
      </c>
      <c r="BD207" s="46" t="str">
        <f t="shared" si="116"/>
        <v>0</v>
      </c>
      <c r="BE207" s="46">
        <f t="shared" si="94"/>
        <v>2475</v>
      </c>
      <c r="BF207" s="46">
        <f t="shared" si="94"/>
        <v>-2475</v>
      </c>
      <c r="BG207" s="47">
        <f t="shared" si="95"/>
        <v>4950</v>
      </c>
      <c r="BH207" s="46">
        <f t="shared" si="117"/>
        <v>0</v>
      </c>
      <c r="BO207" s="48">
        <f t="shared" si="96"/>
        <v>0</v>
      </c>
      <c r="BP207" s="48">
        <f t="shared" si="97"/>
        <v>0</v>
      </c>
      <c r="BQ207" s="6" t="str">
        <f t="shared" si="108"/>
        <v>Advance With Supplier</v>
      </c>
      <c r="BS207" s="6" t="str">
        <f t="shared" si="106"/>
        <v>Open</v>
      </c>
      <c r="BT207" s="49">
        <f t="shared" ca="1" si="109"/>
        <v>73</v>
      </c>
    </row>
    <row r="208" spans="1:72" hidden="1" x14ac:dyDescent="0.25">
      <c r="A208" s="6" t="s">
        <v>19436</v>
      </c>
      <c r="B208" s="6">
        <v>1895.26</v>
      </c>
      <c r="C208" s="36">
        <v>46161</v>
      </c>
      <c r="D208" s="6" t="s">
        <v>19438</v>
      </c>
      <c r="E208" s="37">
        <v>12500</v>
      </c>
      <c r="F208" s="38" t="s">
        <v>19839</v>
      </c>
      <c r="G208" s="39" t="str">
        <f t="shared" si="110"/>
        <v>GRN Not Received</v>
      </c>
      <c r="H208" s="40" t="str">
        <f t="shared" si="111"/>
        <v>GRN Not Received</v>
      </c>
      <c r="I208" s="6" t="s">
        <v>19838</v>
      </c>
      <c r="J208" s="36">
        <v>46174</v>
      </c>
      <c r="K208" s="41">
        <v>12500</v>
      </c>
      <c r="L208" s="42">
        <v>0.54</v>
      </c>
      <c r="M208" s="42">
        <f t="shared" si="112"/>
        <v>6750</v>
      </c>
      <c r="N208" s="42">
        <v>0</v>
      </c>
      <c r="O208" s="42">
        <v>0</v>
      </c>
      <c r="P208" s="42">
        <f t="shared" si="113"/>
        <v>6750</v>
      </c>
      <c r="Q208" s="38" t="s">
        <v>19844</v>
      </c>
      <c r="R208" s="36">
        <v>46189</v>
      </c>
      <c r="S208" s="6" t="s">
        <v>19516</v>
      </c>
      <c r="T208" s="50" t="s">
        <v>14926</v>
      </c>
      <c r="U208" s="6" t="str">
        <f>IFERROR(VLOOKUP(T208,'item master'!B:C,2,0),"")</f>
        <v>UNIMOL (PARA.+DIC.+CAF.) EFF. B/3X4 CES</v>
      </c>
      <c r="V208" s="41">
        <f>K208</f>
        <v>12500</v>
      </c>
      <c r="X208" s="44">
        <f>L208</f>
        <v>0.54</v>
      </c>
      <c r="Y208" s="42">
        <f>V208*X208</f>
        <v>6750</v>
      </c>
      <c r="Z208" s="42">
        <v>0</v>
      </c>
      <c r="AA208" s="42">
        <f t="shared" si="114"/>
        <v>6750</v>
      </c>
      <c r="AB208" s="45">
        <v>0.3</v>
      </c>
      <c r="AC208" s="42">
        <f t="shared" si="120"/>
        <v>2025</v>
      </c>
      <c r="AD208" s="42">
        <f t="shared" si="119"/>
        <v>2025</v>
      </c>
      <c r="AE208" s="36">
        <v>46191</v>
      </c>
      <c r="AF208" s="6" t="s">
        <v>19845</v>
      </c>
      <c r="AJ208" s="41">
        <f t="shared" si="100"/>
        <v>12500</v>
      </c>
      <c r="AS208" s="42">
        <f t="shared" si="115"/>
        <v>0</v>
      </c>
      <c r="AV208" s="6" t="s">
        <v>19584</v>
      </c>
      <c r="BA208" s="42">
        <f t="shared" si="93"/>
        <v>2025</v>
      </c>
      <c r="BD208" s="46" t="str">
        <f t="shared" si="116"/>
        <v>0</v>
      </c>
      <c r="BE208" s="46">
        <f t="shared" si="94"/>
        <v>2025</v>
      </c>
      <c r="BF208" s="46">
        <f t="shared" si="94"/>
        <v>-2025</v>
      </c>
      <c r="BG208" s="47">
        <f t="shared" si="95"/>
        <v>4050</v>
      </c>
      <c r="BH208" s="46">
        <f t="shared" si="117"/>
        <v>0</v>
      </c>
      <c r="BO208" s="48">
        <f t="shared" si="96"/>
        <v>0</v>
      </c>
      <c r="BP208" s="48">
        <f t="shared" si="97"/>
        <v>0</v>
      </c>
      <c r="BQ208" s="6" t="str">
        <f t="shared" si="108"/>
        <v>Advance With Supplier</v>
      </c>
      <c r="BS208" s="6" t="str">
        <f t="shared" si="106"/>
        <v>Open</v>
      </c>
      <c r="BT208" s="49">
        <f t="shared" ca="1" si="109"/>
        <v>89</v>
      </c>
    </row>
    <row r="209" spans="1:72" hidden="1" x14ac:dyDescent="0.25">
      <c r="A209" s="6" t="s">
        <v>19436</v>
      </c>
      <c r="B209" s="6">
        <v>1895.26</v>
      </c>
      <c r="C209" s="36">
        <v>46161</v>
      </c>
      <c r="D209" s="6" t="s">
        <v>19438</v>
      </c>
      <c r="E209" s="37">
        <v>150000</v>
      </c>
      <c r="F209" s="38" t="s">
        <v>19840</v>
      </c>
      <c r="G209" s="39" t="str">
        <f t="shared" si="110"/>
        <v>GRN Not Received</v>
      </c>
      <c r="H209" s="40" t="str">
        <f t="shared" si="111"/>
        <v>GRN Not Received</v>
      </c>
      <c r="I209" s="6" t="s">
        <v>19838</v>
      </c>
      <c r="J209" s="36">
        <v>46174</v>
      </c>
      <c r="K209" s="41">
        <v>6000</v>
      </c>
      <c r="L209" s="42">
        <v>3.96</v>
      </c>
      <c r="M209" s="42">
        <f t="shared" si="112"/>
        <v>23760</v>
      </c>
      <c r="N209" s="42">
        <v>0</v>
      </c>
      <c r="O209" s="42">
        <v>0</v>
      </c>
      <c r="P209" s="42">
        <f t="shared" si="113"/>
        <v>23760</v>
      </c>
      <c r="Q209" s="38" t="s">
        <v>19844</v>
      </c>
      <c r="R209" s="36">
        <v>46189</v>
      </c>
      <c r="S209" s="6" t="s">
        <v>19516</v>
      </c>
      <c r="T209" s="50" t="s">
        <v>14928</v>
      </c>
      <c r="U209" s="6" t="str">
        <f>IFERROR(VLOOKUP(T209,'item master'!B:C,2,0),"")</f>
        <v>NO COLD (PARA.+VIT.C+CAF.+PHENYLEPH..+PHENIRA.) EFF. B/4 CES</v>
      </c>
      <c r="V209" s="41">
        <f t="shared" ref="V209:V218" si="121">K209</f>
        <v>6000</v>
      </c>
      <c r="X209" s="44">
        <f t="shared" ref="X209:X226" si="122">L209</f>
        <v>3.96</v>
      </c>
      <c r="Y209" s="42">
        <f t="shared" ref="Y209:Y218" si="123">V209*X209</f>
        <v>23760</v>
      </c>
      <c r="Z209" s="42">
        <v>0</v>
      </c>
      <c r="AA209" s="42">
        <f t="shared" si="114"/>
        <v>23760</v>
      </c>
      <c r="AB209" s="45">
        <v>0.3</v>
      </c>
      <c r="AC209" s="42">
        <f t="shared" si="120"/>
        <v>7128</v>
      </c>
      <c r="AD209" s="42">
        <f t="shared" ref="AD209:AD216" si="124">AC209</f>
        <v>7128</v>
      </c>
      <c r="AE209" s="36">
        <v>46191</v>
      </c>
      <c r="AF209" s="6" t="s">
        <v>19845</v>
      </c>
      <c r="AJ209" s="41">
        <f t="shared" si="100"/>
        <v>6000</v>
      </c>
      <c r="AS209" s="42">
        <f t="shared" si="115"/>
        <v>0</v>
      </c>
      <c r="AV209" s="6" t="s">
        <v>19584</v>
      </c>
      <c r="BA209" s="42">
        <f t="shared" si="93"/>
        <v>7128</v>
      </c>
      <c r="BD209" s="46" t="str">
        <f t="shared" si="116"/>
        <v>0</v>
      </c>
      <c r="BE209" s="46">
        <f t="shared" si="94"/>
        <v>7128</v>
      </c>
      <c r="BF209" s="46">
        <f t="shared" si="94"/>
        <v>-7128</v>
      </c>
      <c r="BG209" s="47">
        <f t="shared" si="95"/>
        <v>14256</v>
      </c>
      <c r="BH209" s="46">
        <f t="shared" si="117"/>
        <v>0</v>
      </c>
      <c r="BO209" s="48">
        <f t="shared" si="96"/>
        <v>0</v>
      </c>
      <c r="BP209" s="48">
        <f t="shared" si="97"/>
        <v>0</v>
      </c>
      <c r="BQ209" s="6" t="str">
        <f t="shared" si="108"/>
        <v>Advance With Supplier</v>
      </c>
      <c r="BS209" s="6" t="str">
        <f t="shared" si="106"/>
        <v>Open</v>
      </c>
      <c r="BT209" s="49">
        <f t="shared" ca="1" si="109"/>
        <v>89</v>
      </c>
    </row>
    <row r="210" spans="1:72" hidden="1" x14ac:dyDescent="0.25">
      <c r="A210" s="6" t="s">
        <v>19436</v>
      </c>
      <c r="B210" s="6">
        <v>1895.26</v>
      </c>
      <c r="C210" s="36">
        <v>46161</v>
      </c>
      <c r="D210" s="6" t="s">
        <v>19438</v>
      </c>
      <c r="E210" s="37">
        <v>12500</v>
      </c>
      <c r="F210" s="38" t="s">
        <v>19841</v>
      </c>
      <c r="G210" s="39" t="str">
        <f t="shared" si="110"/>
        <v>GRN Not Received</v>
      </c>
      <c r="H210" s="40" t="str">
        <f t="shared" si="111"/>
        <v>GRN Not Received</v>
      </c>
      <c r="I210" s="6" t="s">
        <v>19838</v>
      </c>
      <c r="J210" s="36">
        <v>46174</v>
      </c>
      <c r="K210" s="41">
        <v>12500</v>
      </c>
      <c r="L210" s="42">
        <v>0.54</v>
      </c>
      <c r="M210" s="42">
        <f t="shared" si="112"/>
        <v>6750</v>
      </c>
      <c r="N210" s="42">
        <v>0</v>
      </c>
      <c r="O210" s="42">
        <v>0</v>
      </c>
      <c r="P210" s="42">
        <f t="shared" si="113"/>
        <v>6750</v>
      </c>
      <c r="Q210" s="38" t="s">
        <v>19844</v>
      </c>
      <c r="R210" s="36">
        <v>46189</v>
      </c>
      <c r="S210" s="6" t="s">
        <v>19516</v>
      </c>
      <c r="T210" s="50" t="s">
        <v>14930</v>
      </c>
      <c r="U210" s="6" t="str">
        <f>IFERROR(VLOOKUP(T210,'item master'!B:C,2,0),"")</f>
        <v>Q-ENZY (PAPAÏNE + ALPHA-AMYLASE + SIMÉTHICONE) EFF. B/4X4 CES</v>
      </c>
      <c r="V210" s="41">
        <f t="shared" si="121"/>
        <v>12500</v>
      </c>
      <c r="X210" s="44">
        <f t="shared" si="122"/>
        <v>0.54</v>
      </c>
      <c r="Y210" s="42">
        <f t="shared" si="123"/>
        <v>6750</v>
      </c>
      <c r="Z210" s="42">
        <v>0</v>
      </c>
      <c r="AA210" s="42">
        <f t="shared" si="114"/>
        <v>6750</v>
      </c>
      <c r="AB210" s="45">
        <v>0.3</v>
      </c>
      <c r="AC210" s="42">
        <f t="shared" si="120"/>
        <v>2025</v>
      </c>
      <c r="AD210" s="42">
        <f t="shared" si="124"/>
        <v>2025</v>
      </c>
      <c r="AE210" s="36">
        <v>46191</v>
      </c>
      <c r="AF210" s="6" t="s">
        <v>19845</v>
      </c>
      <c r="AJ210" s="41">
        <f t="shared" si="100"/>
        <v>12500</v>
      </c>
      <c r="AS210" s="42">
        <f t="shared" si="115"/>
        <v>0</v>
      </c>
      <c r="AV210" s="6" t="s">
        <v>19584</v>
      </c>
      <c r="BA210" s="42">
        <f t="shared" si="93"/>
        <v>2025</v>
      </c>
      <c r="BD210" s="46" t="str">
        <f t="shared" si="116"/>
        <v>0</v>
      </c>
      <c r="BE210" s="46">
        <f t="shared" si="94"/>
        <v>2025</v>
      </c>
      <c r="BF210" s="46">
        <f t="shared" si="94"/>
        <v>-2025</v>
      </c>
      <c r="BG210" s="47">
        <f t="shared" si="95"/>
        <v>4050</v>
      </c>
      <c r="BH210" s="46">
        <f t="shared" si="117"/>
        <v>0</v>
      </c>
      <c r="BO210" s="48">
        <f t="shared" si="96"/>
        <v>0</v>
      </c>
      <c r="BP210" s="48">
        <f t="shared" si="97"/>
        <v>0</v>
      </c>
      <c r="BQ210" s="6" t="str">
        <f t="shared" si="108"/>
        <v>Advance With Supplier</v>
      </c>
      <c r="BS210" s="6" t="str">
        <f t="shared" si="106"/>
        <v>Open</v>
      </c>
      <c r="BT210" s="49">
        <f t="shared" ca="1" si="109"/>
        <v>89</v>
      </c>
    </row>
    <row r="211" spans="1:72" hidden="1" x14ac:dyDescent="0.25">
      <c r="A211" s="6" t="s">
        <v>19436</v>
      </c>
      <c r="B211" s="6">
        <v>1895.26</v>
      </c>
      <c r="C211" s="36">
        <v>46161</v>
      </c>
      <c r="D211" s="6" t="s">
        <v>19438</v>
      </c>
      <c r="E211" s="37">
        <v>50000</v>
      </c>
      <c r="F211" s="38" t="s">
        <v>19842</v>
      </c>
      <c r="G211" s="39" t="str">
        <f t="shared" si="110"/>
        <v>GRN Not Received</v>
      </c>
      <c r="H211" s="40" t="str">
        <f t="shared" si="111"/>
        <v>GRN Not Received</v>
      </c>
      <c r="I211" s="6" t="s">
        <v>19838</v>
      </c>
      <c r="J211" s="36">
        <v>46174</v>
      </c>
      <c r="K211" s="41">
        <v>50000</v>
      </c>
      <c r="L211" s="42">
        <v>0.36</v>
      </c>
      <c r="M211" s="42">
        <f t="shared" si="112"/>
        <v>18000</v>
      </c>
      <c r="N211" s="42">
        <v>0</v>
      </c>
      <c r="O211" s="42">
        <v>0</v>
      </c>
      <c r="P211" s="42">
        <f t="shared" si="113"/>
        <v>18000</v>
      </c>
      <c r="Q211" s="38" t="s">
        <v>19844</v>
      </c>
      <c r="R211" s="36">
        <v>46189</v>
      </c>
      <c r="S211" s="6" t="s">
        <v>19516</v>
      </c>
      <c r="T211" s="50" t="s">
        <v>14932</v>
      </c>
      <c r="U211" s="6" t="str">
        <f>IFERROR(VLOOKUP(T211,'item master'!B:C,2,0),"")</f>
        <v>UNO-CID (SOULAG. RAPIDE DE L'ACIDITÉ ET GAS) B/10 SACHETS</v>
      </c>
      <c r="V211" s="41">
        <f t="shared" si="121"/>
        <v>50000</v>
      </c>
      <c r="X211" s="44">
        <f t="shared" si="122"/>
        <v>0.36</v>
      </c>
      <c r="Y211" s="42">
        <f t="shared" si="123"/>
        <v>18000</v>
      </c>
      <c r="Z211" s="42">
        <v>0</v>
      </c>
      <c r="AA211" s="42">
        <f t="shared" si="114"/>
        <v>18000</v>
      </c>
      <c r="AB211" s="45">
        <v>0.3</v>
      </c>
      <c r="AC211" s="42">
        <f t="shared" si="120"/>
        <v>5400</v>
      </c>
      <c r="AD211" s="42">
        <f t="shared" si="124"/>
        <v>5400</v>
      </c>
      <c r="AE211" s="36">
        <v>46191</v>
      </c>
      <c r="AF211" s="6" t="s">
        <v>19845</v>
      </c>
      <c r="AJ211" s="41">
        <f t="shared" si="100"/>
        <v>50000</v>
      </c>
      <c r="AS211" s="42">
        <f t="shared" si="115"/>
        <v>0</v>
      </c>
      <c r="AV211" s="6" t="s">
        <v>19584</v>
      </c>
      <c r="BA211" s="42">
        <f t="shared" si="93"/>
        <v>5400</v>
      </c>
      <c r="BD211" s="46" t="str">
        <f t="shared" si="116"/>
        <v>0</v>
      </c>
      <c r="BE211" s="46">
        <f t="shared" si="94"/>
        <v>5400</v>
      </c>
      <c r="BF211" s="46">
        <f t="shared" si="94"/>
        <v>-5400</v>
      </c>
      <c r="BG211" s="47">
        <f t="shared" si="95"/>
        <v>10800</v>
      </c>
      <c r="BH211" s="46">
        <f t="shared" si="117"/>
        <v>0</v>
      </c>
      <c r="BO211" s="48">
        <f t="shared" si="96"/>
        <v>0</v>
      </c>
      <c r="BP211" s="48">
        <f t="shared" si="97"/>
        <v>0</v>
      </c>
      <c r="BQ211" s="6" t="str">
        <f t="shared" si="108"/>
        <v>Advance With Supplier</v>
      </c>
      <c r="BS211" s="6" t="str">
        <f t="shared" si="106"/>
        <v>Open</v>
      </c>
      <c r="BT211" s="49">
        <f t="shared" ca="1" si="109"/>
        <v>89</v>
      </c>
    </row>
    <row r="212" spans="1:72" hidden="1" x14ac:dyDescent="0.25">
      <c r="A212" s="6" t="s">
        <v>19436</v>
      </c>
      <c r="B212" s="6">
        <v>1895.26</v>
      </c>
      <c r="C212" s="36">
        <v>46161</v>
      </c>
      <c r="D212" s="6" t="s">
        <v>19438</v>
      </c>
      <c r="E212" s="37">
        <v>10000</v>
      </c>
      <c r="F212" s="38" t="s">
        <v>19842</v>
      </c>
      <c r="G212" s="39" t="str">
        <f t="shared" si="110"/>
        <v>GRN Not Received</v>
      </c>
      <c r="H212" s="40" t="str">
        <f t="shared" si="111"/>
        <v>GRN Not Received</v>
      </c>
      <c r="I212" s="6" t="s">
        <v>19838</v>
      </c>
      <c r="J212" s="36">
        <v>46174</v>
      </c>
      <c r="K212" s="41">
        <v>10000</v>
      </c>
      <c r="L212" s="42">
        <v>0.6</v>
      </c>
      <c r="M212" s="42">
        <f t="shared" si="112"/>
        <v>6000</v>
      </c>
      <c r="N212" s="42">
        <v>0</v>
      </c>
      <c r="O212" s="42">
        <v>0</v>
      </c>
      <c r="P212" s="42">
        <f t="shared" si="113"/>
        <v>6000</v>
      </c>
      <c r="Q212" s="38" t="s">
        <v>19844</v>
      </c>
      <c r="R212" s="36">
        <v>46189</v>
      </c>
      <c r="S212" s="6" t="s">
        <v>19516</v>
      </c>
      <c r="T212" s="50" t="s">
        <v>15178</v>
      </c>
      <c r="U212" s="6" t="str">
        <f>IFERROR(VLOOKUP(T212,'item master'!B:C,2,0),"")</f>
        <v>PERFAC-C (ANTI-GRIPPAUX) B/10 SACHETS</v>
      </c>
      <c r="V212" s="41">
        <f t="shared" si="121"/>
        <v>10000</v>
      </c>
      <c r="X212" s="44">
        <f t="shared" si="122"/>
        <v>0.6</v>
      </c>
      <c r="Y212" s="42">
        <f t="shared" si="123"/>
        <v>6000</v>
      </c>
      <c r="Z212" s="42">
        <v>0</v>
      </c>
      <c r="AA212" s="42">
        <f t="shared" si="114"/>
        <v>6000</v>
      </c>
      <c r="AB212" s="45">
        <v>0.3</v>
      </c>
      <c r="AC212" s="42">
        <f t="shared" si="120"/>
        <v>1800</v>
      </c>
      <c r="AD212" s="42">
        <f t="shared" si="124"/>
        <v>1800</v>
      </c>
      <c r="AE212" s="36">
        <v>46191</v>
      </c>
      <c r="AF212" s="6" t="s">
        <v>19845</v>
      </c>
      <c r="AJ212" s="41">
        <f t="shared" si="100"/>
        <v>10000</v>
      </c>
      <c r="AS212" s="42">
        <f t="shared" si="115"/>
        <v>0</v>
      </c>
      <c r="AV212" s="6" t="s">
        <v>19584</v>
      </c>
      <c r="BA212" s="42">
        <f t="shared" si="93"/>
        <v>1800</v>
      </c>
      <c r="BD212" s="46" t="str">
        <f t="shared" si="116"/>
        <v>0</v>
      </c>
      <c r="BE212" s="46">
        <f t="shared" si="94"/>
        <v>1800</v>
      </c>
      <c r="BF212" s="46">
        <f t="shared" si="94"/>
        <v>-1800</v>
      </c>
      <c r="BG212" s="47">
        <f t="shared" si="95"/>
        <v>3600</v>
      </c>
      <c r="BH212" s="46">
        <f t="shared" si="117"/>
        <v>0</v>
      </c>
      <c r="BO212" s="48">
        <f t="shared" si="96"/>
        <v>0</v>
      </c>
      <c r="BP212" s="48">
        <f t="shared" si="97"/>
        <v>0</v>
      </c>
      <c r="BQ212" s="6" t="str">
        <f t="shared" si="108"/>
        <v>Advance With Supplier</v>
      </c>
      <c r="BS212" s="6" t="str">
        <f t="shared" si="106"/>
        <v>Open</v>
      </c>
      <c r="BT212" s="49">
        <f t="shared" ca="1" si="109"/>
        <v>89</v>
      </c>
    </row>
    <row r="213" spans="1:72" hidden="1" x14ac:dyDescent="0.25">
      <c r="A213" s="6" t="s">
        <v>19436</v>
      </c>
      <c r="B213" s="6">
        <v>1895.26</v>
      </c>
      <c r="C213" s="36">
        <v>46161</v>
      </c>
      <c r="D213" s="6" t="s">
        <v>19438</v>
      </c>
      <c r="E213" s="37">
        <v>10000</v>
      </c>
      <c r="F213" s="38" t="s">
        <v>19843</v>
      </c>
      <c r="G213" s="39" t="str">
        <f t="shared" si="110"/>
        <v>GRN Not Received</v>
      </c>
      <c r="H213" s="40" t="str">
        <f t="shared" si="111"/>
        <v>GRN Not Received</v>
      </c>
      <c r="I213" s="6" t="s">
        <v>19838</v>
      </c>
      <c r="J213" s="36">
        <v>46174</v>
      </c>
      <c r="K213" s="41">
        <v>10000</v>
      </c>
      <c r="L213" s="42">
        <v>0.63</v>
      </c>
      <c r="M213" s="42">
        <f t="shared" si="112"/>
        <v>6300</v>
      </c>
      <c r="N213" s="42">
        <v>0</v>
      </c>
      <c r="O213" s="42">
        <v>0</v>
      </c>
      <c r="P213" s="42">
        <f t="shared" si="113"/>
        <v>6300</v>
      </c>
      <c r="Q213" s="38" t="s">
        <v>19844</v>
      </c>
      <c r="R213" s="36">
        <v>46189</v>
      </c>
      <c r="S213" s="6" t="s">
        <v>19516</v>
      </c>
      <c r="T213" s="50" t="s">
        <v>16128</v>
      </c>
      <c r="U213" s="6" t="str">
        <f>IFERROR(VLOOKUP(T213,'item master'!B:C,2,0),"")</f>
        <v>CA-UCEE 1000 (CAL.+VIT.C) B/10 CES EFF</v>
      </c>
      <c r="V213" s="41">
        <f t="shared" si="121"/>
        <v>10000</v>
      </c>
      <c r="X213" s="44">
        <f t="shared" si="122"/>
        <v>0.63</v>
      </c>
      <c r="Y213" s="42">
        <f t="shared" si="123"/>
        <v>6300</v>
      </c>
      <c r="Z213" s="42">
        <v>0</v>
      </c>
      <c r="AA213" s="42">
        <f t="shared" si="114"/>
        <v>6300</v>
      </c>
      <c r="AB213" s="45">
        <v>0.3</v>
      </c>
      <c r="AC213" s="42">
        <f t="shared" si="120"/>
        <v>1890</v>
      </c>
      <c r="AD213" s="42">
        <f t="shared" si="124"/>
        <v>1890</v>
      </c>
      <c r="AE213" s="36">
        <v>46191</v>
      </c>
      <c r="AF213" s="6" t="s">
        <v>19845</v>
      </c>
      <c r="AJ213" s="41">
        <f t="shared" si="100"/>
        <v>10000</v>
      </c>
      <c r="AS213" s="42">
        <f t="shared" si="115"/>
        <v>0</v>
      </c>
      <c r="AV213" s="6" t="s">
        <v>19584</v>
      </c>
      <c r="BA213" s="42">
        <f t="shared" si="93"/>
        <v>1890</v>
      </c>
      <c r="BD213" s="46" t="str">
        <f t="shared" si="116"/>
        <v>0</v>
      </c>
      <c r="BE213" s="46">
        <f t="shared" si="94"/>
        <v>1890</v>
      </c>
      <c r="BF213" s="46">
        <f t="shared" si="94"/>
        <v>-1890</v>
      </c>
      <c r="BG213" s="47">
        <f t="shared" si="95"/>
        <v>3780</v>
      </c>
      <c r="BH213" s="46">
        <f t="shared" si="117"/>
        <v>0</v>
      </c>
      <c r="BO213" s="48">
        <f t="shared" si="96"/>
        <v>0</v>
      </c>
      <c r="BP213" s="48">
        <f t="shared" si="97"/>
        <v>0</v>
      </c>
      <c r="BQ213" s="6" t="str">
        <f t="shared" si="108"/>
        <v>Advance With Supplier</v>
      </c>
      <c r="BS213" s="6" t="str">
        <f t="shared" si="106"/>
        <v>Open</v>
      </c>
      <c r="BT213" s="49">
        <f t="shared" ca="1" si="109"/>
        <v>89</v>
      </c>
    </row>
    <row r="214" spans="1:72" hidden="1" x14ac:dyDescent="0.25">
      <c r="A214" s="6" t="s">
        <v>19436</v>
      </c>
      <c r="B214" s="6">
        <v>1895.26</v>
      </c>
      <c r="C214" s="36">
        <v>46161</v>
      </c>
      <c r="D214" s="6" t="s">
        <v>19438</v>
      </c>
      <c r="E214" s="37">
        <v>200000</v>
      </c>
      <c r="F214" s="38" t="s">
        <v>19843</v>
      </c>
      <c r="G214" s="39" t="str">
        <f t="shared" si="110"/>
        <v>GRN Not Received</v>
      </c>
      <c r="H214" s="40" t="str">
        <f t="shared" si="111"/>
        <v>GRN Not Received</v>
      </c>
      <c r="I214" s="6" t="s">
        <v>19838</v>
      </c>
      <c r="J214" s="36">
        <v>46174</v>
      </c>
      <c r="K214" s="41">
        <v>200000</v>
      </c>
      <c r="L214" s="42">
        <v>0.51</v>
      </c>
      <c r="M214" s="42">
        <f t="shared" si="112"/>
        <v>102000</v>
      </c>
      <c r="N214" s="42">
        <v>0</v>
      </c>
      <c r="O214" s="42">
        <v>0</v>
      </c>
      <c r="P214" s="42">
        <f t="shared" si="113"/>
        <v>102000</v>
      </c>
      <c r="Q214" s="38" t="s">
        <v>19844</v>
      </c>
      <c r="R214" s="36">
        <v>46189</v>
      </c>
      <c r="S214" s="6" t="s">
        <v>19516</v>
      </c>
      <c r="T214" s="50" t="s">
        <v>16132</v>
      </c>
      <c r="U214" s="6" t="str">
        <f>IFERROR(VLOOKUP(T214,'item master'!B:C,2,0),"")</f>
        <v>PERFAC 1000 (PARACETAMOL) B/10 CES EFF</v>
      </c>
      <c r="V214" s="41">
        <f t="shared" si="121"/>
        <v>200000</v>
      </c>
      <c r="X214" s="44">
        <f t="shared" si="122"/>
        <v>0.51</v>
      </c>
      <c r="Y214" s="42">
        <f t="shared" si="123"/>
        <v>102000</v>
      </c>
      <c r="Z214" s="42">
        <v>0</v>
      </c>
      <c r="AA214" s="42">
        <f t="shared" si="114"/>
        <v>102000</v>
      </c>
      <c r="AB214" s="45">
        <v>0.3</v>
      </c>
      <c r="AC214" s="42">
        <f t="shared" si="120"/>
        <v>30600</v>
      </c>
      <c r="AD214" s="42">
        <f t="shared" si="124"/>
        <v>30600</v>
      </c>
      <c r="AE214" s="36">
        <v>46191</v>
      </c>
      <c r="AF214" s="6" t="s">
        <v>19845</v>
      </c>
      <c r="AJ214" s="41">
        <f t="shared" si="100"/>
        <v>200000</v>
      </c>
      <c r="AS214" s="42">
        <f t="shared" si="115"/>
        <v>0</v>
      </c>
      <c r="AV214" s="6" t="s">
        <v>19584</v>
      </c>
      <c r="BA214" s="42">
        <f t="shared" si="93"/>
        <v>30600</v>
      </c>
      <c r="BD214" s="46" t="str">
        <f t="shared" si="116"/>
        <v>0</v>
      </c>
      <c r="BE214" s="46">
        <f t="shared" si="94"/>
        <v>30600</v>
      </c>
      <c r="BF214" s="46">
        <f t="shared" si="94"/>
        <v>-30600</v>
      </c>
      <c r="BG214" s="47">
        <f t="shared" si="95"/>
        <v>61200</v>
      </c>
      <c r="BH214" s="46">
        <f t="shared" si="117"/>
        <v>0</v>
      </c>
      <c r="BO214" s="48">
        <f t="shared" si="96"/>
        <v>0</v>
      </c>
      <c r="BP214" s="48">
        <f t="shared" si="97"/>
        <v>0</v>
      </c>
      <c r="BQ214" s="6" t="str">
        <f t="shared" si="108"/>
        <v>Advance With Supplier</v>
      </c>
      <c r="BS214" s="6" t="str">
        <f t="shared" si="106"/>
        <v>Open</v>
      </c>
      <c r="BT214" s="49">
        <f t="shared" ca="1" si="109"/>
        <v>89</v>
      </c>
    </row>
    <row r="215" spans="1:72" hidden="1" x14ac:dyDescent="0.25">
      <c r="A215" s="6" t="s">
        <v>19436</v>
      </c>
      <c r="B215" s="6">
        <v>1895.26</v>
      </c>
      <c r="C215" s="36">
        <v>46161</v>
      </c>
      <c r="D215" s="6" t="s">
        <v>19438</v>
      </c>
      <c r="E215" s="37">
        <v>50000</v>
      </c>
      <c r="F215" s="38" t="s">
        <v>19843</v>
      </c>
      <c r="G215" s="39" t="str">
        <f t="shared" si="110"/>
        <v>GRN Not Received</v>
      </c>
      <c r="H215" s="40" t="str">
        <f t="shared" si="111"/>
        <v>GRN Not Received</v>
      </c>
      <c r="I215" s="6" t="s">
        <v>19838</v>
      </c>
      <c r="J215" s="36">
        <v>46174</v>
      </c>
      <c r="K215" s="41">
        <v>50000</v>
      </c>
      <c r="L215" s="42">
        <v>0.48</v>
      </c>
      <c r="M215" s="42">
        <f t="shared" si="112"/>
        <v>24000</v>
      </c>
      <c r="N215" s="42">
        <v>0</v>
      </c>
      <c r="O215" s="42">
        <v>0</v>
      </c>
      <c r="P215" s="42">
        <f t="shared" si="113"/>
        <v>24000</v>
      </c>
      <c r="Q215" s="38" t="s">
        <v>19844</v>
      </c>
      <c r="R215" s="36">
        <v>46189</v>
      </c>
      <c r="S215" s="6" t="s">
        <v>19516</v>
      </c>
      <c r="T215" s="50" t="s">
        <v>16134</v>
      </c>
      <c r="U215" s="6" t="str">
        <f>IFERROR(VLOOKUP(T215,'item master'!B:C,2,0),"")</f>
        <v>PERFAC 500 (PARACETAMOL) B/10 CES EFF</v>
      </c>
      <c r="V215" s="41">
        <f t="shared" si="121"/>
        <v>50000</v>
      </c>
      <c r="X215" s="44">
        <f t="shared" si="122"/>
        <v>0.48</v>
      </c>
      <c r="Y215" s="42">
        <f t="shared" si="123"/>
        <v>24000</v>
      </c>
      <c r="Z215" s="42">
        <v>0</v>
      </c>
      <c r="AA215" s="42">
        <f t="shared" si="114"/>
        <v>24000</v>
      </c>
      <c r="AB215" s="45">
        <v>0.3</v>
      </c>
      <c r="AC215" s="42">
        <f t="shared" si="120"/>
        <v>7200</v>
      </c>
      <c r="AD215" s="42">
        <f t="shared" si="124"/>
        <v>7200</v>
      </c>
      <c r="AE215" s="36">
        <v>46191</v>
      </c>
      <c r="AF215" s="6" t="s">
        <v>19845</v>
      </c>
      <c r="AJ215" s="41">
        <f t="shared" si="100"/>
        <v>50000</v>
      </c>
      <c r="AS215" s="42">
        <f t="shared" si="115"/>
        <v>0</v>
      </c>
      <c r="AV215" s="6" t="s">
        <v>19584</v>
      </c>
      <c r="BA215" s="42">
        <f t="shared" si="93"/>
        <v>7200</v>
      </c>
      <c r="BD215" s="46" t="str">
        <f t="shared" si="116"/>
        <v>0</v>
      </c>
      <c r="BE215" s="46">
        <f t="shared" si="94"/>
        <v>7200</v>
      </c>
      <c r="BF215" s="46">
        <f t="shared" si="94"/>
        <v>-7200</v>
      </c>
      <c r="BG215" s="47">
        <f t="shared" si="95"/>
        <v>14400</v>
      </c>
      <c r="BH215" s="46">
        <f t="shared" si="117"/>
        <v>0</v>
      </c>
      <c r="BO215" s="48">
        <f t="shared" si="96"/>
        <v>0</v>
      </c>
      <c r="BP215" s="48">
        <f t="shared" si="97"/>
        <v>0</v>
      </c>
      <c r="BQ215" s="6" t="str">
        <f t="shared" si="108"/>
        <v>Advance With Supplier</v>
      </c>
      <c r="BS215" s="6" t="str">
        <f t="shared" si="106"/>
        <v>Open</v>
      </c>
      <c r="BT215" s="49">
        <f t="shared" ca="1" si="109"/>
        <v>89</v>
      </c>
    </row>
    <row r="216" spans="1:72" hidden="1" x14ac:dyDescent="0.25">
      <c r="A216" s="6" t="s">
        <v>19436</v>
      </c>
      <c r="B216" s="6">
        <v>1895.26</v>
      </c>
      <c r="C216" s="36">
        <v>46161</v>
      </c>
      <c r="D216" s="6" t="s">
        <v>19438</v>
      </c>
      <c r="E216" s="37">
        <v>10000</v>
      </c>
      <c r="F216" s="38" t="s">
        <v>19843</v>
      </c>
      <c r="G216" s="39" t="str">
        <f t="shared" si="110"/>
        <v>GRN Not Received</v>
      </c>
      <c r="H216" s="40" t="str">
        <f t="shared" si="111"/>
        <v>GRN Not Received</v>
      </c>
      <c r="I216" s="6" t="s">
        <v>19838</v>
      </c>
      <c r="J216" s="36">
        <v>46174</v>
      </c>
      <c r="K216" s="41">
        <v>10000</v>
      </c>
      <c r="L216" s="42">
        <v>0.51</v>
      </c>
      <c r="M216" s="42">
        <f t="shared" si="112"/>
        <v>5100</v>
      </c>
      <c r="N216" s="42">
        <v>0</v>
      </c>
      <c r="O216" s="42">
        <v>0</v>
      </c>
      <c r="P216" s="42">
        <f t="shared" si="113"/>
        <v>5100</v>
      </c>
      <c r="Q216" s="38" t="s">
        <v>19844</v>
      </c>
      <c r="R216" s="36">
        <v>46189</v>
      </c>
      <c r="S216" s="6" t="s">
        <v>19516</v>
      </c>
      <c r="T216" s="50" t="s">
        <v>16136</v>
      </c>
      <c r="U216" s="6" t="str">
        <f>IFERROR(VLOOKUP(T216,'item master'!B:C,2,0),"")</f>
        <v>PERFAC-C (PARA.+VIT.C) B/10 CES EFF</v>
      </c>
      <c r="V216" s="41">
        <f t="shared" si="121"/>
        <v>10000</v>
      </c>
      <c r="X216" s="44">
        <f t="shared" si="122"/>
        <v>0.51</v>
      </c>
      <c r="Y216" s="42">
        <f t="shared" si="123"/>
        <v>5100</v>
      </c>
      <c r="Z216" s="42">
        <v>0</v>
      </c>
      <c r="AA216" s="42">
        <f t="shared" si="114"/>
        <v>5100</v>
      </c>
      <c r="AB216" s="45">
        <v>0.3</v>
      </c>
      <c r="AC216" s="42">
        <f t="shared" si="120"/>
        <v>1530</v>
      </c>
      <c r="AD216" s="42">
        <f t="shared" si="124"/>
        <v>1530</v>
      </c>
      <c r="AE216" s="36">
        <v>46191</v>
      </c>
      <c r="AF216" s="6" t="s">
        <v>19845</v>
      </c>
      <c r="AJ216" s="41">
        <f t="shared" si="100"/>
        <v>10000</v>
      </c>
      <c r="AS216" s="42">
        <f t="shared" si="115"/>
        <v>0</v>
      </c>
      <c r="AV216" s="6" t="s">
        <v>19584</v>
      </c>
      <c r="BA216" s="42">
        <f t="shared" si="93"/>
        <v>1530</v>
      </c>
      <c r="BD216" s="46" t="str">
        <f t="shared" si="116"/>
        <v>0</v>
      </c>
      <c r="BE216" s="46">
        <f t="shared" si="94"/>
        <v>1530</v>
      </c>
      <c r="BF216" s="46">
        <f t="shared" si="94"/>
        <v>-1530</v>
      </c>
      <c r="BG216" s="47">
        <f t="shared" si="95"/>
        <v>3060</v>
      </c>
      <c r="BH216" s="46">
        <f t="shared" si="117"/>
        <v>0</v>
      </c>
      <c r="BO216" s="48">
        <f t="shared" si="96"/>
        <v>0</v>
      </c>
      <c r="BP216" s="48">
        <f t="shared" si="97"/>
        <v>0</v>
      </c>
      <c r="BQ216" s="6" t="str">
        <f t="shared" si="108"/>
        <v>Advance With Supplier</v>
      </c>
      <c r="BS216" s="6" t="str">
        <f t="shared" si="106"/>
        <v>Open</v>
      </c>
      <c r="BT216" s="49">
        <f t="shared" ca="1" si="109"/>
        <v>89</v>
      </c>
    </row>
    <row r="217" spans="1:72" hidden="1" x14ac:dyDescent="0.25">
      <c r="A217" s="6" t="s">
        <v>19436</v>
      </c>
      <c r="B217" s="6">
        <v>1836.26</v>
      </c>
      <c r="C217" s="36">
        <v>46114</v>
      </c>
      <c r="D217" s="6" t="s">
        <v>19438</v>
      </c>
      <c r="E217" s="37">
        <v>30000</v>
      </c>
      <c r="F217" s="38" t="s">
        <v>19846</v>
      </c>
      <c r="G217" s="39" t="str">
        <f t="shared" si="110"/>
        <v>GRN Not Received</v>
      </c>
      <c r="H217" s="40" t="str">
        <f t="shared" si="111"/>
        <v>GRN Not Received</v>
      </c>
      <c r="I217" s="6" t="s">
        <v>19847</v>
      </c>
      <c r="J217" s="36">
        <v>46118</v>
      </c>
      <c r="K217" s="41">
        <v>30000</v>
      </c>
      <c r="L217" s="42">
        <v>0.38</v>
      </c>
      <c r="M217" s="42">
        <f t="shared" si="112"/>
        <v>11400</v>
      </c>
      <c r="N217" s="42">
        <v>0</v>
      </c>
      <c r="O217" s="42">
        <v>0</v>
      </c>
      <c r="P217" s="42">
        <f t="shared" si="113"/>
        <v>11400</v>
      </c>
      <c r="Q217" s="38" t="s">
        <v>19848</v>
      </c>
      <c r="R217" s="36">
        <v>46114</v>
      </c>
      <c r="S217" s="6" t="s">
        <v>19516</v>
      </c>
      <c r="T217" s="50" t="s">
        <v>14932</v>
      </c>
      <c r="U217" s="6" t="str">
        <f>IFERROR(VLOOKUP(T217,'item master'!B:C,2,0),"")</f>
        <v>UNO-CID (SOULAG. RAPIDE DE L'ACIDITÉ ET GAS) B/10 SACHETS</v>
      </c>
      <c r="V217" s="41">
        <f t="shared" si="121"/>
        <v>30000</v>
      </c>
      <c r="X217" s="44">
        <f t="shared" si="122"/>
        <v>0.38</v>
      </c>
      <c r="Y217" s="42">
        <f t="shared" si="123"/>
        <v>11400</v>
      </c>
      <c r="Z217" s="42">
        <v>0</v>
      </c>
      <c r="AA217" s="42">
        <f t="shared" si="114"/>
        <v>11400</v>
      </c>
      <c r="AB217" s="45">
        <v>0.3</v>
      </c>
      <c r="AC217" s="42">
        <f t="shared" si="120"/>
        <v>3420</v>
      </c>
      <c r="AD217" s="42">
        <f>AC217</f>
        <v>3420</v>
      </c>
      <c r="AE217" s="36">
        <v>46133</v>
      </c>
      <c r="AF217" s="6" t="s">
        <v>19850</v>
      </c>
      <c r="AJ217" s="41">
        <f t="shared" si="100"/>
        <v>30000</v>
      </c>
      <c r="AS217" s="42">
        <f t="shared" si="115"/>
        <v>0</v>
      </c>
      <c r="AV217" s="6" t="s">
        <v>19584</v>
      </c>
      <c r="BA217" s="42">
        <f t="shared" si="93"/>
        <v>3420</v>
      </c>
      <c r="BD217" s="46" t="str">
        <f t="shared" si="116"/>
        <v>0</v>
      </c>
      <c r="BE217" s="46">
        <f t="shared" si="94"/>
        <v>3420</v>
      </c>
      <c r="BF217" s="46">
        <f t="shared" si="94"/>
        <v>-3420</v>
      </c>
      <c r="BG217" s="47">
        <f t="shared" si="95"/>
        <v>6840</v>
      </c>
      <c r="BH217" s="46">
        <f t="shared" si="117"/>
        <v>0</v>
      </c>
      <c r="BO217" s="48">
        <f t="shared" si="96"/>
        <v>0</v>
      </c>
      <c r="BP217" s="48">
        <f t="shared" si="97"/>
        <v>0</v>
      </c>
      <c r="BQ217" s="6" t="str">
        <f t="shared" si="108"/>
        <v>Advance With Supplier</v>
      </c>
      <c r="BS217" s="6" t="str">
        <f t="shared" si="106"/>
        <v>Open</v>
      </c>
      <c r="BT217" s="49">
        <f t="shared" ca="1" si="109"/>
        <v>145</v>
      </c>
    </row>
    <row r="218" spans="1:72" hidden="1" x14ac:dyDescent="0.25">
      <c r="A218" s="6" t="s">
        <v>19436</v>
      </c>
      <c r="B218" s="6">
        <v>1836.26</v>
      </c>
      <c r="C218" s="36">
        <v>46114</v>
      </c>
      <c r="D218" s="6" t="s">
        <v>19438</v>
      </c>
      <c r="E218" s="37">
        <v>12500</v>
      </c>
      <c r="F218" s="38" t="s">
        <v>19841</v>
      </c>
      <c r="G218" s="39" t="str">
        <f t="shared" si="110"/>
        <v>GRN Not Received</v>
      </c>
      <c r="H218" s="40" t="str">
        <f t="shared" si="111"/>
        <v>GRN Not Received</v>
      </c>
      <c r="I218" s="6" t="s">
        <v>19847</v>
      </c>
      <c r="J218" s="36">
        <v>46118</v>
      </c>
      <c r="K218" s="41">
        <v>12500</v>
      </c>
      <c r="L218" s="42">
        <v>0.59</v>
      </c>
      <c r="M218" s="42">
        <f t="shared" si="112"/>
        <v>7375</v>
      </c>
      <c r="N218" s="42">
        <v>0</v>
      </c>
      <c r="O218" s="42">
        <v>0</v>
      </c>
      <c r="P218" s="42">
        <f t="shared" si="113"/>
        <v>7375</v>
      </c>
      <c r="Q218" s="38" t="s">
        <v>19849</v>
      </c>
      <c r="R218" s="36">
        <v>46114</v>
      </c>
      <c r="S218" s="6" t="s">
        <v>19516</v>
      </c>
      <c r="T218" s="50" t="s">
        <v>15068</v>
      </c>
      <c r="U218" s="6" t="str">
        <f>IFERROR(VLOOKUP(T218,'item master'!B:C,2,0),"")</f>
        <v>DOZEM-100 (TRAMADOL 100MG) EFF. B/4X4 CES</v>
      </c>
      <c r="V218" s="41">
        <f t="shared" si="121"/>
        <v>12500</v>
      </c>
      <c r="X218" s="44">
        <f t="shared" si="122"/>
        <v>0.59</v>
      </c>
      <c r="Y218" s="42">
        <f t="shared" si="123"/>
        <v>7375</v>
      </c>
      <c r="Z218" s="42">
        <v>0</v>
      </c>
      <c r="AA218" s="42">
        <f t="shared" si="114"/>
        <v>7375</v>
      </c>
      <c r="AB218" s="45">
        <v>0.3</v>
      </c>
      <c r="AC218" s="42">
        <f t="shared" si="120"/>
        <v>2212.5</v>
      </c>
      <c r="AD218" s="42">
        <f>AC218</f>
        <v>2212.5</v>
      </c>
      <c r="AE218" s="36">
        <v>46133</v>
      </c>
      <c r="AF218" s="6" t="s">
        <v>19850</v>
      </c>
      <c r="AJ218" s="41">
        <f t="shared" si="100"/>
        <v>12500</v>
      </c>
      <c r="AS218" s="42">
        <f t="shared" si="115"/>
        <v>0</v>
      </c>
      <c r="AV218" s="6" t="s">
        <v>19584</v>
      </c>
      <c r="BA218" s="42">
        <f t="shared" si="93"/>
        <v>2212.5</v>
      </c>
      <c r="BD218" s="46" t="str">
        <f t="shared" si="116"/>
        <v>0</v>
      </c>
      <c r="BE218" s="46">
        <f t="shared" si="94"/>
        <v>2212.5</v>
      </c>
      <c r="BF218" s="46">
        <f t="shared" si="94"/>
        <v>-2212.5</v>
      </c>
      <c r="BG218" s="47">
        <f t="shared" si="95"/>
        <v>4425</v>
      </c>
      <c r="BH218" s="46">
        <f t="shared" si="117"/>
        <v>0</v>
      </c>
      <c r="BO218" s="48">
        <f t="shared" si="96"/>
        <v>0</v>
      </c>
      <c r="BP218" s="48">
        <f t="shared" si="97"/>
        <v>0</v>
      </c>
      <c r="BQ218" s="6" t="str">
        <f t="shared" si="108"/>
        <v>Advance With Supplier</v>
      </c>
      <c r="BS218" s="6" t="str">
        <f t="shared" si="106"/>
        <v>Open</v>
      </c>
      <c r="BT218" s="49">
        <f t="shared" ca="1" si="109"/>
        <v>145</v>
      </c>
    </row>
    <row r="219" spans="1:72" hidden="1" x14ac:dyDescent="0.25">
      <c r="A219" s="6" t="s">
        <v>19436</v>
      </c>
      <c r="B219" s="6">
        <v>1889.26</v>
      </c>
      <c r="C219" s="36">
        <v>46159</v>
      </c>
      <c r="D219" s="6" t="s">
        <v>19438</v>
      </c>
      <c r="E219" s="37">
        <v>6000</v>
      </c>
      <c r="F219" s="38" t="s">
        <v>19851</v>
      </c>
      <c r="G219" s="39" t="str">
        <f t="shared" si="110"/>
        <v>GRN Not Received</v>
      </c>
      <c r="H219" s="40" t="str">
        <f t="shared" si="111"/>
        <v>GRN Not Received</v>
      </c>
      <c r="I219" s="6" t="s">
        <v>19852</v>
      </c>
      <c r="J219" s="36">
        <v>46179</v>
      </c>
      <c r="K219" s="41">
        <v>600000</v>
      </c>
      <c r="L219" s="42">
        <v>2.1000000000000001E-2</v>
      </c>
      <c r="M219" s="42">
        <f t="shared" si="112"/>
        <v>12600</v>
      </c>
      <c r="N219" s="42">
        <v>0</v>
      </c>
      <c r="O219" s="42">
        <v>0</v>
      </c>
      <c r="P219" s="42">
        <f t="shared" si="113"/>
        <v>12600</v>
      </c>
      <c r="Q219" s="38">
        <v>5400049765</v>
      </c>
      <c r="R219" s="36">
        <v>46177</v>
      </c>
      <c r="S219" s="6" t="s">
        <v>19512</v>
      </c>
      <c r="T219" s="50" t="s">
        <v>17263</v>
      </c>
      <c r="U219" s="6" t="str">
        <f>IFERROR(VLOOKUP(T219,'item master'!B:C,2,0),"")</f>
        <v>GANTS D'EXAMEN EN NITRILE SANS POUDRE (M)</v>
      </c>
      <c r="V219" s="41">
        <v>600000</v>
      </c>
      <c r="X219" s="44">
        <f t="shared" si="122"/>
        <v>2.1000000000000001E-2</v>
      </c>
      <c r="Y219" s="42">
        <f>V219*X219</f>
        <v>12600</v>
      </c>
      <c r="Z219" s="42">
        <v>0</v>
      </c>
      <c r="AA219" s="42">
        <f t="shared" si="114"/>
        <v>12600</v>
      </c>
      <c r="AB219" s="45">
        <v>0.5</v>
      </c>
      <c r="AC219" s="42">
        <f t="shared" si="120"/>
        <v>6300</v>
      </c>
      <c r="AD219" s="73">
        <f>AC219</f>
        <v>6300</v>
      </c>
      <c r="AE219" s="36">
        <v>46182</v>
      </c>
      <c r="AF219" s="6" t="s">
        <v>19853</v>
      </c>
      <c r="AJ219" s="41">
        <f t="shared" si="100"/>
        <v>600000</v>
      </c>
      <c r="AS219" s="42">
        <f t="shared" si="115"/>
        <v>0</v>
      </c>
      <c r="AV219" s="6" t="s">
        <v>19584</v>
      </c>
      <c r="BA219" s="42">
        <f t="shared" si="93"/>
        <v>6300</v>
      </c>
      <c r="BD219" s="46" t="str">
        <f t="shared" si="116"/>
        <v>0</v>
      </c>
      <c r="BE219" s="46">
        <f t="shared" si="94"/>
        <v>6300</v>
      </c>
      <c r="BF219" s="46">
        <f t="shared" si="94"/>
        <v>-6300</v>
      </c>
      <c r="BG219" s="47">
        <f t="shared" si="95"/>
        <v>12600</v>
      </c>
      <c r="BH219" s="46">
        <f t="shared" si="117"/>
        <v>0</v>
      </c>
      <c r="BO219" s="48">
        <f t="shared" si="96"/>
        <v>0</v>
      </c>
      <c r="BP219" s="48">
        <f t="shared" si="97"/>
        <v>0</v>
      </c>
      <c r="BQ219" s="6" t="str">
        <f t="shared" si="108"/>
        <v>Advance With Supplier</v>
      </c>
      <c r="BS219" s="6" t="str">
        <f t="shared" si="106"/>
        <v>Open</v>
      </c>
      <c r="BT219" s="49">
        <f t="shared" ca="1" si="109"/>
        <v>84</v>
      </c>
    </row>
    <row r="220" spans="1:72" hidden="1" x14ac:dyDescent="0.25">
      <c r="A220" s="6" t="s">
        <v>19436</v>
      </c>
      <c r="B220" s="6">
        <v>1889.26</v>
      </c>
      <c r="C220" s="36">
        <v>46159</v>
      </c>
      <c r="D220" s="6" t="s">
        <v>19438</v>
      </c>
      <c r="E220" s="37">
        <v>40000</v>
      </c>
      <c r="F220" s="38" t="s">
        <v>19851</v>
      </c>
      <c r="G220" s="39" t="str">
        <f t="shared" si="110"/>
        <v>GRN Not Received</v>
      </c>
      <c r="H220" s="40" t="str">
        <f t="shared" si="111"/>
        <v>GRN Not Received</v>
      </c>
      <c r="I220" s="6" t="s">
        <v>19852</v>
      </c>
      <c r="J220" s="36">
        <v>46179</v>
      </c>
      <c r="K220" s="41">
        <v>4000000</v>
      </c>
      <c r="L220" s="42">
        <v>1.8700000000000001E-2</v>
      </c>
      <c r="M220" s="42">
        <f t="shared" si="112"/>
        <v>74800</v>
      </c>
      <c r="N220" s="42">
        <v>0</v>
      </c>
      <c r="O220" s="42">
        <v>0</v>
      </c>
      <c r="P220" s="42">
        <f t="shared" si="113"/>
        <v>74800</v>
      </c>
      <c r="Q220" s="38">
        <v>5400049765</v>
      </c>
      <c r="R220" s="36">
        <v>46177</v>
      </c>
      <c r="S220" s="6" t="s">
        <v>19512</v>
      </c>
      <c r="T220" s="50" t="s">
        <v>2645</v>
      </c>
      <c r="U220" s="6" t="str">
        <f>IFERROR(VLOOKUP(T220,'item master'!B:C,2,0),"")</f>
        <v>GANTS DEXAIMAIN N.STER B/100 MIDIUM (UNIQUE)</v>
      </c>
      <c r="V220" s="41">
        <v>4000000</v>
      </c>
      <c r="X220" s="44">
        <f t="shared" si="122"/>
        <v>1.8700000000000001E-2</v>
      </c>
      <c r="Y220" s="42">
        <f t="shared" ref="Y220:Y226" si="125">V220*X220</f>
        <v>74800</v>
      </c>
      <c r="Z220" s="42">
        <v>0</v>
      </c>
      <c r="AA220" s="42">
        <f t="shared" si="114"/>
        <v>74800</v>
      </c>
      <c r="AB220" s="45">
        <v>0.5</v>
      </c>
      <c r="AC220" s="42">
        <f t="shared" si="120"/>
        <v>37400</v>
      </c>
      <c r="AD220" s="73">
        <f t="shared" ref="AD220:AD226" si="126">AC220</f>
        <v>37400</v>
      </c>
      <c r="AE220" s="36">
        <v>46182</v>
      </c>
      <c r="AF220" s="6" t="s">
        <v>19853</v>
      </c>
      <c r="AJ220" s="41">
        <f t="shared" si="100"/>
        <v>4000000</v>
      </c>
      <c r="AS220" s="42">
        <f t="shared" si="115"/>
        <v>0</v>
      </c>
      <c r="AV220" s="6" t="s">
        <v>19584</v>
      </c>
      <c r="BA220" s="42">
        <f t="shared" si="93"/>
        <v>37400</v>
      </c>
      <c r="BD220" s="46" t="str">
        <f t="shared" si="116"/>
        <v>0</v>
      </c>
      <c r="BE220" s="46">
        <f t="shared" si="94"/>
        <v>37400</v>
      </c>
      <c r="BF220" s="46">
        <f t="shared" si="94"/>
        <v>-37400</v>
      </c>
      <c r="BG220" s="47">
        <f t="shared" si="95"/>
        <v>74800</v>
      </c>
      <c r="BH220" s="46">
        <f t="shared" si="117"/>
        <v>0</v>
      </c>
      <c r="BO220" s="48">
        <f t="shared" si="96"/>
        <v>0</v>
      </c>
      <c r="BP220" s="48">
        <f t="shared" si="97"/>
        <v>0</v>
      </c>
      <c r="BQ220" s="6" t="str">
        <f t="shared" si="108"/>
        <v>Advance With Supplier</v>
      </c>
      <c r="BS220" s="6" t="str">
        <f t="shared" si="106"/>
        <v>Open</v>
      </c>
      <c r="BT220" s="49">
        <f t="shared" ca="1" si="109"/>
        <v>84</v>
      </c>
    </row>
    <row r="221" spans="1:72" hidden="1" x14ac:dyDescent="0.25">
      <c r="A221" s="6" t="s">
        <v>19436</v>
      </c>
      <c r="B221" s="6">
        <v>1890.26</v>
      </c>
      <c r="C221" s="36">
        <v>46159</v>
      </c>
      <c r="D221" s="6" t="s">
        <v>19438</v>
      </c>
      <c r="E221" s="37">
        <v>20000</v>
      </c>
      <c r="F221" s="38" t="s">
        <v>19736</v>
      </c>
      <c r="G221" s="39" t="str">
        <f t="shared" si="110"/>
        <v>GRN Not Received</v>
      </c>
      <c r="H221" s="40" t="str">
        <f t="shared" si="111"/>
        <v>GRN Not Received</v>
      </c>
      <c r="I221" s="6" t="s">
        <v>19854</v>
      </c>
      <c r="J221" s="36">
        <v>46175</v>
      </c>
      <c r="K221" s="41">
        <v>20000</v>
      </c>
      <c r="L221" s="42">
        <v>1.18</v>
      </c>
      <c r="M221" s="42">
        <f t="shared" si="112"/>
        <v>23600</v>
      </c>
      <c r="N221" s="42">
        <v>0</v>
      </c>
      <c r="O221" s="42">
        <v>0</v>
      </c>
      <c r="P221" s="42">
        <f t="shared" si="113"/>
        <v>23600</v>
      </c>
      <c r="Q221" s="38" t="s">
        <v>19855</v>
      </c>
      <c r="R221" s="36">
        <v>46178</v>
      </c>
      <c r="S221" s="6" t="s">
        <v>19448</v>
      </c>
      <c r="T221" s="50" t="s">
        <v>17411</v>
      </c>
      <c r="U221" s="6" t="str">
        <f>IFERROR(VLOOKUP(T221,'item master'!B:C,2,0),"")</f>
        <v>BONNE NUIT GEL LUBRICANT 100ML</v>
      </c>
      <c r="V221" s="41">
        <v>20000</v>
      </c>
      <c r="X221" s="44">
        <f t="shared" si="122"/>
        <v>1.18</v>
      </c>
      <c r="Y221" s="42">
        <f t="shared" si="125"/>
        <v>23600</v>
      </c>
      <c r="Z221" s="42">
        <v>0</v>
      </c>
      <c r="AA221" s="42">
        <f t="shared" si="114"/>
        <v>23600</v>
      </c>
      <c r="AB221" s="45">
        <v>0.5</v>
      </c>
      <c r="AC221" s="42">
        <f t="shared" si="120"/>
        <v>11800</v>
      </c>
      <c r="AD221" s="42">
        <f t="shared" si="126"/>
        <v>11800</v>
      </c>
      <c r="AE221" s="36">
        <v>46184</v>
      </c>
      <c r="AF221" s="6" t="s">
        <v>19856</v>
      </c>
      <c r="AJ221" s="41">
        <f t="shared" si="100"/>
        <v>20000</v>
      </c>
      <c r="AO221" s="46">
        <f>AG221*AN221</f>
        <v>0</v>
      </c>
      <c r="AS221" s="42">
        <f t="shared" si="115"/>
        <v>0</v>
      </c>
      <c r="AV221" s="6" t="s">
        <v>19584</v>
      </c>
      <c r="BA221" s="42">
        <f t="shared" si="93"/>
        <v>11800</v>
      </c>
      <c r="BD221" s="46" t="str">
        <f t="shared" si="116"/>
        <v>0</v>
      </c>
      <c r="BE221" s="46">
        <f t="shared" si="94"/>
        <v>11800</v>
      </c>
      <c r="BF221" s="46">
        <f t="shared" si="94"/>
        <v>-11800</v>
      </c>
      <c r="BG221" s="47">
        <f t="shared" si="95"/>
        <v>23600</v>
      </c>
      <c r="BH221" s="46">
        <f t="shared" si="117"/>
        <v>0</v>
      </c>
      <c r="BO221" s="48">
        <f t="shared" si="96"/>
        <v>0</v>
      </c>
      <c r="BP221" s="48">
        <f t="shared" si="97"/>
        <v>0</v>
      </c>
      <c r="BQ221" s="6" t="str">
        <f t="shared" si="108"/>
        <v>Advance With Supplier</v>
      </c>
      <c r="BS221" s="6" t="str">
        <f t="shared" si="106"/>
        <v>Open</v>
      </c>
      <c r="BT221" s="49">
        <f t="shared" ca="1" si="109"/>
        <v>88</v>
      </c>
    </row>
    <row r="222" spans="1:72" hidden="1" x14ac:dyDescent="0.25">
      <c r="A222" s="6" t="s">
        <v>19436</v>
      </c>
      <c r="B222" s="6">
        <v>1756.25</v>
      </c>
      <c r="C222" s="36">
        <v>46020</v>
      </c>
      <c r="D222" s="6" t="s">
        <v>19438</v>
      </c>
      <c r="E222" s="37">
        <v>10000</v>
      </c>
      <c r="F222" s="38" t="s">
        <v>19860</v>
      </c>
      <c r="G222" s="39">
        <f t="shared" si="110"/>
        <v>0</v>
      </c>
      <c r="H222" s="40">
        <f t="shared" si="111"/>
        <v>0</v>
      </c>
      <c r="I222" s="6" t="s">
        <v>19862</v>
      </c>
      <c r="J222" s="36">
        <v>46069</v>
      </c>
      <c r="K222" s="41">
        <v>10000</v>
      </c>
      <c r="L222" s="42">
        <v>0.57999999999999996</v>
      </c>
      <c r="M222" s="42">
        <f t="shared" si="112"/>
        <v>5800</v>
      </c>
      <c r="N222" s="42">
        <v>0</v>
      </c>
      <c r="O222" s="42">
        <v>0</v>
      </c>
      <c r="P222" s="42">
        <f t="shared" si="113"/>
        <v>5800</v>
      </c>
      <c r="Q222" s="38" t="s">
        <v>19863</v>
      </c>
      <c r="R222" s="36">
        <v>46073</v>
      </c>
      <c r="S222" s="6" t="s">
        <v>19526</v>
      </c>
      <c r="T222" s="66" t="s">
        <v>19857</v>
      </c>
      <c r="U222" s="6" t="str">
        <f>IFERROR(VLOOKUP(T222,'item master'!B:C,2,0),"")</f>
        <v>AVAMYQUE – SPRAY NASAL DE FLUTICASONE FUROATE 120 PULVERISATIONS</v>
      </c>
      <c r="V222" s="41">
        <v>10000</v>
      </c>
      <c r="X222" s="44">
        <f t="shared" si="122"/>
        <v>0.57999999999999996</v>
      </c>
      <c r="Y222" s="42">
        <f t="shared" si="125"/>
        <v>5800</v>
      </c>
      <c r="Z222" s="42">
        <v>0</v>
      </c>
      <c r="AA222" s="42">
        <f t="shared" si="114"/>
        <v>5800</v>
      </c>
      <c r="AB222" s="45">
        <v>0.5</v>
      </c>
      <c r="AC222" s="42">
        <f t="shared" si="120"/>
        <v>2900</v>
      </c>
      <c r="AD222" s="42">
        <f t="shared" si="126"/>
        <v>2900</v>
      </c>
      <c r="AE222" s="36">
        <v>46077</v>
      </c>
      <c r="AF222" s="6" t="s">
        <v>19864</v>
      </c>
      <c r="AG222" s="41">
        <v>9620</v>
      </c>
      <c r="AH222" s="41">
        <v>9620</v>
      </c>
      <c r="AJ222" s="41">
        <f t="shared" si="100"/>
        <v>380</v>
      </c>
      <c r="AK222" s="6">
        <v>1</v>
      </c>
      <c r="AN222" s="41">
        <v>0.57999999999999996</v>
      </c>
      <c r="AO222" s="42">
        <f>AH222*AN222</f>
        <v>5579.5999999999995</v>
      </c>
      <c r="AS222" s="42">
        <f t="shared" si="115"/>
        <v>5579.5999999999995</v>
      </c>
      <c r="AV222" s="6" t="s">
        <v>19584</v>
      </c>
      <c r="BA222" s="42">
        <f t="shared" ref="BA222:BA245" si="127">AD222+AZ222</f>
        <v>2900</v>
      </c>
      <c r="BB222" s="42">
        <v>0</v>
      </c>
      <c r="BC222" s="42">
        <v>0</v>
      </c>
      <c r="BD222" s="46">
        <f>IF(AK222&gt;0,BA222+BB222+BC222,"0")</f>
        <v>2900</v>
      </c>
      <c r="BE222" s="46">
        <f t="shared" ref="BE222:BF245" si="128">BA222-BD222</f>
        <v>0</v>
      </c>
      <c r="BF222" s="46">
        <f t="shared" si="128"/>
        <v>0</v>
      </c>
      <c r="BG222" s="47">
        <f t="shared" ref="BG222:BG245" si="129">BE222-BF222</f>
        <v>0</v>
      </c>
      <c r="BH222" s="46">
        <f t="shared" si="117"/>
        <v>2679.5999999999995</v>
      </c>
      <c r="BO222" s="48">
        <f t="shared" ref="BO222:BO245" si="130">BI222+BL222</f>
        <v>0</v>
      </c>
      <c r="BP222" s="48">
        <f t="shared" ref="BP222:BP245" si="131">BH222-BO222</f>
        <v>2679.5999999999995</v>
      </c>
      <c r="BQ222" s="6" t="str">
        <f t="shared" si="108"/>
        <v>Payable Balance Supplier</v>
      </c>
      <c r="BS222" s="6" t="str">
        <f t="shared" si="106"/>
        <v>Open</v>
      </c>
      <c r="BT222" s="49">
        <f t="shared" ca="1" si="109"/>
        <v>194</v>
      </c>
    </row>
    <row r="223" spans="1:72" hidden="1" x14ac:dyDescent="0.25">
      <c r="A223" s="6" t="s">
        <v>19436</v>
      </c>
      <c r="B223" s="6">
        <v>1756.25</v>
      </c>
      <c r="C223" s="36">
        <v>46020</v>
      </c>
      <c r="D223" s="6" t="s">
        <v>19438</v>
      </c>
      <c r="E223" s="37">
        <v>10000</v>
      </c>
      <c r="F223" s="38" t="s">
        <v>19861</v>
      </c>
      <c r="G223" s="39">
        <f t="shared" si="110"/>
        <v>0</v>
      </c>
      <c r="H223" s="40">
        <f t="shared" si="111"/>
        <v>0</v>
      </c>
      <c r="I223" s="6" t="s">
        <v>19862</v>
      </c>
      <c r="J223" s="36">
        <v>46069</v>
      </c>
      <c r="K223" s="41">
        <v>10000</v>
      </c>
      <c r="L223" s="42">
        <v>0.48</v>
      </c>
      <c r="M223" s="42">
        <f t="shared" si="112"/>
        <v>4800</v>
      </c>
      <c r="N223" s="42">
        <v>0</v>
      </c>
      <c r="O223" s="42">
        <v>0</v>
      </c>
      <c r="P223" s="42">
        <f t="shared" si="113"/>
        <v>4800</v>
      </c>
      <c r="Q223" s="38" t="s">
        <v>19863</v>
      </c>
      <c r="R223" s="36">
        <v>46073</v>
      </c>
      <c r="S223" s="6" t="s">
        <v>19526</v>
      </c>
      <c r="T223" s="66" t="s">
        <v>19858</v>
      </c>
      <c r="U223" s="6" t="str">
        <f>IFERROR(VLOOKUP(T223,'item master'!B:C,2,0),"")</f>
        <v>NASOMATE – SPRAY NASAL DE MOMETASONE FUROATE 40 DOSES</v>
      </c>
      <c r="V223" s="41">
        <v>10000</v>
      </c>
      <c r="X223" s="44">
        <f t="shared" si="122"/>
        <v>0.48</v>
      </c>
      <c r="Y223" s="42">
        <f t="shared" si="125"/>
        <v>4800</v>
      </c>
      <c r="Z223" s="42">
        <v>0</v>
      </c>
      <c r="AA223" s="42">
        <f t="shared" si="114"/>
        <v>4800</v>
      </c>
      <c r="AB223" s="45">
        <v>0.5</v>
      </c>
      <c r="AC223" s="42">
        <f t="shared" si="120"/>
        <v>2400</v>
      </c>
      <c r="AD223" s="42">
        <f t="shared" si="126"/>
        <v>2400</v>
      </c>
      <c r="AE223" s="36">
        <v>46077</v>
      </c>
      <c r="AF223" s="6" t="s">
        <v>19864</v>
      </c>
      <c r="AG223" s="41">
        <v>10000</v>
      </c>
      <c r="AH223" s="41">
        <v>10000</v>
      </c>
      <c r="AJ223" s="41">
        <f t="shared" si="100"/>
        <v>0</v>
      </c>
      <c r="AK223" s="6">
        <v>1</v>
      </c>
      <c r="AN223" s="41">
        <v>0.48</v>
      </c>
      <c r="AO223" s="42">
        <f>AH223*AN223</f>
        <v>4800</v>
      </c>
      <c r="AS223" s="42">
        <f t="shared" si="115"/>
        <v>4800</v>
      </c>
      <c r="AV223" s="6" t="s">
        <v>19584</v>
      </c>
      <c r="BA223" s="42">
        <f t="shared" si="127"/>
        <v>2400</v>
      </c>
      <c r="BB223" s="42">
        <v>0</v>
      </c>
      <c r="BC223" s="42">
        <v>0</v>
      </c>
      <c r="BD223" s="46">
        <f t="shared" si="116"/>
        <v>2400</v>
      </c>
      <c r="BE223" s="46">
        <f t="shared" si="128"/>
        <v>0</v>
      </c>
      <c r="BF223" s="46">
        <f t="shared" si="128"/>
        <v>0</v>
      </c>
      <c r="BG223" s="47">
        <f t="shared" si="129"/>
        <v>0</v>
      </c>
      <c r="BH223" s="46">
        <f t="shared" si="117"/>
        <v>2400</v>
      </c>
      <c r="BO223" s="48">
        <f t="shared" si="130"/>
        <v>0</v>
      </c>
      <c r="BP223" s="48">
        <f t="shared" si="131"/>
        <v>2400</v>
      </c>
      <c r="BQ223" s="6" t="str">
        <f t="shared" si="108"/>
        <v>Payable Balance Supplier</v>
      </c>
      <c r="BS223" s="6" t="str">
        <f t="shared" si="106"/>
        <v>Open</v>
      </c>
      <c r="BT223" s="49">
        <f t="shared" ca="1" si="109"/>
        <v>194</v>
      </c>
    </row>
    <row r="224" spans="1:72" hidden="1" x14ac:dyDescent="0.25">
      <c r="A224" s="6" t="s">
        <v>19436</v>
      </c>
      <c r="B224" s="6">
        <v>1756.25</v>
      </c>
      <c r="C224" s="36">
        <v>46020</v>
      </c>
      <c r="D224" s="6" t="s">
        <v>19438</v>
      </c>
      <c r="E224" s="37">
        <v>10000</v>
      </c>
      <c r="F224" s="38" t="s">
        <v>19611</v>
      </c>
      <c r="G224" s="39" t="str">
        <f t="shared" si="110"/>
        <v>GRN Not Received</v>
      </c>
      <c r="H224" s="40" t="str">
        <f t="shared" si="111"/>
        <v>GRN Not Received</v>
      </c>
      <c r="I224" s="6" t="s">
        <v>19862</v>
      </c>
      <c r="J224" s="36">
        <v>46069</v>
      </c>
      <c r="K224" s="41">
        <v>10000</v>
      </c>
      <c r="L224" s="42">
        <v>1.3</v>
      </c>
      <c r="M224" s="42">
        <f t="shared" si="112"/>
        <v>13000</v>
      </c>
      <c r="N224" s="42">
        <v>0</v>
      </c>
      <c r="O224" s="42">
        <v>0</v>
      </c>
      <c r="P224" s="42">
        <f t="shared" si="113"/>
        <v>13000</v>
      </c>
      <c r="Q224" s="38" t="s">
        <v>19863</v>
      </c>
      <c r="R224" s="36">
        <v>46073</v>
      </c>
      <c r="S224" s="6" t="s">
        <v>19526</v>
      </c>
      <c r="T224" s="66" t="s">
        <v>19859</v>
      </c>
      <c r="U224" s="6" t="str">
        <f>IFERROR(VLOOKUP(T224,'item master'!B:C,2,0),"")</f>
        <v>HIFER FCM – INJ. FERRIC CARBOXYMALTOSE 500 MG/10 ML – 10 ML</v>
      </c>
      <c r="V224" s="41">
        <v>10000</v>
      </c>
      <c r="X224" s="44">
        <f t="shared" si="122"/>
        <v>1.3</v>
      </c>
      <c r="Y224" s="42">
        <f t="shared" si="125"/>
        <v>13000</v>
      </c>
      <c r="Z224" s="42">
        <v>0</v>
      </c>
      <c r="AA224" s="42">
        <f t="shared" si="114"/>
        <v>13000</v>
      </c>
      <c r="AB224" s="45">
        <v>0.5</v>
      </c>
      <c r="AC224" s="42">
        <f t="shared" si="120"/>
        <v>6500</v>
      </c>
      <c r="AD224" s="42">
        <f t="shared" si="126"/>
        <v>6500</v>
      </c>
      <c r="AE224" s="36">
        <v>46077</v>
      </c>
      <c r="AF224" s="6" t="s">
        <v>19864</v>
      </c>
      <c r="AJ224" s="41">
        <f t="shared" si="100"/>
        <v>10000</v>
      </c>
      <c r="AS224" s="42">
        <f t="shared" si="115"/>
        <v>0</v>
      </c>
      <c r="AV224" s="6" t="s">
        <v>19584</v>
      </c>
      <c r="BA224" s="42">
        <f t="shared" si="127"/>
        <v>6500</v>
      </c>
      <c r="BD224" s="46" t="str">
        <f t="shared" si="116"/>
        <v>0</v>
      </c>
      <c r="BE224" s="46">
        <f t="shared" si="128"/>
        <v>6500</v>
      </c>
      <c r="BF224" s="46">
        <f t="shared" si="128"/>
        <v>-6500</v>
      </c>
      <c r="BG224" s="47">
        <f t="shared" si="129"/>
        <v>13000</v>
      </c>
      <c r="BH224" s="46">
        <f t="shared" si="117"/>
        <v>0</v>
      </c>
      <c r="BO224" s="48">
        <f t="shared" si="130"/>
        <v>0</v>
      </c>
      <c r="BP224" s="48">
        <f t="shared" si="131"/>
        <v>0</v>
      </c>
      <c r="BQ224" s="6" t="str">
        <f t="shared" si="108"/>
        <v>Advance With Supplier</v>
      </c>
      <c r="BS224" s="6" t="str">
        <f t="shared" si="106"/>
        <v>Open</v>
      </c>
      <c r="BT224" s="49">
        <f t="shared" ca="1" si="109"/>
        <v>194</v>
      </c>
    </row>
    <row r="225" spans="1:72" hidden="1" x14ac:dyDescent="0.25">
      <c r="A225" s="6" t="s">
        <v>19436</v>
      </c>
      <c r="B225" s="6">
        <v>1896.26</v>
      </c>
      <c r="C225" s="36">
        <v>46162</v>
      </c>
      <c r="D225" s="6" t="s">
        <v>19438</v>
      </c>
      <c r="E225" s="37">
        <v>165000</v>
      </c>
      <c r="F225" s="38" t="s">
        <v>19960</v>
      </c>
      <c r="G225" s="39" t="str">
        <f t="shared" si="110"/>
        <v>GRN Not Received</v>
      </c>
      <c r="H225" s="40" t="str">
        <f t="shared" si="111"/>
        <v>GRN Not Received</v>
      </c>
      <c r="I225" s="6" t="s">
        <v>19957</v>
      </c>
      <c r="J225" s="36">
        <v>46214</v>
      </c>
      <c r="K225" s="41">
        <v>1650000</v>
      </c>
      <c r="L225" s="42">
        <v>1.9E-2</v>
      </c>
      <c r="M225" s="42">
        <f t="shared" si="112"/>
        <v>31350</v>
      </c>
      <c r="N225" s="42">
        <v>0</v>
      </c>
      <c r="O225" s="42">
        <v>0</v>
      </c>
      <c r="P225" s="42">
        <f t="shared" si="113"/>
        <v>31350</v>
      </c>
      <c r="Q225" s="38" t="s">
        <v>19959</v>
      </c>
      <c r="R225" s="36" t="s">
        <v>19958</v>
      </c>
      <c r="S225" s="6" t="s">
        <v>19546</v>
      </c>
      <c r="T225" s="67" t="s">
        <v>14010</v>
      </c>
      <c r="U225" s="6" t="str">
        <f>IFERROR(VLOOKUP(T225,'item master'!B:C,2,0),"")</f>
        <v>TEST DE GROSSESSE 1 PCS</v>
      </c>
      <c r="V225" s="41">
        <v>1650000</v>
      </c>
      <c r="X225" s="44">
        <f t="shared" si="122"/>
        <v>1.9E-2</v>
      </c>
      <c r="Y225" s="42">
        <f t="shared" si="125"/>
        <v>31350</v>
      </c>
      <c r="Z225" s="42">
        <v>0</v>
      </c>
      <c r="AA225" s="42">
        <f t="shared" si="114"/>
        <v>31350</v>
      </c>
      <c r="AB225" s="45">
        <v>0.3</v>
      </c>
      <c r="AC225" s="42">
        <f t="shared" si="120"/>
        <v>9405</v>
      </c>
      <c r="AD225" s="42">
        <f t="shared" si="126"/>
        <v>9405</v>
      </c>
      <c r="AE225" s="36">
        <v>46220</v>
      </c>
      <c r="AF225" s="6" t="s">
        <v>19961</v>
      </c>
      <c r="AJ225" s="41">
        <f t="shared" si="100"/>
        <v>1650000</v>
      </c>
      <c r="AS225" s="42">
        <f t="shared" si="115"/>
        <v>0</v>
      </c>
      <c r="AV225" s="6" t="s">
        <v>19584</v>
      </c>
      <c r="BA225" s="42">
        <f t="shared" si="127"/>
        <v>9405</v>
      </c>
      <c r="BD225" s="46" t="str">
        <f t="shared" si="116"/>
        <v>0</v>
      </c>
      <c r="BE225" s="46">
        <f t="shared" si="128"/>
        <v>9405</v>
      </c>
      <c r="BF225" s="46">
        <f t="shared" si="128"/>
        <v>-9405</v>
      </c>
      <c r="BG225" s="47">
        <f t="shared" si="129"/>
        <v>18810</v>
      </c>
      <c r="BH225" s="46">
        <f t="shared" si="117"/>
        <v>0</v>
      </c>
      <c r="BO225" s="48">
        <f t="shared" si="130"/>
        <v>0</v>
      </c>
      <c r="BP225" s="48">
        <f t="shared" si="131"/>
        <v>0</v>
      </c>
      <c r="BQ225" s="6" t="str">
        <f t="shared" si="108"/>
        <v>Advance With Supplier</v>
      </c>
      <c r="BS225" s="6" t="str">
        <f t="shared" si="106"/>
        <v>Open</v>
      </c>
      <c r="BT225" s="49">
        <f t="shared" ca="1" si="109"/>
        <v>49</v>
      </c>
    </row>
    <row r="226" spans="1:72" hidden="1" x14ac:dyDescent="0.25">
      <c r="A226" s="6" t="s">
        <v>19436</v>
      </c>
      <c r="B226" s="6">
        <v>1973.26</v>
      </c>
      <c r="C226" s="36">
        <v>46202</v>
      </c>
      <c r="D226" s="6" t="s">
        <v>19438</v>
      </c>
      <c r="E226" s="37">
        <v>100000</v>
      </c>
      <c r="F226" s="38" t="s">
        <v>19962</v>
      </c>
      <c r="G226" s="39" t="str">
        <f t="shared" si="110"/>
        <v>GRN Not Received</v>
      </c>
      <c r="H226" s="40" t="str">
        <f t="shared" si="111"/>
        <v>GRN Not Received</v>
      </c>
      <c r="I226" s="6" t="s">
        <v>19963</v>
      </c>
      <c r="J226" s="36">
        <v>46214</v>
      </c>
      <c r="K226" s="41">
        <v>100000</v>
      </c>
      <c r="L226" s="42">
        <v>0.11</v>
      </c>
      <c r="M226" s="42">
        <f t="shared" si="112"/>
        <v>11000</v>
      </c>
      <c r="N226" s="42">
        <v>0</v>
      </c>
      <c r="O226" s="42">
        <v>0</v>
      </c>
      <c r="P226" s="42">
        <f t="shared" si="113"/>
        <v>11000</v>
      </c>
      <c r="Q226" s="38" t="s">
        <v>19964</v>
      </c>
      <c r="R226" s="36">
        <v>46218</v>
      </c>
      <c r="S226" s="6" t="s">
        <v>19446</v>
      </c>
      <c r="T226" s="50" t="s">
        <v>14898</v>
      </c>
      <c r="U226" s="6" t="str">
        <f>IFERROR(VLOOKUP(T226,'item master'!B:C,2,0),"")</f>
        <v>LOOZE 10MG (LACTULOSE) ORALE SOLUTION 1X15ML SACHETS</v>
      </c>
      <c r="V226" s="41">
        <v>100000</v>
      </c>
      <c r="X226" s="44">
        <f t="shared" si="122"/>
        <v>0.11</v>
      </c>
      <c r="Y226" s="42">
        <f t="shared" si="125"/>
        <v>11000</v>
      </c>
      <c r="Z226" s="42">
        <v>0</v>
      </c>
      <c r="AA226" s="42">
        <f t="shared" si="114"/>
        <v>11000</v>
      </c>
      <c r="AB226" s="45">
        <v>0.3</v>
      </c>
      <c r="AC226" s="42">
        <f t="shared" si="120"/>
        <v>3300</v>
      </c>
      <c r="AD226" s="42">
        <f t="shared" si="126"/>
        <v>3300</v>
      </c>
      <c r="AE226" s="36">
        <v>46218</v>
      </c>
      <c r="AF226" s="6" t="s">
        <v>19965</v>
      </c>
      <c r="AJ226" s="41">
        <f t="shared" si="100"/>
        <v>100000</v>
      </c>
      <c r="AS226" s="42">
        <f t="shared" si="115"/>
        <v>0</v>
      </c>
      <c r="AV226" s="6" t="s">
        <v>19584</v>
      </c>
      <c r="BA226" s="42">
        <f t="shared" si="127"/>
        <v>3300</v>
      </c>
      <c r="BD226" s="46" t="str">
        <f t="shared" si="116"/>
        <v>0</v>
      </c>
      <c r="BE226" s="46">
        <f t="shared" si="128"/>
        <v>3300</v>
      </c>
      <c r="BF226" s="46">
        <f t="shared" si="128"/>
        <v>-3300</v>
      </c>
      <c r="BG226" s="47">
        <f t="shared" si="129"/>
        <v>6600</v>
      </c>
      <c r="BH226" s="46">
        <f t="shared" si="117"/>
        <v>0</v>
      </c>
      <c r="BO226" s="48">
        <f t="shared" si="130"/>
        <v>0</v>
      </c>
      <c r="BP226" s="48">
        <f t="shared" si="131"/>
        <v>0</v>
      </c>
      <c r="BQ226" s="6" t="str">
        <f t="shared" si="108"/>
        <v>Advance With Supplier</v>
      </c>
      <c r="BS226" s="6" t="str">
        <f t="shared" si="106"/>
        <v>Open</v>
      </c>
      <c r="BT226" s="49">
        <f t="shared" ca="1" si="109"/>
        <v>49</v>
      </c>
    </row>
    <row r="227" spans="1:72" hidden="1" x14ac:dyDescent="0.25">
      <c r="A227" s="6" t="s">
        <v>19436</v>
      </c>
      <c r="B227" s="6">
        <v>1926.26</v>
      </c>
      <c r="C227" s="36">
        <v>46199</v>
      </c>
      <c r="D227" s="6" t="s">
        <v>19438</v>
      </c>
      <c r="E227" s="37">
        <v>300000</v>
      </c>
      <c r="F227" s="38" t="s">
        <v>19865</v>
      </c>
      <c r="G227" s="39" t="str">
        <f t="shared" si="110"/>
        <v>GRN Not Received</v>
      </c>
      <c r="H227" s="40" t="str">
        <f t="shared" si="111"/>
        <v>GRN Not Received</v>
      </c>
      <c r="I227" s="6" t="s">
        <v>19966</v>
      </c>
      <c r="J227" s="36">
        <v>46212</v>
      </c>
      <c r="K227" s="41">
        <v>300000</v>
      </c>
      <c r="L227" s="42">
        <v>5.0999999999999997E-2</v>
      </c>
      <c r="M227" s="42">
        <f t="shared" si="112"/>
        <v>15299.999999999998</v>
      </c>
      <c r="N227" s="42">
        <v>0</v>
      </c>
      <c r="O227" s="42">
        <v>0</v>
      </c>
      <c r="P227" s="42">
        <f t="shared" si="113"/>
        <v>15299.999999999998</v>
      </c>
      <c r="Q227" s="38" t="s">
        <v>19967</v>
      </c>
      <c r="R227" s="36">
        <v>46212</v>
      </c>
      <c r="S227" s="6" t="s">
        <v>19503</v>
      </c>
      <c r="T227" s="50" t="s">
        <v>9018</v>
      </c>
      <c r="U227" s="6" t="str">
        <f>IFERROR(VLOOKUP(T227,'item master'!B:C,2,0),"")</f>
        <v>CATHETER IV 20G 33MM ROSE/1</v>
      </c>
      <c r="V227" s="41">
        <v>300000</v>
      </c>
      <c r="X227" s="44">
        <v>5.0999999999999997E-2</v>
      </c>
      <c r="Y227" s="42">
        <f t="shared" ref="Y227:Y236" si="132">V227*X227</f>
        <v>15299.999999999998</v>
      </c>
      <c r="Z227" s="42">
        <v>0</v>
      </c>
      <c r="AA227" s="42">
        <f t="shared" si="114"/>
        <v>15299.999999999998</v>
      </c>
      <c r="AB227" s="45">
        <v>0.3</v>
      </c>
      <c r="AC227" s="42">
        <f t="shared" si="120"/>
        <v>4589.9999999999991</v>
      </c>
      <c r="AD227" s="42">
        <f t="shared" ref="AD227:AD234" si="133">AC227</f>
        <v>4589.9999999999991</v>
      </c>
      <c r="AE227" s="36">
        <v>46216</v>
      </c>
      <c r="AF227" s="6" t="s">
        <v>19968</v>
      </c>
      <c r="AJ227" s="41">
        <f t="shared" si="100"/>
        <v>300000</v>
      </c>
      <c r="AS227" s="42">
        <f t="shared" si="115"/>
        <v>0</v>
      </c>
      <c r="AV227" s="6" t="s">
        <v>19584</v>
      </c>
      <c r="BA227" s="42">
        <f t="shared" si="127"/>
        <v>4589.9999999999991</v>
      </c>
      <c r="BD227" s="46" t="str">
        <f t="shared" si="116"/>
        <v>0</v>
      </c>
      <c r="BE227" s="46">
        <f t="shared" si="128"/>
        <v>4589.9999999999991</v>
      </c>
      <c r="BF227" s="46">
        <f t="shared" si="128"/>
        <v>-4589.9999999999991</v>
      </c>
      <c r="BG227" s="47">
        <f t="shared" si="129"/>
        <v>9179.9999999999982</v>
      </c>
      <c r="BH227" s="46">
        <f t="shared" si="117"/>
        <v>0</v>
      </c>
      <c r="BO227" s="48">
        <f t="shared" si="130"/>
        <v>0</v>
      </c>
      <c r="BP227" s="48">
        <f t="shared" si="131"/>
        <v>0</v>
      </c>
      <c r="BQ227" s="6" t="str">
        <f t="shared" si="108"/>
        <v>Advance With Supplier</v>
      </c>
      <c r="BS227" s="6" t="str">
        <f t="shared" si="106"/>
        <v>Open</v>
      </c>
      <c r="BT227" s="49">
        <f t="shared" ca="1" si="109"/>
        <v>51</v>
      </c>
    </row>
    <row r="228" spans="1:72" hidden="1" x14ac:dyDescent="0.25">
      <c r="A228" s="6" t="s">
        <v>19436</v>
      </c>
      <c r="B228" s="6">
        <v>1926.26</v>
      </c>
      <c r="C228" s="36">
        <v>46199</v>
      </c>
      <c r="D228" s="6" t="s">
        <v>19438</v>
      </c>
      <c r="E228" s="37">
        <v>575000</v>
      </c>
      <c r="F228" s="38" t="s">
        <v>19865</v>
      </c>
      <c r="G228" s="39" t="str">
        <f t="shared" si="110"/>
        <v>GRN Not Received</v>
      </c>
      <c r="H228" s="40" t="str">
        <f t="shared" si="111"/>
        <v>GRN Not Received</v>
      </c>
      <c r="I228" s="6" t="s">
        <v>19966</v>
      </c>
      <c r="J228" s="36">
        <v>46212</v>
      </c>
      <c r="K228" s="41">
        <v>625000</v>
      </c>
      <c r="L228" s="42">
        <v>5.0999999999999997E-2</v>
      </c>
      <c r="M228" s="42">
        <f t="shared" si="112"/>
        <v>31874.999999999996</v>
      </c>
      <c r="N228" s="42">
        <v>0</v>
      </c>
      <c r="O228" s="42">
        <v>0</v>
      </c>
      <c r="P228" s="42">
        <f t="shared" si="113"/>
        <v>31874.999999999996</v>
      </c>
      <c r="Q228" s="38" t="s">
        <v>19967</v>
      </c>
      <c r="R228" s="36">
        <v>46212</v>
      </c>
      <c r="S228" s="6" t="s">
        <v>19503</v>
      </c>
      <c r="T228" s="50" t="s">
        <v>9020</v>
      </c>
      <c r="U228" s="6" t="str">
        <f>IFERROR(VLOOKUP(T228,'item master'!B:C,2,0),"")</f>
        <v>CATHETER IV 22G 25MM BLUE/1</v>
      </c>
      <c r="V228" s="41">
        <v>625000</v>
      </c>
      <c r="X228" s="44">
        <v>5.0999999999999997E-2</v>
      </c>
      <c r="Y228" s="42">
        <f t="shared" si="132"/>
        <v>31874.999999999996</v>
      </c>
      <c r="Z228" s="42">
        <v>0</v>
      </c>
      <c r="AA228" s="42">
        <f t="shared" si="114"/>
        <v>31874.999999999996</v>
      </c>
      <c r="AB228" s="45">
        <v>0.3</v>
      </c>
      <c r="AC228" s="42">
        <f t="shared" si="120"/>
        <v>9562.4999999999982</v>
      </c>
      <c r="AD228" s="42">
        <f t="shared" si="133"/>
        <v>9562.4999999999982</v>
      </c>
      <c r="AE228" s="36">
        <v>46216</v>
      </c>
      <c r="AF228" s="6" t="s">
        <v>19968</v>
      </c>
      <c r="AJ228" s="41">
        <f t="shared" ref="AJ228:AJ245" si="134">V228-AG228</f>
        <v>625000</v>
      </c>
      <c r="AS228" s="42">
        <f t="shared" si="115"/>
        <v>0</v>
      </c>
      <c r="AV228" s="6" t="s">
        <v>19584</v>
      </c>
      <c r="BA228" s="42">
        <f t="shared" si="127"/>
        <v>9562.4999999999982</v>
      </c>
      <c r="BD228" s="46" t="str">
        <f t="shared" si="116"/>
        <v>0</v>
      </c>
      <c r="BE228" s="46">
        <f t="shared" si="128"/>
        <v>9562.4999999999982</v>
      </c>
      <c r="BF228" s="46">
        <f t="shared" si="128"/>
        <v>-9562.4999999999982</v>
      </c>
      <c r="BG228" s="47">
        <f t="shared" si="129"/>
        <v>19124.999999999996</v>
      </c>
      <c r="BH228" s="46">
        <f t="shared" si="117"/>
        <v>0</v>
      </c>
      <c r="BO228" s="48">
        <f t="shared" si="130"/>
        <v>0</v>
      </c>
      <c r="BP228" s="48">
        <f t="shared" si="131"/>
        <v>0</v>
      </c>
      <c r="BQ228" s="6" t="str">
        <f t="shared" si="108"/>
        <v>Advance With Supplier</v>
      </c>
      <c r="BS228" s="6" t="str">
        <f t="shared" si="106"/>
        <v>Open</v>
      </c>
      <c r="BT228" s="49">
        <f t="shared" ca="1" si="109"/>
        <v>51</v>
      </c>
    </row>
    <row r="229" spans="1:72" hidden="1" x14ac:dyDescent="0.25">
      <c r="A229" s="6" t="s">
        <v>19436</v>
      </c>
      <c r="B229" s="6">
        <v>1926.26</v>
      </c>
      <c r="C229" s="36">
        <v>46199</v>
      </c>
      <c r="D229" s="6" t="s">
        <v>19438</v>
      </c>
      <c r="E229" s="37">
        <v>775000</v>
      </c>
      <c r="F229" s="38" t="s">
        <v>19865</v>
      </c>
      <c r="G229" s="39" t="str">
        <f t="shared" si="110"/>
        <v>GRN Not Received</v>
      </c>
      <c r="H229" s="40" t="str">
        <f t="shared" si="111"/>
        <v>GRN Not Received</v>
      </c>
      <c r="I229" s="6" t="s">
        <v>19966</v>
      </c>
      <c r="J229" s="36">
        <v>46212</v>
      </c>
      <c r="K229" s="41">
        <v>825000</v>
      </c>
      <c r="L229" s="42">
        <v>5.0999999999999997E-2</v>
      </c>
      <c r="M229" s="42">
        <f t="shared" si="112"/>
        <v>42075</v>
      </c>
      <c r="N229" s="42">
        <v>0</v>
      </c>
      <c r="O229" s="42">
        <v>0</v>
      </c>
      <c r="P229" s="42">
        <f t="shared" si="113"/>
        <v>42075</v>
      </c>
      <c r="Q229" s="38" t="s">
        <v>19967</v>
      </c>
      <c r="R229" s="36">
        <v>46212</v>
      </c>
      <c r="S229" s="6" t="s">
        <v>19503</v>
      </c>
      <c r="T229" s="50" t="s">
        <v>9022</v>
      </c>
      <c r="U229" s="6" t="str">
        <f>IFERROR(VLOOKUP(T229,'item master'!B:C,2,0),"")</f>
        <v>CATHETER IV 24G 19MM JAUNE/1</v>
      </c>
      <c r="V229" s="41">
        <v>825000</v>
      </c>
      <c r="X229" s="44">
        <v>5.0999999999999997E-2</v>
      </c>
      <c r="Y229" s="42">
        <f t="shared" si="132"/>
        <v>42075</v>
      </c>
      <c r="Z229" s="42">
        <v>0</v>
      </c>
      <c r="AA229" s="42">
        <f t="shared" si="114"/>
        <v>42075</v>
      </c>
      <c r="AB229" s="45">
        <v>0.3</v>
      </c>
      <c r="AC229" s="42">
        <f t="shared" si="120"/>
        <v>12622.5</v>
      </c>
      <c r="AD229" s="42">
        <f t="shared" si="133"/>
        <v>12622.5</v>
      </c>
      <c r="AE229" s="36">
        <v>46216</v>
      </c>
      <c r="AF229" s="6" t="s">
        <v>19968</v>
      </c>
      <c r="AJ229" s="41">
        <f t="shared" si="134"/>
        <v>825000</v>
      </c>
      <c r="AS229" s="42">
        <f t="shared" si="115"/>
        <v>0</v>
      </c>
      <c r="AV229" s="6" t="s">
        <v>19584</v>
      </c>
      <c r="BA229" s="42">
        <f t="shared" si="127"/>
        <v>12622.5</v>
      </c>
      <c r="BD229" s="46" t="str">
        <f t="shared" si="116"/>
        <v>0</v>
      </c>
      <c r="BE229" s="46">
        <f t="shared" si="128"/>
        <v>12622.5</v>
      </c>
      <c r="BF229" s="46">
        <f t="shared" si="128"/>
        <v>-12622.5</v>
      </c>
      <c r="BG229" s="47">
        <f t="shared" si="129"/>
        <v>25245</v>
      </c>
      <c r="BH229" s="46">
        <f t="shared" si="117"/>
        <v>0</v>
      </c>
      <c r="BO229" s="48">
        <f t="shared" si="130"/>
        <v>0</v>
      </c>
      <c r="BP229" s="48">
        <f t="shared" si="131"/>
        <v>0</v>
      </c>
      <c r="BQ229" s="6" t="str">
        <f t="shared" si="108"/>
        <v>Advance With Supplier</v>
      </c>
      <c r="BS229" s="6" t="str">
        <f t="shared" si="106"/>
        <v>Open</v>
      </c>
      <c r="BT229" s="49">
        <f t="shared" ca="1" si="109"/>
        <v>51</v>
      </c>
    </row>
    <row r="230" spans="1:72" hidden="1" x14ac:dyDescent="0.25">
      <c r="A230" s="6" t="s">
        <v>19436</v>
      </c>
      <c r="B230" s="6">
        <v>1931.26</v>
      </c>
      <c r="C230" s="36">
        <v>46188</v>
      </c>
      <c r="D230" s="6" t="s">
        <v>19438</v>
      </c>
      <c r="E230" s="37">
        <v>250000</v>
      </c>
      <c r="F230" s="38" t="s">
        <v>19702</v>
      </c>
      <c r="G230" s="39" t="str">
        <f t="shared" si="110"/>
        <v>GRN Not Received</v>
      </c>
      <c r="H230" s="40" t="str">
        <f t="shared" si="111"/>
        <v>GRN Not Received</v>
      </c>
      <c r="I230" s="6" t="s">
        <v>19971</v>
      </c>
      <c r="J230" s="36">
        <v>46192</v>
      </c>
      <c r="K230" s="41">
        <v>250000</v>
      </c>
      <c r="L230" s="42">
        <v>0.17</v>
      </c>
      <c r="M230" s="42">
        <f t="shared" si="112"/>
        <v>42500</v>
      </c>
      <c r="N230" s="42">
        <v>0</v>
      </c>
      <c r="O230" s="42">
        <v>0</v>
      </c>
      <c r="P230" s="42">
        <f t="shared" si="113"/>
        <v>42500</v>
      </c>
      <c r="Q230" s="38" t="s">
        <v>19972</v>
      </c>
      <c r="R230" s="36">
        <v>46188</v>
      </c>
      <c r="S230" s="6" t="s">
        <v>19542</v>
      </c>
      <c r="T230" s="50" t="s">
        <v>19866</v>
      </c>
      <c r="U230" s="6" t="str">
        <f>IFERROR(VLOOKUP(T230,'item master'!B:C,2,0),"")</f>
        <v>HAEMVITAL PLUS (SULFATE FER + ACID FOLIC )10 X10</v>
      </c>
      <c r="V230" s="41">
        <v>250000</v>
      </c>
      <c r="X230" s="44">
        <v>0.17</v>
      </c>
      <c r="Y230" s="42">
        <f t="shared" si="132"/>
        <v>42500</v>
      </c>
      <c r="Z230" s="42">
        <v>0</v>
      </c>
      <c r="AA230" s="42">
        <f t="shared" si="114"/>
        <v>42500</v>
      </c>
      <c r="AB230" s="45">
        <v>0.5</v>
      </c>
      <c r="AC230" s="42">
        <f t="shared" si="120"/>
        <v>21250</v>
      </c>
      <c r="AD230" s="42">
        <f t="shared" si="133"/>
        <v>21250</v>
      </c>
      <c r="AE230" s="36">
        <v>46195</v>
      </c>
      <c r="AF230" s="6" t="s">
        <v>19973</v>
      </c>
      <c r="AJ230" s="41">
        <f t="shared" si="134"/>
        <v>250000</v>
      </c>
      <c r="AS230" s="42">
        <f t="shared" si="115"/>
        <v>0</v>
      </c>
      <c r="AV230" s="6" t="s">
        <v>19584</v>
      </c>
      <c r="BA230" s="42">
        <f t="shared" si="127"/>
        <v>21250</v>
      </c>
      <c r="BD230" s="46" t="str">
        <f t="shared" si="116"/>
        <v>0</v>
      </c>
      <c r="BE230" s="46">
        <f t="shared" si="128"/>
        <v>21250</v>
      </c>
      <c r="BF230" s="46">
        <f t="shared" si="128"/>
        <v>-21250</v>
      </c>
      <c r="BG230" s="47">
        <f t="shared" si="129"/>
        <v>42500</v>
      </c>
      <c r="BH230" s="46">
        <f t="shared" si="117"/>
        <v>0</v>
      </c>
      <c r="BO230" s="48">
        <f t="shared" si="130"/>
        <v>0</v>
      </c>
      <c r="BP230" s="48">
        <f t="shared" si="131"/>
        <v>0</v>
      </c>
      <c r="BQ230" s="6" t="str">
        <f t="shared" si="108"/>
        <v>Advance With Supplier</v>
      </c>
      <c r="BS230" s="6" t="str">
        <f t="shared" si="106"/>
        <v>Open</v>
      </c>
      <c r="BT230" s="49">
        <f t="shared" ca="1" si="109"/>
        <v>71</v>
      </c>
    </row>
    <row r="231" spans="1:72" hidden="1" x14ac:dyDescent="0.25">
      <c r="A231" s="6" t="s">
        <v>19436</v>
      </c>
      <c r="B231" s="6">
        <v>1931.26</v>
      </c>
      <c r="C231" s="36">
        <v>46188</v>
      </c>
      <c r="D231" s="6" t="s">
        <v>19438</v>
      </c>
      <c r="E231" s="37">
        <v>65000</v>
      </c>
      <c r="F231" s="38" t="s">
        <v>19702</v>
      </c>
      <c r="G231" s="39" t="str">
        <f t="shared" si="110"/>
        <v>GRN Not Received</v>
      </c>
      <c r="H231" s="40" t="str">
        <f t="shared" si="111"/>
        <v>GRN Not Received</v>
      </c>
      <c r="I231" s="6" t="s">
        <v>19971</v>
      </c>
      <c r="J231" s="36">
        <v>46192</v>
      </c>
      <c r="K231" s="41">
        <v>65000</v>
      </c>
      <c r="L231" s="42">
        <v>0.17</v>
      </c>
      <c r="M231" s="42">
        <f t="shared" si="112"/>
        <v>11050</v>
      </c>
      <c r="N231" s="42">
        <v>0</v>
      </c>
      <c r="O231" s="42">
        <v>0</v>
      </c>
      <c r="P231" s="42">
        <f t="shared" si="113"/>
        <v>11050</v>
      </c>
      <c r="Q231" s="38" t="s">
        <v>19972</v>
      </c>
      <c r="R231" s="36">
        <v>46188</v>
      </c>
      <c r="S231" s="6" t="s">
        <v>19542</v>
      </c>
      <c r="T231" s="50" t="s">
        <v>19969</v>
      </c>
      <c r="U231" s="6" t="str">
        <f>IFERROR(VLOOKUP(T231,'item master'!B:C,2,0),"")</f>
        <v>ZINQUE-DT</v>
      </c>
      <c r="V231" s="41">
        <v>65000</v>
      </c>
      <c r="X231" s="44">
        <v>0.17</v>
      </c>
      <c r="Y231" s="42">
        <f t="shared" si="132"/>
        <v>11050</v>
      </c>
      <c r="Z231" s="42">
        <v>0</v>
      </c>
      <c r="AA231" s="42">
        <f t="shared" si="114"/>
        <v>11050</v>
      </c>
      <c r="AB231" s="45">
        <v>0.5</v>
      </c>
      <c r="AC231" s="42">
        <f t="shared" si="120"/>
        <v>5525</v>
      </c>
      <c r="AD231" s="42">
        <f t="shared" si="133"/>
        <v>5525</v>
      </c>
      <c r="AE231" s="36">
        <v>46195</v>
      </c>
      <c r="AF231" s="6" t="s">
        <v>19973</v>
      </c>
      <c r="AJ231" s="41">
        <f t="shared" si="134"/>
        <v>65000</v>
      </c>
      <c r="AS231" s="42">
        <f t="shared" si="115"/>
        <v>0</v>
      </c>
      <c r="AV231" s="6" t="s">
        <v>19584</v>
      </c>
      <c r="BA231" s="42">
        <f t="shared" si="127"/>
        <v>5525</v>
      </c>
      <c r="BD231" s="46" t="str">
        <f t="shared" si="116"/>
        <v>0</v>
      </c>
      <c r="BE231" s="46">
        <f t="shared" si="128"/>
        <v>5525</v>
      </c>
      <c r="BF231" s="46">
        <f t="shared" si="128"/>
        <v>-5525</v>
      </c>
      <c r="BG231" s="47">
        <f t="shared" si="129"/>
        <v>11050</v>
      </c>
      <c r="BH231" s="46">
        <f t="shared" si="117"/>
        <v>0</v>
      </c>
      <c r="BO231" s="48">
        <f t="shared" si="130"/>
        <v>0</v>
      </c>
      <c r="BP231" s="48">
        <f t="shared" si="131"/>
        <v>0</v>
      </c>
      <c r="BQ231" s="6" t="str">
        <f t="shared" si="108"/>
        <v>Advance With Supplier</v>
      </c>
      <c r="BS231" s="6" t="str">
        <f t="shared" si="106"/>
        <v>Open</v>
      </c>
      <c r="BT231" s="49">
        <f t="shared" ca="1" si="109"/>
        <v>71</v>
      </c>
    </row>
    <row r="232" spans="1:72" hidden="1" x14ac:dyDescent="0.25">
      <c r="A232" s="6" t="s">
        <v>19436</v>
      </c>
      <c r="B232" s="6">
        <v>1834.26</v>
      </c>
      <c r="C232" s="36">
        <v>46114</v>
      </c>
      <c r="D232" s="6" t="s">
        <v>19438</v>
      </c>
      <c r="E232" s="37">
        <v>100000</v>
      </c>
      <c r="F232" s="38" t="s">
        <v>19556</v>
      </c>
      <c r="G232" s="39" t="str">
        <f t="shared" si="110"/>
        <v>GRN Not Received</v>
      </c>
      <c r="H232" s="40" t="str">
        <f t="shared" si="111"/>
        <v>GRN Not Received</v>
      </c>
      <c r="I232" s="6" t="s">
        <v>19950</v>
      </c>
      <c r="J232" s="36">
        <v>46134</v>
      </c>
      <c r="K232" s="41">
        <v>100000</v>
      </c>
      <c r="L232" s="42">
        <v>0.32</v>
      </c>
      <c r="M232" s="42">
        <f t="shared" ref="M232:M241" si="135">K232*L232</f>
        <v>32000</v>
      </c>
      <c r="N232" s="42">
        <v>0</v>
      </c>
      <c r="O232" s="42">
        <v>0</v>
      </c>
      <c r="P232" s="42">
        <f>K232*L232</f>
        <v>32000</v>
      </c>
      <c r="Q232" s="68" t="s">
        <v>19951</v>
      </c>
      <c r="R232" s="36">
        <v>46114</v>
      </c>
      <c r="S232" s="6" t="s">
        <v>19477</v>
      </c>
      <c r="T232" s="69" t="s">
        <v>11080</v>
      </c>
      <c r="U232" s="6" t="str">
        <f>IFERROR(VLOOKUP(T232,'item master'!B:C,2,0),"")</f>
        <v>KETALINE 50MG 10ML B/1AMP (UNIQUE)</v>
      </c>
      <c r="V232" s="41">
        <v>100000</v>
      </c>
      <c r="X232" s="44">
        <v>0.32</v>
      </c>
      <c r="Y232" s="42">
        <f t="shared" si="132"/>
        <v>32000</v>
      </c>
      <c r="Z232" s="42">
        <v>0</v>
      </c>
      <c r="AA232" s="42">
        <f t="shared" si="114"/>
        <v>32000</v>
      </c>
      <c r="AB232" s="45">
        <v>0.5</v>
      </c>
      <c r="AC232" s="42">
        <f>Y232*AB232</f>
        <v>16000</v>
      </c>
      <c r="AD232" s="42">
        <f t="shared" si="133"/>
        <v>16000</v>
      </c>
      <c r="AE232" s="36">
        <v>46136</v>
      </c>
      <c r="AF232" s="6" t="s">
        <v>19952</v>
      </c>
      <c r="AJ232" s="41">
        <f t="shared" si="134"/>
        <v>100000</v>
      </c>
      <c r="AS232" s="42">
        <f t="shared" si="115"/>
        <v>0</v>
      </c>
      <c r="AV232" s="6" t="s">
        <v>19584</v>
      </c>
      <c r="BA232" s="42">
        <f t="shared" si="127"/>
        <v>16000</v>
      </c>
      <c r="BD232" s="46" t="str">
        <f t="shared" si="116"/>
        <v>0</v>
      </c>
      <c r="BE232" s="46">
        <f t="shared" si="128"/>
        <v>16000</v>
      </c>
      <c r="BF232" s="46">
        <f t="shared" si="128"/>
        <v>-16000</v>
      </c>
      <c r="BG232" s="47">
        <f t="shared" si="129"/>
        <v>32000</v>
      </c>
      <c r="BH232" s="46">
        <f t="shared" si="117"/>
        <v>0</v>
      </c>
      <c r="BO232" s="48">
        <f t="shared" si="130"/>
        <v>0</v>
      </c>
      <c r="BP232" s="48">
        <f t="shared" si="131"/>
        <v>0</v>
      </c>
      <c r="BQ232" s="6" t="str">
        <f t="shared" si="108"/>
        <v>Advance With Supplier</v>
      </c>
      <c r="BS232" s="6" t="str">
        <f t="shared" ref="BS232:BS238" si="136">IF(AX232&lt;&gt;"","Closed","Open")</f>
        <v>Open</v>
      </c>
      <c r="BT232" s="49">
        <f t="shared" ca="1" si="109"/>
        <v>129</v>
      </c>
    </row>
    <row r="233" spans="1:72" hidden="1" x14ac:dyDescent="0.25">
      <c r="A233" s="6" t="s">
        <v>19436</v>
      </c>
      <c r="B233" s="6">
        <v>1834.26</v>
      </c>
      <c r="C233" s="36">
        <v>46114</v>
      </c>
      <c r="D233" s="6" t="s">
        <v>19438</v>
      </c>
      <c r="E233" s="37">
        <v>20000</v>
      </c>
      <c r="F233" s="38" t="s">
        <v>19556</v>
      </c>
      <c r="G233" s="39" t="str">
        <f t="shared" si="110"/>
        <v>GRN Not Received</v>
      </c>
      <c r="H233" s="40" t="str">
        <f t="shared" si="111"/>
        <v>GRN Not Received</v>
      </c>
      <c r="I233" s="6" t="s">
        <v>19950</v>
      </c>
      <c r="J233" s="36">
        <v>46134</v>
      </c>
      <c r="K233" s="41">
        <v>20000</v>
      </c>
      <c r="L233" s="42">
        <v>0.40699999999999997</v>
      </c>
      <c r="M233" s="42">
        <f t="shared" si="135"/>
        <v>8139.9999999999991</v>
      </c>
      <c r="N233" s="42">
        <v>0</v>
      </c>
      <c r="O233" s="42">
        <v>0</v>
      </c>
      <c r="P233" s="42">
        <f>K233*L233</f>
        <v>8139.9999999999991</v>
      </c>
      <c r="Q233" s="68" t="s">
        <v>19951</v>
      </c>
      <c r="R233" s="36">
        <v>46114</v>
      </c>
      <c r="S233" s="6" t="s">
        <v>19477</v>
      </c>
      <c r="T233" s="69" t="s">
        <v>12859</v>
      </c>
      <c r="U233" s="6" t="str">
        <f>IFERROR(VLOOKUP(T233,'item master'!B:C,2,0),"")</f>
        <v>PROPOMAX (PROPOFOL BP 10 MG/ML) EMULSION INJECTABLE – FLACON DE 20 ML</v>
      </c>
      <c r="V233" s="41">
        <v>20000</v>
      </c>
      <c r="X233" s="44">
        <v>0.40699999999999997</v>
      </c>
      <c r="Y233" s="42">
        <f t="shared" si="132"/>
        <v>8139.9999999999991</v>
      </c>
      <c r="Z233" s="42">
        <v>0</v>
      </c>
      <c r="AA233" s="42">
        <f t="shared" si="114"/>
        <v>8139.9999999999991</v>
      </c>
      <c r="AB233" s="45">
        <v>0.5</v>
      </c>
      <c r="AC233" s="42">
        <f>Y233*AB233</f>
        <v>4069.9999999999995</v>
      </c>
      <c r="AD233" s="42">
        <f t="shared" si="133"/>
        <v>4069.9999999999995</v>
      </c>
      <c r="AE233" s="36">
        <v>46136</v>
      </c>
      <c r="AF233" s="6" t="s">
        <v>19952</v>
      </c>
      <c r="AJ233" s="41">
        <f t="shared" si="134"/>
        <v>20000</v>
      </c>
      <c r="AS233" s="42">
        <f t="shared" si="115"/>
        <v>0</v>
      </c>
      <c r="AV233" s="6" t="s">
        <v>19584</v>
      </c>
      <c r="BA233" s="42">
        <f t="shared" si="127"/>
        <v>4069.9999999999995</v>
      </c>
      <c r="BD233" s="46" t="str">
        <f t="shared" si="116"/>
        <v>0</v>
      </c>
      <c r="BE233" s="46">
        <f t="shared" si="128"/>
        <v>4069.9999999999995</v>
      </c>
      <c r="BF233" s="46">
        <f t="shared" si="128"/>
        <v>-4069.9999999999995</v>
      </c>
      <c r="BG233" s="47">
        <f t="shared" si="129"/>
        <v>8139.9999999999991</v>
      </c>
      <c r="BH233" s="46">
        <f t="shared" si="117"/>
        <v>0</v>
      </c>
      <c r="BO233" s="48">
        <f t="shared" si="130"/>
        <v>0</v>
      </c>
      <c r="BP233" s="48">
        <f t="shared" si="131"/>
        <v>0</v>
      </c>
      <c r="BQ233" s="6" t="str">
        <f t="shared" si="108"/>
        <v>Advance With Supplier</v>
      </c>
      <c r="BS233" s="6" t="str">
        <f t="shared" si="136"/>
        <v>Open</v>
      </c>
      <c r="BT233" s="49">
        <f t="shared" ca="1" si="109"/>
        <v>129</v>
      </c>
    </row>
    <row r="234" spans="1:72" hidden="1" x14ac:dyDescent="0.25">
      <c r="A234" s="6" t="s">
        <v>19436</v>
      </c>
      <c r="B234" s="6">
        <v>1873.26</v>
      </c>
      <c r="C234" s="36">
        <v>46156</v>
      </c>
      <c r="D234" s="6" t="s">
        <v>19438</v>
      </c>
      <c r="E234" s="37">
        <v>50000</v>
      </c>
      <c r="F234" s="38" t="s">
        <v>19953</v>
      </c>
      <c r="G234" s="39" t="str">
        <f t="shared" si="110"/>
        <v>GRN Not Received</v>
      </c>
      <c r="H234" s="40" t="str">
        <f t="shared" si="111"/>
        <v>GRN Not Received</v>
      </c>
      <c r="I234" s="6" t="s">
        <v>19954</v>
      </c>
      <c r="J234" s="36">
        <v>46157</v>
      </c>
      <c r="K234" s="41">
        <v>50000</v>
      </c>
      <c r="L234" s="42">
        <v>1</v>
      </c>
      <c r="M234" s="42">
        <f t="shared" si="135"/>
        <v>50000</v>
      </c>
      <c r="N234" s="42">
        <v>0</v>
      </c>
      <c r="O234" s="42">
        <v>0</v>
      </c>
      <c r="P234" s="42">
        <f>K234*L234</f>
        <v>50000</v>
      </c>
      <c r="Q234" s="38" t="s">
        <v>19955</v>
      </c>
      <c r="R234" s="36">
        <v>46153</v>
      </c>
      <c r="S234" s="6" t="s">
        <v>19538</v>
      </c>
      <c r="T234" s="50" t="s">
        <v>16158</v>
      </c>
      <c r="U234" s="6" t="str">
        <f>IFERROR(VLOOKUP(T234,'item master'!B:C,2,0),"")</f>
        <v>UNISPAS (PHLOROGLUCINOL 150MG+TRIMÉTHYLP.150MG) B/10 SUPPO</v>
      </c>
      <c r="V234" s="41">
        <v>50000</v>
      </c>
      <c r="X234" s="44">
        <v>1</v>
      </c>
      <c r="Y234" s="42">
        <f t="shared" si="132"/>
        <v>50000</v>
      </c>
      <c r="Z234" s="42">
        <v>0</v>
      </c>
      <c r="AA234" s="42">
        <f t="shared" si="114"/>
        <v>50000</v>
      </c>
      <c r="AB234" s="45">
        <v>0.5</v>
      </c>
      <c r="AC234" s="42">
        <f>Y234*AB234</f>
        <v>25000</v>
      </c>
      <c r="AD234" s="42">
        <f t="shared" si="133"/>
        <v>25000</v>
      </c>
      <c r="AE234" s="36">
        <v>46160</v>
      </c>
      <c r="AF234" s="6" t="s">
        <v>19956</v>
      </c>
      <c r="AJ234" s="41">
        <f t="shared" si="134"/>
        <v>50000</v>
      </c>
      <c r="AS234" s="42">
        <f t="shared" si="115"/>
        <v>0</v>
      </c>
      <c r="AV234" s="6" t="s">
        <v>19584</v>
      </c>
      <c r="BA234" s="42">
        <f t="shared" si="127"/>
        <v>25000</v>
      </c>
      <c r="BD234" s="46" t="str">
        <f t="shared" si="116"/>
        <v>0</v>
      </c>
      <c r="BE234" s="46">
        <f t="shared" si="128"/>
        <v>25000</v>
      </c>
      <c r="BF234" s="46">
        <f t="shared" si="128"/>
        <v>-25000</v>
      </c>
      <c r="BG234" s="47">
        <f t="shared" si="129"/>
        <v>50000</v>
      </c>
      <c r="BH234" s="46">
        <f t="shared" si="117"/>
        <v>0</v>
      </c>
      <c r="BO234" s="48">
        <f t="shared" si="130"/>
        <v>0</v>
      </c>
      <c r="BP234" s="48">
        <f t="shared" si="131"/>
        <v>0</v>
      </c>
      <c r="BQ234" s="6" t="str">
        <f t="shared" si="108"/>
        <v>Advance With Supplier</v>
      </c>
      <c r="BS234" s="6" t="str">
        <f t="shared" si="136"/>
        <v>Open</v>
      </c>
      <c r="BT234" s="49">
        <f t="shared" ca="1" si="109"/>
        <v>106</v>
      </c>
    </row>
    <row r="235" spans="1:72" hidden="1" x14ac:dyDescent="0.25">
      <c r="A235" s="6" t="s">
        <v>19436</v>
      </c>
      <c r="B235" s="6">
        <v>1888.26</v>
      </c>
      <c r="C235" s="36">
        <v>46159</v>
      </c>
      <c r="D235" s="6" t="s">
        <v>19438</v>
      </c>
      <c r="E235" s="37">
        <v>19781</v>
      </c>
      <c r="F235" s="38" t="s">
        <v>19993</v>
      </c>
      <c r="G235" s="39" t="str">
        <f t="shared" si="110"/>
        <v>GRN Not Received</v>
      </c>
      <c r="H235" s="40" t="str">
        <f t="shared" si="111"/>
        <v>GRN Not Received</v>
      </c>
      <c r="I235" s="6" t="s">
        <v>19974</v>
      </c>
      <c r="J235" s="36">
        <v>46174</v>
      </c>
      <c r="K235" s="41">
        <v>19781</v>
      </c>
      <c r="L235" s="42">
        <v>0.9</v>
      </c>
      <c r="M235" s="42">
        <f t="shared" si="135"/>
        <v>17802.900000000001</v>
      </c>
      <c r="N235" s="42">
        <v>0</v>
      </c>
      <c r="O235" s="42">
        <f>M235*N235</f>
        <v>0</v>
      </c>
      <c r="P235" s="42">
        <f>K235*L235</f>
        <v>17802.900000000001</v>
      </c>
      <c r="Q235" s="38" t="s">
        <v>19975</v>
      </c>
      <c r="R235" s="36">
        <v>46175</v>
      </c>
      <c r="S235" s="6" t="s">
        <v>19446</v>
      </c>
      <c r="T235" s="50" t="s">
        <v>16623</v>
      </c>
      <c r="U235" s="6" t="str">
        <f>IFERROR(VLOOKUP(T235,'item master'!B:C,2,0),"")</f>
        <v>PROGUT (SPORES DE BACILLIUS CLAUSII 2 MILLIARDS/ 5ML) B/10X5ML SOL. BUV. SUSP</v>
      </c>
      <c r="V235" s="41">
        <v>19781</v>
      </c>
      <c r="X235" s="44">
        <v>0.9</v>
      </c>
      <c r="Y235" s="42">
        <f t="shared" si="132"/>
        <v>17802.900000000001</v>
      </c>
      <c r="Z235" s="42">
        <f>O235</f>
        <v>0</v>
      </c>
      <c r="AA235" s="42">
        <f t="shared" si="114"/>
        <v>17802.900000000001</v>
      </c>
      <c r="AB235" s="45">
        <v>0.3</v>
      </c>
      <c r="AC235" s="42">
        <f>Y235*AB235</f>
        <v>5340.87</v>
      </c>
      <c r="AJ235" s="41">
        <f t="shared" si="134"/>
        <v>19781</v>
      </c>
      <c r="AS235" s="42">
        <f t="shared" si="115"/>
        <v>0</v>
      </c>
      <c r="AV235" s="6" t="s">
        <v>19584</v>
      </c>
      <c r="BA235" s="42">
        <f t="shared" si="127"/>
        <v>0</v>
      </c>
      <c r="BD235" s="46" t="str">
        <f t="shared" si="116"/>
        <v>0</v>
      </c>
      <c r="BE235" s="46">
        <f t="shared" si="128"/>
        <v>0</v>
      </c>
      <c r="BF235" s="46">
        <f t="shared" si="128"/>
        <v>0</v>
      </c>
      <c r="BG235" s="47">
        <f t="shared" si="129"/>
        <v>0</v>
      </c>
      <c r="BH235" s="46">
        <f t="shared" si="117"/>
        <v>0</v>
      </c>
      <c r="BO235" s="48">
        <f t="shared" si="130"/>
        <v>0</v>
      </c>
      <c r="BP235" s="48">
        <f t="shared" si="131"/>
        <v>0</v>
      </c>
      <c r="BQ235" s="6" t="str">
        <f t="shared" si="108"/>
        <v>Fully Paid</v>
      </c>
      <c r="BS235" s="6" t="str">
        <f t="shared" si="136"/>
        <v>Open</v>
      </c>
      <c r="BT235" s="49">
        <f t="shared" ca="1" si="109"/>
        <v>89</v>
      </c>
    </row>
    <row r="236" spans="1:72" hidden="1" x14ac:dyDescent="0.25">
      <c r="A236" s="6" t="s">
        <v>19436</v>
      </c>
      <c r="B236" s="6">
        <v>1888.26</v>
      </c>
      <c r="C236" s="36">
        <v>46159</v>
      </c>
      <c r="D236" s="6" t="s">
        <v>19438</v>
      </c>
      <c r="E236" s="37">
        <v>5187</v>
      </c>
      <c r="F236" s="38" t="s">
        <v>19994</v>
      </c>
      <c r="G236" s="39" t="str">
        <f t="shared" si="110"/>
        <v>GRN Not Received</v>
      </c>
      <c r="H236" s="40" t="str">
        <f t="shared" si="111"/>
        <v>GRN Not Received</v>
      </c>
      <c r="I236" s="6" t="s">
        <v>19974</v>
      </c>
      <c r="J236" s="36">
        <v>46174</v>
      </c>
      <c r="K236" s="41">
        <v>5197</v>
      </c>
      <c r="L236" s="42">
        <v>0.44</v>
      </c>
      <c r="M236" s="42">
        <f t="shared" si="135"/>
        <v>2286.6799999999998</v>
      </c>
      <c r="N236" s="42">
        <v>0</v>
      </c>
      <c r="O236" s="42">
        <f t="shared" ref="O236:O242" si="137">M236*N236</f>
        <v>0</v>
      </c>
      <c r="P236" s="42">
        <f>K236*L236</f>
        <v>2286.6799999999998</v>
      </c>
      <c r="Q236" s="38" t="s">
        <v>19975</v>
      </c>
      <c r="R236" s="36">
        <v>46175</v>
      </c>
      <c r="S236" s="6" t="s">
        <v>19446</v>
      </c>
      <c r="T236" s="50" t="s">
        <v>16625</v>
      </c>
      <c r="U236" s="6" t="str">
        <f>IFERROR(VLOOKUP(T236,'item master'!B:C,2,0),"")</f>
        <v>UD3 60000IU (CHOLECALCIFEROL) B/4X5ML SOL. BUV.</v>
      </c>
      <c r="V236" s="41">
        <v>5197</v>
      </c>
      <c r="X236" s="44">
        <v>0.44</v>
      </c>
      <c r="Y236" s="42">
        <f t="shared" si="132"/>
        <v>2286.6799999999998</v>
      </c>
      <c r="Z236" s="42">
        <f t="shared" ref="Z236:Z242" si="138">O236</f>
        <v>0</v>
      </c>
      <c r="AA236" s="42">
        <f t="shared" si="114"/>
        <v>2286.6799999999998</v>
      </c>
      <c r="AB236" s="45">
        <v>0.3</v>
      </c>
      <c r="AC236" s="42">
        <f>Y236*AB236</f>
        <v>686.00399999999991</v>
      </c>
      <c r="AJ236" s="41">
        <f t="shared" si="134"/>
        <v>5197</v>
      </c>
      <c r="AS236" s="42">
        <f t="shared" si="115"/>
        <v>0</v>
      </c>
      <c r="AV236" s="6" t="s">
        <v>19584</v>
      </c>
      <c r="BA236" s="42">
        <f t="shared" si="127"/>
        <v>0</v>
      </c>
      <c r="BD236" s="46" t="str">
        <f t="shared" si="116"/>
        <v>0</v>
      </c>
      <c r="BE236" s="46">
        <f t="shared" si="128"/>
        <v>0</v>
      </c>
      <c r="BF236" s="46">
        <f t="shared" si="128"/>
        <v>0</v>
      </c>
      <c r="BG236" s="47">
        <f t="shared" si="129"/>
        <v>0</v>
      </c>
      <c r="BH236" s="46">
        <f t="shared" si="117"/>
        <v>0</v>
      </c>
      <c r="BO236" s="48">
        <f t="shared" si="130"/>
        <v>0</v>
      </c>
      <c r="BP236" s="48">
        <f t="shared" si="131"/>
        <v>0</v>
      </c>
      <c r="BQ236" s="6" t="str">
        <f t="shared" si="108"/>
        <v>Fully Paid</v>
      </c>
      <c r="BS236" s="6" t="str">
        <f t="shared" si="136"/>
        <v>Open</v>
      </c>
      <c r="BT236" s="49">
        <f t="shared" ca="1" si="109"/>
        <v>89</v>
      </c>
    </row>
    <row r="237" spans="1:72" hidden="1" x14ac:dyDescent="0.25">
      <c r="A237" s="6" t="s">
        <v>19436</v>
      </c>
      <c r="B237" s="6">
        <v>1745.25</v>
      </c>
      <c r="C237" s="36">
        <v>46008</v>
      </c>
      <c r="D237" s="6" t="s">
        <v>19438</v>
      </c>
      <c r="E237" s="37">
        <v>20000</v>
      </c>
      <c r="F237" s="38" t="s">
        <v>19550</v>
      </c>
      <c r="G237" s="39" t="str">
        <f t="shared" si="110"/>
        <v>GRN Not Received</v>
      </c>
      <c r="H237" s="40" t="str">
        <f t="shared" si="111"/>
        <v>GRN Not Received</v>
      </c>
      <c r="I237" s="6" t="s">
        <v>19987</v>
      </c>
      <c r="J237" s="36">
        <v>46134</v>
      </c>
      <c r="K237" s="41">
        <v>30000</v>
      </c>
      <c r="L237" s="42">
        <f>20/96</f>
        <v>0.20833333333333334</v>
      </c>
      <c r="M237" s="42">
        <f t="shared" si="135"/>
        <v>6250</v>
      </c>
      <c r="N237" s="42">
        <v>0.16549295774647887</v>
      </c>
      <c r="O237" s="42">
        <f t="shared" si="137"/>
        <v>1034.3309859154929</v>
      </c>
      <c r="P237" s="42">
        <f>M237+O237</f>
        <v>7284.3309859154924</v>
      </c>
      <c r="Q237" s="38" t="s">
        <v>19988</v>
      </c>
      <c r="R237" s="36">
        <v>46161</v>
      </c>
      <c r="S237" s="6" t="s">
        <v>19525</v>
      </c>
      <c r="T237" s="66" t="s">
        <v>19976</v>
      </c>
      <c r="U237" s="6" t="str">
        <f>IFERROR(VLOOKUP(T237,'item master'!B:C,2,0),"")</f>
        <v>Baby Sop-Milky</v>
      </c>
      <c r="V237" s="41">
        <f>K237</f>
        <v>30000</v>
      </c>
      <c r="X237" s="44">
        <f>L237</f>
        <v>0.20833333333333334</v>
      </c>
      <c r="Y237" s="42">
        <f t="shared" ref="Y237:Y243" si="139">V237*X237</f>
        <v>6250</v>
      </c>
      <c r="Z237" s="42">
        <f t="shared" si="138"/>
        <v>1034.3309859154929</v>
      </c>
      <c r="AA237" s="42">
        <f t="shared" si="114"/>
        <v>7284.3309859154924</v>
      </c>
      <c r="AB237" s="45">
        <v>0.5</v>
      </c>
      <c r="AC237" s="42">
        <f t="shared" ref="AC237:AC244" si="140">AA237*AB237</f>
        <v>3642.1654929577462</v>
      </c>
      <c r="AD237" s="42">
        <f>AC237</f>
        <v>3642.1654929577462</v>
      </c>
      <c r="AE237" s="36">
        <v>46181</v>
      </c>
      <c r="AF237" s="6" t="s">
        <v>19989</v>
      </c>
      <c r="AJ237" s="41">
        <f t="shared" si="134"/>
        <v>30000</v>
      </c>
      <c r="AS237" s="42">
        <f t="shared" si="115"/>
        <v>0</v>
      </c>
      <c r="AV237" s="6" t="s">
        <v>19584</v>
      </c>
      <c r="BA237" s="42">
        <f t="shared" si="127"/>
        <v>3642.1654929577462</v>
      </c>
      <c r="BD237" s="46" t="str">
        <f t="shared" si="116"/>
        <v>0</v>
      </c>
      <c r="BE237" s="46">
        <f t="shared" si="128"/>
        <v>3642.1654929577462</v>
      </c>
      <c r="BF237" s="46">
        <f t="shared" si="128"/>
        <v>-3642.1654929577462</v>
      </c>
      <c r="BG237" s="47">
        <f t="shared" si="129"/>
        <v>7284.3309859154924</v>
      </c>
      <c r="BH237" s="46">
        <f t="shared" si="117"/>
        <v>0</v>
      </c>
      <c r="BO237" s="48">
        <f t="shared" si="130"/>
        <v>0</v>
      </c>
      <c r="BP237" s="48">
        <f t="shared" si="131"/>
        <v>0</v>
      </c>
      <c r="BQ237" s="6" t="str">
        <f t="shared" si="108"/>
        <v>Advance With Supplier</v>
      </c>
      <c r="BS237" s="6" t="str">
        <f t="shared" si="136"/>
        <v>Open</v>
      </c>
      <c r="BT237" s="49">
        <f t="shared" ca="1" si="109"/>
        <v>129</v>
      </c>
    </row>
    <row r="238" spans="1:72" hidden="1" x14ac:dyDescent="0.25">
      <c r="A238" s="6" t="s">
        <v>19436</v>
      </c>
      <c r="B238" s="6">
        <v>1745.25</v>
      </c>
      <c r="C238" s="36">
        <v>46008</v>
      </c>
      <c r="D238" s="6" t="s">
        <v>19438</v>
      </c>
      <c r="E238" s="37">
        <v>20000</v>
      </c>
      <c r="F238" s="38" t="s">
        <v>19986</v>
      </c>
      <c r="G238" s="39" t="str">
        <f t="shared" si="110"/>
        <v>GRN Not Received</v>
      </c>
      <c r="H238" s="40" t="str">
        <f t="shared" si="111"/>
        <v>GRN Not Received</v>
      </c>
      <c r="I238" s="6" t="s">
        <v>19987</v>
      </c>
      <c r="J238" s="36">
        <v>46134</v>
      </c>
      <c r="K238" s="41">
        <v>30000</v>
      </c>
      <c r="L238" s="42">
        <f>24/96</f>
        <v>0.25</v>
      </c>
      <c r="M238" s="42">
        <f t="shared" si="135"/>
        <v>7500</v>
      </c>
      <c r="N238" s="42">
        <v>0.16549295774647887</v>
      </c>
      <c r="O238" s="42">
        <f t="shared" si="137"/>
        <v>1241.1971830985915</v>
      </c>
      <c r="P238" s="42">
        <f t="shared" ref="P238:P244" si="141">M238+O238</f>
        <v>8741.1971830985913</v>
      </c>
      <c r="Q238" s="38" t="s">
        <v>19988</v>
      </c>
      <c r="R238" s="36">
        <v>46161</v>
      </c>
      <c r="S238" s="6" t="s">
        <v>19525</v>
      </c>
      <c r="T238" s="66" t="s">
        <v>19977</v>
      </c>
      <c r="U238" s="6" t="str">
        <f>IFERROR(VLOOKUP(T238,'item master'!B:C,2,0),"")</f>
        <v>Baby lotion (Regular)</v>
      </c>
      <c r="V238" s="41">
        <f t="shared" ref="V238:V243" si="142">K238</f>
        <v>30000</v>
      </c>
      <c r="X238" s="44">
        <f>L238</f>
        <v>0.25</v>
      </c>
      <c r="Y238" s="42">
        <f t="shared" si="139"/>
        <v>7500</v>
      </c>
      <c r="Z238" s="42">
        <f t="shared" si="138"/>
        <v>1241.1971830985915</v>
      </c>
      <c r="AA238" s="42">
        <f t="shared" si="114"/>
        <v>8741.1971830985913</v>
      </c>
      <c r="AB238" s="45">
        <v>0.5</v>
      </c>
      <c r="AC238" s="42">
        <f t="shared" si="140"/>
        <v>4370.5985915492956</v>
      </c>
      <c r="AD238" s="42">
        <f t="shared" ref="AD238:AD244" si="143">AC238</f>
        <v>4370.5985915492956</v>
      </c>
      <c r="AE238" s="36">
        <v>46181</v>
      </c>
      <c r="AF238" s="6" t="s">
        <v>19989</v>
      </c>
      <c r="AJ238" s="41">
        <f t="shared" si="134"/>
        <v>30000</v>
      </c>
      <c r="AS238" s="42">
        <f t="shared" si="115"/>
        <v>0</v>
      </c>
      <c r="AV238" s="6" t="s">
        <v>19584</v>
      </c>
      <c r="BA238" s="42">
        <f t="shared" si="127"/>
        <v>4370.5985915492956</v>
      </c>
      <c r="BD238" s="46" t="str">
        <f t="shared" si="116"/>
        <v>0</v>
      </c>
      <c r="BE238" s="46">
        <f t="shared" si="128"/>
        <v>4370.5985915492956</v>
      </c>
      <c r="BF238" s="46">
        <f t="shared" si="128"/>
        <v>-4370.5985915492956</v>
      </c>
      <c r="BG238" s="47">
        <f t="shared" si="129"/>
        <v>8741.1971830985913</v>
      </c>
      <c r="BH238" s="46">
        <f t="shared" si="117"/>
        <v>0</v>
      </c>
      <c r="BO238" s="48">
        <f t="shared" si="130"/>
        <v>0</v>
      </c>
      <c r="BP238" s="48">
        <f t="shared" si="131"/>
        <v>0</v>
      </c>
      <c r="BQ238" s="6" t="str">
        <f t="shared" si="108"/>
        <v>Advance With Supplier</v>
      </c>
      <c r="BS238" s="6" t="str">
        <f t="shared" si="136"/>
        <v>Open</v>
      </c>
      <c r="BT238" s="49">
        <f t="shared" ca="1" si="109"/>
        <v>129</v>
      </c>
    </row>
    <row r="239" spans="1:72" hidden="1" x14ac:dyDescent="0.25">
      <c r="A239" s="6" t="s">
        <v>19436</v>
      </c>
      <c r="B239" s="6">
        <v>1745.25</v>
      </c>
      <c r="C239" s="36">
        <v>46008</v>
      </c>
      <c r="D239" s="6" t="s">
        <v>19438</v>
      </c>
      <c r="E239" s="37">
        <v>20000</v>
      </c>
      <c r="F239" s="38" t="s">
        <v>19551</v>
      </c>
      <c r="G239" s="39" t="str">
        <f t="shared" si="110"/>
        <v>GRN Not Received</v>
      </c>
      <c r="H239" s="40" t="str">
        <f t="shared" si="111"/>
        <v>GRN Not Received</v>
      </c>
      <c r="I239" s="6" t="s">
        <v>19987</v>
      </c>
      <c r="J239" s="36">
        <v>46134</v>
      </c>
      <c r="K239" s="41">
        <v>30000</v>
      </c>
      <c r="L239" s="42">
        <f>32/96</f>
        <v>0.33333333333333331</v>
      </c>
      <c r="M239" s="42">
        <f t="shared" si="135"/>
        <v>10000</v>
      </c>
      <c r="N239" s="42">
        <v>0.16549295774647887</v>
      </c>
      <c r="O239" s="42">
        <f t="shared" si="137"/>
        <v>1654.9295774647887</v>
      </c>
      <c r="P239" s="42">
        <f t="shared" si="141"/>
        <v>11654.929577464789</v>
      </c>
      <c r="Q239" s="38" t="s">
        <v>19988</v>
      </c>
      <c r="R239" s="36">
        <v>46161</v>
      </c>
      <c r="S239" s="6" t="s">
        <v>19525</v>
      </c>
      <c r="T239" s="66" t="s">
        <v>19978</v>
      </c>
      <c r="U239" s="6" t="str">
        <f>IFERROR(VLOOKUP(T239,'item master'!B:C,2,0),"")</f>
        <v>Baby Tacum Powder</v>
      </c>
      <c r="V239" s="41">
        <f t="shared" si="142"/>
        <v>30000</v>
      </c>
      <c r="X239" s="44">
        <f>L239</f>
        <v>0.33333333333333331</v>
      </c>
      <c r="Y239" s="42">
        <f t="shared" si="139"/>
        <v>10000</v>
      </c>
      <c r="Z239" s="42">
        <f t="shared" si="138"/>
        <v>1654.9295774647887</v>
      </c>
      <c r="AA239" s="42">
        <f t="shared" si="114"/>
        <v>11654.929577464789</v>
      </c>
      <c r="AB239" s="45">
        <v>0.5</v>
      </c>
      <c r="AC239" s="42">
        <f t="shared" si="140"/>
        <v>5827.4647887323945</v>
      </c>
      <c r="AD239" s="42">
        <f t="shared" si="143"/>
        <v>5827.4647887323945</v>
      </c>
      <c r="AE239" s="36">
        <v>46181</v>
      </c>
      <c r="AF239" s="6" t="s">
        <v>19989</v>
      </c>
      <c r="AJ239" s="41">
        <f t="shared" si="134"/>
        <v>30000</v>
      </c>
      <c r="AS239" s="42">
        <f t="shared" si="115"/>
        <v>0</v>
      </c>
      <c r="AV239" s="6" t="s">
        <v>19584</v>
      </c>
      <c r="BA239" s="42">
        <f t="shared" si="127"/>
        <v>5827.4647887323945</v>
      </c>
      <c r="BD239" s="46" t="str">
        <f t="shared" si="116"/>
        <v>0</v>
      </c>
      <c r="BE239" s="46">
        <f t="shared" si="128"/>
        <v>5827.4647887323945</v>
      </c>
      <c r="BF239" s="46">
        <f t="shared" si="128"/>
        <v>-5827.4647887323945</v>
      </c>
      <c r="BG239" s="47">
        <f t="shared" si="129"/>
        <v>11654.929577464789</v>
      </c>
      <c r="BH239" s="46">
        <f t="shared" si="117"/>
        <v>0</v>
      </c>
      <c r="BO239" s="48">
        <f t="shared" si="130"/>
        <v>0</v>
      </c>
      <c r="BP239" s="48">
        <f t="shared" si="131"/>
        <v>0</v>
      </c>
      <c r="BQ239" s="6" t="str">
        <f t="shared" si="108"/>
        <v>Advance With Supplier</v>
      </c>
      <c r="BS239" s="6" t="str">
        <f t="shared" ref="BS239:BS247" si="144">IF(AX239&lt;&gt;"","Closed","Open")</f>
        <v>Open</v>
      </c>
      <c r="BT239" s="49">
        <f t="shared" ca="1" si="109"/>
        <v>129</v>
      </c>
    </row>
    <row r="240" spans="1:72" hidden="1" x14ac:dyDescent="0.25">
      <c r="A240" s="6" t="s">
        <v>19436</v>
      </c>
      <c r="B240" s="6">
        <v>1745.25</v>
      </c>
      <c r="C240" s="36">
        <v>46008</v>
      </c>
      <c r="D240" s="6" t="s">
        <v>19438</v>
      </c>
      <c r="E240" s="37">
        <v>20000</v>
      </c>
      <c r="F240" s="38" t="s">
        <v>19551</v>
      </c>
      <c r="G240" s="39" t="str">
        <f t="shared" si="110"/>
        <v>GRN Not Received</v>
      </c>
      <c r="H240" s="40" t="str">
        <f t="shared" si="111"/>
        <v>GRN Not Received</v>
      </c>
      <c r="I240" s="6" t="s">
        <v>19987</v>
      </c>
      <c r="J240" s="36">
        <v>46134</v>
      </c>
      <c r="K240" s="41">
        <v>30000</v>
      </c>
      <c r="L240" s="42">
        <f>35/96</f>
        <v>0.36458333333333331</v>
      </c>
      <c r="M240" s="42">
        <f t="shared" si="135"/>
        <v>10937.5</v>
      </c>
      <c r="N240" s="42">
        <v>0.16549295774647887</v>
      </c>
      <c r="O240" s="42">
        <f t="shared" si="137"/>
        <v>1810.0792253521126</v>
      </c>
      <c r="P240" s="42">
        <f t="shared" si="141"/>
        <v>12747.579225352112</v>
      </c>
      <c r="Q240" s="38" t="s">
        <v>19988</v>
      </c>
      <c r="R240" s="36">
        <v>46161</v>
      </c>
      <c r="S240" s="6" t="s">
        <v>19525</v>
      </c>
      <c r="T240" s="66" t="s">
        <v>19979</v>
      </c>
      <c r="U240" s="6" t="str">
        <f>IFERROR(VLOOKUP(T240,'item master'!B:C,2,0),"")</f>
        <v>Petroleum Jelly</v>
      </c>
      <c r="V240" s="41">
        <f t="shared" si="142"/>
        <v>30000</v>
      </c>
      <c r="X240" s="44">
        <f>L240</f>
        <v>0.36458333333333331</v>
      </c>
      <c r="Y240" s="42">
        <f t="shared" si="139"/>
        <v>10937.5</v>
      </c>
      <c r="Z240" s="42">
        <f t="shared" si="138"/>
        <v>1810.0792253521126</v>
      </c>
      <c r="AA240" s="42">
        <f t="shared" si="114"/>
        <v>12747.579225352112</v>
      </c>
      <c r="AB240" s="45">
        <v>0.5</v>
      </c>
      <c r="AC240" s="42">
        <f t="shared" si="140"/>
        <v>6373.7896126760561</v>
      </c>
      <c r="AD240" s="42">
        <f t="shared" si="143"/>
        <v>6373.7896126760561</v>
      </c>
      <c r="AE240" s="36">
        <v>46181</v>
      </c>
      <c r="AF240" s="6" t="s">
        <v>19989</v>
      </c>
      <c r="AJ240" s="41">
        <f t="shared" si="134"/>
        <v>30000</v>
      </c>
      <c r="AS240" s="42">
        <f t="shared" si="115"/>
        <v>0</v>
      </c>
      <c r="AV240" s="6" t="s">
        <v>19584</v>
      </c>
      <c r="BA240" s="42">
        <f t="shared" si="127"/>
        <v>6373.7896126760561</v>
      </c>
      <c r="BD240" s="46" t="str">
        <f t="shared" si="116"/>
        <v>0</v>
      </c>
      <c r="BE240" s="46">
        <f t="shared" si="128"/>
        <v>6373.7896126760561</v>
      </c>
      <c r="BF240" s="46">
        <f t="shared" si="128"/>
        <v>-6373.7896126760561</v>
      </c>
      <c r="BG240" s="47">
        <f t="shared" si="129"/>
        <v>12747.579225352112</v>
      </c>
      <c r="BH240" s="46">
        <f t="shared" si="117"/>
        <v>0</v>
      </c>
      <c r="BO240" s="48">
        <f t="shared" si="130"/>
        <v>0</v>
      </c>
      <c r="BP240" s="48">
        <f t="shared" si="131"/>
        <v>0</v>
      </c>
      <c r="BQ240" s="6" t="str">
        <f t="shared" si="108"/>
        <v>Advance With Supplier</v>
      </c>
      <c r="BS240" s="6" t="str">
        <f t="shared" si="144"/>
        <v>Open</v>
      </c>
      <c r="BT240" s="49">
        <f t="shared" ca="1" si="109"/>
        <v>129</v>
      </c>
    </row>
    <row r="241" spans="1:72" hidden="1" x14ac:dyDescent="0.25">
      <c r="A241" s="6" t="s">
        <v>19436</v>
      </c>
      <c r="B241" s="6">
        <v>1745.25</v>
      </c>
      <c r="C241" s="36">
        <v>46008</v>
      </c>
      <c r="D241" s="6" t="s">
        <v>19438</v>
      </c>
      <c r="E241" s="37">
        <v>20000</v>
      </c>
      <c r="F241" s="38" t="s">
        <v>19986</v>
      </c>
      <c r="G241" s="39" t="str">
        <f t="shared" si="110"/>
        <v>GRN Not Received</v>
      </c>
      <c r="H241" s="40" t="str">
        <f t="shared" si="111"/>
        <v>GRN Not Received</v>
      </c>
      <c r="I241" s="6" t="s">
        <v>19987</v>
      </c>
      <c r="J241" s="36">
        <v>46134</v>
      </c>
      <c r="K241" s="41">
        <v>30000</v>
      </c>
      <c r="L241" s="42">
        <f>31/96</f>
        <v>0.32291666666666669</v>
      </c>
      <c r="M241" s="42">
        <f t="shared" si="135"/>
        <v>9687.5</v>
      </c>
      <c r="N241" s="42">
        <v>0.16549295774647887</v>
      </c>
      <c r="O241" s="42">
        <f t="shared" si="137"/>
        <v>1603.213028169014</v>
      </c>
      <c r="P241" s="42">
        <f t="shared" si="141"/>
        <v>11290.713028169013</v>
      </c>
      <c r="Q241" s="38" t="s">
        <v>19988</v>
      </c>
      <c r="R241" s="36">
        <v>46161</v>
      </c>
      <c r="S241" s="6" t="s">
        <v>19525</v>
      </c>
      <c r="T241" s="66" t="s">
        <v>19980</v>
      </c>
      <c r="U241" s="6" t="str">
        <f>IFERROR(VLOOKUP(T241,'item master'!B:C,2,0),"")</f>
        <v>Baby Oil (LP Base)</v>
      </c>
      <c r="V241" s="41">
        <f t="shared" si="142"/>
        <v>30000</v>
      </c>
      <c r="X241" s="44">
        <f>L241</f>
        <v>0.32291666666666669</v>
      </c>
      <c r="Y241" s="42">
        <f t="shared" si="139"/>
        <v>9687.5</v>
      </c>
      <c r="Z241" s="42">
        <f t="shared" si="138"/>
        <v>1603.213028169014</v>
      </c>
      <c r="AA241" s="42">
        <f t="shared" si="114"/>
        <v>11290.713028169013</v>
      </c>
      <c r="AB241" s="45">
        <v>0.5</v>
      </c>
      <c r="AC241" s="42">
        <f t="shared" si="140"/>
        <v>5645.3565140845067</v>
      </c>
      <c r="AD241" s="42">
        <f t="shared" si="143"/>
        <v>5645.3565140845067</v>
      </c>
      <c r="AE241" s="36">
        <v>46181</v>
      </c>
      <c r="AF241" s="6" t="s">
        <v>19989</v>
      </c>
      <c r="AJ241" s="41">
        <f t="shared" si="134"/>
        <v>30000</v>
      </c>
      <c r="AS241" s="42">
        <f t="shared" si="115"/>
        <v>0</v>
      </c>
      <c r="AV241" s="6" t="s">
        <v>19584</v>
      </c>
      <c r="BA241" s="42">
        <f t="shared" si="127"/>
        <v>5645.3565140845067</v>
      </c>
      <c r="BD241" s="46" t="str">
        <f t="shared" si="116"/>
        <v>0</v>
      </c>
      <c r="BE241" s="46">
        <f t="shared" si="128"/>
        <v>5645.3565140845067</v>
      </c>
      <c r="BF241" s="46">
        <f t="shared" si="128"/>
        <v>-5645.3565140845067</v>
      </c>
      <c r="BG241" s="47">
        <f t="shared" si="129"/>
        <v>11290.713028169013</v>
      </c>
      <c r="BH241" s="46">
        <f t="shared" si="117"/>
        <v>0</v>
      </c>
      <c r="BO241" s="48">
        <f t="shared" si="130"/>
        <v>0</v>
      </c>
      <c r="BP241" s="48">
        <f t="shared" si="131"/>
        <v>0</v>
      </c>
      <c r="BQ241" s="6" t="str">
        <f t="shared" si="108"/>
        <v>Advance With Supplier</v>
      </c>
      <c r="BS241" s="6" t="str">
        <f t="shared" si="144"/>
        <v>Open</v>
      </c>
      <c r="BT241" s="49">
        <f t="shared" ca="1" si="109"/>
        <v>129</v>
      </c>
    </row>
    <row r="242" spans="1:72" hidden="1" x14ac:dyDescent="0.25">
      <c r="A242" s="6" t="s">
        <v>19436</v>
      </c>
      <c r="B242" s="6">
        <v>1736.25</v>
      </c>
      <c r="C242" s="36">
        <v>45999</v>
      </c>
      <c r="D242" s="6" t="s">
        <v>19438</v>
      </c>
      <c r="E242" s="37">
        <v>350000</v>
      </c>
      <c r="F242" s="38" t="s">
        <v>19990</v>
      </c>
      <c r="G242" s="39" t="str">
        <f t="shared" si="110"/>
        <v>GRN Not Received</v>
      </c>
      <c r="H242" s="40" t="str">
        <f t="shared" si="111"/>
        <v>GRN Not Received</v>
      </c>
      <c r="I242" s="6" t="s">
        <v>19991</v>
      </c>
      <c r="J242" s="36">
        <v>46146</v>
      </c>
      <c r="K242" s="41">
        <v>400000</v>
      </c>
      <c r="L242" s="42">
        <f>12/96</f>
        <v>0.125</v>
      </c>
      <c r="M242" s="42">
        <f t="shared" ref="M242:M247" si="145">K242*L242</f>
        <v>50000</v>
      </c>
      <c r="N242" s="42">
        <v>0</v>
      </c>
      <c r="O242" s="42">
        <f t="shared" si="137"/>
        <v>0</v>
      </c>
      <c r="P242" s="42">
        <f t="shared" si="141"/>
        <v>50000</v>
      </c>
      <c r="Q242" s="38">
        <v>21</v>
      </c>
      <c r="R242" s="36">
        <v>46163</v>
      </c>
      <c r="S242" s="6" t="s">
        <v>19541</v>
      </c>
      <c r="T242" s="50" t="s">
        <v>16905</v>
      </c>
      <c r="U242" s="6" t="str">
        <f>IFERROR(VLOOKUP(T242,'item master'!B:C,2,0),"")</f>
        <v>ELECTRORAL ORS 200ML PRET A L’EMPLOI</v>
      </c>
      <c r="V242" s="41">
        <f t="shared" si="142"/>
        <v>400000</v>
      </c>
      <c r="X242" s="44">
        <v>0.125</v>
      </c>
      <c r="Y242" s="42">
        <f t="shared" si="139"/>
        <v>50000</v>
      </c>
      <c r="Z242" s="42">
        <f t="shared" si="138"/>
        <v>0</v>
      </c>
      <c r="AA242" s="42">
        <f t="shared" si="114"/>
        <v>50000</v>
      </c>
      <c r="AB242" s="45">
        <v>1</v>
      </c>
      <c r="AC242" s="42">
        <f t="shared" si="140"/>
        <v>50000</v>
      </c>
      <c r="AD242" s="42">
        <f t="shared" si="143"/>
        <v>50000</v>
      </c>
      <c r="AE242" s="36">
        <v>46178</v>
      </c>
      <c r="AF242" s="6" t="s">
        <v>19992</v>
      </c>
      <c r="AJ242" s="41">
        <f t="shared" si="134"/>
        <v>400000</v>
      </c>
      <c r="AS242" s="42">
        <f t="shared" si="115"/>
        <v>0</v>
      </c>
      <c r="AV242" s="6" t="s">
        <v>19584</v>
      </c>
      <c r="BA242" s="42">
        <f t="shared" si="127"/>
        <v>50000</v>
      </c>
      <c r="BD242" s="46" t="str">
        <f t="shared" si="116"/>
        <v>0</v>
      </c>
      <c r="BE242" s="46">
        <f t="shared" si="128"/>
        <v>50000</v>
      </c>
      <c r="BF242" s="46">
        <f t="shared" si="128"/>
        <v>-50000</v>
      </c>
      <c r="BG242" s="47">
        <f t="shared" si="129"/>
        <v>100000</v>
      </c>
      <c r="BH242" s="46">
        <f t="shared" si="117"/>
        <v>0</v>
      </c>
      <c r="BO242" s="48">
        <f t="shared" si="130"/>
        <v>0</v>
      </c>
      <c r="BP242" s="48">
        <f t="shared" si="131"/>
        <v>0</v>
      </c>
      <c r="BQ242" s="6" t="str">
        <f t="shared" si="108"/>
        <v>Advance With Supplier</v>
      </c>
      <c r="BS242" s="6" t="str">
        <f t="shared" si="144"/>
        <v>Open</v>
      </c>
      <c r="BT242" s="49">
        <f t="shared" ca="1" si="109"/>
        <v>117</v>
      </c>
    </row>
    <row r="243" spans="1:72" hidden="1" x14ac:dyDescent="0.25">
      <c r="A243" s="6" t="s">
        <v>19436</v>
      </c>
      <c r="B243" s="6">
        <v>1851.26</v>
      </c>
      <c r="C243" s="36">
        <v>46128</v>
      </c>
      <c r="D243" s="6" t="s">
        <v>19438</v>
      </c>
      <c r="E243" s="41">
        <v>4600000</v>
      </c>
      <c r="F243" s="38" t="s">
        <v>19851</v>
      </c>
      <c r="G243" s="39">
        <f t="shared" si="110"/>
        <v>0</v>
      </c>
      <c r="H243" s="40">
        <f t="shared" si="111"/>
        <v>0</v>
      </c>
      <c r="I243" s="6" t="s">
        <v>19995</v>
      </c>
      <c r="J243" s="36">
        <v>46134</v>
      </c>
      <c r="K243" s="41">
        <v>4600000</v>
      </c>
      <c r="L243" s="42">
        <v>1.9199999999999998E-2</v>
      </c>
      <c r="M243" s="42">
        <f t="shared" si="145"/>
        <v>88319.999999999985</v>
      </c>
      <c r="N243" s="42">
        <v>0</v>
      </c>
      <c r="O243" s="42">
        <v>0</v>
      </c>
      <c r="P243" s="42">
        <f t="shared" si="141"/>
        <v>88319.999999999985</v>
      </c>
      <c r="Q243" s="38">
        <v>5400048189</v>
      </c>
      <c r="R243" s="36">
        <v>46125</v>
      </c>
      <c r="S243" s="6" t="s">
        <v>19512</v>
      </c>
      <c r="T243" s="50" t="s">
        <v>2645</v>
      </c>
      <c r="U243" s="6" t="str">
        <f>IFERROR(VLOOKUP(T243,'item master'!B:C,2,0),"")</f>
        <v>GANTS DEXAIMAIN N.STER B/100 MIDIUM (UNIQUE)</v>
      </c>
      <c r="V243" s="41">
        <f t="shared" si="142"/>
        <v>4600000</v>
      </c>
      <c r="X243" s="44">
        <f>L243</f>
        <v>1.9199999999999998E-2</v>
      </c>
      <c r="Y243" s="42">
        <f t="shared" si="139"/>
        <v>88319.999999999985</v>
      </c>
      <c r="Z243" s="42">
        <v>0</v>
      </c>
      <c r="AA243" s="42">
        <f t="shared" ref="AA243:AA248" si="146">Y243+Z243</f>
        <v>88319.999999999985</v>
      </c>
      <c r="AB243" s="45">
        <v>0.5</v>
      </c>
      <c r="AC243" s="42">
        <f t="shared" si="140"/>
        <v>44159.999999999993</v>
      </c>
      <c r="AD243" s="73">
        <f t="shared" si="143"/>
        <v>44159.999999999993</v>
      </c>
      <c r="AE243" s="36">
        <v>46136</v>
      </c>
      <c r="AF243" s="6" t="s">
        <v>19996</v>
      </c>
      <c r="AG243" s="41">
        <v>4600000</v>
      </c>
      <c r="AJ243" s="41">
        <f t="shared" si="134"/>
        <v>0</v>
      </c>
      <c r="AK243" s="6">
        <v>90717592</v>
      </c>
      <c r="AL243" s="36">
        <v>46181</v>
      </c>
      <c r="AM243" s="6" t="s">
        <v>19566</v>
      </c>
      <c r="AN243" s="41">
        <f>X243</f>
        <v>1.9199999999999998E-2</v>
      </c>
      <c r="AO243" s="42">
        <f>AG243*AN243</f>
        <v>88319.999999999985</v>
      </c>
      <c r="AP243" s="42">
        <v>6500</v>
      </c>
      <c r="AQ243" s="42">
        <v>138</v>
      </c>
      <c r="AS243" s="42">
        <f t="shared" si="115"/>
        <v>94957.999999999985</v>
      </c>
      <c r="AT243" s="38">
        <v>271853462</v>
      </c>
      <c r="AU243" s="36">
        <v>46192</v>
      </c>
      <c r="AV243" s="6" t="s">
        <v>19567</v>
      </c>
      <c r="AZ243" s="42">
        <v>0</v>
      </c>
      <c r="BA243" s="42">
        <f t="shared" si="127"/>
        <v>44159.999999999993</v>
      </c>
      <c r="BB243" s="42">
        <v>0</v>
      </c>
      <c r="BC243" s="42">
        <v>0</v>
      </c>
      <c r="BD243" s="46">
        <f t="shared" si="116"/>
        <v>44159.999999999993</v>
      </c>
      <c r="BE243" s="46">
        <f t="shared" si="128"/>
        <v>0</v>
      </c>
      <c r="BF243" s="46">
        <f t="shared" si="128"/>
        <v>0</v>
      </c>
      <c r="BG243" s="47">
        <f t="shared" si="129"/>
        <v>0</v>
      </c>
      <c r="BH243" s="46">
        <f t="shared" si="117"/>
        <v>50797.999999999993</v>
      </c>
      <c r="BI243" s="42">
        <v>50798</v>
      </c>
      <c r="BJ243" s="36">
        <v>46183</v>
      </c>
      <c r="BK243" s="6" t="s">
        <v>19998</v>
      </c>
      <c r="BL243" s="6">
        <v>0</v>
      </c>
      <c r="BM243" s="6">
        <v>0</v>
      </c>
      <c r="BN243" s="6">
        <v>0</v>
      </c>
      <c r="BO243" s="48">
        <f t="shared" si="130"/>
        <v>50798</v>
      </c>
      <c r="BP243" s="48">
        <f>BH243-BO243</f>
        <v>0</v>
      </c>
      <c r="BQ243" s="6" t="str">
        <f t="shared" si="108"/>
        <v>Fully Paid</v>
      </c>
      <c r="BS243" s="6" t="str">
        <f t="shared" si="144"/>
        <v>Open</v>
      </c>
      <c r="BT243" s="49">
        <f t="shared" ca="1" si="109"/>
        <v>129</v>
      </c>
    </row>
    <row r="244" spans="1:72" hidden="1" x14ac:dyDescent="0.25">
      <c r="A244" s="6" t="s">
        <v>19436</v>
      </c>
      <c r="B244" s="6">
        <v>1851.26</v>
      </c>
      <c r="C244" s="36">
        <v>46128</v>
      </c>
      <c r="D244" s="6" t="s">
        <v>19438</v>
      </c>
      <c r="E244" s="41">
        <v>4600000</v>
      </c>
      <c r="F244" s="38" t="s">
        <v>19851</v>
      </c>
      <c r="G244" s="39">
        <f t="shared" si="110"/>
        <v>0</v>
      </c>
      <c r="H244" s="40">
        <f t="shared" si="111"/>
        <v>0</v>
      </c>
      <c r="I244" s="6" t="s">
        <v>19995</v>
      </c>
      <c r="J244" s="36">
        <v>46134</v>
      </c>
      <c r="K244" s="41">
        <v>4600000</v>
      </c>
      <c r="L244" s="42">
        <v>1.9199999999999998E-2</v>
      </c>
      <c r="M244" s="42">
        <f t="shared" si="145"/>
        <v>88319.999999999985</v>
      </c>
      <c r="N244" s="42">
        <v>0</v>
      </c>
      <c r="O244" s="42">
        <v>0</v>
      </c>
      <c r="P244" s="42">
        <f t="shared" si="141"/>
        <v>88319.999999999985</v>
      </c>
      <c r="Q244" s="38">
        <v>5400048188</v>
      </c>
      <c r="R244" s="36">
        <v>46125</v>
      </c>
      <c r="S244" s="6" t="s">
        <v>19512</v>
      </c>
      <c r="T244" s="50" t="s">
        <v>2645</v>
      </c>
      <c r="U244" s="6" t="str">
        <f>IFERROR(VLOOKUP(T244,'item master'!B:C,2,0),"")</f>
        <v>GANTS DEXAIMAIN N.STER B/100 MIDIUM (UNIQUE)</v>
      </c>
      <c r="V244" s="41">
        <v>4600000</v>
      </c>
      <c r="X244" s="44">
        <f>L244</f>
        <v>1.9199999999999998E-2</v>
      </c>
      <c r="Y244" s="42">
        <f t="shared" ref="Y244:Y252" si="147">V244*X244</f>
        <v>88319.999999999985</v>
      </c>
      <c r="Z244" s="42">
        <v>0</v>
      </c>
      <c r="AA244" s="42">
        <f t="shared" si="146"/>
        <v>88319.999999999985</v>
      </c>
      <c r="AB244" s="45">
        <v>0.5</v>
      </c>
      <c r="AC244" s="42">
        <f t="shared" si="140"/>
        <v>44159.999999999993</v>
      </c>
      <c r="AD244" s="73">
        <f t="shared" si="143"/>
        <v>44159.999999999993</v>
      </c>
      <c r="AE244" s="36">
        <v>46136</v>
      </c>
      <c r="AF244" s="6" t="s">
        <v>19996</v>
      </c>
      <c r="AG244" s="41">
        <v>4600000</v>
      </c>
      <c r="AJ244" s="41">
        <f t="shared" si="134"/>
        <v>0</v>
      </c>
      <c r="AK244" s="6">
        <v>90717591</v>
      </c>
      <c r="AL244" s="36">
        <v>46181</v>
      </c>
      <c r="AM244" s="6" t="s">
        <v>19566</v>
      </c>
      <c r="AN244" s="41">
        <f>X244</f>
        <v>1.9199999999999998E-2</v>
      </c>
      <c r="AO244" s="42">
        <f>AG244*AN244</f>
        <v>88319.999999999985</v>
      </c>
      <c r="AP244" s="42">
        <v>6500</v>
      </c>
      <c r="AQ244" s="42">
        <v>138</v>
      </c>
      <c r="AS244" s="42">
        <f t="shared" si="115"/>
        <v>94957.999999999985</v>
      </c>
      <c r="AT244" s="38">
        <v>271853462</v>
      </c>
      <c r="AU244" s="36">
        <v>46192</v>
      </c>
      <c r="AV244" s="6" t="s">
        <v>19567</v>
      </c>
      <c r="AZ244" s="42">
        <v>0</v>
      </c>
      <c r="BA244" s="42">
        <f t="shared" si="127"/>
        <v>44159.999999999993</v>
      </c>
      <c r="BB244" s="42">
        <v>0</v>
      </c>
      <c r="BC244" s="42">
        <v>0</v>
      </c>
      <c r="BD244" s="46">
        <f t="shared" si="116"/>
        <v>44159.999999999993</v>
      </c>
      <c r="BE244" s="46">
        <f t="shared" si="128"/>
        <v>0</v>
      </c>
      <c r="BF244" s="46">
        <f t="shared" si="128"/>
        <v>0</v>
      </c>
      <c r="BG244" s="47">
        <f t="shared" si="129"/>
        <v>0</v>
      </c>
      <c r="BH244" s="46">
        <f t="shared" si="117"/>
        <v>50797.999999999993</v>
      </c>
      <c r="BI244" s="42">
        <v>50798</v>
      </c>
      <c r="BJ244" s="36">
        <v>46183</v>
      </c>
      <c r="BK244" s="6" t="s">
        <v>19998</v>
      </c>
      <c r="BL244" s="6">
        <v>0</v>
      </c>
      <c r="BM244" s="6">
        <v>0</v>
      </c>
      <c r="BN244" s="6">
        <v>0</v>
      </c>
      <c r="BO244" s="48">
        <f t="shared" si="130"/>
        <v>50798</v>
      </c>
      <c r="BP244" s="48">
        <f t="shared" si="131"/>
        <v>0</v>
      </c>
      <c r="BQ244" s="6" t="str">
        <f t="shared" si="108"/>
        <v>Fully Paid</v>
      </c>
      <c r="BR244" s="36"/>
      <c r="BS244" s="6" t="str">
        <f t="shared" si="144"/>
        <v>Open</v>
      </c>
      <c r="BT244" s="49">
        <f t="shared" ca="1" si="109"/>
        <v>129</v>
      </c>
    </row>
    <row r="245" spans="1:72" hidden="1" x14ac:dyDescent="0.25">
      <c r="A245" s="6" t="s">
        <v>19437</v>
      </c>
      <c r="B245" s="6">
        <v>1618.25</v>
      </c>
      <c r="C245" s="36">
        <v>45897</v>
      </c>
      <c r="D245" s="6" t="s">
        <v>19438</v>
      </c>
      <c r="E245" s="41">
        <v>4600000</v>
      </c>
      <c r="F245" s="38" t="s">
        <v>19851</v>
      </c>
      <c r="G245" s="39">
        <f t="shared" si="110"/>
        <v>0.01</v>
      </c>
      <c r="H245" s="40">
        <f t="shared" si="111"/>
        <v>46000</v>
      </c>
      <c r="I245" s="6" t="s">
        <v>19999</v>
      </c>
      <c r="J245" s="36">
        <v>45906</v>
      </c>
      <c r="K245" s="41">
        <v>4600000</v>
      </c>
      <c r="L245" s="42">
        <f>14.9/1000</f>
        <v>1.49E-2</v>
      </c>
      <c r="M245" s="42">
        <f t="shared" si="145"/>
        <v>68540</v>
      </c>
      <c r="N245" s="42">
        <v>0</v>
      </c>
      <c r="O245" s="42">
        <v>0</v>
      </c>
      <c r="P245" s="42">
        <f t="shared" ref="P245:P256" si="148">M245+O245</f>
        <v>68540</v>
      </c>
      <c r="Q245" s="38">
        <v>5400040114</v>
      </c>
      <c r="R245" s="36">
        <v>45902</v>
      </c>
      <c r="S245" s="6" t="s">
        <v>19512</v>
      </c>
      <c r="T245" s="50" t="s">
        <v>2645</v>
      </c>
      <c r="U245" s="6" t="str">
        <f>IFERROR(VLOOKUP(T245,'item master'!B:C,2,0),"")</f>
        <v>GANTS DEXAIMAIN N.STER B/100 MIDIUM (UNIQUE)</v>
      </c>
      <c r="V245" s="41">
        <v>4600000</v>
      </c>
      <c r="X245" s="44">
        <f>L245</f>
        <v>1.49E-2</v>
      </c>
      <c r="Y245" s="42">
        <f t="shared" si="147"/>
        <v>68540</v>
      </c>
      <c r="Z245" s="42">
        <v>0</v>
      </c>
      <c r="AA245" s="42">
        <f t="shared" si="146"/>
        <v>68540</v>
      </c>
      <c r="AB245" s="45">
        <v>0.5</v>
      </c>
      <c r="AC245" s="42">
        <f>AA245*AB245</f>
        <v>34270</v>
      </c>
      <c r="AD245" s="42">
        <v>34270</v>
      </c>
      <c r="AE245" s="36">
        <v>45923</v>
      </c>
      <c r="AF245" s="6" t="s">
        <v>20000</v>
      </c>
      <c r="AG245" s="41">
        <f>V245</f>
        <v>4600000</v>
      </c>
      <c r="AJ245" s="41">
        <f t="shared" si="134"/>
        <v>0</v>
      </c>
      <c r="AK245" s="6">
        <v>90663365</v>
      </c>
      <c r="AL245" s="36">
        <v>45980</v>
      </c>
      <c r="AM245" s="6" t="s">
        <v>19580</v>
      </c>
      <c r="AN245" s="41">
        <f>X245</f>
        <v>1.49E-2</v>
      </c>
      <c r="AO245" s="42">
        <f>AG245*AN245</f>
        <v>68540</v>
      </c>
      <c r="AP245" s="42">
        <v>4300</v>
      </c>
      <c r="AQ245" s="42">
        <v>138</v>
      </c>
      <c r="AS245" s="42">
        <f t="shared" si="115"/>
        <v>72978</v>
      </c>
      <c r="AT245" s="38">
        <v>261571540</v>
      </c>
      <c r="AU245" s="36">
        <v>45987</v>
      </c>
      <c r="AV245" s="6" t="s">
        <v>19583</v>
      </c>
      <c r="AW245" s="41">
        <v>46000</v>
      </c>
      <c r="AX245" s="6" t="s">
        <v>20001</v>
      </c>
      <c r="AY245" s="36">
        <v>46059</v>
      </c>
      <c r="AZ245" s="42">
        <v>0</v>
      </c>
      <c r="BA245" s="42">
        <f t="shared" si="127"/>
        <v>34270</v>
      </c>
      <c r="BB245" s="42">
        <v>0</v>
      </c>
      <c r="BC245" s="42">
        <v>0</v>
      </c>
      <c r="BD245" s="46">
        <f t="shared" si="116"/>
        <v>34270</v>
      </c>
      <c r="BE245" s="46">
        <f t="shared" si="128"/>
        <v>0</v>
      </c>
      <c r="BF245" s="46">
        <f t="shared" si="128"/>
        <v>0</v>
      </c>
      <c r="BG245" s="47">
        <f t="shared" si="129"/>
        <v>0</v>
      </c>
      <c r="BH245" s="46">
        <f t="shared" si="117"/>
        <v>38708</v>
      </c>
      <c r="BI245" s="42">
        <v>38708</v>
      </c>
      <c r="BJ245" s="36">
        <v>45965</v>
      </c>
      <c r="BK245" s="6" t="s">
        <v>20002</v>
      </c>
      <c r="BL245" s="6">
        <v>0</v>
      </c>
      <c r="BM245" s="6">
        <v>0</v>
      </c>
      <c r="BN245" s="6">
        <v>0</v>
      </c>
      <c r="BO245" s="48">
        <f t="shared" si="130"/>
        <v>38708</v>
      </c>
      <c r="BP245" s="48">
        <f t="shared" si="131"/>
        <v>0</v>
      </c>
      <c r="BQ245" s="6" t="str">
        <f t="shared" si="108"/>
        <v>Fully Paid</v>
      </c>
      <c r="BR245" s="49"/>
      <c r="BS245" s="6" t="str">
        <f t="shared" si="144"/>
        <v>Closed</v>
      </c>
      <c r="BT245" s="49" t="str">
        <f t="shared" ca="1" si="109"/>
        <v>Closed</v>
      </c>
    </row>
    <row r="246" spans="1:72" hidden="1" x14ac:dyDescent="0.25">
      <c r="A246" s="6" t="s">
        <v>19437</v>
      </c>
      <c r="B246" s="6">
        <v>1618.25</v>
      </c>
      <c r="C246" s="36">
        <v>45897</v>
      </c>
      <c r="D246" s="6" t="s">
        <v>19438</v>
      </c>
      <c r="E246" s="41">
        <v>4600000</v>
      </c>
      <c r="F246" s="38" t="s">
        <v>19851</v>
      </c>
      <c r="G246" s="39">
        <f t="shared" si="110"/>
        <v>0.01</v>
      </c>
      <c r="H246" s="40">
        <f t="shared" si="111"/>
        <v>46000</v>
      </c>
      <c r="I246" s="6" t="s">
        <v>19999</v>
      </c>
      <c r="J246" s="36">
        <v>45906</v>
      </c>
      <c r="K246" s="41">
        <v>4600000</v>
      </c>
      <c r="L246" s="42">
        <f>14.9/1000</f>
        <v>1.49E-2</v>
      </c>
      <c r="M246" s="42">
        <f t="shared" si="145"/>
        <v>68540</v>
      </c>
      <c r="N246" s="42">
        <v>0</v>
      </c>
      <c r="O246" s="42">
        <v>0</v>
      </c>
      <c r="P246" s="42">
        <f t="shared" si="148"/>
        <v>68540</v>
      </c>
      <c r="Q246" s="38">
        <v>5400040112</v>
      </c>
      <c r="R246" s="36">
        <v>45902</v>
      </c>
      <c r="S246" s="6" t="s">
        <v>19512</v>
      </c>
      <c r="T246" s="50" t="s">
        <v>2645</v>
      </c>
      <c r="U246" s="6" t="str">
        <f>IFERROR(VLOOKUP(T246,'item master'!B:C,2,0),"")</f>
        <v>GANTS DEXAIMAIN N.STER B/100 MIDIUM (UNIQUE)</v>
      </c>
      <c r="V246" s="41">
        <v>4600000</v>
      </c>
      <c r="X246" s="44">
        <f>L246</f>
        <v>1.49E-2</v>
      </c>
      <c r="Y246" s="42">
        <f t="shared" si="147"/>
        <v>68540</v>
      </c>
      <c r="Z246" s="42">
        <v>0</v>
      </c>
      <c r="AA246" s="42">
        <f t="shared" si="146"/>
        <v>68540</v>
      </c>
      <c r="AB246" s="45">
        <v>0.5</v>
      </c>
      <c r="AC246" s="42">
        <f>AA246*AB246</f>
        <v>34270</v>
      </c>
      <c r="AD246" s="42">
        <v>34270</v>
      </c>
      <c r="AE246" s="36">
        <v>45923</v>
      </c>
      <c r="AF246" s="6" t="s">
        <v>20000</v>
      </c>
      <c r="AG246" s="41">
        <f>V246</f>
        <v>4600000</v>
      </c>
      <c r="AK246" s="6">
        <v>90665536</v>
      </c>
      <c r="AL246" s="36">
        <v>46006</v>
      </c>
      <c r="AM246" s="6" t="s">
        <v>19580</v>
      </c>
      <c r="AN246" s="41">
        <f>X246</f>
        <v>1.49E-2</v>
      </c>
      <c r="AO246" s="42">
        <f>AG246*AN246</f>
        <v>68540</v>
      </c>
      <c r="AP246" s="42">
        <v>4830</v>
      </c>
      <c r="AQ246" s="42">
        <v>138</v>
      </c>
      <c r="AS246" s="42">
        <f t="shared" si="115"/>
        <v>73508</v>
      </c>
      <c r="AT246" s="38">
        <v>262569772</v>
      </c>
      <c r="AU246" s="36">
        <v>46017</v>
      </c>
      <c r="AV246" s="6" t="s">
        <v>19583</v>
      </c>
      <c r="AW246" s="41">
        <v>46000</v>
      </c>
      <c r="AX246" s="6" t="s">
        <v>20003</v>
      </c>
      <c r="AY246" s="36">
        <v>46070</v>
      </c>
      <c r="AZ246" s="42">
        <v>0</v>
      </c>
      <c r="BA246" s="42">
        <f>AD246+AZ246</f>
        <v>34270</v>
      </c>
      <c r="BB246" s="42">
        <v>0</v>
      </c>
      <c r="BC246" s="42">
        <v>0</v>
      </c>
      <c r="BD246" s="46">
        <f>IF(AK246&gt;0,BA246+BB246+BC246,"0")</f>
        <v>34270</v>
      </c>
      <c r="BE246" s="46">
        <f>BA246-BD246</f>
        <v>0</v>
      </c>
      <c r="BF246" s="46">
        <f>BB246-BE246</f>
        <v>0</v>
      </c>
      <c r="BG246" s="47">
        <f>BE246-BF246</f>
        <v>0</v>
      </c>
      <c r="BH246" s="46">
        <f>AS246-BD246</f>
        <v>39238</v>
      </c>
      <c r="BI246" s="42">
        <v>39238</v>
      </c>
      <c r="BJ246" s="36">
        <v>45994</v>
      </c>
      <c r="BK246" s="6" t="s">
        <v>20004</v>
      </c>
      <c r="BL246" s="6">
        <v>0</v>
      </c>
      <c r="BM246" s="6">
        <v>0</v>
      </c>
      <c r="BN246" s="6">
        <v>0</v>
      </c>
      <c r="BO246" s="48">
        <f>BI246+BL246</f>
        <v>39238</v>
      </c>
      <c r="BP246" s="48">
        <f>BH246-BO246</f>
        <v>0</v>
      </c>
      <c r="BQ246" s="6" t="str">
        <f t="shared" si="108"/>
        <v>Fully Paid</v>
      </c>
      <c r="BS246" s="6" t="str">
        <f t="shared" si="144"/>
        <v>Closed</v>
      </c>
      <c r="BT246" s="49" t="str">
        <f t="shared" ca="1" si="109"/>
        <v>Closed</v>
      </c>
    </row>
    <row r="247" spans="1:72" hidden="1" x14ac:dyDescent="0.25">
      <c r="A247" s="6" t="s">
        <v>19437</v>
      </c>
      <c r="B247" s="6">
        <v>1618.25</v>
      </c>
      <c r="C247" s="36">
        <v>45897</v>
      </c>
      <c r="D247" s="6" t="s">
        <v>19438</v>
      </c>
      <c r="E247" s="41">
        <v>4600000</v>
      </c>
      <c r="F247" s="38" t="s">
        <v>19851</v>
      </c>
      <c r="G247" s="39">
        <f t="shared" si="110"/>
        <v>0.01</v>
      </c>
      <c r="H247" s="40">
        <f t="shared" si="111"/>
        <v>46000</v>
      </c>
      <c r="I247" s="6" t="s">
        <v>19999</v>
      </c>
      <c r="J247" s="36">
        <v>45906</v>
      </c>
      <c r="K247" s="41">
        <v>4600000</v>
      </c>
      <c r="L247" s="42">
        <f>14.9/1000</f>
        <v>1.49E-2</v>
      </c>
      <c r="M247" s="42">
        <f t="shared" si="145"/>
        <v>68540</v>
      </c>
      <c r="N247" s="42">
        <v>0</v>
      </c>
      <c r="O247" s="42">
        <v>0</v>
      </c>
      <c r="P247" s="42">
        <f t="shared" si="148"/>
        <v>68540</v>
      </c>
      <c r="Q247" s="38">
        <v>5400040111</v>
      </c>
      <c r="R247" s="36">
        <v>45902</v>
      </c>
      <c r="S247" s="6" t="s">
        <v>19512</v>
      </c>
      <c r="T247" s="50" t="s">
        <v>2645</v>
      </c>
      <c r="U247" s="6" t="str">
        <f>IFERROR(VLOOKUP(T247,'item master'!B:C,2,0),"")</f>
        <v>GANTS DEXAIMAIN N.STER B/100 MIDIUM (UNIQUE)</v>
      </c>
      <c r="V247" s="41">
        <v>4600000</v>
      </c>
      <c r="X247" s="44">
        <f>L247</f>
        <v>1.49E-2</v>
      </c>
      <c r="Y247" s="42">
        <f t="shared" si="147"/>
        <v>68540</v>
      </c>
      <c r="Z247" s="42">
        <v>0</v>
      </c>
      <c r="AA247" s="42">
        <f t="shared" si="146"/>
        <v>68540</v>
      </c>
      <c r="AB247" s="45">
        <v>0.5</v>
      </c>
      <c r="AC247" s="42">
        <f>AA247*AB247</f>
        <v>34270</v>
      </c>
      <c r="AD247" s="42">
        <v>34270</v>
      </c>
      <c r="AE247" s="36">
        <v>45923</v>
      </c>
      <c r="AF247" s="6" t="s">
        <v>20000</v>
      </c>
      <c r="AG247" s="41">
        <f>V247</f>
        <v>4600000</v>
      </c>
      <c r="AK247" s="6">
        <v>90665535</v>
      </c>
      <c r="AL247" s="36">
        <v>46006</v>
      </c>
      <c r="AM247" s="6" t="s">
        <v>19580</v>
      </c>
      <c r="AN247" s="41">
        <f>X247</f>
        <v>1.49E-2</v>
      </c>
      <c r="AO247" s="42">
        <f>AG247*AN247</f>
        <v>68540</v>
      </c>
      <c r="AP247" s="42">
        <v>4830</v>
      </c>
      <c r="AQ247" s="42">
        <v>138</v>
      </c>
      <c r="AS247" s="42">
        <f>AO247+AP247+AQ247+AR247</f>
        <v>73508</v>
      </c>
      <c r="AT247" s="38">
        <v>262569772</v>
      </c>
      <c r="AU247" s="36">
        <v>46017</v>
      </c>
      <c r="AV247" s="6" t="s">
        <v>19583</v>
      </c>
      <c r="AW247" s="41">
        <v>46000</v>
      </c>
      <c r="AX247" s="6" t="s">
        <v>20003</v>
      </c>
      <c r="AY247" s="36">
        <v>46070</v>
      </c>
      <c r="AZ247" s="42">
        <v>0</v>
      </c>
      <c r="BA247" s="42">
        <f>AD247+AZ247</f>
        <v>34270</v>
      </c>
      <c r="BB247" s="42">
        <v>0</v>
      </c>
      <c r="BC247" s="42">
        <v>0</v>
      </c>
      <c r="BD247" s="46">
        <f>IF(AK247&gt;0,BA247+BB247+BC247,"0")</f>
        <v>34270</v>
      </c>
      <c r="BE247" s="46">
        <f>BA247-BD247</f>
        <v>0</v>
      </c>
      <c r="BF247" s="46">
        <f>BB247-BE247</f>
        <v>0</v>
      </c>
      <c r="BG247" s="47">
        <f>BE247-BF247</f>
        <v>0</v>
      </c>
      <c r="BH247" s="46">
        <f>AS247-BD247</f>
        <v>39238</v>
      </c>
      <c r="BI247" s="42">
        <v>39238</v>
      </c>
      <c r="BJ247" s="36">
        <v>45994</v>
      </c>
      <c r="BK247" s="6" t="s">
        <v>20004</v>
      </c>
      <c r="BL247" s="6">
        <v>0</v>
      </c>
      <c r="BM247" s="6">
        <v>0</v>
      </c>
      <c r="BN247" s="6">
        <v>0</v>
      </c>
      <c r="BO247" s="48">
        <f>BI247+BL247</f>
        <v>39238</v>
      </c>
      <c r="BP247" s="48">
        <f>BH247-BO247</f>
        <v>0</v>
      </c>
      <c r="BQ247" s="6" t="str">
        <f t="shared" si="108"/>
        <v>Fully Paid</v>
      </c>
      <c r="BS247" s="6" t="str">
        <f t="shared" si="144"/>
        <v>Closed</v>
      </c>
      <c r="BT247" s="49" t="str">
        <f t="shared" ca="1" si="109"/>
        <v>Closed</v>
      </c>
    </row>
    <row r="248" spans="1:72" hidden="1" x14ac:dyDescent="0.25">
      <c r="A248" s="6" t="s">
        <v>19436</v>
      </c>
      <c r="B248" s="6">
        <v>1979.26</v>
      </c>
      <c r="C248" s="36">
        <v>46216</v>
      </c>
      <c r="D248" s="6" t="s">
        <v>19439</v>
      </c>
      <c r="E248" s="37">
        <v>50000</v>
      </c>
      <c r="F248" s="38" t="s">
        <v>19769</v>
      </c>
      <c r="G248" s="39" t="str">
        <f t="shared" si="110"/>
        <v>GRN Not Received</v>
      </c>
      <c r="H248" s="40" t="str">
        <f t="shared" si="111"/>
        <v>GRN Not Received</v>
      </c>
      <c r="I248" s="6" t="s">
        <v>20099</v>
      </c>
      <c r="J248" s="36">
        <v>46227</v>
      </c>
      <c r="K248" s="41">
        <v>50000</v>
      </c>
      <c r="L248" s="42">
        <v>5.0999999999999997E-2</v>
      </c>
      <c r="M248" s="42">
        <f t="shared" ref="M248:M256" si="149">K248*L248</f>
        <v>2550</v>
      </c>
      <c r="P248" s="42">
        <f t="shared" si="148"/>
        <v>2550</v>
      </c>
      <c r="Q248" s="38" t="s">
        <v>20100</v>
      </c>
      <c r="R248" s="36">
        <v>46230</v>
      </c>
      <c r="S248" s="6" t="s">
        <v>19503</v>
      </c>
      <c r="T248" s="50" t="s">
        <v>9020</v>
      </c>
      <c r="U248" s="6" t="str">
        <f>IFERROR(VLOOKUP(T248,'item master'!B:C,2,0),"")</f>
        <v>CATHETER IV 22G 25MM BLUE/1</v>
      </c>
      <c r="V248" s="41">
        <v>50000</v>
      </c>
      <c r="X248" s="44">
        <v>5.0999999999999997E-2</v>
      </c>
      <c r="Y248" s="42">
        <f t="shared" si="147"/>
        <v>2550</v>
      </c>
      <c r="AA248" s="42">
        <f t="shared" si="146"/>
        <v>2550</v>
      </c>
      <c r="AB248" s="45">
        <v>0.3</v>
      </c>
      <c r="AC248" s="42">
        <f>Y248*AB248</f>
        <v>765</v>
      </c>
    </row>
    <row r="249" spans="1:72" hidden="1" x14ac:dyDescent="0.25">
      <c r="A249" s="6" t="s">
        <v>19436</v>
      </c>
      <c r="B249" s="6">
        <v>1979.26</v>
      </c>
      <c r="C249" s="36">
        <v>46216</v>
      </c>
      <c r="D249" s="6" t="s">
        <v>19439</v>
      </c>
      <c r="E249" s="37">
        <v>50000</v>
      </c>
      <c r="F249" s="38" t="s">
        <v>19769</v>
      </c>
      <c r="G249" s="39" t="str">
        <f t="shared" si="110"/>
        <v>GRN Not Received</v>
      </c>
      <c r="H249" s="40" t="str">
        <f t="shared" si="111"/>
        <v>GRN Not Received</v>
      </c>
      <c r="I249" s="6" t="s">
        <v>20099</v>
      </c>
      <c r="J249" s="36">
        <v>46227</v>
      </c>
      <c r="K249" s="41">
        <v>50000</v>
      </c>
      <c r="L249" s="42">
        <v>5.0999999999999997E-2</v>
      </c>
      <c r="M249" s="42">
        <f t="shared" si="149"/>
        <v>2550</v>
      </c>
      <c r="P249" s="42">
        <f t="shared" si="148"/>
        <v>2550</v>
      </c>
      <c r="Q249" s="38" t="s">
        <v>20100</v>
      </c>
      <c r="R249" s="36">
        <v>46230</v>
      </c>
      <c r="S249" s="6" t="s">
        <v>19503</v>
      </c>
      <c r="T249" s="50" t="s">
        <v>9022</v>
      </c>
      <c r="U249" s="6" t="str">
        <f>IFERROR(VLOOKUP(T249,'item master'!B:C,2,0),"")</f>
        <v>CATHETER IV 24G 19MM JAUNE/1</v>
      </c>
      <c r="V249" s="41">
        <v>50000</v>
      </c>
      <c r="X249" s="44">
        <v>5.0999999999999997E-2</v>
      </c>
      <c r="Y249" s="42">
        <f t="shared" si="147"/>
        <v>2550</v>
      </c>
      <c r="AA249" s="42">
        <f t="shared" ref="AA249:AA256" si="150">Y249+Z249</f>
        <v>2550</v>
      </c>
      <c r="AB249" s="45">
        <v>0.3</v>
      </c>
      <c r="AC249" s="42">
        <f t="shared" ref="AC249:AC256" si="151">Y249*AB249</f>
        <v>765</v>
      </c>
    </row>
    <row r="250" spans="1:72" hidden="1" x14ac:dyDescent="0.25">
      <c r="A250" s="6" t="s">
        <v>19436</v>
      </c>
      <c r="B250" s="6">
        <v>1899.26</v>
      </c>
      <c r="C250" s="36">
        <v>46162</v>
      </c>
      <c r="D250" s="6" t="s">
        <v>19438</v>
      </c>
      <c r="E250" s="37">
        <v>1165680</v>
      </c>
      <c r="F250" s="38" t="s">
        <v>20101</v>
      </c>
      <c r="G250" s="39" t="str">
        <f t="shared" si="110"/>
        <v>GRN Not Received</v>
      </c>
      <c r="H250" s="40" t="str">
        <f t="shared" si="111"/>
        <v>GRN Not Received</v>
      </c>
      <c r="I250" s="6" t="s">
        <v>20102</v>
      </c>
      <c r="J250" s="36">
        <v>46227</v>
      </c>
      <c r="K250" s="41">
        <v>32380</v>
      </c>
      <c r="L250" s="42">
        <v>2.74</v>
      </c>
      <c r="M250" s="42">
        <f t="shared" si="149"/>
        <v>88721.200000000012</v>
      </c>
      <c r="N250" s="42">
        <v>0</v>
      </c>
      <c r="O250" s="42">
        <v>0</v>
      </c>
      <c r="P250" s="42">
        <f t="shared" si="148"/>
        <v>88721.200000000012</v>
      </c>
      <c r="Q250" s="38" t="s">
        <v>20103</v>
      </c>
      <c r="R250" s="36">
        <v>46162</v>
      </c>
      <c r="S250" s="6" t="s">
        <v>19509</v>
      </c>
      <c r="T250" s="50" t="s">
        <v>2358</v>
      </c>
      <c r="U250" s="6" t="str">
        <f>IFERROR(VLOOKUP(T250,'item master'!B:C,2,0),"")</f>
        <v>NOCOLD INHALER 1 PC</v>
      </c>
      <c r="V250" s="41">
        <v>32380</v>
      </c>
      <c r="X250" s="44">
        <v>2.74</v>
      </c>
      <c r="Y250" s="42">
        <f t="shared" si="147"/>
        <v>88721.200000000012</v>
      </c>
      <c r="AA250" s="42">
        <f t="shared" si="150"/>
        <v>88721.200000000012</v>
      </c>
      <c r="AB250" s="45">
        <v>0.3</v>
      </c>
      <c r="AC250" s="42">
        <f t="shared" si="151"/>
        <v>26616.360000000004</v>
      </c>
    </row>
    <row r="251" spans="1:72" hidden="1" x14ac:dyDescent="0.25">
      <c r="A251" s="6" t="s">
        <v>19436</v>
      </c>
      <c r="B251" s="6">
        <v>1684.25</v>
      </c>
      <c r="C251" s="36">
        <v>45899</v>
      </c>
      <c r="D251" s="6" t="s">
        <v>19440</v>
      </c>
      <c r="E251" s="37">
        <v>10000</v>
      </c>
      <c r="F251" s="38" t="s">
        <v>19843</v>
      </c>
      <c r="G251" s="39">
        <f t="shared" si="110"/>
        <v>0</v>
      </c>
      <c r="H251" s="40">
        <f t="shared" si="111"/>
        <v>0</v>
      </c>
      <c r="I251" s="6" t="s">
        <v>20104</v>
      </c>
      <c r="J251" s="36">
        <v>45959</v>
      </c>
      <c r="K251" s="41">
        <v>10000</v>
      </c>
      <c r="L251" s="42">
        <v>0.47</v>
      </c>
      <c r="M251" s="42">
        <f t="shared" si="149"/>
        <v>4700</v>
      </c>
      <c r="N251" s="42">
        <v>0</v>
      </c>
      <c r="O251" s="42">
        <v>0</v>
      </c>
      <c r="P251" s="42">
        <f t="shared" si="148"/>
        <v>4700</v>
      </c>
      <c r="Q251" s="38" t="s">
        <v>20105</v>
      </c>
      <c r="R251" s="36">
        <v>45958</v>
      </c>
      <c r="S251" s="6" t="s">
        <v>19516</v>
      </c>
      <c r="T251" s="50" t="s">
        <v>16132</v>
      </c>
      <c r="U251" s="6" t="str">
        <f>IFERROR(VLOOKUP(T251,'item master'!B:C,2,0),"")</f>
        <v>PERFAC 1000 (PARACETAMOL) B/10 CES EFF</v>
      </c>
      <c r="V251" s="41">
        <v>10000</v>
      </c>
      <c r="X251" s="44">
        <v>0.47</v>
      </c>
      <c r="Y251" s="42">
        <f t="shared" si="147"/>
        <v>4700</v>
      </c>
      <c r="Z251" s="42">
        <v>0</v>
      </c>
      <c r="AA251" s="42">
        <f t="shared" si="150"/>
        <v>4700</v>
      </c>
      <c r="AB251" s="45">
        <v>0.3</v>
      </c>
      <c r="AC251" s="42">
        <f t="shared" si="151"/>
        <v>1410</v>
      </c>
      <c r="AD251" s="42">
        <v>1410</v>
      </c>
      <c r="AE251" s="36">
        <v>45983</v>
      </c>
      <c r="AF251" s="6" t="s">
        <v>20106</v>
      </c>
      <c r="AG251" s="41">
        <v>10000</v>
      </c>
      <c r="AH251" s="41">
        <v>10000</v>
      </c>
      <c r="AJ251" s="41">
        <f>V251-AG251</f>
        <v>0</v>
      </c>
      <c r="AK251" s="6" t="s">
        <v>20107</v>
      </c>
      <c r="AL251" s="36">
        <v>46126</v>
      </c>
      <c r="AM251" s="6" t="s">
        <v>19566</v>
      </c>
      <c r="AN251" s="41">
        <v>0.47</v>
      </c>
      <c r="AO251" s="42">
        <f>AH251*AN251</f>
        <v>4700</v>
      </c>
      <c r="AP251" s="42">
        <v>0</v>
      </c>
      <c r="AQ251" s="42">
        <v>0</v>
      </c>
      <c r="AR251" s="42">
        <v>0</v>
      </c>
      <c r="AS251" s="42">
        <f>AO251+AP251+AQ251+AR251</f>
        <v>4700</v>
      </c>
      <c r="AT251" s="38">
        <v>272609546</v>
      </c>
      <c r="AU251" s="36">
        <v>46223</v>
      </c>
      <c r="AV251" s="6" t="s">
        <v>19567</v>
      </c>
      <c r="BI251" s="70"/>
    </row>
    <row r="252" spans="1:72" hidden="1" x14ac:dyDescent="0.25">
      <c r="A252" s="6" t="s">
        <v>19436</v>
      </c>
      <c r="B252" s="6">
        <v>1684.25</v>
      </c>
      <c r="C252" s="36">
        <v>45899</v>
      </c>
      <c r="D252" s="6" t="s">
        <v>19440</v>
      </c>
      <c r="E252" s="37">
        <v>10000</v>
      </c>
      <c r="F252" s="38" t="s">
        <v>19843</v>
      </c>
      <c r="G252" s="39">
        <f t="shared" si="110"/>
        <v>0</v>
      </c>
      <c r="H252" s="40">
        <f t="shared" si="111"/>
        <v>0</v>
      </c>
      <c r="I252" s="6" t="s">
        <v>20104</v>
      </c>
      <c r="J252" s="36">
        <v>45959</v>
      </c>
      <c r="K252" s="41">
        <v>10000</v>
      </c>
      <c r="L252" s="42">
        <v>0.43</v>
      </c>
      <c r="M252" s="42">
        <f t="shared" si="149"/>
        <v>4300</v>
      </c>
      <c r="N252" s="42">
        <v>0</v>
      </c>
      <c r="O252" s="42">
        <v>0</v>
      </c>
      <c r="P252" s="42">
        <f t="shared" si="148"/>
        <v>4300</v>
      </c>
      <c r="Q252" s="38" t="s">
        <v>20105</v>
      </c>
      <c r="R252" s="36">
        <v>45958</v>
      </c>
      <c r="S252" s="6" t="s">
        <v>19516</v>
      </c>
      <c r="T252" s="50" t="s">
        <v>16134</v>
      </c>
      <c r="U252" s="6" t="str">
        <f>IFERROR(VLOOKUP(T252,'item master'!B:C,2,0),"")</f>
        <v>PERFAC 500 (PARACETAMOL) B/10 CES EFF</v>
      </c>
      <c r="V252" s="41">
        <v>10000</v>
      </c>
      <c r="X252" s="44">
        <v>0.43</v>
      </c>
      <c r="Y252" s="42">
        <f t="shared" si="147"/>
        <v>4300</v>
      </c>
      <c r="Z252" s="42">
        <v>0</v>
      </c>
      <c r="AA252" s="42">
        <f t="shared" si="150"/>
        <v>4300</v>
      </c>
      <c r="AB252" s="45">
        <v>0.3</v>
      </c>
      <c r="AC252" s="42">
        <f t="shared" si="151"/>
        <v>1290</v>
      </c>
      <c r="AD252" s="42">
        <v>1290</v>
      </c>
      <c r="AE252" s="36">
        <v>45983</v>
      </c>
      <c r="AF252" s="6" t="s">
        <v>20106</v>
      </c>
      <c r="AG252" s="41">
        <v>10000</v>
      </c>
      <c r="AH252" s="41">
        <v>10000</v>
      </c>
      <c r="AJ252" s="41">
        <f>V252-AG252</f>
        <v>0</v>
      </c>
      <c r="AK252" s="6" t="s">
        <v>20107</v>
      </c>
      <c r="AL252" s="36">
        <v>46126</v>
      </c>
      <c r="AM252" s="6" t="s">
        <v>19566</v>
      </c>
      <c r="AN252" s="41">
        <v>0.43</v>
      </c>
      <c r="AO252" s="42">
        <f>AH252*AN252</f>
        <v>4300</v>
      </c>
      <c r="AP252" s="42">
        <v>0</v>
      </c>
      <c r="AQ252" s="42">
        <v>0</v>
      </c>
      <c r="AR252" s="42">
        <v>0</v>
      </c>
      <c r="AS252" s="42">
        <f>AO252+AP252+AQ252+AR252</f>
        <v>4300</v>
      </c>
      <c r="AT252" s="38">
        <v>272609546</v>
      </c>
      <c r="AU252" s="36">
        <v>46223</v>
      </c>
      <c r="AV252" s="6" t="s">
        <v>19567</v>
      </c>
      <c r="BI252" s="70"/>
    </row>
    <row r="253" spans="1:72" hidden="1" x14ac:dyDescent="0.25">
      <c r="A253" s="6" t="s">
        <v>19436</v>
      </c>
      <c r="B253" s="6">
        <v>1684.25</v>
      </c>
      <c r="C253" s="36">
        <v>45899</v>
      </c>
      <c r="D253" s="6" t="s">
        <v>19440</v>
      </c>
      <c r="E253" s="37">
        <v>6000</v>
      </c>
      <c r="F253" s="38" t="s">
        <v>19843</v>
      </c>
      <c r="G253" s="39" t="str">
        <f>IF(AG253="","GRN Not Received",AW253/AG253)</f>
        <v>GRN Not Received</v>
      </c>
      <c r="H253" s="40" t="str">
        <f>IF(E253="PRF_Details_Not Availbale","PRF Qty Not Available",IF(G253="GRN Not Received","GRN Not Received",--E253*--G253))</f>
        <v>GRN Not Received</v>
      </c>
      <c r="I253" s="6" t="s">
        <v>20104</v>
      </c>
      <c r="J253" s="36">
        <v>45959</v>
      </c>
      <c r="K253" s="41">
        <v>10000</v>
      </c>
      <c r="L253" s="42">
        <v>0.65</v>
      </c>
      <c r="M253" s="42">
        <f t="shared" si="149"/>
        <v>6500</v>
      </c>
      <c r="N253" s="42">
        <v>0</v>
      </c>
      <c r="O253" s="42">
        <v>0</v>
      </c>
      <c r="P253" s="42">
        <f t="shared" si="148"/>
        <v>6500</v>
      </c>
      <c r="Q253" s="38" t="s">
        <v>20105</v>
      </c>
      <c r="R253" s="36">
        <v>45958</v>
      </c>
      <c r="S253" s="6" t="s">
        <v>19516</v>
      </c>
      <c r="T253" s="7" t="s">
        <v>14940</v>
      </c>
      <c r="U253" s="6" t="str">
        <f>IFERROR(VLOOKUP(T253,'item master'!B:C,2,0),"")</f>
        <v>CALCIDOS (CAL.1000MG + VIT D3 880IU) EFF. B/10 CES</v>
      </c>
      <c r="V253" s="41">
        <v>10000</v>
      </c>
      <c r="X253" s="44">
        <v>0.65</v>
      </c>
      <c r="Y253" s="42">
        <f>V253*X253</f>
        <v>6500</v>
      </c>
      <c r="Z253" s="42">
        <v>0</v>
      </c>
      <c r="AA253" s="42">
        <f t="shared" si="150"/>
        <v>6500</v>
      </c>
      <c r="AB253" s="45">
        <v>0.3</v>
      </c>
      <c r="AC253" s="42">
        <f t="shared" si="151"/>
        <v>1950</v>
      </c>
      <c r="AD253" s="42">
        <v>1950</v>
      </c>
      <c r="AE253" s="36">
        <v>45983</v>
      </c>
      <c r="AF253" s="6" t="s">
        <v>20106</v>
      </c>
      <c r="AJ253" s="41">
        <f>V253-AG253</f>
        <v>10000</v>
      </c>
      <c r="BI253" s="70"/>
    </row>
    <row r="254" spans="1:72" hidden="1" x14ac:dyDescent="0.25">
      <c r="A254" s="6" t="s">
        <v>19436</v>
      </c>
      <c r="B254" s="6">
        <v>1701.25</v>
      </c>
      <c r="C254" s="36">
        <v>45975</v>
      </c>
      <c r="D254" s="6" t="s">
        <v>19440</v>
      </c>
      <c r="E254" s="37">
        <v>1380</v>
      </c>
      <c r="F254" s="38" t="s">
        <v>20108</v>
      </c>
      <c r="G254" s="39" t="str">
        <f>IF(AG254="","GRN Not Received",AW254/AG254)</f>
        <v>GRN Not Received</v>
      </c>
      <c r="H254" s="40" t="str">
        <f>IF(E254="PRF_Details_Not Availbale","PRF Qty Not Available",IF(G254="GRN Not Received","GRN Not Received",--E254*--G254))</f>
        <v>GRN Not Received</v>
      </c>
      <c r="I254" s="6" t="s">
        <v>20109</v>
      </c>
      <c r="J254" s="36">
        <v>45982</v>
      </c>
      <c r="K254" s="41">
        <v>1980</v>
      </c>
      <c r="L254" s="42">
        <v>3.9</v>
      </c>
      <c r="M254" s="42">
        <f t="shared" si="149"/>
        <v>7722</v>
      </c>
      <c r="N254" s="42">
        <v>0</v>
      </c>
      <c r="O254" s="42">
        <v>0</v>
      </c>
      <c r="P254" s="42">
        <f t="shared" si="148"/>
        <v>7722</v>
      </c>
      <c r="Q254" s="38" t="s">
        <v>20110</v>
      </c>
      <c r="R254" s="36">
        <v>46002</v>
      </c>
      <c r="S254" s="6" t="s">
        <v>19506</v>
      </c>
      <c r="T254" s="50" t="s">
        <v>20111</v>
      </c>
      <c r="U254" s="6" t="str">
        <f>IFERROR(VLOOKUP(T254,'item master'!B:C,2,0),"")</f>
        <v>CEFINIQUE 200MG (CEFIXIME) DISP. B/ 10 CES</v>
      </c>
      <c r="V254" s="41">
        <v>1980</v>
      </c>
      <c r="X254" s="44">
        <v>3.9</v>
      </c>
      <c r="Y254" s="42">
        <f>V254*X254</f>
        <v>7722</v>
      </c>
      <c r="Z254" s="42">
        <v>0</v>
      </c>
      <c r="AA254" s="42">
        <f t="shared" si="150"/>
        <v>7722</v>
      </c>
      <c r="AB254" s="45">
        <v>0</v>
      </c>
      <c r="AC254" s="42">
        <f t="shared" si="151"/>
        <v>0</v>
      </c>
      <c r="AD254" s="42">
        <v>0</v>
      </c>
      <c r="AJ254" s="41">
        <f>V254-AG254</f>
        <v>1980</v>
      </c>
    </row>
    <row r="255" spans="1:72" hidden="1" x14ac:dyDescent="0.25">
      <c r="A255" s="6" t="s">
        <v>19436</v>
      </c>
      <c r="B255" s="6">
        <v>1784.26</v>
      </c>
      <c r="C255" s="36">
        <v>46037</v>
      </c>
      <c r="D255" s="6" t="s">
        <v>19440</v>
      </c>
      <c r="E255" s="37">
        <v>1500</v>
      </c>
      <c r="F255" s="38" t="s">
        <v>20112</v>
      </c>
      <c r="G255" s="39">
        <f>IF(AG255="","GRN Not Received",AW255/AG255)</f>
        <v>0</v>
      </c>
      <c r="H255" s="40">
        <f>IF(E255="PRF_Details_Not Availbale","PRF Qty Not Available",IF(G255="GRN Not Received","GRN Not Received",--E255*--G255))</f>
        <v>0</v>
      </c>
      <c r="I255" s="6" t="s">
        <v>20113</v>
      </c>
      <c r="J255" s="36">
        <v>46060</v>
      </c>
      <c r="K255" s="41">
        <v>1500</v>
      </c>
      <c r="L255" s="42">
        <v>1.26</v>
      </c>
      <c r="M255" s="42">
        <f t="shared" si="149"/>
        <v>1890</v>
      </c>
      <c r="N255" s="42">
        <v>0</v>
      </c>
      <c r="O255" s="42">
        <v>0</v>
      </c>
      <c r="P255" s="42">
        <f t="shared" si="148"/>
        <v>1890</v>
      </c>
      <c r="Q255" s="38" t="s">
        <v>20114</v>
      </c>
      <c r="R255" s="36">
        <v>46053</v>
      </c>
      <c r="S255" s="6" t="s">
        <v>19448</v>
      </c>
      <c r="T255" s="50" t="s">
        <v>17067</v>
      </c>
      <c r="U255" s="6" t="str">
        <f>IFERROR(VLOOKUP(T255,'item master'!B:C,2,0),"")</f>
        <v>DEXERIQUE CREAM 250GR</v>
      </c>
      <c r="V255" s="41">
        <v>1500</v>
      </c>
      <c r="X255" s="44">
        <v>1.26</v>
      </c>
      <c r="Y255" s="42">
        <f>V255*X255</f>
        <v>1890</v>
      </c>
      <c r="Z255" s="42">
        <v>0</v>
      </c>
      <c r="AA255" s="42">
        <f t="shared" si="150"/>
        <v>1890</v>
      </c>
      <c r="AB255" s="45">
        <v>0.5</v>
      </c>
      <c r="AC255" s="42">
        <f t="shared" si="151"/>
        <v>945</v>
      </c>
      <c r="AD255" s="42">
        <v>945</v>
      </c>
      <c r="AE255" s="36">
        <v>46070</v>
      </c>
      <c r="AF255" s="6" t="s">
        <v>20115</v>
      </c>
      <c r="AG255" s="41">
        <v>1500</v>
      </c>
      <c r="AH255" s="41">
        <v>1500</v>
      </c>
      <c r="AJ255" s="41">
        <f>V255-AG255</f>
        <v>0</v>
      </c>
      <c r="AK255" s="6" t="s">
        <v>20116</v>
      </c>
      <c r="AL255" s="36">
        <v>46173</v>
      </c>
      <c r="AM255" s="6" t="s">
        <v>19566</v>
      </c>
      <c r="AN255" s="41">
        <v>1.26</v>
      </c>
      <c r="AO255" s="46">
        <f>AG255*AN255</f>
        <v>1890</v>
      </c>
      <c r="AP255" s="42">
        <v>0</v>
      </c>
      <c r="AQ255" s="42">
        <v>0</v>
      </c>
      <c r="AR255" s="42">
        <v>0</v>
      </c>
      <c r="AS255" s="42">
        <f>AO255+AP255+AQ255+AR255</f>
        <v>1890</v>
      </c>
      <c r="AT255" s="38">
        <v>272609546</v>
      </c>
      <c r="AU255" s="36">
        <v>46223</v>
      </c>
      <c r="BI255" s="70"/>
    </row>
    <row r="256" spans="1:72" hidden="1" x14ac:dyDescent="0.25">
      <c r="A256" s="6" t="s">
        <v>19436</v>
      </c>
      <c r="B256" s="6">
        <v>1985.26</v>
      </c>
      <c r="C256" s="36">
        <v>46238</v>
      </c>
      <c r="D256" s="6" t="s">
        <v>19438</v>
      </c>
      <c r="E256" s="37">
        <v>50000</v>
      </c>
      <c r="F256" s="38" t="s">
        <v>19641</v>
      </c>
      <c r="G256" s="39" t="str">
        <f t="shared" ref="G256" si="152">IF(AG256="","GRN Not Received",AW256/AG256)</f>
        <v>GRN Not Received</v>
      </c>
      <c r="H256" s="40" t="str">
        <f t="shared" ref="H256" si="153">IF(E256="PRF_Details_Not Availbale","PRF Qty Not Available",IF(G256="GRN Not Received","GRN Not Received",--E256*--G256))</f>
        <v>GRN Not Received</v>
      </c>
      <c r="I256" s="6" t="s">
        <v>20121</v>
      </c>
      <c r="J256" s="36">
        <v>46239</v>
      </c>
      <c r="K256" s="41">
        <v>50000</v>
      </c>
      <c r="L256" s="42">
        <v>0.95</v>
      </c>
      <c r="M256" s="42">
        <f t="shared" si="149"/>
        <v>47500</v>
      </c>
      <c r="N256" s="42">
        <v>0</v>
      </c>
      <c r="O256" s="42">
        <v>0</v>
      </c>
      <c r="P256" s="42">
        <f t="shared" si="148"/>
        <v>47500</v>
      </c>
      <c r="Q256" s="38" t="s">
        <v>20122</v>
      </c>
      <c r="R256" s="36">
        <v>46237</v>
      </c>
      <c r="S256" s="6" t="s">
        <v>19485</v>
      </c>
      <c r="T256" s="50" t="s">
        <v>15928</v>
      </c>
      <c r="U256" s="6" t="str">
        <f>IFERROR(VLOOKUP(T256,'item master'!B:C,2,0),"")</f>
        <v>UNISPAS (PHLOROG+TRIMETHY) 4ML B/6AMP</v>
      </c>
      <c r="V256" s="41">
        <v>50000</v>
      </c>
      <c r="X256" s="44">
        <v>0.95</v>
      </c>
      <c r="Y256" s="42">
        <f t="shared" ref="Y256" si="154">V256*X256</f>
        <v>47500</v>
      </c>
      <c r="Z256" s="42">
        <v>0</v>
      </c>
      <c r="AA256" s="42">
        <f t="shared" si="150"/>
        <v>47500</v>
      </c>
      <c r="AB256" s="45">
        <v>0.3</v>
      </c>
      <c r="AC256" s="42">
        <f t="shared" si="151"/>
        <v>14250</v>
      </c>
    </row>
    <row r="257" spans="1:56" hidden="1" x14ac:dyDescent="0.25">
      <c r="A257" s="6" t="s">
        <v>19436</v>
      </c>
      <c r="B257" s="6">
        <v>2001.26</v>
      </c>
      <c r="C257" s="36">
        <v>46239</v>
      </c>
      <c r="D257" s="6" t="s">
        <v>19438</v>
      </c>
      <c r="E257" s="37">
        <v>80000</v>
      </c>
      <c r="G257" s="39" t="str">
        <f t="shared" ref="G257" si="155">IF(AG257="","GRN Not Received",AW257/AG257)</f>
        <v>GRN Not Received</v>
      </c>
      <c r="H257" s="40" t="str">
        <f t="shared" ref="H257" si="156">IF(E257="PRF_Details_Not Availbale","PRF Qty Not Available",IF(G257="GRN Not Received","GRN Not Received",--E257*--G257))</f>
        <v>GRN Not Received</v>
      </c>
      <c r="I257" s="6" t="s">
        <v>20121</v>
      </c>
      <c r="J257" s="36">
        <v>46239</v>
      </c>
      <c r="K257" s="41">
        <v>80000</v>
      </c>
      <c r="L257" s="42">
        <v>0.18</v>
      </c>
      <c r="M257" s="42">
        <f t="shared" ref="M257" si="157">K257*L257</f>
        <v>14400</v>
      </c>
      <c r="N257" s="42">
        <v>0</v>
      </c>
      <c r="O257" s="42">
        <v>0</v>
      </c>
      <c r="P257" s="42">
        <f t="shared" ref="P257" si="158">M257+O257</f>
        <v>14400</v>
      </c>
      <c r="Q257" s="38" t="s">
        <v>20123</v>
      </c>
      <c r="R257" s="36">
        <v>46238</v>
      </c>
      <c r="S257" s="6" t="s">
        <v>19485</v>
      </c>
      <c r="T257" s="50" t="s">
        <v>16156</v>
      </c>
      <c r="U257" s="6" t="str">
        <f>IFERROR(VLOOKUP(T257,'item master'!B:C,2,0),"")</f>
        <v>ZOCID-40MG (OMEPRAZOLE) INJ. B/1 VIAL.+ 0.9% NACL)</v>
      </c>
      <c r="V257" s="41">
        <v>80000</v>
      </c>
      <c r="X257" s="44">
        <v>0.18</v>
      </c>
      <c r="Y257" s="42">
        <f t="shared" ref="Y257" si="159">V257*X257</f>
        <v>14400</v>
      </c>
      <c r="Z257" s="42">
        <v>0</v>
      </c>
      <c r="AA257" s="42">
        <f t="shared" ref="AA257" si="160">Y257+Z257</f>
        <v>14400</v>
      </c>
      <c r="AB257" s="45">
        <v>0.3</v>
      </c>
      <c r="AC257" s="42">
        <f t="shared" ref="AC257" si="161">Y257*AB257</f>
        <v>4320</v>
      </c>
    </row>
    <row r="258" spans="1:56" hidden="1" x14ac:dyDescent="0.25">
      <c r="A258" s="6" t="s">
        <v>19436</v>
      </c>
      <c r="B258" s="6">
        <v>1990.26</v>
      </c>
      <c r="C258" s="36">
        <v>46238</v>
      </c>
      <c r="D258" s="6" t="s">
        <v>19438</v>
      </c>
      <c r="E258" s="37">
        <v>20000</v>
      </c>
      <c r="G258" s="39" t="str">
        <f t="shared" ref="G258" si="162">IF(AG258="","GRN Not Received",AW258/AG258)</f>
        <v>GRN Not Received</v>
      </c>
      <c r="H258" s="40" t="str">
        <f t="shared" ref="H258" si="163">IF(E258="PRF_Details_Not Availbale","PRF Qty Not Available",IF(G258="GRN Not Received","GRN Not Received",--E258*--G258))</f>
        <v>GRN Not Received</v>
      </c>
      <c r="I258" s="6" t="s">
        <v>20124</v>
      </c>
      <c r="J258" s="36">
        <v>46239</v>
      </c>
      <c r="K258" s="41">
        <v>20000</v>
      </c>
      <c r="L258" s="42">
        <v>0.17499999999999999</v>
      </c>
      <c r="M258" s="42">
        <f t="shared" ref="M258:M264" si="164">K258*L258</f>
        <v>3500</v>
      </c>
      <c r="N258" s="42">
        <v>0</v>
      </c>
      <c r="O258" s="42">
        <v>0</v>
      </c>
      <c r="P258" s="42">
        <f t="shared" ref="P258" si="165">M258+O258</f>
        <v>3500</v>
      </c>
      <c r="Q258" s="38" t="s">
        <v>20125</v>
      </c>
      <c r="R258" s="36">
        <v>46238</v>
      </c>
      <c r="S258" s="6" t="s">
        <v>19495</v>
      </c>
      <c r="T258" s="50" t="s">
        <v>8774</v>
      </c>
      <c r="U258" s="6" t="str">
        <f>IFERROR(VLOOKUP(T258,'item master'!B:C,2,0),"")</f>
        <v>BICARBONATE 50ML INJ</v>
      </c>
      <c r="V258" s="41">
        <v>20000</v>
      </c>
      <c r="X258" s="44">
        <v>0.17499999999999999</v>
      </c>
      <c r="Y258" s="42">
        <f t="shared" ref="Y258" si="166">V258*X258</f>
        <v>3500</v>
      </c>
      <c r="Z258" s="42">
        <v>0</v>
      </c>
      <c r="AA258" s="42">
        <f t="shared" ref="AA258" si="167">Y258+Z258</f>
        <v>3500</v>
      </c>
      <c r="AB258" s="45">
        <v>0.3</v>
      </c>
      <c r="AC258" s="42">
        <f t="shared" ref="AC258" si="168">Y258*AB258</f>
        <v>1050</v>
      </c>
    </row>
    <row r="259" spans="1:56" hidden="1" x14ac:dyDescent="0.25">
      <c r="A259" s="6" t="s">
        <v>19436</v>
      </c>
      <c r="B259" s="6">
        <v>1990.26</v>
      </c>
      <c r="C259" s="36">
        <v>46238</v>
      </c>
      <c r="D259" s="6" t="s">
        <v>19438</v>
      </c>
      <c r="E259" s="37">
        <v>500000</v>
      </c>
      <c r="G259" s="39" t="str">
        <f t="shared" ref="G259:G261" si="169">IF(AG259="","GRN Not Received",AW259/AG259)</f>
        <v>GRN Not Received</v>
      </c>
      <c r="H259" s="40" t="str">
        <f t="shared" ref="H259:H261" si="170">IF(E259="PRF_Details_Not Availbale","PRF Qty Not Available",IF(G259="GRN Not Received","GRN Not Received",--E259*--G259))</f>
        <v>GRN Not Received</v>
      </c>
      <c r="I259" s="6" t="s">
        <v>20124</v>
      </c>
      <c r="J259" s="36">
        <v>46239</v>
      </c>
      <c r="K259" s="41">
        <v>500000</v>
      </c>
      <c r="L259" s="42">
        <v>0.05</v>
      </c>
      <c r="M259" s="42">
        <f t="shared" si="164"/>
        <v>25000</v>
      </c>
      <c r="N259" s="42">
        <v>0</v>
      </c>
      <c r="O259" s="42">
        <v>0</v>
      </c>
      <c r="P259" s="42">
        <f t="shared" ref="P259:P261" si="171">M259+O259</f>
        <v>25000</v>
      </c>
      <c r="Q259" s="38" t="s">
        <v>20125</v>
      </c>
      <c r="R259" s="36">
        <v>46238</v>
      </c>
      <c r="S259" s="6" t="s">
        <v>19495</v>
      </c>
      <c r="T259" s="50" t="s">
        <v>14212</v>
      </c>
      <c r="U259" s="6" t="str">
        <f>IFERROR(VLOOKUP(T259,'item master'!B:C,2,0),"")</f>
        <v>TROUSSE DE PERIFUSION PCS (NORMALE)</v>
      </c>
      <c r="V259" s="41">
        <v>500000</v>
      </c>
      <c r="X259" s="44">
        <v>0.05</v>
      </c>
      <c r="Y259" s="42">
        <f t="shared" ref="Y259:Y261" si="172">V259*X259</f>
        <v>25000</v>
      </c>
      <c r="Z259" s="42">
        <v>0</v>
      </c>
      <c r="AA259" s="42">
        <f t="shared" ref="AA259:AA261" si="173">Y259+Z259</f>
        <v>25000</v>
      </c>
      <c r="AB259" s="45">
        <v>0.3</v>
      </c>
      <c r="AC259" s="42">
        <f t="shared" ref="AC259:AC261" si="174">Y259*AB259</f>
        <v>7500</v>
      </c>
    </row>
    <row r="260" spans="1:56" hidden="1" x14ac:dyDescent="0.25">
      <c r="A260" s="6" t="s">
        <v>19436</v>
      </c>
      <c r="B260" s="6">
        <v>1999.26</v>
      </c>
      <c r="C260" s="36">
        <v>46239</v>
      </c>
      <c r="D260" s="6" t="s">
        <v>19438</v>
      </c>
      <c r="E260" s="37">
        <v>100000</v>
      </c>
      <c r="F260" s="38" t="s">
        <v>19702</v>
      </c>
      <c r="G260" s="39" t="str">
        <f t="shared" si="169"/>
        <v>GRN Not Received</v>
      </c>
      <c r="H260" s="40" t="str">
        <f t="shared" si="170"/>
        <v>GRN Not Received</v>
      </c>
      <c r="I260" s="6" t="s">
        <v>20130</v>
      </c>
      <c r="J260" s="36">
        <v>46252</v>
      </c>
      <c r="K260" s="41">
        <v>100000</v>
      </c>
      <c r="L260" s="42">
        <v>0.16500000000000001</v>
      </c>
      <c r="M260" s="42">
        <f t="shared" si="164"/>
        <v>16500</v>
      </c>
      <c r="N260" s="42">
        <v>0</v>
      </c>
      <c r="O260" s="42">
        <v>0</v>
      </c>
      <c r="P260" s="42">
        <f t="shared" si="171"/>
        <v>16500</v>
      </c>
      <c r="Q260" s="38" t="s">
        <v>20131</v>
      </c>
      <c r="R260" s="36">
        <v>46239</v>
      </c>
      <c r="S260" s="6" t="s">
        <v>19542</v>
      </c>
      <c r="T260" s="50" t="s">
        <v>20132</v>
      </c>
      <c r="U260" s="6" t="str">
        <f>IFERROR(VLOOKUP(T260,'item master'!B:C,2,0),"")</f>
        <v>HAEMVITAL (SULFATE DE FER) 200MG B/10 X10 CES</v>
      </c>
      <c r="V260" s="41">
        <v>100000</v>
      </c>
      <c r="X260" s="44">
        <v>0.16500000000000001</v>
      </c>
      <c r="Y260" s="42">
        <f t="shared" si="172"/>
        <v>16500</v>
      </c>
      <c r="Z260" s="42">
        <v>0</v>
      </c>
      <c r="AA260" s="42">
        <f t="shared" si="173"/>
        <v>16500</v>
      </c>
      <c r="AB260" s="45">
        <v>0.5</v>
      </c>
      <c r="AC260" s="42">
        <f t="shared" si="174"/>
        <v>8250</v>
      </c>
    </row>
    <row r="261" spans="1:56" hidden="1" x14ac:dyDescent="0.25">
      <c r="A261" s="6" t="s">
        <v>19436</v>
      </c>
      <c r="B261" s="6">
        <v>1991.26</v>
      </c>
      <c r="C261" s="36">
        <v>46238</v>
      </c>
      <c r="D261" s="6" t="s">
        <v>19438</v>
      </c>
      <c r="E261" s="37">
        <v>10000</v>
      </c>
      <c r="G261" s="39" t="str">
        <f t="shared" si="169"/>
        <v>GRN Not Received</v>
      </c>
      <c r="H261" s="40" t="str">
        <f t="shared" si="170"/>
        <v>GRN Not Received</v>
      </c>
      <c r="I261" s="6" t="s">
        <v>20133</v>
      </c>
      <c r="J261" s="36">
        <v>46239</v>
      </c>
      <c r="K261" s="41">
        <v>10000</v>
      </c>
      <c r="L261" s="42">
        <v>0.56999999999999995</v>
      </c>
      <c r="M261" s="42">
        <f t="shared" si="164"/>
        <v>5699.9999999999991</v>
      </c>
      <c r="N261" s="42">
        <v>0</v>
      </c>
      <c r="O261" s="42">
        <v>0</v>
      </c>
      <c r="P261" s="42">
        <f t="shared" si="171"/>
        <v>5699.9999999999991</v>
      </c>
      <c r="Q261" s="38" t="s">
        <v>20134</v>
      </c>
      <c r="R261" s="36">
        <v>46238</v>
      </c>
      <c r="S261" s="6" t="s">
        <v>19499</v>
      </c>
      <c r="T261" s="50" t="s">
        <v>16180</v>
      </c>
      <c r="U261" s="6" t="str">
        <f>IFERROR(VLOOKUP(T261,'item master'!B:C,2,0),"")</f>
        <v>UNIKORT-80 (TRIAMCINOLONE) B/1 VIAL +SER</v>
      </c>
      <c r="V261" s="41">
        <v>10000</v>
      </c>
      <c r="X261" s="44">
        <v>0.56999999999999995</v>
      </c>
      <c r="Y261" s="42">
        <f t="shared" si="172"/>
        <v>5699.9999999999991</v>
      </c>
      <c r="Z261" s="42">
        <v>0</v>
      </c>
      <c r="AA261" s="42">
        <f t="shared" si="173"/>
        <v>5699.9999999999991</v>
      </c>
      <c r="AB261" s="45">
        <v>0.3</v>
      </c>
      <c r="AC261" s="42">
        <f t="shared" si="174"/>
        <v>1709.9999999999998</v>
      </c>
    </row>
    <row r="262" spans="1:56" hidden="1" x14ac:dyDescent="0.25">
      <c r="A262" s="6" t="s">
        <v>19436</v>
      </c>
      <c r="B262" s="6">
        <v>1991.26</v>
      </c>
      <c r="C262" s="36">
        <v>46238</v>
      </c>
      <c r="D262" s="6" t="s">
        <v>19438</v>
      </c>
      <c r="E262" s="37">
        <v>10000</v>
      </c>
      <c r="G262" s="39" t="str">
        <f t="shared" ref="G262" si="175">IF(AG262="","GRN Not Received",AW262/AG262)</f>
        <v>GRN Not Received</v>
      </c>
      <c r="H262" s="40" t="str">
        <f t="shared" ref="H262" si="176">IF(E262="PRF_Details_Not Availbale","PRF Qty Not Available",IF(G262="GRN Not Received","GRN Not Received",--E262*--G262))</f>
        <v>GRN Not Received</v>
      </c>
      <c r="I262" s="6" t="s">
        <v>20133</v>
      </c>
      <c r="J262" s="36">
        <v>46239</v>
      </c>
      <c r="K262" s="41">
        <v>10000</v>
      </c>
      <c r="L262" s="42">
        <v>0.92</v>
      </c>
      <c r="M262" s="42">
        <f t="shared" si="164"/>
        <v>9200</v>
      </c>
      <c r="N262" s="42">
        <v>0</v>
      </c>
      <c r="O262" s="42">
        <v>0</v>
      </c>
      <c r="P262" s="42">
        <f t="shared" ref="P262" si="177">M262+O262</f>
        <v>9200</v>
      </c>
      <c r="Q262" s="38" t="s">
        <v>20134</v>
      </c>
      <c r="R262" s="36">
        <v>46238</v>
      </c>
      <c r="S262" s="6" t="s">
        <v>19499</v>
      </c>
      <c r="T262" s="50" t="s">
        <v>16337</v>
      </c>
      <c r="U262" s="6" t="str">
        <f>IFERROR(VLOOKUP(T262,'item master'!B:C,2,0),"")</f>
        <v>UNITRIM 480MG/5ML (CO-TRIMOXAZOLE) INJ. B/5 AMP.</v>
      </c>
      <c r="V262" s="41">
        <v>10000</v>
      </c>
      <c r="X262" s="44">
        <v>0.92</v>
      </c>
      <c r="Y262" s="42">
        <f t="shared" ref="Y262" si="178">V262*X262</f>
        <v>9200</v>
      </c>
      <c r="Z262" s="42">
        <v>0</v>
      </c>
      <c r="AA262" s="42">
        <f t="shared" ref="AA262" si="179">Y262+Z262</f>
        <v>9200</v>
      </c>
      <c r="AB262" s="45">
        <v>0.3</v>
      </c>
      <c r="AC262" s="42">
        <f t="shared" ref="AC262" si="180">Y262*AB262</f>
        <v>2760</v>
      </c>
    </row>
    <row r="263" spans="1:56" hidden="1" x14ac:dyDescent="0.25">
      <c r="A263" s="6" t="s">
        <v>19436</v>
      </c>
      <c r="B263" s="6">
        <v>1991.26</v>
      </c>
      <c r="C263" s="36">
        <v>46238</v>
      </c>
      <c r="D263" s="6" t="s">
        <v>19438</v>
      </c>
      <c r="E263" s="37">
        <v>10000</v>
      </c>
      <c r="G263" s="39" t="str">
        <f t="shared" ref="G263" si="181">IF(AG263="","GRN Not Received",AW263/AG263)</f>
        <v>GRN Not Received</v>
      </c>
      <c r="H263" s="40" t="str">
        <f t="shared" ref="H263" si="182">IF(E263="PRF_Details_Not Availbale","PRF Qty Not Available",IF(G263="GRN Not Received","GRN Not Received",--E263*--G263))</f>
        <v>GRN Not Received</v>
      </c>
      <c r="I263" s="6" t="s">
        <v>20133</v>
      </c>
      <c r="J263" s="36">
        <v>46239</v>
      </c>
      <c r="K263" s="41">
        <v>10000</v>
      </c>
      <c r="L263" s="42">
        <v>1.1000000000000001</v>
      </c>
      <c r="M263" s="42">
        <f t="shared" si="164"/>
        <v>11000</v>
      </c>
      <c r="N263" s="42">
        <v>0</v>
      </c>
      <c r="O263" s="42">
        <v>0</v>
      </c>
      <c r="P263" s="42">
        <f t="shared" ref="P263" si="183">M263+O263</f>
        <v>11000</v>
      </c>
      <c r="Q263" s="38" t="s">
        <v>20134</v>
      </c>
      <c r="R263" s="36">
        <v>46238</v>
      </c>
      <c r="S263" s="6" t="s">
        <v>19499</v>
      </c>
      <c r="T263" s="50" t="s">
        <v>16042</v>
      </c>
      <c r="U263" s="6" t="str">
        <f>IFERROR(VLOOKUP(T263,'item master'!B:C,2,0),"")</f>
        <v>HEPAQUE (HEPARIN) 25000UI/5ML INJ. B/1 VIAL</v>
      </c>
      <c r="V263" s="41">
        <v>10000</v>
      </c>
      <c r="X263" s="44">
        <v>1.1000000000000001</v>
      </c>
      <c r="Y263" s="42">
        <f t="shared" ref="Y263:Y271" si="184">V263*X263</f>
        <v>11000</v>
      </c>
      <c r="Z263" s="42">
        <v>0</v>
      </c>
      <c r="AA263" s="42">
        <f t="shared" ref="AA263" si="185">Y263+Z263</f>
        <v>11000</v>
      </c>
      <c r="AB263" s="45">
        <v>0.3</v>
      </c>
      <c r="AC263" s="42">
        <f t="shared" ref="AC263" si="186">Y263*AB263</f>
        <v>3300</v>
      </c>
    </row>
    <row r="264" spans="1:56" hidden="1" x14ac:dyDescent="0.25">
      <c r="A264" s="6" t="s">
        <v>19436</v>
      </c>
      <c r="B264" s="6">
        <v>2006.26</v>
      </c>
      <c r="C264" s="36">
        <v>46242</v>
      </c>
      <c r="D264" s="6" t="s">
        <v>19438</v>
      </c>
      <c r="E264" s="37">
        <v>20000</v>
      </c>
      <c r="G264" s="39" t="str">
        <f t="shared" ref="G264" si="187">IF(AG264="","GRN Not Received",AW264/AG264)</f>
        <v>GRN Not Received</v>
      </c>
      <c r="H264" s="40" t="str">
        <f t="shared" ref="H264" si="188">IF(E264="PRF_Details_Not Availbale","PRF Qty Not Available",IF(G264="GRN Not Received","GRN Not Received",--E264*--G264))</f>
        <v>GRN Not Received</v>
      </c>
      <c r="I264" s="6" t="s">
        <v>20135</v>
      </c>
      <c r="J264" s="36">
        <v>46244</v>
      </c>
      <c r="K264" s="41">
        <v>20000</v>
      </c>
      <c r="L264" s="42">
        <v>0.85</v>
      </c>
      <c r="M264" s="42">
        <f t="shared" si="164"/>
        <v>17000</v>
      </c>
      <c r="N264" s="42">
        <v>0</v>
      </c>
      <c r="O264" s="42">
        <v>0</v>
      </c>
      <c r="P264" s="42">
        <f t="shared" ref="P264:P272" si="189">M264+O264</f>
        <v>17000</v>
      </c>
      <c r="Q264" s="38" t="s">
        <v>20136</v>
      </c>
      <c r="R264" s="36">
        <v>46241</v>
      </c>
      <c r="S264" s="6" t="s">
        <v>19528</v>
      </c>
      <c r="T264" s="50" t="s">
        <v>17011</v>
      </c>
      <c r="U264" s="6" t="str">
        <f>IFERROR(VLOOKUP(T264,'item master'!B:C,2,0),"")</f>
        <v>DUPHASFEM-10 (DYDROGESTERONE) B/1X10 CES</v>
      </c>
      <c r="V264" s="41">
        <v>20000</v>
      </c>
      <c r="X264" s="44">
        <v>0.85</v>
      </c>
      <c r="Y264" s="42">
        <f t="shared" si="184"/>
        <v>17000</v>
      </c>
      <c r="Z264" s="42">
        <v>0</v>
      </c>
      <c r="AA264" s="42">
        <f t="shared" ref="AA264:AA265" si="190">Y264+Z264</f>
        <v>17000</v>
      </c>
      <c r="AB264" s="45">
        <v>0.5</v>
      </c>
      <c r="AC264" s="42">
        <f t="shared" ref="AC264:AC265" si="191">Y264*AB264</f>
        <v>8500</v>
      </c>
    </row>
    <row r="265" spans="1:56" hidden="1" x14ac:dyDescent="0.25">
      <c r="A265" s="6" t="s">
        <v>19436</v>
      </c>
      <c r="B265" s="6">
        <v>2028.26</v>
      </c>
      <c r="C265" s="36">
        <v>46252</v>
      </c>
      <c r="D265" s="6" t="s">
        <v>19438</v>
      </c>
      <c r="E265" s="37">
        <v>30000</v>
      </c>
      <c r="F265" s="38" t="s">
        <v>19702</v>
      </c>
      <c r="I265" s="6" t="s">
        <v>20137</v>
      </c>
      <c r="J265" s="36">
        <v>46253</v>
      </c>
      <c r="K265" s="41">
        <v>30000</v>
      </c>
      <c r="L265" s="42">
        <v>0.27</v>
      </c>
      <c r="M265" s="42">
        <f t="shared" ref="M265:M280" si="192">K265*L265</f>
        <v>8100.0000000000009</v>
      </c>
      <c r="N265" s="42">
        <v>0</v>
      </c>
      <c r="O265" s="42">
        <v>0</v>
      </c>
      <c r="P265" s="42">
        <f t="shared" si="189"/>
        <v>8100.0000000000009</v>
      </c>
      <c r="Q265" s="38" t="s">
        <v>20138</v>
      </c>
      <c r="R265" s="36">
        <v>46253</v>
      </c>
      <c r="S265" s="6" t="s">
        <v>19480</v>
      </c>
      <c r="T265" s="50" t="s">
        <v>3740</v>
      </c>
      <c r="U265" s="6" t="str">
        <f>IFERROR(VLOOKUP(T265,'item master'!B:C,2,0),"")</f>
        <v>PREDNISOLONE 5MG B/10X10CES</v>
      </c>
      <c r="V265" s="41">
        <v>30000</v>
      </c>
      <c r="X265" s="44">
        <v>0.27</v>
      </c>
      <c r="Y265" s="42">
        <f t="shared" si="184"/>
        <v>8100.0000000000009</v>
      </c>
      <c r="Z265" s="42">
        <v>0</v>
      </c>
      <c r="AA265" s="42">
        <f t="shared" si="190"/>
        <v>8100.0000000000009</v>
      </c>
      <c r="AB265" s="45">
        <v>0.3</v>
      </c>
      <c r="AC265" s="42">
        <f t="shared" si="191"/>
        <v>2430</v>
      </c>
      <c r="AD265" s="42">
        <f t="shared" ref="AD265" si="193">AC265</f>
        <v>2430</v>
      </c>
    </row>
    <row r="266" spans="1:56" hidden="1" x14ac:dyDescent="0.25">
      <c r="A266" s="6" t="s">
        <v>19436</v>
      </c>
      <c r="B266" s="6">
        <v>2028.26</v>
      </c>
      <c r="C266" s="36">
        <v>46252</v>
      </c>
      <c r="D266" s="6" t="s">
        <v>19438</v>
      </c>
      <c r="E266" s="37">
        <v>20000</v>
      </c>
      <c r="F266" s="38" t="s">
        <v>19702</v>
      </c>
      <c r="I266" s="6" t="s">
        <v>20137</v>
      </c>
      <c r="J266" s="36">
        <v>46253</v>
      </c>
      <c r="K266" s="41">
        <v>20000</v>
      </c>
      <c r="L266" s="42">
        <v>0.28999999999999998</v>
      </c>
      <c r="M266" s="42">
        <f t="shared" si="192"/>
        <v>5800</v>
      </c>
      <c r="N266" s="42">
        <v>0</v>
      </c>
      <c r="O266" s="42">
        <v>0</v>
      </c>
      <c r="P266" s="42">
        <f t="shared" si="189"/>
        <v>5800</v>
      </c>
      <c r="Q266" s="38" t="s">
        <v>20138</v>
      </c>
      <c r="R266" s="36">
        <v>46253</v>
      </c>
      <c r="S266" s="6" t="s">
        <v>19480</v>
      </c>
      <c r="T266" s="50" t="s">
        <v>2290</v>
      </c>
      <c r="U266" s="6" t="str">
        <f>IFERROR(VLOOKUP(T266,'item master'!B:C,2,0),"")</f>
        <v>FRUSEMIDE B/10X10CES</v>
      </c>
      <c r="V266" s="41">
        <v>20000</v>
      </c>
      <c r="X266" s="44">
        <v>0.28999999999999998</v>
      </c>
      <c r="Y266" s="42">
        <f t="shared" si="184"/>
        <v>5800</v>
      </c>
      <c r="Z266" s="42">
        <v>0</v>
      </c>
      <c r="AA266" s="42">
        <f t="shared" ref="AA266:AA271" si="194">Y266+Z266</f>
        <v>5800</v>
      </c>
      <c r="AB266" s="45">
        <v>0.3</v>
      </c>
      <c r="AC266" s="42">
        <f t="shared" ref="AC266:AC271" si="195">Y266*AB266</f>
        <v>1740</v>
      </c>
      <c r="AD266" s="42">
        <f t="shared" ref="AD266:AD271" si="196">AC266</f>
        <v>1740</v>
      </c>
    </row>
    <row r="267" spans="1:56" hidden="1" x14ac:dyDescent="0.25">
      <c r="A267" s="6" t="s">
        <v>19436</v>
      </c>
      <c r="B267" s="6">
        <v>1838.26</v>
      </c>
      <c r="C267" s="36">
        <v>46114</v>
      </c>
      <c r="D267" s="6" t="s">
        <v>19438</v>
      </c>
      <c r="E267" s="37">
        <v>14480</v>
      </c>
      <c r="G267" s="39">
        <f t="shared" ref="G267:G271" si="197">IF(AG267="","GRN Not Received",AW267/AG267)</f>
        <v>0</v>
      </c>
      <c r="H267" s="40">
        <f t="shared" ref="H267:H271" si="198">IF(E267="PRF_Details_Not Availbale","PRF Qty Not Available",IF(G267="GRN Not Received","GRN Not Received",--E267*--G267))</f>
        <v>0</v>
      </c>
      <c r="I267" s="6" t="s">
        <v>20139</v>
      </c>
      <c r="J267" s="36">
        <v>46115</v>
      </c>
      <c r="K267" s="41">
        <v>14480</v>
      </c>
      <c r="L267" s="42">
        <v>0.28000000000000003</v>
      </c>
      <c r="M267" s="42">
        <f t="shared" si="192"/>
        <v>4054.4000000000005</v>
      </c>
      <c r="N267" s="42">
        <v>0</v>
      </c>
      <c r="O267" s="42">
        <v>0</v>
      </c>
      <c r="P267" s="42">
        <f t="shared" si="189"/>
        <v>4054.4000000000005</v>
      </c>
      <c r="Q267" s="38">
        <v>242026</v>
      </c>
      <c r="R267" s="74">
        <v>46114</v>
      </c>
      <c r="S267" s="6" t="s">
        <v>19489</v>
      </c>
      <c r="T267" s="50" t="s">
        <v>16589</v>
      </c>
      <c r="U267" s="6" t="str">
        <f>IFERROR(VLOOKUP(T267,'item master'!B:C,2,0),"")</f>
        <v>DELABACT SAVON ***125GM***</v>
      </c>
      <c r="V267" s="41">
        <v>14480</v>
      </c>
      <c r="X267" s="44">
        <v>0.28000000000000003</v>
      </c>
      <c r="Y267" s="42">
        <f t="shared" si="184"/>
        <v>4054.4000000000005</v>
      </c>
      <c r="Z267" s="42">
        <v>0</v>
      </c>
      <c r="AA267" s="42">
        <f t="shared" si="194"/>
        <v>4054.4000000000005</v>
      </c>
      <c r="AB267" s="45">
        <v>0.5</v>
      </c>
      <c r="AC267" s="42">
        <f t="shared" si="195"/>
        <v>2027.2000000000003</v>
      </c>
      <c r="AD267" s="42">
        <f t="shared" si="196"/>
        <v>2027.2000000000003</v>
      </c>
      <c r="AE267" s="36">
        <v>46120</v>
      </c>
      <c r="AF267" s="6" t="s">
        <v>20140</v>
      </c>
      <c r="AG267" s="41">
        <v>14400</v>
      </c>
      <c r="AH267" s="41">
        <v>14400</v>
      </c>
      <c r="AJ267" s="41">
        <f t="shared" ref="AJ267:AJ274" si="199">V267-AG267</f>
        <v>80</v>
      </c>
      <c r="AN267" s="41">
        <v>0.28000000000000003</v>
      </c>
      <c r="AO267" s="46">
        <f t="shared" ref="AO267:AO280" si="200">AG267*AN267</f>
        <v>4032.0000000000005</v>
      </c>
      <c r="AP267" s="42">
        <f>AO267*AP284</f>
        <v>0</v>
      </c>
      <c r="AS267" s="42">
        <f t="shared" ref="AS267:AS280" si="201">AO267+AP267+AQ267+AR267</f>
        <v>4032.0000000000005</v>
      </c>
      <c r="AV267" s="6" t="s">
        <v>19584</v>
      </c>
      <c r="BA267" s="42">
        <f t="shared" ref="BA267:BA271" si="202">AD267+AZ267</f>
        <v>2027.2000000000003</v>
      </c>
      <c r="BB267" s="46">
        <v>0</v>
      </c>
      <c r="BC267" s="46">
        <v>0</v>
      </c>
      <c r="BD267" s="46" t="str">
        <f t="shared" ref="BD267:BD271" si="203">IF(AK267&gt;0,BA267+BB267+BC267,"0")</f>
        <v>0</v>
      </c>
    </row>
    <row r="268" spans="1:56" hidden="1" x14ac:dyDescent="0.25">
      <c r="A268" s="6" t="s">
        <v>19436</v>
      </c>
      <c r="B268" s="6">
        <v>1838.26</v>
      </c>
      <c r="C268" s="36">
        <v>46114</v>
      </c>
      <c r="D268" s="6" t="s">
        <v>19438</v>
      </c>
      <c r="E268" s="37">
        <v>200000</v>
      </c>
      <c r="G268" s="39">
        <f t="shared" si="197"/>
        <v>0</v>
      </c>
      <c r="H268" s="40">
        <f t="shared" si="198"/>
        <v>0</v>
      </c>
      <c r="I268" s="6" t="s">
        <v>20139</v>
      </c>
      <c r="J268" s="36">
        <v>46115</v>
      </c>
      <c r="K268" s="41">
        <v>200000</v>
      </c>
      <c r="L268" s="42">
        <v>0.185</v>
      </c>
      <c r="M268" s="42">
        <f t="shared" si="192"/>
        <v>37000</v>
      </c>
      <c r="N268" s="42">
        <v>0</v>
      </c>
      <c r="O268" s="42">
        <v>0</v>
      </c>
      <c r="P268" s="42">
        <f t="shared" si="189"/>
        <v>37000</v>
      </c>
      <c r="Q268" s="38">
        <v>242026</v>
      </c>
      <c r="R268" s="74">
        <v>46114</v>
      </c>
      <c r="S268" s="6" t="s">
        <v>19489</v>
      </c>
      <c r="T268" s="50" t="s">
        <v>9730</v>
      </c>
      <c r="U268" s="6" t="str">
        <f>IFERROR(VLOOKUP(T268,'item master'!B:C,2,0),"")</f>
        <v>DELABACT SAVON 75GM</v>
      </c>
      <c r="V268" s="41">
        <v>200000</v>
      </c>
      <c r="X268" s="44">
        <v>0.185</v>
      </c>
      <c r="Y268" s="42">
        <f t="shared" si="184"/>
        <v>37000</v>
      </c>
      <c r="Z268" s="42">
        <v>0</v>
      </c>
      <c r="AA268" s="42">
        <f t="shared" si="194"/>
        <v>37000</v>
      </c>
      <c r="AB268" s="45">
        <v>0.5</v>
      </c>
      <c r="AC268" s="42">
        <f t="shared" si="195"/>
        <v>18500</v>
      </c>
      <c r="AD268" s="42">
        <f t="shared" si="196"/>
        <v>18500</v>
      </c>
      <c r="AE268" s="36">
        <v>46120</v>
      </c>
      <c r="AF268" s="6" t="s">
        <v>20140</v>
      </c>
      <c r="AG268" s="41">
        <v>99936</v>
      </c>
      <c r="AH268" s="41">
        <v>99936</v>
      </c>
      <c r="AJ268" s="41">
        <f t="shared" si="199"/>
        <v>100064</v>
      </c>
      <c r="AN268" s="41">
        <v>0.185</v>
      </c>
      <c r="AO268" s="46">
        <f t="shared" si="200"/>
        <v>18488.16</v>
      </c>
      <c r="AP268" s="42">
        <f>AO268*AP284</f>
        <v>0</v>
      </c>
      <c r="AS268" s="42">
        <f t="shared" si="201"/>
        <v>18488.16</v>
      </c>
      <c r="AV268" s="6" t="s">
        <v>19584</v>
      </c>
      <c r="BA268" s="42">
        <f t="shared" si="202"/>
        <v>18500</v>
      </c>
      <c r="BB268" s="46">
        <v>0</v>
      </c>
      <c r="BC268" s="46">
        <v>0</v>
      </c>
      <c r="BD268" s="46" t="str">
        <f t="shared" si="203"/>
        <v>0</v>
      </c>
    </row>
    <row r="269" spans="1:56" hidden="1" x14ac:dyDescent="0.25">
      <c r="A269" s="6" t="s">
        <v>19436</v>
      </c>
      <c r="B269" s="6">
        <v>1838.26</v>
      </c>
      <c r="C269" s="36">
        <v>46114</v>
      </c>
      <c r="D269" s="6" t="s">
        <v>19438</v>
      </c>
      <c r="E269" s="37">
        <v>20000</v>
      </c>
      <c r="G269" s="39">
        <f t="shared" si="197"/>
        <v>0</v>
      </c>
      <c r="H269" s="40">
        <f t="shared" si="198"/>
        <v>0</v>
      </c>
      <c r="I269" s="6" t="s">
        <v>20139</v>
      </c>
      <c r="J269" s="36">
        <v>46115</v>
      </c>
      <c r="K269" s="41">
        <v>20000</v>
      </c>
      <c r="L269" s="42">
        <v>0.19500000000000001</v>
      </c>
      <c r="M269" s="42">
        <f t="shared" si="192"/>
        <v>3900</v>
      </c>
      <c r="N269" s="42">
        <v>0</v>
      </c>
      <c r="O269" s="42">
        <v>0</v>
      </c>
      <c r="P269" s="42">
        <f t="shared" si="189"/>
        <v>3900</v>
      </c>
      <c r="Q269" s="38">
        <v>242026</v>
      </c>
      <c r="R269" s="74">
        <v>46114</v>
      </c>
      <c r="S269" s="6" t="s">
        <v>19489</v>
      </c>
      <c r="T269" s="50" t="s">
        <v>17079</v>
      </c>
      <c r="U269" s="6" t="str">
        <f>IFERROR(VLOOKUP(T269,'item master'!B:C,2,0),"")</f>
        <v>20 DEGRE SAVON DE BEAUTE PAPAYE 75G</v>
      </c>
      <c r="V269" s="41">
        <v>20000</v>
      </c>
      <c r="X269" s="44">
        <v>0.19500000000000001</v>
      </c>
      <c r="Y269" s="42">
        <f t="shared" si="184"/>
        <v>3900</v>
      </c>
      <c r="Z269" s="42">
        <v>0</v>
      </c>
      <c r="AA269" s="42">
        <f t="shared" si="194"/>
        <v>3900</v>
      </c>
      <c r="AB269" s="45">
        <v>0.5</v>
      </c>
      <c r="AC269" s="42">
        <f t="shared" si="195"/>
        <v>1950</v>
      </c>
      <c r="AD269" s="42">
        <f t="shared" si="196"/>
        <v>1950</v>
      </c>
      <c r="AE269" s="36">
        <v>46120</v>
      </c>
      <c r="AF269" s="6" t="s">
        <v>20140</v>
      </c>
      <c r="AG269" s="41">
        <v>20736</v>
      </c>
      <c r="AH269" s="41">
        <v>20736</v>
      </c>
      <c r="AJ269" s="41">
        <f t="shared" si="199"/>
        <v>-736</v>
      </c>
      <c r="AN269" s="41">
        <v>0.19500000000000001</v>
      </c>
      <c r="AO269" s="46">
        <f t="shared" si="200"/>
        <v>4043.52</v>
      </c>
      <c r="AP269" s="42">
        <f>AO269*AP284</f>
        <v>0</v>
      </c>
      <c r="AS269" s="42">
        <f t="shared" si="201"/>
        <v>4043.52</v>
      </c>
      <c r="AV269" s="6" t="s">
        <v>19584</v>
      </c>
      <c r="BA269" s="42">
        <f t="shared" si="202"/>
        <v>1950</v>
      </c>
      <c r="BB269" s="46">
        <v>0</v>
      </c>
      <c r="BC269" s="46">
        <v>0</v>
      </c>
      <c r="BD269" s="46" t="str">
        <f t="shared" si="203"/>
        <v>0</v>
      </c>
    </row>
    <row r="270" spans="1:56" hidden="1" x14ac:dyDescent="0.25">
      <c r="A270" s="6" t="s">
        <v>19436</v>
      </c>
      <c r="B270" s="6">
        <v>1838.26</v>
      </c>
      <c r="C270" s="36">
        <v>46114</v>
      </c>
      <c r="D270" s="6" t="s">
        <v>19438</v>
      </c>
      <c r="E270" s="37">
        <v>14400</v>
      </c>
      <c r="G270" s="39">
        <f t="shared" si="197"/>
        <v>0</v>
      </c>
      <c r="H270" s="40">
        <f t="shared" si="198"/>
        <v>0</v>
      </c>
      <c r="I270" s="6" t="s">
        <v>20139</v>
      </c>
      <c r="J270" s="36">
        <v>46115</v>
      </c>
      <c r="K270" s="41">
        <v>14400</v>
      </c>
      <c r="L270" s="42">
        <v>0.26600000000000001</v>
      </c>
      <c r="M270" s="42">
        <f t="shared" si="192"/>
        <v>3830.4</v>
      </c>
      <c r="N270" s="42">
        <v>0</v>
      </c>
      <c r="O270" s="42">
        <v>0</v>
      </c>
      <c r="P270" s="42">
        <f t="shared" si="189"/>
        <v>3830.4</v>
      </c>
      <c r="Q270" s="38">
        <v>242026</v>
      </c>
      <c r="R270" s="74">
        <v>46114</v>
      </c>
      <c r="S270" s="6" t="s">
        <v>19489</v>
      </c>
      <c r="T270" s="50" t="s">
        <v>16591</v>
      </c>
      <c r="U270" s="6" t="str">
        <f>IFERROR(VLOOKUP(T270,'item master'!B:C,2,0),"")</f>
        <v>KETOMIZ SAVON 75GM</v>
      </c>
      <c r="V270" s="41">
        <v>14400</v>
      </c>
      <c r="X270" s="44">
        <v>0.26600000000000001</v>
      </c>
      <c r="Y270" s="42">
        <f t="shared" si="184"/>
        <v>3830.4</v>
      </c>
      <c r="Z270" s="42">
        <v>0</v>
      </c>
      <c r="AA270" s="42">
        <f t="shared" si="194"/>
        <v>3830.4</v>
      </c>
      <c r="AB270" s="45">
        <v>0.5</v>
      </c>
      <c r="AC270" s="42">
        <f t="shared" si="195"/>
        <v>1915.2</v>
      </c>
      <c r="AD270" s="42">
        <f t="shared" si="196"/>
        <v>1915.2</v>
      </c>
      <c r="AE270" s="36">
        <v>46120</v>
      </c>
      <c r="AF270" s="6" t="s">
        <v>20140</v>
      </c>
      <c r="AG270" s="41">
        <v>17280</v>
      </c>
      <c r="AH270" s="41">
        <v>17280</v>
      </c>
      <c r="AJ270" s="41">
        <f t="shared" si="199"/>
        <v>-2880</v>
      </c>
      <c r="AN270" s="41">
        <v>0.26600000000000001</v>
      </c>
      <c r="AO270" s="46">
        <f t="shared" si="200"/>
        <v>4596.4800000000005</v>
      </c>
      <c r="AP270" s="42">
        <f>AO270*AP284</f>
        <v>0</v>
      </c>
      <c r="AS270" s="42">
        <f t="shared" si="201"/>
        <v>4596.4800000000005</v>
      </c>
      <c r="AV270" s="6" t="s">
        <v>19584</v>
      </c>
      <c r="BA270" s="42">
        <f t="shared" si="202"/>
        <v>1915.2</v>
      </c>
      <c r="BB270" s="46">
        <v>0</v>
      </c>
      <c r="BC270" s="46">
        <v>0</v>
      </c>
      <c r="BD270" s="46" t="str">
        <f t="shared" si="203"/>
        <v>0</v>
      </c>
    </row>
    <row r="271" spans="1:56" hidden="1" x14ac:dyDescent="0.25">
      <c r="A271" s="6" t="s">
        <v>19436</v>
      </c>
      <c r="B271" s="6">
        <v>1838.26</v>
      </c>
      <c r="C271" s="36">
        <v>46114</v>
      </c>
      <c r="D271" s="6" t="s">
        <v>19438</v>
      </c>
      <c r="E271" s="37">
        <v>14400</v>
      </c>
      <c r="G271" s="39">
        <f t="shared" si="197"/>
        <v>0</v>
      </c>
      <c r="H271" s="40">
        <f t="shared" si="198"/>
        <v>0</v>
      </c>
      <c r="I271" s="6" t="s">
        <v>20139</v>
      </c>
      <c r="J271" s="36">
        <v>46115</v>
      </c>
      <c r="K271" s="41">
        <v>14400</v>
      </c>
      <c r="L271" s="42">
        <v>0.19</v>
      </c>
      <c r="M271" s="42">
        <f t="shared" si="192"/>
        <v>2736</v>
      </c>
      <c r="N271" s="42">
        <v>0</v>
      </c>
      <c r="O271" s="42">
        <v>0</v>
      </c>
      <c r="P271" s="42">
        <f t="shared" si="189"/>
        <v>2736</v>
      </c>
      <c r="Q271" s="38">
        <v>242026</v>
      </c>
      <c r="R271" s="74">
        <v>46114</v>
      </c>
      <c r="S271" s="6" t="s">
        <v>19489</v>
      </c>
      <c r="T271" s="50" t="s">
        <v>17089</v>
      </c>
      <c r="U271" s="6" t="str">
        <f>IFERROR(VLOOKUP(T271,'item master'!B:C,2,0),"")</f>
        <v>DELABACT SAVON HYDRATANT 75G (POUR UNE PEAU DOUCE, SAINE ET RAJEUNIE)</v>
      </c>
      <c r="V271" s="41">
        <v>14400</v>
      </c>
      <c r="X271" s="44">
        <v>0.19</v>
      </c>
      <c r="Y271" s="42">
        <f t="shared" si="184"/>
        <v>2736</v>
      </c>
      <c r="Z271" s="42">
        <v>0</v>
      </c>
      <c r="AA271" s="42">
        <f t="shared" si="194"/>
        <v>2736</v>
      </c>
      <c r="AB271" s="45">
        <v>0.5</v>
      </c>
      <c r="AC271" s="42">
        <f t="shared" si="195"/>
        <v>1368</v>
      </c>
      <c r="AD271" s="42">
        <f t="shared" si="196"/>
        <v>1368</v>
      </c>
      <c r="AE271" s="36">
        <v>46120</v>
      </c>
      <c r="AF271" s="6" t="s">
        <v>20140</v>
      </c>
      <c r="AG271" s="41">
        <v>17280</v>
      </c>
      <c r="AH271" s="41">
        <v>17280</v>
      </c>
      <c r="AJ271" s="41">
        <f t="shared" si="199"/>
        <v>-2880</v>
      </c>
      <c r="AN271" s="41">
        <v>0.19</v>
      </c>
      <c r="AO271" s="46">
        <f t="shared" si="200"/>
        <v>3283.2</v>
      </c>
      <c r="AP271" s="42">
        <f>AO271*AP284</f>
        <v>0</v>
      </c>
      <c r="AS271" s="42">
        <f t="shared" si="201"/>
        <v>3283.2</v>
      </c>
      <c r="AV271" s="6" t="s">
        <v>19584</v>
      </c>
      <c r="BA271" s="42">
        <f t="shared" si="202"/>
        <v>1368</v>
      </c>
      <c r="BB271" s="46">
        <v>0</v>
      </c>
      <c r="BC271" s="46">
        <v>0</v>
      </c>
      <c r="BD271" s="46" t="str">
        <f t="shared" si="203"/>
        <v>0</v>
      </c>
    </row>
    <row r="272" spans="1:56" hidden="1" x14ac:dyDescent="0.25">
      <c r="A272" s="6" t="s">
        <v>19436</v>
      </c>
      <c r="B272" s="6">
        <v>1832.26</v>
      </c>
      <c r="C272" s="36">
        <v>46113</v>
      </c>
      <c r="D272" s="6" t="s">
        <v>19438</v>
      </c>
      <c r="E272" s="37">
        <v>15000</v>
      </c>
      <c r="F272" s="38" t="s">
        <v>20150</v>
      </c>
      <c r="G272" s="39">
        <f t="shared" ref="G272:G273" si="204">IF(AG272="","GRN Not Received",AW272/AG272)</f>
        <v>0</v>
      </c>
      <c r="H272" s="40">
        <f t="shared" ref="H272:H273" si="205">IF(E272="PRF_Details_Not Availbale","PRF Qty Not Available",IF(G272="GRN Not Received","GRN Not Received",--E272*--G272))</f>
        <v>0</v>
      </c>
      <c r="I272" s="6" t="s">
        <v>20141</v>
      </c>
      <c r="J272" s="74">
        <v>46114</v>
      </c>
      <c r="K272" s="37">
        <v>15000</v>
      </c>
      <c r="L272" s="42">
        <v>0.3</v>
      </c>
      <c r="M272" s="42">
        <f t="shared" si="192"/>
        <v>4500</v>
      </c>
      <c r="N272" s="42">
        <v>0</v>
      </c>
      <c r="O272" s="42">
        <v>0</v>
      </c>
      <c r="P272" s="42">
        <f t="shared" si="189"/>
        <v>4500</v>
      </c>
      <c r="Q272" s="38" t="s">
        <v>20151</v>
      </c>
      <c r="R272" s="6" t="s">
        <v>20152</v>
      </c>
      <c r="S272" s="6" t="s">
        <v>19518</v>
      </c>
      <c r="T272" s="50" t="s">
        <v>20142</v>
      </c>
      <c r="U272" s="6" t="str">
        <f>IFERROR(VLOOKUP(T272,'item master'!B:C,2,0),"")</f>
        <v>HIFER (FER+ACIDE FOLIC) B/ 3X10 CES</v>
      </c>
      <c r="V272" s="37">
        <v>15000</v>
      </c>
      <c r="X272" s="42">
        <v>0.3</v>
      </c>
      <c r="Y272" s="42">
        <f t="shared" ref="Y272:Y280" si="206">V272*X272</f>
        <v>4500</v>
      </c>
      <c r="Z272" s="42">
        <v>0</v>
      </c>
      <c r="AA272" s="42">
        <f t="shared" ref="AA272:AA280" si="207">Y272+Z272</f>
        <v>4500</v>
      </c>
      <c r="AG272" s="41">
        <v>14930</v>
      </c>
      <c r="AH272" s="41">
        <v>14930</v>
      </c>
      <c r="AJ272" s="41">
        <f t="shared" si="199"/>
        <v>70</v>
      </c>
      <c r="AK272" s="6">
        <v>26</v>
      </c>
      <c r="AL272" s="36">
        <v>46192</v>
      </c>
      <c r="AN272" s="42">
        <v>0.3</v>
      </c>
      <c r="AO272" s="46">
        <f t="shared" si="200"/>
        <v>4479</v>
      </c>
      <c r="AP272" s="42">
        <v>253.32626253630337</v>
      </c>
      <c r="AQ272" s="42">
        <f>AO272*AP284</f>
        <v>0</v>
      </c>
      <c r="AS272" s="42">
        <f t="shared" si="201"/>
        <v>4732.3262625363031</v>
      </c>
      <c r="AT272" s="38">
        <v>2721512689</v>
      </c>
      <c r="AU272" s="36">
        <v>46254</v>
      </c>
      <c r="AV272" s="6" t="s">
        <v>19567</v>
      </c>
    </row>
    <row r="273" spans="1:48" hidden="1" x14ac:dyDescent="0.25">
      <c r="A273" s="6" t="s">
        <v>19436</v>
      </c>
      <c r="B273" s="6">
        <v>1832.26</v>
      </c>
      <c r="C273" s="36">
        <v>46113</v>
      </c>
      <c r="D273" s="6" t="s">
        <v>19438</v>
      </c>
      <c r="E273" s="37">
        <v>70000</v>
      </c>
      <c r="G273" s="6">
        <f t="shared" si="204"/>
        <v>0</v>
      </c>
      <c r="H273" s="40">
        <f t="shared" si="205"/>
        <v>0</v>
      </c>
      <c r="I273" s="6" t="s">
        <v>20141</v>
      </c>
      <c r="J273" s="74">
        <v>46114</v>
      </c>
      <c r="K273" s="37">
        <v>70000</v>
      </c>
      <c r="L273" s="42">
        <v>0.45</v>
      </c>
      <c r="M273" s="42">
        <f t="shared" si="192"/>
        <v>31500</v>
      </c>
      <c r="N273" s="42">
        <v>0</v>
      </c>
      <c r="O273" s="42">
        <v>0</v>
      </c>
      <c r="P273" s="42">
        <f t="shared" ref="P273:P280" si="208">M273+O273</f>
        <v>31500</v>
      </c>
      <c r="Q273" s="38" t="s">
        <v>20151</v>
      </c>
      <c r="R273" s="6" t="s">
        <v>20152</v>
      </c>
      <c r="S273" s="6" t="s">
        <v>19518</v>
      </c>
      <c r="T273" s="50" t="s">
        <v>20143</v>
      </c>
      <c r="U273" s="6" t="str">
        <f>IFERROR(VLOOKUP(T273,'item master'!B:C,2,0),"")</f>
        <v>HIFER-Z (ANTI-ANEMIC) SIROP 200ML</v>
      </c>
      <c r="V273" s="37">
        <v>70000</v>
      </c>
      <c r="X273" s="42">
        <v>0.45</v>
      </c>
      <c r="Y273" s="42">
        <f t="shared" si="206"/>
        <v>31500</v>
      </c>
      <c r="Z273" s="42">
        <v>0</v>
      </c>
      <c r="AA273" s="42">
        <f t="shared" si="207"/>
        <v>31500</v>
      </c>
      <c r="AG273" s="41">
        <v>19920</v>
      </c>
      <c r="AH273" s="41">
        <v>19920</v>
      </c>
      <c r="AJ273" s="41">
        <f t="shared" si="199"/>
        <v>50080</v>
      </c>
      <c r="AK273" s="6">
        <v>26</v>
      </c>
      <c r="AL273" s="36">
        <v>46192</v>
      </c>
      <c r="AN273" s="42">
        <v>0.45</v>
      </c>
      <c r="AO273" s="46">
        <f t="shared" si="200"/>
        <v>8964</v>
      </c>
      <c r="AP273" s="42">
        <v>506.99187706528767</v>
      </c>
      <c r="AQ273" s="42">
        <f>AO273*AP284</f>
        <v>0</v>
      </c>
      <c r="AS273" s="42">
        <f t="shared" si="201"/>
        <v>9470.9918770652876</v>
      </c>
      <c r="AT273" s="38">
        <v>2721512689</v>
      </c>
      <c r="AU273" s="36">
        <v>46254</v>
      </c>
      <c r="AV273" s="6" t="s">
        <v>19567</v>
      </c>
    </row>
    <row r="274" spans="1:48" hidden="1" x14ac:dyDescent="0.25">
      <c r="A274" s="6" t="s">
        <v>19436</v>
      </c>
      <c r="B274" s="6">
        <v>1832.26</v>
      </c>
      <c r="C274" s="36">
        <v>46113</v>
      </c>
      <c r="D274" s="6" t="s">
        <v>19438</v>
      </c>
      <c r="E274" s="37">
        <v>100000</v>
      </c>
      <c r="I274" s="6" t="s">
        <v>20141</v>
      </c>
      <c r="J274" s="74">
        <v>46114</v>
      </c>
      <c r="K274" s="37">
        <v>100000</v>
      </c>
      <c r="L274" s="42">
        <v>0.43</v>
      </c>
      <c r="M274" s="42">
        <f t="shared" si="192"/>
        <v>43000</v>
      </c>
      <c r="N274" s="42">
        <v>0</v>
      </c>
      <c r="O274" s="42">
        <v>0</v>
      </c>
      <c r="P274" s="42">
        <f t="shared" si="208"/>
        <v>43000</v>
      </c>
      <c r="Q274" s="38" t="s">
        <v>20151</v>
      </c>
      <c r="R274" s="6" t="s">
        <v>20152</v>
      </c>
      <c r="S274" s="6" t="s">
        <v>19518</v>
      </c>
      <c r="T274" s="50" t="s">
        <v>20144</v>
      </c>
      <c r="U274" s="6" t="str">
        <f>IFERROR(VLOOKUP(T274,'item master'!B:C,2,0),"")</f>
        <v>LUTHER (ARTE.+LUME.) SUSPENSION FL/ 60ML</v>
      </c>
      <c r="V274" s="37">
        <v>100000</v>
      </c>
      <c r="X274" s="42">
        <v>0.43</v>
      </c>
      <c r="Y274" s="42">
        <f t="shared" si="206"/>
        <v>43000</v>
      </c>
      <c r="Z274" s="42">
        <v>0</v>
      </c>
      <c r="AA274" s="42">
        <f t="shared" si="207"/>
        <v>43000</v>
      </c>
      <c r="AG274" s="41">
        <v>99130</v>
      </c>
      <c r="AH274" s="41">
        <v>99130</v>
      </c>
      <c r="AJ274" s="41">
        <f t="shared" si="199"/>
        <v>870</v>
      </c>
      <c r="AK274" s="6">
        <v>26</v>
      </c>
      <c r="AL274" s="36">
        <v>46192</v>
      </c>
      <c r="AN274" s="42">
        <v>0.43</v>
      </c>
      <c r="AO274" s="46">
        <f t="shared" si="200"/>
        <v>42625.9</v>
      </c>
      <c r="AP274" s="42">
        <v>2410.8640174695724</v>
      </c>
      <c r="AQ274" s="42">
        <f>AO274*AP284</f>
        <v>0</v>
      </c>
      <c r="AS274" s="42">
        <f t="shared" si="201"/>
        <v>45036.764017469577</v>
      </c>
      <c r="AT274" s="38">
        <v>2721512689</v>
      </c>
      <c r="AU274" s="36">
        <v>46254</v>
      </c>
      <c r="AV274" s="6" t="s">
        <v>19567</v>
      </c>
    </row>
    <row r="275" spans="1:48" hidden="1" x14ac:dyDescent="0.25">
      <c r="A275" s="6" t="s">
        <v>19436</v>
      </c>
      <c r="B275" s="6">
        <v>1832.26</v>
      </c>
      <c r="C275" s="36">
        <v>46113</v>
      </c>
      <c r="D275" s="6" t="s">
        <v>19438</v>
      </c>
      <c r="E275" s="37">
        <v>100000</v>
      </c>
      <c r="I275" s="6" t="s">
        <v>20141</v>
      </c>
      <c r="J275" s="74">
        <v>46114</v>
      </c>
      <c r="K275" s="37">
        <v>100000</v>
      </c>
      <c r="L275" s="42">
        <v>0.54</v>
      </c>
      <c r="M275" s="42">
        <f t="shared" si="192"/>
        <v>54000</v>
      </c>
      <c r="N275" s="42">
        <v>0</v>
      </c>
      <c r="O275" s="42">
        <v>0</v>
      </c>
      <c r="P275" s="42">
        <f t="shared" si="208"/>
        <v>54000</v>
      </c>
      <c r="Q275" s="38" t="s">
        <v>20151</v>
      </c>
      <c r="R275" s="6" t="s">
        <v>20152</v>
      </c>
      <c r="S275" s="6" t="s">
        <v>19518</v>
      </c>
      <c r="T275" s="50" t="s">
        <v>20145</v>
      </c>
      <c r="U275" s="6" t="str">
        <f>IFERROR(VLOOKUP(T275,'item master'!B:C,2,0),"")</f>
        <v>NOCIGEL (ANTIACIDE + ANTIFLATULENT) SUSP. 200ML</v>
      </c>
      <c r="V275" s="37">
        <v>100000</v>
      </c>
      <c r="X275" s="42">
        <v>0.54</v>
      </c>
      <c r="Y275" s="42">
        <f t="shared" si="206"/>
        <v>54000</v>
      </c>
      <c r="Z275" s="42">
        <v>0</v>
      </c>
      <c r="AA275" s="42">
        <f t="shared" si="207"/>
        <v>54000</v>
      </c>
      <c r="AN275" s="42">
        <v>0.54</v>
      </c>
      <c r="AO275" s="46">
        <f t="shared" si="200"/>
        <v>0</v>
      </c>
      <c r="AP275" s="42">
        <v>0</v>
      </c>
      <c r="AS275" s="42">
        <f t="shared" si="201"/>
        <v>0</v>
      </c>
    </row>
    <row r="276" spans="1:48" hidden="1" x14ac:dyDescent="0.25">
      <c r="A276" s="6" t="s">
        <v>19436</v>
      </c>
      <c r="B276" s="6">
        <v>1832.26</v>
      </c>
      <c r="C276" s="36">
        <v>46113</v>
      </c>
      <c r="D276" s="6" t="s">
        <v>19438</v>
      </c>
      <c r="E276" s="37">
        <v>60000</v>
      </c>
      <c r="I276" s="6" t="s">
        <v>20141</v>
      </c>
      <c r="J276" s="74">
        <v>46114</v>
      </c>
      <c r="K276" s="37">
        <v>60000</v>
      </c>
      <c r="L276" s="42">
        <v>0.316</v>
      </c>
      <c r="M276" s="42">
        <f t="shared" si="192"/>
        <v>18960</v>
      </c>
      <c r="N276" s="42">
        <v>0</v>
      </c>
      <c r="O276" s="42">
        <v>0</v>
      </c>
      <c r="P276" s="42">
        <f t="shared" si="208"/>
        <v>18960</v>
      </c>
      <c r="Q276" s="38" t="s">
        <v>20151</v>
      </c>
      <c r="R276" s="6" t="s">
        <v>20152</v>
      </c>
      <c r="S276" s="6" t="s">
        <v>19518</v>
      </c>
      <c r="T276" s="50" t="s">
        <v>20146</v>
      </c>
      <c r="U276" s="6" t="str">
        <f>IFERROR(VLOOKUP(T276,'item master'!B:C,2,0),"")</f>
        <v>OFLOQUE-OZ (OFLOXACINE+ORNIDA.) B/10 CES</v>
      </c>
      <c r="V276" s="37">
        <v>60000</v>
      </c>
      <c r="X276" s="42">
        <v>0.316</v>
      </c>
      <c r="Y276" s="42">
        <f t="shared" si="206"/>
        <v>18960</v>
      </c>
      <c r="Z276" s="42">
        <v>0</v>
      </c>
      <c r="AA276" s="42">
        <f t="shared" si="207"/>
        <v>18960</v>
      </c>
      <c r="AN276" s="42">
        <v>0.316</v>
      </c>
      <c r="AO276" s="46">
        <f t="shared" si="200"/>
        <v>0</v>
      </c>
      <c r="AP276" s="42">
        <v>0</v>
      </c>
      <c r="AS276" s="42">
        <f t="shared" si="201"/>
        <v>0</v>
      </c>
    </row>
    <row r="277" spans="1:48" hidden="1" x14ac:dyDescent="0.25">
      <c r="A277" s="6" t="s">
        <v>19436</v>
      </c>
      <c r="B277" s="6">
        <v>1832.26</v>
      </c>
      <c r="C277" s="36">
        <v>46113</v>
      </c>
      <c r="D277" s="6" t="s">
        <v>19438</v>
      </c>
      <c r="E277" s="37">
        <v>15000</v>
      </c>
      <c r="I277" s="6" t="s">
        <v>20141</v>
      </c>
      <c r="J277" s="74">
        <v>46114</v>
      </c>
      <c r="K277" s="37">
        <v>15000</v>
      </c>
      <c r="L277" s="42">
        <v>0.18</v>
      </c>
      <c r="M277" s="42">
        <f t="shared" si="192"/>
        <v>2700</v>
      </c>
      <c r="N277" s="42">
        <v>0</v>
      </c>
      <c r="O277" s="42">
        <v>0</v>
      </c>
      <c r="P277" s="42">
        <f t="shared" si="208"/>
        <v>2700</v>
      </c>
      <c r="Q277" s="38" t="s">
        <v>20151</v>
      </c>
      <c r="R277" s="6" t="s">
        <v>20152</v>
      </c>
      <c r="S277" s="6" t="s">
        <v>19518</v>
      </c>
      <c r="T277" s="50" t="s">
        <v>20147</v>
      </c>
      <c r="U277" s="6" t="str">
        <f>IFERROR(VLOOKUP(T277,'item master'!B:C,2,0),"")</f>
        <v>OTOBIOTIC GOUTTES OTIQUES 5ML</v>
      </c>
      <c r="V277" s="37">
        <v>15000</v>
      </c>
      <c r="X277" s="42">
        <v>0.18</v>
      </c>
      <c r="Y277" s="42">
        <f t="shared" si="206"/>
        <v>2700</v>
      </c>
      <c r="Z277" s="42">
        <v>0</v>
      </c>
      <c r="AA277" s="42">
        <f t="shared" si="207"/>
        <v>2700</v>
      </c>
      <c r="AG277" s="41">
        <v>14200</v>
      </c>
      <c r="AH277" s="41">
        <v>14200</v>
      </c>
      <c r="AJ277" s="41">
        <f t="shared" ref="AJ277:AJ280" si="209">V277-AG277</f>
        <v>800</v>
      </c>
      <c r="AK277" s="6">
        <v>26</v>
      </c>
      <c r="AL277" s="36">
        <v>46192</v>
      </c>
      <c r="AN277" s="42">
        <v>0.18</v>
      </c>
      <c r="AO277" s="46">
        <f t="shared" si="200"/>
        <v>2556</v>
      </c>
      <c r="AP277" s="42">
        <v>144.56394888206998</v>
      </c>
      <c r="AQ277" s="42">
        <f>AO277*AP284</f>
        <v>0</v>
      </c>
      <c r="AS277" s="42">
        <f t="shared" si="201"/>
        <v>2700.5639488820698</v>
      </c>
      <c r="AT277" s="38">
        <v>2721512689</v>
      </c>
      <c r="AU277" s="36">
        <v>46254</v>
      </c>
      <c r="AV277" s="6" t="s">
        <v>19567</v>
      </c>
    </row>
    <row r="278" spans="1:48" hidden="1" x14ac:dyDescent="0.25">
      <c r="A278" s="6" t="s">
        <v>19436</v>
      </c>
      <c r="B278" s="6">
        <v>1832.26</v>
      </c>
      <c r="C278" s="36">
        <v>46113</v>
      </c>
      <c r="D278" s="6" t="s">
        <v>19438</v>
      </c>
      <c r="E278" s="37">
        <v>10000</v>
      </c>
      <c r="I278" s="6" t="s">
        <v>20141</v>
      </c>
      <c r="J278" s="74">
        <v>46114</v>
      </c>
      <c r="K278" s="37">
        <v>10000</v>
      </c>
      <c r="L278" s="42">
        <v>0.17100000000000001</v>
      </c>
      <c r="M278" s="42">
        <f t="shared" si="192"/>
        <v>1710.0000000000002</v>
      </c>
      <c r="N278" s="42">
        <v>0</v>
      </c>
      <c r="O278" s="42">
        <v>0</v>
      </c>
      <c r="P278" s="42">
        <f t="shared" si="208"/>
        <v>1710.0000000000002</v>
      </c>
      <c r="Q278" s="38" t="s">
        <v>20151</v>
      </c>
      <c r="R278" s="6" t="s">
        <v>20152</v>
      </c>
      <c r="S278" s="6" t="s">
        <v>19518</v>
      </c>
      <c r="T278" s="50" t="s">
        <v>20148</v>
      </c>
      <c r="U278" s="6" t="str">
        <f>IFERROR(VLOOKUP(T278,'item master'!B:C,2,0),"")</f>
        <v>RABEQUE-D (RABEPRAZOLE+DOMPERI.) B/ 10 GELULES</v>
      </c>
      <c r="V278" s="37">
        <v>10000</v>
      </c>
      <c r="X278" s="42">
        <v>0.17100000000000001</v>
      </c>
      <c r="Y278" s="42">
        <f t="shared" si="206"/>
        <v>1710.0000000000002</v>
      </c>
      <c r="Z278" s="42">
        <v>0</v>
      </c>
      <c r="AA278" s="42">
        <f t="shared" si="207"/>
        <v>1710.0000000000002</v>
      </c>
      <c r="AN278" s="42">
        <v>0.17100000000000001</v>
      </c>
      <c r="AO278" s="46">
        <f t="shared" si="200"/>
        <v>0</v>
      </c>
      <c r="AP278" s="42">
        <v>0</v>
      </c>
      <c r="AS278" s="42">
        <f t="shared" si="201"/>
        <v>0</v>
      </c>
    </row>
    <row r="279" spans="1:48" hidden="1" x14ac:dyDescent="0.25">
      <c r="A279" s="6" t="s">
        <v>19436</v>
      </c>
      <c r="B279" s="6">
        <v>1832.26</v>
      </c>
      <c r="C279" s="36">
        <v>46113</v>
      </c>
      <c r="D279" s="6" t="s">
        <v>19438</v>
      </c>
      <c r="E279" s="37">
        <v>30000</v>
      </c>
      <c r="I279" s="6" t="s">
        <v>20141</v>
      </c>
      <c r="J279" s="74">
        <v>46114</v>
      </c>
      <c r="K279" s="37">
        <v>30000</v>
      </c>
      <c r="L279" s="42">
        <v>0.86</v>
      </c>
      <c r="M279" s="42">
        <f t="shared" si="192"/>
        <v>25800</v>
      </c>
      <c r="N279" s="42">
        <v>0</v>
      </c>
      <c r="O279" s="42">
        <v>0</v>
      </c>
      <c r="P279" s="42">
        <f t="shared" si="208"/>
        <v>25800</v>
      </c>
      <c r="Q279" s="38" t="s">
        <v>20151</v>
      </c>
      <c r="R279" s="6" t="s">
        <v>20152</v>
      </c>
      <c r="S279" s="6" t="s">
        <v>19518</v>
      </c>
      <c r="T279" s="50" t="s">
        <v>20149</v>
      </c>
      <c r="U279" s="6" t="str">
        <f>IFERROR(VLOOKUP(T279,'item master'!B:C,2,0),"")</f>
        <v>SUDROX 250MG (CEFADROXYL) POUDRE POUR SUSP. 100ML</v>
      </c>
      <c r="V279" s="37">
        <v>30000</v>
      </c>
      <c r="X279" s="42">
        <v>0.86</v>
      </c>
      <c r="Y279" s="42">
        <f t="shared" si="206"/>
        <v>25800</v>
      </c>
      <c r="Z279" s="42">
        <v>0</v>
      </c>
      <c r="AA279" s="42">
        <f t="shared" si="207"/>
        <v>25800</v>
      </c>
      <c r="AG279" s="41">
        <v>29400</v>
      </c>
      <c r="AH279" s="41">
        <v>29400</v>
      </c>
      <c r="AJ279" s="41">
        <f t="shared" si="209"/>
        <v>600</v>
      </c>
      <c r="AK279" s="6">
        <v>26</v>
      </c>
      <c r="AL279" s="36">
        <v>46192</v>
      </c>
      <c r="AN279" s="42">
        <v>0.86</v>
      </c>
      <c r="AO279" s="46">
        <f t="shared" si="200"/>
        <v>25284</v>
      </c>
      <c r="AP279" s="42">
        <v>1430.0292971573776</v>
      </c>
      <c r="AQ279" s="42">
        <f>AO279*AP284</f>
        <v>0</v>
      </c>
      <c r="AS279" s="42">
        <f t="shared" si="201"/>
        <v>26714.029297157376</v>
      </c>
      <c r="AT279" s="38">
        <v>2721512689</v>
      </c>
      <c r="AU279" s="36">
        <v>46254</v>
      </c>
      <c r="AV279" s="6" t="s">
        <v>19567</v>
      </c>
    </row>
    <row r="280" spans="1:48" hidden="1" x14ac:dyDescent="0.25">
      <c r="A280" s="6" t="s">
        <v>19436</v>
      </c>
      <c r="B280" s="6">
        <v>1832.26</v>
      </c>
      <c r="C280" s="36">
        <v>46113</v>
      </c>
      <c r="D280" s="6" t="s">
        <v>19438</v>
      </c>
      <c r="E280" s="37">
        <v>50000</v>
      </c>
      <c r="I280" s="6" t="s">
        <v>20141</v>
      </c>
      <c r="J280" s="74">
        <v>46114</v>
      </c>
      <c r="K280" s="37">
        <v>50000</v>
      </c>
      <c r="L280" s="42">
        <v>5.0999999999999997E-2</v>
      </c>
      <c r="M280" s="42">
        <f t="shared" si="192"/>
        <v>2550</v>
      </c>
      <c r="N280" s="42">
        <v>0</v>
      </c>
      <c r="O280" s="42">
        <v>0</v>
      </c>
      <c r="P280" s="42">
        <f t="shared" si="208"/>
        <v>2550</v>
      </c>
      <c r="Q280" s="38" t="s">
        <v>20151</v>
      </c>
      <c r="R280" s="6" t="s">
        <v>20152</v>
      </c>
      <c r="S280" s="6" t="s">
        <v>19518</v>
      </c>
      <c r="T280" s="50" t="s">
        <v>15648</v>
      </c>
      <c r="U280" s="6" t="str">
        <f>IFERROR(VLOOKUP(T280,'item master'!B:C,2,0),"")</f>
        <v>TINIDAZOLE 500MG B/4 CES (UNIQUE)</v>
      </c>
      <c r="V280" s="37">
        <v>50000</v>
      </c>
      <c r="X280" s="42">
        <v>5.0999999999999997E-2</v>
      </c>
      <c r="Y280" s="42">
        <f t="shared" si="206"/>
        <v>2550</v>
      </c>
      <c r="Z280" s="42">
        <v>0</v>
      </c>
      <c r="AA280" s="42">
        <f t="shared" si="207"/>
        <v>2550</v>
      </c>
      <c r="AG280" s="41">
        <v>50000</v>
      </c>
      <c r="AH280" s="41">
        <v>50000</v>
      </c>
      <c r="AJ280" s="41">
        <f t="shared" si="209"/>
        <v>0</v>
      </c>
      <c r="AK280" s="6">
        <v>26</v>
      </c>
      <c r="AL280" s="36">
        <v>46192</v>
      </c>
      <c r="AN280" s="42">
        <v>5.0999999999999997E-2</v>
      </c>
      <c r="AO280" s="46">
        <f t="shared" si="200"/>
        <v>2550</v>
      </c>
      <c r="AP280" s="42">
        <v>144.22459688938906</v>
      </c>
      <c r="AQ280" s="42">
        <f>AO280*AP284</f>
        <v>0</v>
      </c>
      <c r="AS280" s="42">
        <f t="shared" si="201"/>
        <v>2694.224596889389</v>
      </c>
      <c r="AT280" s="38">
        <v>2721512689</v>
      </c>
      <c r="AU280" s="36">
        <v>46254</v>
      </c>
      <c r="AV280" s="6" t="s">
        <v>19567</v>
      </c>
    </row>
    <row r="284" spans="1:48" x14ac:dyDescent="0.25">
      <c r="AP284" s="45"/>
    </row>
    <row r="1048567" spans="10:10" x14ac:dyDescent="0.25">
      <c r="J1048567" s="36"/>
    </row>
  </sheetData>
  <autoFilter ref="A1:BT280" xr:uid="{00000000-0001-0000-0000-000000000000}">
    <filterColumn colId="8">
      <filters>
        <filter val="072/2025"/>
      </filters>
    </filterColumn>
    <filterColumn colId="9">
      <filters>
        <dateGroupItem year="2025" dateTimeGrouping="year"/>
      </filters>
    </filterColumn>
    <filterColumn colId="18">
      <filters>
        <filter val="Pharmax India Pvt Ltd"/>
      </filters>
    </filterColumn>
    <filterColumn colId="47">
      <filters>
        <filter val="Goods Received at Warehouse"/>
      </filters>
    </filterColumn>
  </autoFilter>
  <phoneticPr fontId="8" type="noConversion"/>
  <conditionalFormatting sqref="B1:B1048576">
    <cfRule type="duplicateValues" dxfId="84" priority="12"/>
  </conditionalFormatting>
  <conditionalFormatting sqref="C9:C35">
    <cfRule type="duplicateValues" dxfId="83" priority="4"/>
  </conditionalFormatting>
  <conditionalFormatting sqref="E9:E35">
    <cfRule type="duplicateValues" dxfId="82" priority="3"/>
  </conditionalFormatting>
  <conditionalFormatting sqref="I1:I1048576">
    <cfRule type="duplicateValues" dxfId="81" priority="9"/>
  </conditionalFormatting>
  <conditionalFormatting sqref="N235:N236 N238:N241">
    <cfRule type="duplicateValues" dxfId="80" priority="5"/>
  </conditionalFormatting>
  <conditionalFormatting sqref="N236 N238:N241">
    <cfRule type="duplicateValues" dxfId="79" priority="6"/>
  </conditionalFormatting>
  <conditionalFormatting sqref="T2">
    <cfRule type="duplicateValues" dxfId="78" priority="87"/>
    <cfRule type="duplicateValues" dxfId="77" priority="88"/>
    <cfRule type="duplicateValues" dxfId="76" priority="89"/>
    <cfRule type="duplicateValues" dxfId="75" priority="90"/>
    <cfRule type="duplicateValues" dxfId="74" priority="91"/>
  </conditionalFormatting>
  <conditionalFormatting sqref="T9">
    <cfRule type="duplicateValues" dxfId="73" priority="52"/>
    <cfRule type="duplicateValues" dxfId="72" priority="53"/>
    <cfRule type="duplicateValues" dxfId="71" priority="54"/>
  </conditionalFormatting>
  <conditionalFormatting sqref="T26">
    <cfRule type="duplicateValues" dxfId="70" priority="47"/>
    <cfRule type="duplicateValues" dxfId="69" priority="48"/>
    <cfRule type="duplicateValues" dxfId="68" priority="49"/>
    <cfRule type="duplicateValues" dxfId="67" priority="50"/>
    <cfRule type="duplicateValues" dxfId="66" priority="51"/>
  </conditionalFormatting>
  <conditionalFormatting sqref="T39">
    <cfRule type="duplicateValues" dxfId="65" priority="65"/>
    <cfRule type="duplicateValues" dxfId="64" priority="66"/>
    <cfRule type="duplicateValues" dxfId="63" priority="67"/>
  </conditionalFormatting>
  <conditionalFormatting sqref="T42">
    <cfRule type="duplicateValues" dxfId="62" priority="60"/>
    <cfRule type="duplicateValues" dxfId="61" priority="61"/>
    <cfRule type="duplicateValues" dxfId="60" priority="62"/>
    <cfRule type="duplicateValues" dxfId="59" priority="63"/>
    <cfRule type="duplicateValues" dxfId="58" priority="64"/>
  </conditionalFormatting>
  <conditionalFormatting sqref="T43">
    <cfRule type="duplicateValues" dxfId="57" priority="55"/>
    <cfRule type="duplicateValues" dxfId="56" priority="56"/>
    <cfRule type="duplicateValues" dxfId="55" priority="57"/>
    <cfRule type="duplicateValues" dxfId="54" priority="58"/>
    <cfRule type="duplicateValues" dxfId="53" priority="59"/>
  </conditionalFormatting>
  <conditionalFormatting sqref="T53">
    <cfRule type="duplicateValues" dxfId="52" priority="68"/>
    <cfRule type="duplicateValues" dxfId="51" priority="69"/>
    <cfRule type="duplicateValues" dxfId="50" priority="70"/>
    <cfRule type="duplicateValues" dxfId="49" priority="71"/>
    <cfRule type="duplicateValues" dxfId="48" priority="72"/>
  </conditionalFormatting>
  <conditionalFormatting sqref="T70">
    <cfRule type="duplicateValues" dxfId="47" priority="81"/>
    <cfRule type="duplicateValues" dxfId="46" priority="82"/>
    <cfRule type="duplicateValues" dxfId="45" priority="83"/>
    <cfRule type="duplicateValues" dxfId="44" priority="84"/>
    <cfRule type="duplicateValues" dxfId="43" priority="85"/>
  </conditionalFormatting>
  <conditionalFormatting sqref="T71">
    <cfRule type="duplicateValues" dxfId="42" priority="76"/>
    <cfRule type="duplicateValues" dxfId="41" priority="77"/>
    <cfRule type="duplicateValues" dxfId="40" priority="78"/>
    <cfRule type="duplicateValues" dxfId="39" priority="79"/>
    <cfRule type="duplicateValues" dxfId="38" priority="80"/>
  </conditionalFormatting>
  <conditionalFormatting sqref="T73">
    <cfRule type="duplicateValues" dxfId="37" priority="42"/>
    <cfRule type="duplicateValues" dxfId="36" priority="43"/>
    <cfRule type="duplicateValues" dxfId="35" priority="44"/>
    <cfRule type="duplicateValues" dxfId="34" priority="45"/>
    <cfRule type="duplicateValues" dxfId="33" priority="46"/>
  </conditionalFormatting>
  <conditionalFormatting sqref="T74"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T222:T225">
    <cfRule type="duplicateValues" dxfId="27" priority="15"/>
    <cfRule type="duplicateValues" dxfId="26" priority="16"/>
    <cfRule type="duplicateValues" dxfId="25" priority="17"/>
    <cfRule type="duplicateValues" dxfId="24" priority="18"/>
    <cfRule type="duplicateValues" dxfId="23" priority="19"/>
  </conditionalFormatting>
  <conditionalFormatting sqref="T232:T233">
    <cfRule type="duplicateValues" dxfId="22" priority="13"/>
    <cfRule type="duplicateValues" dxfId="21" priority="14"/>
  </conditionalFormatting>
  <conditionalFormatting sqref="T237:T241">
    <cfRule type="duplicateValues" dxfId="20" priority="7"/>
    <cfRule type="duplicateValues" dxfId="19" priority="8"/>
  </conditionalFormatting>
  <conditionalFormatting sqref="T253">
    <cfRule type="duplicateValues" dxfId="18" priority="1"/>
    <cfRule type="duplicateValues" dxfId="17" priority="2"/>
  </conditionalFormatting>
  <conditionalFormatting sqref="U1:U1048576">
    <cfRule type="duplicateValues" dxfId="16" priority="36"/>
  </conditionalFormatting>
  <conditionalFormatting sqref="AX9:AX10">
    <cfRule type="duplicateValues" dxfId="15" priority="26"/>
    <cfRule type="duplicateValues" dxfId="14" priority="27"/>
  </conditionalFormatting>
  <conditionalFormatting sqref="AX14">
    <cfRule type="duplicateValues" dxfId="13" priority="24"/>
    <cfRule type="duplicateValues" dxfId="12" priority="25"/>
  </conditionalFormatting>
  <conditionalFormatting sqref="AX16">
    <cfRule type="duplicateValues" dxfId="11" priority="22"/>
    <cfRule type="duplicateValues" dxfId="10" priority="23"/>
  </conditionalFormatting>
  <conditionalFormatting sqref="AX18">
    <cfRule type="duplicateValues" dxfId="9" priority="20"/>
    <cfRule type="duplicateValues" dxfId="8" priority="21"/>
  </conditionalFormatting>
  <dataValidations count="1">
    <dataValidation type="list" allowBlank="1" showInputMessage="1" showErrorMessage="1" sqref="T1" xr:uid="{0DD810A4-B69A-4686-A7E2-D9851BA08D0D}">
      <formula1>$B:$B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AFF1F2-2488-498A-A34F-575F06D9326E}">
          <x14:formula1>
            <xm:f>Company!$A:$A</xm:f>
          </x14:formula1>
          <xm:sqref>A2 A58:A71</xm:sqref>
        </x14:dataValidation>
        <x14:dataValidation type="list" allowBlank="1" showInputMessage="1" showErrorMessage="1" xr:uid="{09615BB1-91A6-4A9A-8476-8C6939749CD5}">
          <x14:formula1>
            <xm:f>'item master'!$B:$B</xm:f>
          </x14:formula1>
          <xm:sqref>T49 T37 T42:T43 T39 T25:T26 T2:T9 T226:T231 T234:T236 T242:T252 T53:T221 T254:T1048576</xm:sqref>
        </x14:dataValidation>
        <x14:dataValidation type="list" allowBlank="1" showInputMessage="1" showErrorMessage="1" xr:uid="{A2BDD6B4-8139-4501-A92D-CEFDE7A5ABAF}">
          <x14:formula1>
            <xm:f>'PRF Location'!$A:$A</xm:f>
          </x14:formula1>
          <xm:sqref>D2:D1048576</xm:sqref>
        </x14:dataValidation>
        <x14:dataValidation type="list" allowBlank="1" showInputMessage="1" showErrorMessage="1" xr:uid="{8BF76558-311D-4F4E-B074-1C8415D2FE78}">
          <x14:formula1>
            <xm:f>'Supplier list'!$A:$A</xm:f>
          </x14:formula1>
          <xm:sqref>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64F3-D206-4AB4-84FB-4DC741427C97}">
  <dimension ref="A1:O23"/>
  <sheetViews>
    <sheetView workbookViewId="0">
      <selection activeCell="O18" sqref="O18:O22"/>
    </sheetView>
  </sheetViews>
  <sheetFormatPr defaultRowHeight="15" x14ac:dyDescent="0.25"/>
  <cols>
    <col min="12" max="12" width="11.28515625" bestFit="1" customWidth="1"/>
    <col min="13" max="13" width="9.85546875" bestFit="1" customWidth="1"/>
    <col min="14" max="14" width="24.140625" bestFit="1" customWidth="1"/>
    <col min="15" max="15" width="23.7109375" bestFit="1" customWidth="1"/>
    <col min="16" max="16" width="11.28515625" bestFit="1" customWidth="1"/>
  </cols>
  <sheetData>
    <row r="1" spans="1:15" x14ac:dyDescent="0.25">
      <c r="A1" s="33" t="s">
        <v>19687</v>
      </c>
      <c r="B1" s="33" t="s">
        <v>20009</v>
      </c>
      <c r="C1" s="33" t="s">
        <v>20010</v>
      </c>
      <c r="D1" t="s">
        <v>20014</v>
      </c>
      <c r="E1" t="s">
        <v>20024</v>
      </c>
    </row>
    <row r="2" spans="1:15" x14ac:dyDescent="0.25">
      <c r="A2" s="6">
        <v>1761.25</v>
      </c>
      <c r="B2" s="6" t="s">
        <v>19554</v>
      </c>
      <c r="C2" s="36">
        <v>46044</v>
      </c>
      <c r="D2">
        <v>35200</v>
      </c>
      <c r="E2">
        <v>10560</v>
      </c>
      <c r="N2" s="71" t="s">
        <v>20128</v>
      </c>
    </row>
    <row r="3" spans="1:15" x14ac:dyDescent="0.25">
      <c r="A3" s="6">
        <v>1761.25</v>
      </c>
      <c r="B3" s="6" t="s">
        <v>19554</v>
      </c>
      <c r="C3" s="36">
        <v>46044</v>
      </c>
      <c r="D3">
        <v>21600</v>
      </c>
      <c r="E3">
        <v>6480</v>
      </c>
      <c r="L3" s="71" t="s">
        <v>20010</v>
      </c>
      <c r="M3" s="71" t="s">
        <v>20009</v>
      </c>
      <c r="N3" t="s">
        <v>20127</v>
      </c>
      <c r="O3" t="s">
        <v>20129</v>
      </c>
    </row>
    <row r="4" spans="1:15" x14ac:dyDescent="0.25">
      <c r="A4" s="6">
        <v>1761.25</v>
      </c>
      <c r="B4" s="6" t="s">
        <v>19554</v>
      </c>
      <c r="C4" s="36">
        <v>46044</v>
      </c>
      <c r="D4">
        <v>10000</v>
      </c>
      <c r="E4">
        <v>3000</v>
      </c>
      <c r="L4" s="72">
        <v>46044</v>
      </c>
      <c r="M4" t="s">
        <v>19554</v>
      </c>
      <c r="N4">
        <v>77800</v>
      </c>
      <c r="O4">
        <v>23340</v>
      </c>
    </row>
    <row r="5" spans="1:15" x14ac:dyDescent="0.25">
      <c r="A5" s="6">
        <v>1772.26</v>
      </c>
      <c r="B5" s="6" t="s">
        <v>19554</v>
      </c>
      <c r="C5" s="36">
        <v>46044</v>
      </c>
      <c r="D5">
        <v>11000</v>
      </c>
      <c r="E5">
        <v>3300</v>
      </c>
      <c r="M5" t="s">
        <v>19557</v>
      </c>
      <c r="N5">
        <v>3240</v>
      </c>
      <c r="O5">
        <v>972</v>
      </c>
    </row>
    <row r="6" spans="1:15" x14ac:dyDescent="0.25">
      <c r="A6" s="6">
        <v>1765.25</v>
      </c>
      <c r="B6" s="6" t="s">
        <v>19557</v>
      </c>
      <c r="C6" s="36">
        <v>46044</v>
      </c>
      <c r="D6">
        <v>3240</v>
      </c>
      <c r="E6">
        <v>972</v>
      </c>
      <c r="L6" s="72">
        <v>46174</v>
      </c>
      <c r="M6" t="s">
        <v>19680</v>
      </c>
      <c r="N6">
        <v>154650</v>
      </c>
      <c r="O6">
        <v>46395</v>
      </c>
    </row>
    <row r="7" spans="1:15" x14ac:dyDescent="0.25">
      <c r="A7" s="6">
        <v>1911.26</v>
      </c>
      <c r="B7" s="6" t="s">
        <v>19679</v>
      </c>
      <c r="C7" s="36">
        <v>46205</v>
      </c>
      <c r="D7">
        <v>8300</v>
      </c>
      <c r="E7">
        <v>2490</v>
      </c>
      <c r="L7" s="72">
        <v>46205</v>
      </c>
      <c r="M7" t="s">
        <v>19679</v>
      </c>
      <c r="N7">
        <v>18200</v>
      </c>
      <c r="O7">
        <v>5460</v>
      </c>
    </row>
    <row r="8" spans="1:15" x14ac:dyDescent="0.25">
      <c r="A8" s="6">
        <v>1911.26</v>
      </c>
      <c r="B8" s="6" t="s">
        <v>19679</v>
      </c>
      <c r="C8" s="36">
        <v>46205</v>
      </c>
      <c r="D8">
        <v>4200</v>
      </c>
      <c r="E8">
        <v>1260</v>
      </c>
      <c r="L8" s="72" t="s">
        <v>20126</v>
      </c>
      <c r="N8">
        <v>253890</v>
      </c>
      <c r="O8">
        <v>76167</v>
      </c>
    </row>
    <row r="9" spans="1:15" x14ac:dyDescent="0.25">
      <c r="A9" s="6">
        <v>1911.26</v>
      </c>
      <c r="B9" s="6" t="s">
        <v>19679</v>
      </c>
      <c r="C9" s="36">
        <v>46205</v>
      </c>
      <c r="D9">
        <v>5699.9999999999991</v>
      </c>
      <c r="E9">
        <v>1709.9999999999998</v>
      </c>
    </row>
    <row r="10" spans="1:15" x14ac:dyDescent="0.25">
      <c r="A10" s="6">
        <v>1877.26</v>
      </c>
      <c r="B10" s="6" t="s">
        <v>19680</v>
      </c>
      <c r="C10" s="36">
        <v>46174</v>
      </c>
      <c r="D10">
        <v>39600</v>
      </c>
      <c r="E10">
        <v>11880</v>
      </c>
    </row>
    <row r="11" spans="1:15" x14ac:dyDescent="0.25">
      <c r="A11" s="6">
        <v>1877.26</v>
      </c>
      <c r="B11" s="6" t="s">
        <v>19680</v>
      </c>
      <c r="C11" s="36">
        <v>46174</v>
      </c>
      <c r="D11">
        <v>54000</v>
      </c>
      <c r="E11">
        <v>16200</v>
      </c>
    </row>
    <row r="12" spans="1:15" x14ac:dyDescent="0.25">
      <c r="A12" s="6">
        <v>1877.26</v>
      </c>
      <c r="B12" s="6" t="s">
        <v>19680</v>
      </c>
      <c r="C12" s="36">
        <v>46174</v>
      </c>
      <c r="D12">
        <v>3400</v>
      </c>
      <c r="E12">
        <v>1020</v>
      </c>
    </row>
    <row r="13" spans="1:15" x14ac:dyDescent="0.25">
      <c r="A13" s="6">
        <v>1877.26</v>
      </c>
      <c r="B13" s="6" t="s">
        <v>19680</v>
      </c>
      <c r="C13" s="36">
        <v>46174</v>
      </c>
      <c r="D13">
        <v>11000</v>
      </c>
      <c r="E13">
        <v>3300</v>
      </c>
    </row>
    <row r="14" spans="1:15" x14ac:dyDescent="0.25">
      <c r="A14" s="6">
        <v>1877.26</v>
      </c>
      <c r="B14" s="6" t="s">
        <v>19680</v>
      </c>
      <c r="C14" s="36">
        <v>46174</v>
      </c>
      <c r="D14">
        <v>3500</v>
      </c>
      <c r="E14">
        <v>1050</v>
      </c>
    </row>
    <row r="15" spans="1:15" x14ac:dyDescent="0.25">
      <c r="A15" s="6">
        <v>1877.26</v>
      </c>
      <c r="B15" s="6" t="s">
        <v>19680</v>
      </c>
      <c r="C15" s="36">
        <v>46174</v>
      </c>
      <c r="D15">
        <v>10500</v>
      </c>
      <c r="E15">
        <v>3150</v>
      </c>
    </row>
    <row r="16" spans="1:15" x14ac:dyDescent="0.25">
      <c r="A16" s="6">
        <v>1877.26</v>
      </c>
      <c r="B16" s="6" t="s">
        <v>19680</v>
      </c>
      <c r="C16" s="36">
        <v>46174</v>
      </c>
      <c r="D16">
        <v>11500</v>
      </c>
      <c r="E16">
        <v>3450</v>
      </c>
    </row>
    <row r="17" spans="1:15" x14ac:dyDescent="0.25">
      <c r="A17" s="6">
        <v>1877.26</v>
      </c>
      <c r="B17" s="6" t="s">
        <v>19680</v>
      </c>
      <c r="C17" s="36">
        <v>46174</v>
      </c>
      <c r="D17">
        <v>3200</v>
      </c>
      <c r="E17">
        <v>960</v>
      </c>
    </row>
    <row r="18" spans="1:15" x14ac:dyDescent="0.25">
      <c r="A18" s="6">
        <v>1877.26</v>
      </c>
      <c r="B18" s="6" t="s">
        <v>19680</v>
      </c>
      <c r="C18" s="36">
        <v>46174</v>
      </c>
      <c r="D18">
        <v>3500</v>
      </c>
      <c r="E18">
        <v>1050</v>
      </c>
      <c r="O18" t="str" cm="1">
        <f t="array" ref="O18:O23">_xlfn.UNIQUE(Data!AV:AV)</f>
        <v>Shipment_Status</v>
      </c>
    </row>
    <row r="19" spans="1:15" x14ac:dyDescent="0.25">
      <c r="A19" s="6">
        <v>1877.26</v>
      </c>
      <c r="B19" s="6" t="s">
        <v>19680</v>
      </c>
      <c r="C19" s="36">
        <v>46174</v>
      </c>
      <c r="D19">
        <v>5699.9999999999991</v>
      </c>
      <c r="E19">
        <v>1709.9999999999998</v>
      </c>
      <c r="O19" t="str">
        <v>PO Issued – Awaiting BL</v>
      </c>
    </row>
    <row r="20" spans="1:15" x14ac:dyDescent="0.25">
      <c r="A20" s="6">
        <v>1877.26</v>
      </c>
      <c r="B20" s="6" t="s">
        <v>19680</v>
      </c>
      <c r="C20" s="36">
        <v>46174</v>
      </c>
      <c r="D20">
        <v>8750</v>
      </c>
      <c r="E20">
        <v>2625</v>
      </c>
      <c r="O20" t="str">
        <v>Goods Received at Warehouse</v>
      </c>
    </row>
    <row r="21" spans="1:15" x14ac:dyDescent="0.25">
      <c r="O21" t="str">
        <v>Final Invoice Received  – Awaiting BL</v>
      </c>
    </row>
    <row r="22" spans="1:15" x14ac:dyDescent="0.25">
      <c r="O22" t="str">
        <v>Transit</v>
      </c>
    </row>
    <row r="23" spans="1:15" x14ac:dyDescent="0.25">
      <c r="O23">
        <v>0</v>
      </c>
    </row>
  </sheetData>
  <conditionalFormatting sqref="A1:A20">
    <cfRule type="duplicateValues" dxfId="7" priority="2"/>
  </conditionalFormatting>
  <conditionalFormatting sqref="B1:B20">
    <cfRule type="duplicateValues" dxfId="6" priority="1"/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3F45-5498-4D5B-9109-A4122E941EF9}">
  <dimension ref="B1:C71"/>
  <sheetViews>
    <sheetView workbookViewId="0">
      <selection activeCell="C5" sqref="C5"/>
    </sheetView>
  </sheetViews>
  <sheetFormatPr defaultRowHeight="15" x14ac:dyDescent="0.25"/>
  <cols>
    <col min="2" max="2" width="28.28515625" customWidth="1"/>
    <col min="3" max="3" width="64.28515625" customWidth="1"/>
  </cols>
  <sheetData>
    <row r="1" spans="2:3" x14ac:dyDescent="0.25">
      <c r="B1" s="31" t="s">
        <v>1</v>
      </c>
      <c r="C1" s="32" t="s">
        <v>20056</v>
      </c>
    </row>
    <row r="2" spans="2:3" x14ac:dyDescent="0.25">
      <c r="B2" s="30" t="s">
        <v>19687</v>
      </c>
      <c r="C2" t="s">
        <v>20057</v>
      </c>
    </row>
    <row r="3" spans="2:3" x14ac:dyDescent="0.25">
      <c r="B3" s="30" t="s">
        <v>19688</v>
      </c>
      <c r="C3" t="s">
        <v>20058</v>
      </c>
    </row>
    <row r="4" spans="2:3" x14ac:dyDescent="0.25">
      <c r="B4" s="30" t="s">
        <v>19689</v>
      </c>
      <c r="C4" t="s">
        <v>20059</v>
      </c>
    </row>
    <row r="5" spans="2:3" x14ac:dyDescent="0.25">
      <c r="B5" s="30" t="s">
        <v>20005</v>
      </c>
      <c r="C5" t="s">
        <v>20060</v>
      </c>
    </row>
    <row r="6" spans="2:3" x14ac:dyDescent="0.25">
      <c r="B6" s="30" t="s">
        <v>20006</v>
      </c>
      <c r="C6" t="s">
        <v>20061</v>
      </c>
    </row>
    <row r="7" spans="2:3" x14ac:dyDescent="0.25">
      <c r="B7" s="30" t="s">
        <v>20007</v>
      </c>
      <c r="C7" t="s">
        <v>20062</v>
      </c>
    </row>
    <row r="8" spans="2:3" x14ac:dyDescent="0.25">
      <c r="B8" s="30" t="s">
        <v>20008</v>
      </c>
      <c r="C8" t="s">
        <v>20063</v>
      </c>
    </row>
    <row r="9" spans="2:3" x14ac:dyDescent="0.25">
      <c r="B9" s="30" t="s">
        <v>20009</v>
      </c>
      <c r="C9" t="s">
        <v>20064</v>
      </c>
    </row>
    <row r="10" spans="2:3" x14ac:dyDescent="0.25">
      <c r="B10" s="30" t="s">
        <v>20010</v>
      </c>
      <c r="C10" t="s">
        <v>20065</v>
      </c>
    </row>
    <row r="11" spans="2:3" x14ac:dyDescent="0.25">
      <c r="B11" s="30" t="s">
        <v>20011</v>
      </c>
      <c r="C11" t="s">
        <v>20066</v>
      </c>
    </row>
    <row r="12" spans="2:3" x14ac:dyDescent="0.25">
      <c r="B12" s="30" t="s">
        <v>20012</v>
      </c>
      <c r="C12" t="s">
        <v>20067</v>
      </c>
    </row>
    <row r="13" spans="2:3" x14ac:dyDescent="0.25">
      <c r="B13" s="30" t="s">
        <v>20013</v>
      </c>
      <c r="C13" t="s">
        <v>20068</v>
      </c>
    </row>
    <row r="14" spans="2:3" x14ac:dyDescent="0.25">
      <c r="B14" s="30" t="s">
        <v>20053</v>
      </c>
      <c r="C14" t="s">
        <v>20069</v>
      </c>
    </row>
    <row r="15" spans="2:3" x14ac:dyDescent="0.25">
      <c r="B15" s="30" t="s">
        <v>20054</v>
      </c>
      <c r="C15" t="s">
        <v>20070</v>
      </c>
    </row>
    <row r="16" spans="2:3" x14ac:dyDescent="0.25">
      <c r="B16" s="30" t="s">
        <v>20014</v>
      </c>
      <c r="C16" t="s">
        <v>20071</v>
      </c>
    </row>
    <row r="17" spans="2:3" x14ac:dyDescent="0.25">
      <c r="B17" s="30" t="s">
        <v>20015</v>
      </c>
      <c r="C17" t="s">
        <v>20073</v>
      </c>
    </row>
    <row r="18" spans="2:3" x14ac:dyDescent="0.25">
      <c r="B18" s="30" t="s">
        <v>20016</v>
      </c>
      <c r="C18" t="s">
        <v>20074</v>
      </c>
    </row>
    <row r="19" spans="2:3" x14ac:dyDescent="0.25">
      <c r="B19" s="30" t="s">
        <v>19690</v>
      </c>
      <c r="C19" t="s">
        <v>20075</v>
      </c>
    </row>
    <row r="20" spans="2:3" x14ac:dyDescent="0.25">
      <c r="B20" s="30" t="s">
        <v>20017</v>
      </c>
      <c r="C20" t="s">
        <v>20076</v>
      </c>
    </row>
    <row r="21" spans="2:3" x14ac:dyDescent="0.25">
      <c r="B21" s="29" t="s">
        <v>19692</v>
      </c>
      <c r="C21" t="s">
        <v>20079</v>
      </c>
    </row>
    <row r="22" spans="2:3" x14ac:dyDescent="0.25">
      <c r="B22" s="30" t="s">
        <v>20018</v>
      </c>
      <c r="C22" t="s">
        <v>20077</v>
      </c>
    </row>
    <row r="23" spans="2:3" x14ac:dyDescent="0.25">
      <c r="B23" s="30" t="s">
        <v>20019</v>
      </c>
      <c r="C23" t="s">
        <v>20080</v>
      </c>
    </row>
    <row r="24" spans="2:3" x14ac:dyDescent="0.25">
      <c r="B24" s="30" t="s">
        <v>20020</v>
      </c>
      <c r="C24" t="s">
        <v>20078</v>
      </c>
    </row>
    <row r="25" spans="2:3" x14ac:dyDescent="0.25">
      <c r="B25" s="30" t="s">
        <v>20021</v>
      </c>
      <c r="C25" t="s">
        <v>20081</v>
      </c>
    </row>
    <row r="26" spans="2:3" x14ac:dyDescent="0.25">
      <c r="B26" s="30" t="s">
        <v>20055</v>
      </c>
      <c r="C26" t="s">
        <v>20055</v>
      </c>
    </row>
    <row r="27" spans="2:3" x14ac:dyDescent="0.25">
      <c r="B27" s="30" t="s">
        <v>20022</v>
      </c>
      <c r="C27" t="s">
        <v>20072</v>
      </c>
    </row>
    <row r="28" spans="2:3" x14ac:dyDescent="0.25">
      <c r="B28" s="30" t="s">
        <v>20023</v>
      </c>
      <c r="C28" s="30" t="s">
        <v>20023</v>
      </c>
    </row>
    <row r="29" spans="2:3" x14ac:dyDescent="0.25">
      <c r="B29" s="30" t="s">
        <v>20024</v>
      </c>
      <c r="C29" s="30" t="s">
        <v>20024</v>
      </c>
    </row>
    <row r="30" spans="2:3" x14ac:dyDescent="0.25">
      <c r="B30" s="30" t="s">
        <v>20025</v>
      </c>
      <c r="C30" s="30" t="s">
        <v>20025</v>
      </c>
    </row>
    <row r="31" spans="2:3" x14ac:dyDescent="0.25">
      <c r="B31" s="30" t="s">
        <v>20026</v>
      </c>
      <c r="C31" s="30" t="s">
        <v>20026</v>
      </c>
    </row>
    <row r="32" spans="2:3" x14ac:dyDescent="0.25">
      <c r="B32" s="30" t="s">
        <v>20027</v>
      </c>
      <c r="C32" s="30" t="s">
        <v>20027</v>
      </c>
    </row>
    <row r="33" spans="2:3" x14ac:dyDescent="0.25">
      <c r="B33" s="30" t="s">
        <v>20028</v>
      </c>
      <c r="C33" s="30" t="s">
        <v>20028</v>
      </c>
    </row>
    <row r="34" spans="2:3" x14ac:dyDescent="0.25">
      <c r="B34" s="30" t="s">
        <v>19712</v>
      </c>
      <c r="C34" s="30" t="s">
        <v>19712</v>
      </c>
    </row>
    <row r="35" spans="2:3" x14ac:dyDescent="0.25">
      <c r="B35" s="30" t="s">
        <v>20029</v>
      </c>
      <c r="C35" t="s">
        <v>20082</v>
      </c>
    </row>
    <row r="36" spans="2:3" x14ac:dyDescent="0.25">
      <c r="B36" s="30" t="s">
        <v>19693</v>
      </c>
      <c r="C36" s="30" t="s">
        <v>19693</v>
      </c>
    </row>
    <row r="37" spans="2:3" x14ac:dyDescent="0.25">
      <c r="B37" s="30" t="s">
        <v>20030</v>
      </c>
      <c r="C37" s="30" t="s">
        <v>20030</v>
      </c>
    </row>
    <row r="38" spans="2:3" x14ac:dyDescent="0.25">
      <c r="B38" s="30" t="s">
        <v>20031</v>
      </c>
      <c r="C38" s="30" t="s">
        <v>20031</v>
      </c>
    </row>
    <row r="39" spans="2:3" x14ac:dyDescent="0.25">
      <c r="B39" s="30" t="s">
        <v>20032</v>
      </c>
      <c r="C39" s="30" t="s">
        <v>20032</v>
      </c>
    </row>
    <row r="40" spans="2:3" x14ac:dyDescent="0.25">
      <c r="B40" s="30" t="s">
        <v>19701</v>
      </c>
      <c r="C40" t="s">
        <v>20083</v>
      </c>
    </row>
    <row r="41" spans="2:3" x14ac:dyDescent="0.25">
      <c r="B41" s="30" t="s">
        <v>19997</v>
      </c>
      <c r="C41" s="30" t="s">
        <v>19997</v>
      </c>
    </row>
    <row r="42" spans="2:3" x14ac:dyDescent="0.25">
      <c r="B42" s="30" t="s">
        <v>20033</v>
      </c>
      <c r="C42" s="30" t="s">
        <v>20033</v>
      </c>
    </row>
    <row r="43" spans="2:3" x14ac:dyDescent="0.25">
      <c r="B43" s="30" t="s">
        <v>20034</v>
      </c>
      <c r="C43" s="30" t="s">
        <v>20034</v>
      </c>
    </row>
    <row r="44" spans="2:3" x14ac:dyDescent="0.25">
      <c r="B44" s="30" t="s">
        <v>20035</v>
      </c>
      <c r="C44" s="30" t="s">
        <v>20084</v>
      </c>
    </row>
    <row r="45" spans="2:3" x14ac:dyDescent="0.25">
      <c r="B45" s="30" t="s">
        <v>19694</v>
      </c>
      <c r="C45" s="30" t="s">
        <v>19694</v>
      </c>
    </row>
    <row r="46" spans="2:3" x14ac:dyDescent="0.25">
      <c r="B46" s="30" t="s">
        <v>20036</v>
      </c>
      <c r="C46" s="30" t="s">
        <v>20036</v>
      </c>
    </row>
    <row r="47" spans="2:3" x14ac:dyDescent="0.25">
      <c r="B47" s="30" t="s">
        <v>19695</v>
      </c>
      <c r="C47" s="30" t="s">
        <v>19695</v>
      </c>
    </row>
    <row r="48" spans="2:3" x14ac:dyDescent="0.25">
      <c r="B48" s="30" t="s">
        <v>19696</v>
      </c>
      <c r="C48" s="30" t="s">
        <v>19696</v>
      </c>
    </row>
    <row r="49" spans="2:3" x14ac:dyDescent="0.25">
      <c r="B49" s="30" t="s">
        <v>20037</v>
      </c>
      <c r="C49" s="30" t="s">
        <v>20037</v>
      </c>
    </row>
    <row r="50" spans="2:3" x14ac:dyDescent="0.25">
      <c r="B50" s="30" t="s">
        <v>20038</v>
      </c>
      <c r="C50" s="30" t="s">
        <v>20038</v>
      </c>
    </row>
    <row r="51" spans="2:3" ht="30" x14ac:dyDescent="0.25">
      <c r="B51" s="30" t="s">
        <v>20039</v>
      </c>
      <c r="C51" s="30" t="s">
        <v>20085</v>
      </c>
    </row>
    <row r="52" spans="2:3" x14ac:dyDescent="0.25">
      <c r="B52" s="30" t="s">
        <v>19698</v>
      </c>
      <c r="C52" s="30" t="s">
        <v>20089</v>
      </c>
    </row>
    <row r="53" spans="2:3" x14ac:dyDescent="0.25">
      <c r="B53" s="30" t="s">
        <v>20088</v>
      </c>
      <c r="C53" s="30" t="s">
        <v>20086</v>
      </c>
    </row>
    <row r="54" spans="2:3" x14ac:dyDescent="0.25">
      <c r="B54" s="30" t="s">
        <v>20040</v>
      </c>
      <c r="C54" s="30" t="s">
        <v>20087</v>
      </c>
    </row>
    <row r="55" spans="2:3" x14ac:dyDescent="0.25">
      <c r="B55" s="30" t="s">
        <v>19699</v>
      </c>
      <c r="C55" t="s">
        <v>20090</v>
      </c>
    </row>
    <row r="56" spans="2:3" x14ac:dyDescent="0.25">
      <c r="B56" s="30" t="s">
        <v>19697</v>
      </c>
      <c r="C56" t="s">
        <v>20091</v>
      </c>
    </row>
    <row r="57" spans="2:3" x14ac:dyDescent="0.25">
      <c r="B57" s="30" t="s">
        <v>19700</v>
      </c>
      <c r="C57" s="30" t="s">
        <v>19700</v>
      </c>
    </row>
    <row r="58" spans="2:3" x14ac:dyDescent="0.25">
      <c r="B58" s="30" t="s">
        <v>20041</v>
      </c>
      <c r="C58" s="30" t="s">
        <v>20092</v>
      </c>
    </row>
    <row r="59" spans="2:3" x14ac:dyDescent="0.25">
      <c r="B59" s="30" t="s">
        <v>19705</v>
      </c>
      <c r="C59" t="s">
        <v>20093</v>
      </c>
    </row>
    <row r="60" spans="2:3" x14ac:dyDescent="0.25">
      <c r="B60" s="30" t="s">
        <v>20042</v>
      </c>
      <c r="C60" s="30" t="s">
        <v>20042</v>
      </c>
    </row>
    <row r="61" spans="2:3" x14ac:dyDescent="0.25">
      <c r="B61" s="30" t="s">
        <v>20043</v>
      </c>
      <c r="C61" s="30" t="s">
        <v>20043</v>
      </c>
    </row>
    <row r="62" spans="2:3" x14ac:dyDescent="0.25">
      <c r="B62" s="30" t="s">
        <v>20044</v>
      </c>
      <c r="C62" s="30" t="s">
        <v>20044</v>
      </c>
    </row>
    <row r="63" spans="2:3" x14ac:dyDescent="0.25">
      <c r="B63" s="30" t="s">
        <v>20045</v>
      </c>
      <c r="C63" s="30" t="s">
        <v>20045</v>
      </c>
    </row>
    <row r="64" spans="2:3" x14ac:dyDescent="0.25">
      <c r="B64" s="30" t="s">
        <v>20046</v>
      </c>
      <c r="C64" s="30" t="s">
        <v>20046</v>
      </c>
    </row>
    <row r="65" spans="2:3" x14ac:dyDescent="0.25">
      <c r="B65" s="30" t="s">
        <v>20047</v>
      </c>
      <c r="C65" s="30" t="s">
        <v>20047</v>
      </c>
    </row>
    <row r="66" spans="2:3" x14ac:dyDescent="0.25">
      <c r="B66" s="30" t="s">
        <v>20048</v>
      </c>
      <c r="C66" t="s">
        <v>20094</v>
      </c>
    </row>
    <row r="67" spans="2:3" x14ac:dyDescent="0.25">
      <c r="B67" s="30" t="s">
        <v>20049</v>
      </c>
      <c r="C67" s="30" t="s">
        <v>20095</v>
      </c>
    </row>
    <row r="68" spans="2:3" x14ac:dyDescent="0.25">
      <c r="B68" s="30" t="s">
        <v>20050</v>
      </c>
      <c r="C68" s="30" t="s">
        <v>20050</v>
      </c>
    </row>
    <row r="69" spans="2:3" x14ac:dyDescent="0.25">
      <c r="B69" s="30" t="s">
        <v>19674</v>
      </c>
      <c r="C69" s="30" t="s">
        <v>19674</v>
      </c>
    </row>
    <row r="70" spans="2:3" x14ac:dyDescent="0.25">
      <c r="B70" s="30" t="s">
        <v>20051</v>
      </c>
      <c r="C70" s="30" t="s">
        <v>20051</v>
      </c>
    </row>
    <row r="71" spans="2:3" x14ac:dyDescent="0.25">
      <c r="B71" s="30" t="s">
        <v>20052</v>
      </c>
      <c r="C71" s="30" t="s">
        <v>20096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B776-CDBF-4529-BF0E-C055BF324476}">
  <dimension ref="A1:A15"/>
  <sheetViews>
    <sheetView workbookViewId="0">
      <selection activeCell="B15" sqref="B15"/>
    </sheetView>
  </sheetViews>
  <sheetFormatPr defaultRowHeight="15" x14ac:dyDescent="0.25"/>
  <cols>
    <col min="1" max="1" width="53.42578125" customWidth="1"/>
  </cols>
  <sheetData>
    <row r="1" spans="1:1" x14ac:dyDescent="0.25">
      <c r="A1" t="s">
        <v>9</v>
      </c>
    </row>
    <row r="2" spans="1:1" x14ac:dyDescent="0.25">
      <c r="A2" t="s">
        <v>19589</v>
      </c>
    </row>
    <row r="3" spans="1:1" x14ac:dyDescent="0.25">
      <c r="A3" t="s">
        <v>19549</v>
      </c>
    </row>
    <row r="4" spans="1:1" x14ac:dyDescent="0.25">
      <c r="A4" t="s">
        <v>19550</v>
      </c>
    </row>
    <row r="5" spans="1:1" x14ac:dyDescent="0.25">
      <c r="A5" t="s">
        <v>19551</v>
      </c>
    </row>
    <row r="6" spans="1:1" x14ac:dyDescent="0.25">
      <c r="A6" t="s">
        <v>19605</v>
      </c>
    </row>
    <row r="7" spans="1:1" x14ac:dyDescent="0.25">
      <c r="A7" t="s">
        <v>19556</v>
      </c>
    </row>
    <row r="8" spans="1:1" x14ac:dyDescent="0.25">
      <c r="A8" t="s">
        <v>19641</v>
      </c>
    </row>
    <row r="9" spans="1:1" x14ac:dyDescent="0.25">
      <c r="A9" t="s">
        <v>19591</v>
      </c>
    </row>
    <row r="10" spans="1:1" x14ac:dyDescent="0.25">
      <c r="A10" t="s">
        <v>19588</v>
      </c>
    </row>
    <row r="11" spans="1:1" x14ac:dyDescent="0.25">
      <c r="A11" t="s">
        <v>19590</v>
      </c>
    </row>
    <row r="12" spans="1:1" x14ac:dyDescent="0.25">
      <c r="A12" t="s">
        <v>19586</v>
      </c>
    </row>
    <row r="13" spans="1:1" x14ac:dyDescent="0.25">
      <c r="A13" t="s">
        <v>19611</v>
      </c>
    </row>
    <row r="14" spans="1:1" x14ac:dyDescent="0.25">
      <c r="A14" t="s">
        <v>19587</v>
      </c>
    </row>
    <row r="15" spans="1:1" x14ac:dyDescent="0.25">
      <c r="A15" t="s">
        <v>19676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86F0-8AC6-4149-AF65-E5673EDB4542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19438</v>
      </c>
    </row>
    <row r="2" spans="1:1" x14ac:dyDescent="0.25">
      <c r="A2" t="s">
        <v>19439</v>
      </c>
    </row>
    <row r="3" spans="1:1" x14ac:dyDescent="0.25">
      <c r="A3" t="s">
        <v>19440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8E64-0200-4B18-B003-83EDD7730618}">
  <dimension ref="A1:A3"/>
  <sheetViews>
    <sheetView workbookViewId="0">
      <selection activeCell="B17" sqref="B17"/>
    </sheetView>
  </sheetViews>
  <sheetFormatPr defaultRowHeight="15" x14ac:dyDescent="0.25"/>
  <cols>
    <col min="1" max="1" width="37.7109375" customWidth="1"/>
  </cols>
  <sheetData>
    <row r="1" spans="1:1" x14ac:dyDescent="0.25">
      <c r="A1" t="s">
        <v>1</v>
      </c>
    </row>
    <row r="2" spans="1:1" x14ac:dyDescent="0.25">
      <c r="A2" t="s">
        <v>19436</v>
      </c>
    </row>
    <row r="3" spans="1:1" x14ac:dyDescent="0.25">
      <c r="A3" t="s">
        <v>19437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DC45-79AD-4494-8D94-98CB8CDB0DC5}">
  <sheetPr filterMode="1"/>
  <dimension ref="A1:M9389"/>
  <sheetViews>
    <sheetView workbookViewId="0">
      <pane ySplit="1" topLeftCell="A59" activePane="bottomLeft" state="frozen"/>
      <selection pane="bottomLeft" activeCell="I9393" sqref="I9393"/>
    </sheetView>
  </sheetViews>
  <sheetFormatPr defaultColWidth="57.5703125" defaultRowHeight="15" x14ac:dyDescent="0.25"/>
  <cols>
    <col min="1" max="1" width="8.5703125" customWidth="1"/>
    <col min="2" max="2" width="14.42578125" customWidth="1"/>
    <col min="3" max="3" width="37" customWidth="1"/>
    <col min="4" max="4" width="27.140625" bestFit="1" customWidth="1"/>
    <col min="5" max="5" width="16.28515625" bestFit="1" customWidth="1"/>
    <col min="6" max="6" width="25.140625" bestFit="1" customWidth="1"/>
    <col min="7" max="7" width="7.42578125" bestFit="1" customWidth="1"/>
    <col min="8" max="8" width="38.140625" bestFit="1" customWidth="1"/>
    <col min="9" max="9" width="57.42578125" bestFit="1" customWidth="1"/>
    <col min="10" max="10" width="46" bestFit="1" customWidth="1"/>
    <col min="11" max="11" width="26.42578125" bestFit="1" customWidth="1"/>
    <col min="12" max="12" width="57.42578125" bestFit="1" customWidth="1"/>
  </cols>
  <sheetData>
    <row r="1" spans="1:13" s="27" customFormat="1" ht="21" x14ac:dyDescent="0.25">
      <c r="A1" s="12" t="s">
        <v>2</v>
      </c>
      <c r="B1" s="25" t="s">
        <v>19691</v>
      </c>
      <c r="C1" s="12" t="s">
        <v>3</v>
      </c>
      <c r="D1" s="26" t="s">
        <v>19690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21" hidden="1" x14ac:dyDescent="0.25">
      <c r="A2" s="21">
        <v>1</v>
      </c>
      <c r="B2" s="18" t="str">
        <f>_xlfn.XLOOKUP(C2,[1]IVW8362itmlist!$C:$C,[1]IVW8362itmlist!$B:$B)</f>
        <v>FG02165</v>
      </c>
      <c r="C2" s="15" t="s">
        <v>13</v>
      </c>
      <c r="D2" s="13"/>
      <c r="E2" s="13"/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</row>
    <row r="3" spans="1:13" ht="21" hidden="1" x14ac:dyDescent="0.25">
      <c r="A3" s="21">
        <v>2</v>
      </c>
      <c r="B3" s="18" t="str">
        <f>_xlfn.XLOOKUP(C3,[1]IVW8362itmlist!$C:$C,[1]IVW8362itmlist!$B:$B)</f>
        <v>FG02596</v>
      </c>
      <c r="C3" s="15" t="s">
        <v>22</v>
      </c>
      <c r="D3" s="13"/>
      <c r="E3" s="13"/>
      <c r="F3" s="8" t="s">
        <v>23</v>
      </c>
      <c r="G3" s="8" t="s">
        <v>15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</row>
    <row r="4" spans="1:13" ht="21" hidden="1" x14ac:dyDescent="0.25">
      <c r="A4" s="21">
        <v>3</v>
      </c>
      <c r="B4" s="18" t="str">
        <f>_xlfn.XLOOKUP(C4,[1]IVW8362itmlist!$C:$C,[1]IVW8362itmlist!$B:$B)</f>
        <v>FG02595</v>
      </c>
      <c r="C4" s="15" t="s">
        <v>30</v>
      </c>
      <c r="D4" s="13"/>
      <c r="E4" s="13"/>
      <c r="F4" s="8" t="s">
        <v>23</v>
      </c>
      <c r="G4" s="8" t="s">
        <v>15</v>
      </c>
      <c r="H4" s="8" t="s">
        <v>24</v>
      </c>
      <c r="I4" s="8" t="s">
        <v>31</v>
      </c>
      <c r="J4" s="8" t="s">
        <v>26</v>
      </c>
      <c r="K4" s="8" t="s">
        <v>27</v>
      </c>
      <c r="L4" s="8" t="s">
        <v>28</v>
      </c>
      <c r="M4" s="8" t="s">
        <v>29</v>
      </c>
    </row>
    <row r="5" spans="1:13" hidden="1" x14ac:dyDescent="0.25">
      <c r="A5" s="21">
        <v>4</v>
      </c>
      <c r="B5" s="18" t="str">
        <f>_xlfn.XLOOKUP(C5,[1]IVW8362itmlist!$C:$C,[1]IVW8362itmlist!$B:$B)</f>
        <v>FG04282</v>
      </c>
      <c r="C5" s="15" t="s">
        <v>32</v>
      </c>
      <c r="D5" s="13"/>
      <c r="E5" s="13"/>
      <c r="F5" s="8" t="s">
        <v>33</v>
      </c>
      <c r="G5" s="8" t="s">
        <v>15</v>
      </c>
      <c r="H5" s="8" t="s">
        <v>34</v>
      </c>
      <c r="I5" s="8" t="s">
        <v>35</v>
      </c>
      <c r="J5" s="8" t="s">
        <v>36</v>
      </c>
      <c r="K5" s="8" t="s">
        <v>27</v>
      </c>
      <c r="L5" s="8" t="s">
        <v>37</v>
      </c>
      <c r="M5" s="8" t="s">
        <v>29</v>
      </c>
    </row>
    <row r="6" spans="1:13" hidden="1" x14ac:dyDescent="0.25">
      <c r="A6" s="21">
        <v>5</v>
      </c>
      <c r="B6" s="18" t="str">
        <f>_xlfn.XLOOKUP(C6,[1]IVW8362itmlist!$C:$C,[1]IVW8362itmlist!$B:$B)</f>
        <v>FG04621</v>
      </c>
      <c r="C6" s="15" t="s">
        <v>38</v>
      </c>
      <c r="D6" s="13"/>
      <c r="E6" s="13"/>
      <c r="F6" s="8" t="s">
        <v>33</v>
      </c>
      <c r="G6" s="8" t="s">
        <v>15</v>
      </c>
      <c r="H6" s="8" t="s">
        <v>39</v>
      </c>
      <c r="I6" s="8" t="s">
        <v>40</v>
      </c>
      <c r="J6" s="8" t="s">
        <v>41</v>
      </c>
      <c r="K6" s="8" t="s">
        <v>27</v>
      </c>
      <c r="L6" s="8" t="s">
        <v>42</v>
      </c>
      <c r="M6" s="8" t="s">
        <v>29</v>
      </c>
    </row>
    <row r="7" spans="1:13" hidden="1" x14ac:dyDescent="0.25">
      <c r="A7" s="21">
        <v>6</v>
      </c>
      <c r="B7" s="18" t="str">
        <f>_xlfn.XLOOKUP(C7,[1]IVW8362itmlist!$C:$C,[1]IVW8362itmlist!$B:$B)</f>
        <v>FG01016</v>
      </c>
      <c r="C7" s="15" t="s">
        <v>43</v>
      </c>
      <c r="D7" s="13"/>
      <c r="E7" s="13"/>
      <c r="F7" s="8" t="s">
        <v>44</v>
      </c>
      <c r="G7" s="8" t="s">
        <v>15</v>
      </c>
      <c r="H7" s="8" t="s">
        <v>45</v>
      </c>
      <c r="I7" s="8" t="s">
        <v>46</v>
      </c>
      <c r="J7" s="8" t="s">
        <v>47</v>
      </c>
      <c r="K7" s="8" t="s">
        <v>27</v>
      </c>
      <c r="L7" s="8" t="s">
        <v>48</v>
      </c>
      <c r="M7" s="8" t="s">
        <v>49</v>
      </c>
    </row>
    <row r="8" spans="1:13" hidden="1" x14ac:dyDescent="0.25">
      <c r="A8" s="21">
        <v>7</v>
      </c>
      <c r="B8" s="18" t="str">
        <f>_xlfn.XLOOKUP(C8,[1]IVW8362itmlist!$C:$C,[1]IVW8362itmlist!$B:$B)</f>
        <v>FG01017</v>
      </c>
      <c r="C8" s="15" t="s">
        <v>50</v>
      </c>
      <c r="D8" s="13"/>
      <c r="E8" s="13"/>
      <c r="F8" s="8" t="s">
        <v>44</v>
      </c>
      <c r="G8" s="8" t="s">
        <v>15</v>
      </c>
      <c r="H8" s="8" t="s">
        <v>39</v>
      </c>
      <c r="I8" s="8" t="s">
        <v>51</v>
      </c>
      <c r="J8" s="8" t="s">
        <v>52</v>
      </c>
      <c r="K8" s="8" t="s">
        <v>27</v>
      </c>
      <c r="L8" s="8" t="s">
        <v>48</v>
      </c>
      <c r="M8" s="8" t="s">
        <v>53</v>
      </c>
    </row>
    <row r="9" spans="1:13" hidden="1" x14ac:dyDescent="0.25">
      <c r="A9" s="21">
        <v>8</v>
      </c>
      <c r="B9" s="18" t="str">
        <f>_xlfn.XLOOKUP(C9,[1]IVW8362itmlist!$C:$C,[1]IVW8362itmlist!$B:$B)</f>
        <v>FG01829</v>
      </c>
      <c r="C9" s="15" t="s">
        <v>54</v>
      </c>
      <c r="D9" s="13"/>
      <c r="E9" s="13"/>
      <c r="F9" s="8" t="s">
        <v>55</v>
      </c>
      <c r="G9" s="8" t="s">
        <v>15</v>
      </c>
      <c r="H9" s="8" t="s">
        <v>39</v>
      </c>
      <c r="I9" s="8" t="s">
        <v>56</v>
      </c>
      <c r="J9" s="8" t="s">
        <v>52</v>
      </c>
      <c r="K9" s="8" t="s">
        <v>27</v>
      </c>
      <c r="L9" s="8" t="s">
        <v>57</v>
      </c>
      <c r="M9" s="8" t="s">
        <v>53</v>
      </c>
    </row>
    <row r="10" spans="1:13" ht="21" hidden="1" x14ac:dyDescent="0.25">
      <c r="A10" s="21">
        <v>9</v>
      </c>
      <c r="B10" s="18" t="str">
        <f>_xlfn.XLOOKUP(C10,[1]IVW8362itmlist!$C:$C,[1]IVW8362itmlist!$B:$B)</f>
        <v>FG03625</v>
      </c>
      <c r="C10" s="15" t="s">
        <v>58</v>
      </c>
      <c r="D10" s="13"/>
      <c r="E10" s="13"/>
      <c r="F10" s="8" t="s">
        <v>59</v>
      </c>
      <c r="G10" s="8" t="s">
        <v>15</v>
      </c>
      <c r="H10" s="8" t="s">
        <v>45</v>
      </c>
      <c r="I10" s="8" t="s">
        <v>60</v>
      </c>
      <c r="J10" s="8" t="s">
        <v>61</v>
      </c>
      <c r="K10" s="8" t="s">
        <v>27</v>
      </c>
      <c r="L10" s="8" t="s">
        <v>62</v>
      </c>
      <c r="M10" s="8" t="s">
        <v>63</v>
      </c>
    </row>
    <row r="11" spans="1:13" ht="21" hidden="1" x14ac:dyDescent="0.25">
      <c r="A11" s="21">
        <v>10</v>
      </c>
      <c r="B11" s="18" t="str">
        <f>_xlfn.XLOOKUP(C11,[1]IVW8362itmlist!$C:$C,[1]IVW8362itmlist!$B:$B)</f>
        <v>FG01041</v>
      </c>
      <c r="C11" s="15" t="s">
        <v>64</v>
      </c>
      <c r="D11" s="13"/>
      <c r="E11" s="13"/>
      <c r="F11" s="8" t="s">
        <v>65</v>
      </c>
      <c r="G11" s="8" t="s">
        <v>15</v>
      </c>
      <c r="H11" s="8" t="s">
        <v>66</v>
      </c>
      <c r="I11" s="8" t="s">
        <v>67</v>
      </c>
      <c r="J11" s="8" t="s">
        <v>61</v>
      </c>
      <c r="K11" s="8" t="s">
        <v>27</v>
      </c>
      <c r="L11" s="8" t="s">
        <v>68</v>
      </c>
      <c r="M11" s="8" t="s">
        <v>69</v>
      </c>
    </row>
    <row r="12" spans="1:13" ht="21" hidden="1" x14ac:dyDescent="0.25">
      <c r="A12" s="21">
        <v>11</v>
      </c>
      <c r="B12" s="18" t="str">
        <f>_xlfn.XLOOKUP(C12,[1]IVW8362itmlist!$C:$C,[1]IVW8362itmlist!$B:$B)</f>
        <v>FG01040</v>
      </c>
      <c r="C12" s="15" t="s">
        <v>70</v>
      </c>
      <c r="D12" s="13"/>
      <c r="E12" s="13"/>
      <c r="F12" s="8" t="s">
        <v>65</v>
      </c>
      <c r="G12" s="8" t="s">
        <v>15</v>
      </c>
      <c r="H12" s="8" t="s">
        <v>24</v>
      </c>
      <c r="I12" s="8" t="s">
        <v>71</v>
      </c>
      <c r="J12" s="8" t="s">
        <v>72</v>
      </c>
      <c r="K12" s="8" t="s">
        <v>27</v>
      </c>
      <c r="L12" s="8" t="s">
        <v>73</v>
      </c>
      <c r="M12" s="8" t="s">
        <v>74</v>
      </c>
    </row>
    <row r="13" spans="1:13" hidden="1" x14ac:dyDescent="0.25">
      <c r="A13" s="21">
        <v>12</v>
      </c>
      <c r="B13" s="18" t="str">
        <f>_xlfn.XLOOKUP(C13,[1]IVW8362itmlist!$C:$C,[1]IVW8362itmlist!$B:$B)</f>
        <v>FG02669</v>
      </c>
      <c r="C13" s="15" t="s">
        <v>75</v>
      </c>
      <c r="D13" s="13"/>
      <c r="E13" s="13"/>
      <c r="F13" s="8" t="s">
        <v>76</v>
      </c>
      <c r="G13" s="8" t="s">
        <v>15</v>
      </c>
      <c r="H13" s="8" t="s">
        <v>77</v>
      </c>
      <c r="I13" s="8" t="s">
        <v>78</v>
      </c>
      <c r="J13" s="8" t="s">
        <v>79</v>
      </c>
      <c r="K13" s="8" t="s">
        <v>80</v>
      </c>
      <c r="L13" s="8" t="s">
        <v>81</v>
      </c>
      <c r="M13" s="8" t="s">
        <v>82</v>
      </c>
    </row>
    <row r="14" spans="1:13" hidden="1" x14ac:dyDescent="0.25">
      <c r="A14" s="21">
        <v>13</v>
      </c>
      <c r="B14" s="18" t="str">
        <f>_xlfn.XLOOKUP(C14,[1]IVW8362itmlist!$C:$C,[1]IVW8362itmlist!$B:$B)</f>
        <v>FG04094</v>
      </c>
      <c r="C14" s="15" t="s">
        <v>83</v>
      </c>
      <c r="D14" s="13"/>
      <c r="E14" s="13"/>
      <c r="F14" s="8" t="s">
        <v>84</v>
      </c>
      <c r="G14" s="8" t="s">
        <v>15</v>
      </c>
      <c r="H14" s="8" t="s">
        <v>85</v>
      </c>
      <c r="I14" s="8" t="s">
        <v>86</v>
      </c>
      <c r="J14" s="8" t="s">
        <v>87</v>
      </c>
      <c r="K14" s="8" t="s">
        <v>88</v>
      </c>
      <c r="L14" s="8" t="s">
        <v>89</v>
      </c>
      <c r="M14" s="8" t="s">
        <v>90</v>
      </c>
    </row>
    <row r="15" spans="1:13" hidden="1" x14ac:dyDescent="0.25">
      <c r="A15" s="21">
        <v>14</v>
      </c>
      <c r="B15" s="18" t="str">
        <f>_xlfn.XLOOKUP(C15,[1]IVW8362itmlist!$C:$C,[1]IVW8362itmlist!$B:$B)</f>
        <v>FG04795</v>
      </c>
      <c r="C15" s="15" t="s">
        <v>91</v>
      </c>
      <c r="D15" s="13"/>
      <c r="E15" s="13"/>
      <c r="F15" s="8" t="s">
        <v>84</v>
      </c>
      <c r="G15" s="8" t="s">
        <v>15</v>
      </c>
      <c r="H15" s="8" t="s">
        <v>85</v>
      </c>
      <c r="I15" s="8" t="s">
        <v>86</v>
      </c>
      <c r="J15" s="8" t="s">
        <v>92</v>
      </c>
      <c r="K15" s="8" t="s">
        <v>88</v>
      </c>
      <c r="L15" s="8" t="s">
        <v>89</v>
      </c>
      <c r="M15" s="8" t="s">
        <v>90</v>
      </c>
    </row>
    <row r="16" spans="1:13" ht="21" hidden="1" x14ac:dyDescent="0.25">
      <c r="A16" s="21">
        <v>15</v>
      </c>
      <c r="B16" s="18" t="str">
        <f>_xlfn.XLOOKUP(C16,[1]IVW8362itmlist!$C:$C,[1]IVW8362itmlist!$B:$B)</f>
        <v>FG00518</v>
      </c>
      <c r="C16" s="15" t="s">
        <v>93</v>
      </c>
      <c r="D16" s="13"/>
      <c r="E16" s="13"/>
      <c r="F16" s="8" t="s">
        <v>94</v>
      </c>
      <c r="G16" s="8" t="s">
        <v>15</v>
      </c>
      <c r="H16" s="8" t="s">
        <v>95</v>
      </c>
      <c r="I16" s="8" t="s">
        <v>96</v>
      </c>
      <c r="J16" s="8" t="s">
        <v>97</v>
      </c>
      <c r="K16" s="8" t="s">
        <v>98</v>
      </c>
      <c r="L16" s="8" t="s">
        <v>99</v>
      </c>
      <c r="M16" s="8" t="s">
        <v>100</v>
      </c>
    </row>
    <row r="17" spans="1:13" hidden="1" x14ac:dyDescent="0.25">
      <c r="A17" s="21">
        <v>16</v>
      </c>
      <c r="B17" s="18" t="str">
        <f>_xlfn.XLOOKUP(C17,[1]IVW8362itmlist!$C:$C,[1]IVW8362itmlist!$B:$B)</f>
        <v>FG01439</v>
      </c>
      <c r="C17" s="15" t="s">
        <v>101</v>
      </c>
      <c r="D17" s="13"/>
      <c r="E17" s="13"/>
      <c r="F17" s="8" t="s">
        <v>102</v>
      </c>
      <c r="G17" s="8" t="s">
        <v>15</v>
      </c>
      <c r="H17" s="8" t="s">
        <v>85</v>
      </c>
      <c r="I17" s="8" t="s">
        <v>103</v>
      </c>
      <c r="J17" s="8" t="s">
        <v>104</v>
      </c>
      <c r="K17" s="8" t="s">
        <v>88</v>
      </c>
      <c r="L17" s="8" t="s">
        <v>105</v>
      </c>
      <c r="M17" s="8" t="s">
        <v>29</v>
      </c>
    </row>
    <row r="18" spans="1:13" ht="21" hidden="1" x14ac:dyDescent="0.25">
      <c r="A18" s="21">
        <v>17</v>
      </c>
      <c r="B18" s="18" t="str">
        <f>_xlfn.XLOOKUP(C18,[1]IVW8362itmlist!$C:$C,[1]IVW8362itmlist!$B:$B)</f>
        <v>FG03406</v>
      </c>
      <c r="C18" s="15" t="s">
        <v>106</v>
      </c>
      <c r="D18" s="13"/>
      <c r="E18" s="13"/>
      <c r="F18" s="8" t="s">
        <v>107</v>
      </c>
      <c r="G18" s="8" t="s">
        <v>15</v>
      </c>
      <c r="H18" s="8" t="s">
        <v>85</v>
      </c>
      <c r="I18" s="8" t="s">
        <v>108</v>
      </c>
      <c r="J18" s="8" t="s">
        <v>109</v>
      </c>
      <c r="K18" s="8" t="s">
        <v>88</v>
      </c>
      <c r="L18" s="8" t="s">
        <v>110</v>
      </c>
      <c r="M18" s="8" t="s">
        <v>90</v>
      </c>
    </row>
    <row r="19" spans="1:13" ht="21" hidden="1" x14ac:dyDescent="0.25">
      <c r="A19" s="21">
        <v>18</v>
      </c>
      <c r="B19" s="18" t="str">
        <f>_xlfn.XLOOKUP(C19,[1]IVW8362itmlist!$C:$C,[1]IVW8362itmlist!$B:$B)</f>
        <v>FG08529</v>
      </c>
      <c r="C19" s="15" t="s">
        <v>111</v>
      </c>
      <c r="D19" s="13"/>
      <c r="E19" s="13"/>
      <c r="F19" s="8" t="s">
        <v>112</v>
      </c>
      <c r="G19" s="8" t="s">
        <v>15</v>
      </c>
      <c r="H19" s="8" t="s">
        <v>85</v>
      </c>
      <c r="I19" s="8" t="s">
        <v>113</v>
      </c>
      <c r="J19" s="8" t="s">
        <v>104</v>
      </c>
      <c r="K19" s="8" t="s">
        <v>88</v>
      </c>
      <c r="L19" s="8" t="s">
        <v>114</v>
      </c>
      <c r="M19" s="8" t="s">
        <v>90</v>
      </c>
    </row>
    <row r="20" spans="1:13" ht="21" hidden="1" x14ac:dyDescent="0.25">
      <c r="A20" s="21">
        <v>19</v>
      </c>
      <c r="B20" s="18" t="str">
        <f>_xlfn.XLOOKUP(C20,[1]IVW8362itmlist!$C:$C,[1]IVW8362itmlist!$B:$B)</f>
        <v>FG01694</v>
      </c>
      <c r="C20" s="15" t="s">
        <v>115</v>
      </c>
      <c r="D20" s="13"/>
      <c r="E20" s="13"/>
      <c r="F20" s="8" t="s">
        <v>116</v>
      </c>
      <c r="G20" s="8" t="s">
        <v>15</v>
      </c>
      <c r="H20" s="8" t="s">
        <v>117</v>
      </c>
      <c r="I20" s="8" t="s">
        <v>118</v>
      </c>
      <c r="J20" s="8" t="s">
        <v>119</v>
      </c>
      <c r="K20" s="8" t="s">
        <v>120</v>
      </c>
      <c r="L20" s="8" t="s">
        <v>121</v>
      </c>
      <c r="M20" s="8" t="s">
        <v>29</v>
      </c>
    </row>
    <row r="21" spans="1:13" ht="21" hidden="1" x14ac:dyDescent="0.25">
      <c r="A21" s="21">
        <v>20</v>
      </c>
      <c r="B21" s="18" t="str">
        <f>_xlfn.XLOOKUP(C21,[1]IVW8362itmlist!$C:$C,[1]IVW8362itmlist!$B:$B)</f>
        <v>FG03624</v>
      </c>
      <c r="C21" s="15" t="s">
        <v>122</v>
      </c>
      <c r="D21" s="13"/>
      <c r="E21" s="13"/>
      <c r="F21" s="8" t="s">
        <v>123</v>
      </c>
      <c r="G21" s="8" t="s">
        <v>15</v>
      </c>
      <c r="H21" s="8" t="s">
        <v>124</v>
      </c>
      <c r="I21" s="8" t="s">
        <v>125</v>
      </c>
      <c r="J21" s="8" t="s">
        <v>126</v>
      </c>
      <c r="K21" s="8" t="s">
        <v>88</v>
      </c>
      <c r="L21" s="8" t="s">
        <v>127</v>
      </c>
      <c r="M21" s="8" t="s">
        <v>128</v>
      </c>
    </row>
    <row r="22" spans="1:13" ht="21" hidden="1" x14ac:dyDescent="0.25">
      <c r="A22" s="21">
        <v>21</v>
      </c>
      <c r="B22" s="18" t="str">
        <f>_xlfn.XLOOKUP(C22,[1]IVW8362itmlist!$C:$C,[1]IVW8362itmlist!$B:$B)</f>
        <v>FG04828</v>
      </c>
      <c r="C22" s="15" t="s">
        <v>129</v>
      </c>
      <c r="D22" s="13"/>
      <c r="E22" s="13"/>
      <c r="F22" s="8" t="s">
        <v>123</v>
      </c>
      <c r="G22" s="8" t="s">
        <v>15</v>
      </c>
      <c r="H22" s="8" t="s">
        <v>130</v>
      </c>
      <c r="I22" s="8" t="s">
        <v>125</v>
      </c>
      <c r="J22" s="8" t="s">
        <v>131</v>
      </c>
      <c r="K22" s="8" t="s">
        <v>132</v>
      </c>
      <c r="L22" s="8" t="s">
        <v>127</v>
      </c>
      <c r="M22" s="8" t="s">
        <v>29</v>
      </c>
    </row>
    <row r="23" spans="1:13" hidden="1" x14ac:dyDescent="0.25">
      <c r="A23" s="21">
        <v>22</v>
      </c>
      <c r="B23" s="18" t="str">
        <f>_xlfn.XLOOKUP(C23,[1]IVW8362itmlist!$C:$C,[1]IVW8362itmlist!$B:$B)</f>
        <v>FG04589</v>
      </c>
      <c r="C23" s="15" t="s">
        <v>133</v>
      </c>
      <c r="D23" s="13"/>
      <c r="E23" s="13"/>
      <c r="F23" s="8" t="s">
        <v>134</v>
      </c>
      <c r="G23" s="8" t="s">
        <v>15</v>
      </c>
      <c r="H23" s="8" t="s">
        <v>135</v>
      </c>
      <c r="I23" s="8" t="s">
        <v>136</v>
      </c>
      <c r="J23" s="8" t="s">
        <v>119</v>
      </c>
      <c r="K23" s="8" t="s">
        <v>88</v>
      </c>
      <c r="L23" s="8" t="s">
        <v>137</v>
      </c>
      <c r="M23" s="8"/>
    </row>
    <row r="24" spans="1:13" ht="21" hidden="1" x14ac:dyDescent="0.25">
      <c r="A24" s="21">
        <v>23</v>
      </c>
      <c r="B24" s="18" t="str">
        <f>_xlfn.XLOOKUP(C24,[1]IVW8362itmlist!$C:$C,[1]IVW8362itmlist!$B:$B)</f>
        <v>FG01000</v>
      </c>
      <c r="C24" s="15" t="s">
        <v>138</v>
      </c>
      <c r="D24" s="13"/>
      <c r="E24" s="13"/>
      <c r="F24" s="8" t="s">
        <v>139</v>
      </c>
      <c r="G24" s="8" t="s">
        <v>15</v>
      </c>
      <c r="H24" s="8" t="s">
        <v>140</v>
      </c>
      <c r="I24" s="8" t="s">
        <v>141</v>
      </c>
      <c r="J24" s="8" t="s">
        <v>142</v>
      </c>
      <c r="K24" s="8" t="s">
        <v>143</v>
      </c>
      <c r="L24" s="8" t="s">
        <v>144</v>
      </c>
      <c r="M24" s="8" t="s">
        <v>145</v>
      </c>
    </row>
    <row r="25" spans="1:13" hidden="1" x14ac:dyDescent="0.25">
      <c r="A25" s="21">
        <v>24</v>
      </c>
      <c r="B25" s="18" t="str">
        <f>_xlfn.XLOOKUP(C25,[1]IVW8362itmlist!$C:$C,[1]IVW8362itmlist!$B:$B)</f>
        <v>FG04728</v>
      </c>
      <c r="C25" s="15" t="s">
        <v>146</v>
      </c>
      <c r="D25" s="13"/>
      <c r="E25" s="13"/>
      <c r="F25" s="8" t="s">
        <v>147</v>
      </c>
      <c r="G25" s="8" t="s">
        <v>15</v>
      </c>
      <c r="H25" s="8" t="s">
        <v>148</v>
      </c>
      <c r="I25" s="8" t="s">
        <v>149</v>
      </c>
      <c r="J25" s="8" t="s">
        <v>150</v>
      </c>
      <c r="K25" s="8" t="s">
        <v>151</v>
      </c>
      <c r="L25" s="8" t="s">
        <v>152</v>
      </c>
      <c r="M25" s="8" t="s">
        <v>145</v>
      </c>
    </row>
    <row r="26" spans="1:13" hidden="1" x14ac:dyDescent="0.25">
      <c r="A26" s="21">
        <v>25</v>
      </c>
      <c r="B26" s="18" t="str">
        <f>_xlfn.XLOOKUP(C26,[1]IVW8362itmlist!$C:$C,[1]IVW8362itmlist!$B:$B)</f>
        <v>FG03425</v>
      </c>
      <c r="C26" s="15" t="s">
        <v>153</v>
      </c>
      <c r="D26" s="13"/>
      <c r="E26" s="13"/>
      <c r="F26" s="8" t="s">
        <v>154</v>
      </c>
      <c r="G26" s="8" t="s">
        <v>15</v>
      </c>
      <c r="H26" s="8" t="s">
        <v>155</v>
      </c>
      <c r="I26" s="8" t="s">
        <v>156</v>
      </c>
      <c r="J26" s="8" t="s">
        <v>157</v>
      </c>
      <c r="K26" s="8" t="s">
        <v>158</v>
      </c>
      <c r="L26" s="8" t="s">
        <v>159</v>
      </c>
      <c r="M26" s="8" t="s">
        <v>145</v>
      </c>
    </row>
    <row r="27" spans="1:13" ht="21" hidden="1" x14ac:dyDescent="0.25">
      <c r="A27" s="21">
        <v>26</v>
      </c>
      <c r="B27" s="18" t="str">
        <f>_xlfn.XLOOKUP(C27,[1]IVW8362itmlist!$C:$C,[1]IVW8362itmlist!$B:$B)</f>
        <v>FG01403</v>
      </c>
      <c r="C27" s="15" t="s">
        <v>160</v>
      </c>
      <c r="D27" s="13"/>
      <c r="E27" s="13"/>
      <c r="F27" s="8" t="s">
        <v>161</v>
      </c>
      <c r="G27" s="8" t="s">
        <v>15</v>
      </c>
      <c r="H27" s="8" t="s">
        <v>85</v>
      </c>
      <c r="I27" s="8" t="s">
        <v>162</v>
      </c>
      <c r="J27" s="8" t="s">
        <v>109</v>
      </c>
      <c r="K27" s="8" t="s">
        <v>88</v>
      </c>
      <c r="L27" s="8" t="s">
        <v>163</v>
      </c>
      <c r="M27" s="8" t="s">
        <v>145</v>
      </c>
    </row>
    <row r="28" spans="1:13" ht="21" hidden="1" x14ac:dyDescent="0.25">
      <c r="A28" s="21">
        <v>27</v>
      </c>
      <c r="B28" s="18" t="str">
        <f>_xlfn.XLOOKUP(C28,[1]IVW8362itmlist!$C:$C,[1]IVW8362itmlist!$B:$B)</f>
        <v>FG03410</v>
      </c>
      <c r="C28" s="15" t="s">
        <v>164</v>
      </c>
      <c r="D28" s="13"/>
      <c r="E28" s="13"/>
      <c r="F28" s="8" t="s">
        <v>165</v>
      </c>
      <c r="G28" s="8" t="s">
        <v>15</v>
      </c>
      <c r="H28" s="8" t="s">
        <v>166</v>
      </c>
      <c r="I28" s="8" t="s">
        <v>167</v>
      </c>
      <c r="J28" s="8" t="s">
        <v>168</v>
      </c>
      <c r="K28" s="8" t="s">
        <v>88</v>
      </c>
      <c r="L28" s="8" t="s">
        <v>169</v>
      </c>
      <c r="M28" s="8" t="s">
        <v>145</v>
      </c>
    </row>
    <row r="29" spans="1:13" hidden="1" x14ac:dyDescent="0.25">
      <c r="A29" s="21">
        <v>28</v>
      </c>
      <c r="B29" s="18" t="str">
        <f>_xlfn.XLOOKUP(C29,[1]IVW8362itmlist!$C:$C,[1]IVW8362itmlist!$B:$B)</f>
        <v>FG03408</v>
      </c>
      <c r="C29" s="15" t="s">
        <v>170</v>
      </c>
      <c r="D29" s="13"/>
      <c r="E29" s="13"/>
      <c r="F29" s="8" t="s">
        <v>165</v>
      </c>
      <c r="G29" s="8" t="s">
        <v>15</v>
      </c>
      <c r="H29" s="8" t="s">
        <v>148</v>
      </c>
      <c r="I29" s="8" t="s">
        <v>171</v>
      </c>
      <c r="J29" s="8" t="s">
        <v>142</v>
      </c>
      <c r="K29" s="8" t="s">
        <v>88</v>
      </c>
      <c r="L29" s="8" t="s">
        <v>172</v>
      </c>
      <c r="M29" s="8" t="s">
        <v>145</v>
      </c>
    </row>
    <row r="30" spans="1:13" hidden="1" x14ac:dyDescent="0.25">
      <c r="A30" s="21">
        <v>29</v>
      </c>
      <c r="B30" s="18" t="str">
        <f>_xlfn.XLOOKUP(C30,[1]IVW8362itmlist!$C:$C,[1]IVW8362itmlist!$B:$B)</f>
        <v>FG03409</v>
      </c>
      <c r="C30" s="15" t="s">
        <v>173</v>
      </c>
      <c r="D30" s="13"/>
      <c r="E30" s="13"/>
      <c r="F30" s="8" t="s">
        <v>165</v>
      </c>
      <c r="G30" s="8" t="s">
        <v>15</v>
      </c>
      <c r="H30" s="8" t="s">
        <v>166</v>
      </c>
      <c r="I30" s="8" t="s">
        <v>174</v>
      </c>
      <c r="J30" s="8" t="s">
        <v>175</v>
      </c>
      <c r="K30" s="8" t="s">
        <v>88</v>
      </c>
      <c r="L30" s="8" t="s">
        <v>176</v>
      </c>
      <c r="M30" s="8" t="s">
        <v>145</v>
      </c>
    </row>
    <row r="31" spans="1:13" ht="21" hidden="1" x14ac:dyDescent="0.25">
      <c r="A31" s="21">
        <v>30</v>
      </c>
      <c r="B31" s="18" t="str">
        <f>_xlfn.XLOOKUP(C31,[1]IVW8362itmlist!$C:$C,[1]IVW8362itmlist!$B:$B)</f>
        <v>FG00551</v>
      </c>
      <c r="C31" s="15" t="s">
        <v>177</v>
      </c>
      <c r="D31" s="13"/>
      <c r="E31" s="13"/>
      <c r="F31" s="8" t="s">
        <v>178</v>
      </c>
      <c r="G31" s="8" t="s">
        <v>15</v>
      </c>
      <c r="H31" s="8" t="s">
        <v>179</v>
      </c>
      <c r="I31" s="8" t="s">
        <v>180</v>
      </c>
      <c r="J31" s="8" t="s">
        <v>157</v>
      </c>
      <c r="K31" s="8" t="s">
        <v>88</v>
      </c>
      <c r="L31" s="8" t="s">
        <v>181</v>
      </c>
      <c r="M31" s="8" t="s">
        <v>145</v>
      </c>
    </row>
    <row r="32" spans="1:13" ht="21" hidden="1" x14ac:dyDescent="0.25">
      <c r="A32" s="21">
        <v>31</v>
      </c>
      <c r="B32" s="18" t="str">
        <f>_xlfn.XLOOKUP(C32,[1]IVW8362itmlist!$C:$C,[1]IVW8362itmlist!$B:$B)</f>
        <v>FG04836</v>
      </c>
      <c r="C32" s="15" t="s">
        <v>182</v>
      </c>
      <c r="D32" s="13"/>
      <c r="E32" s="13"/>
      <c r="F32" s="8" t="s">
        <v>183</v>
      </c>
      <c r="G32" s="8" t="s">
        <v>15</v>
      </c>
      <c r="H32" s="8" t="s">
        <v>184</v>
      </c>
      <c r="I32" s="8" t="s">
        <v>185</v>
      </c>
      <c r="J32" s="8" t="s">
        <v>186</v>
      </c>
      <c r="K32" s="8" t="s">
        <v>158</v>
      </c>
      <c r="L32" s="8" t="s">
        <v>187</v>
      </c>
      <c r="M32" s="8" t="s">
        <v>188</v>
      </c>
    </row>
    <row r="33" spans="1:13" hidden="1" x14ac:dyDescent="0.25">
      <c r="A33" s="21">
        <v>32</v>
      </c>
      <c r="B33" s="18" t="str">
        <f>_xlfn.XLOOKUP(C33,[1]IVW8362itmlist!$C:$C,[1]IVW8362itmlist!$B:$B)</f>
        <v>FG04615</v>
      </c>
      <c r="C33" s="15" t="s">
        <v>189</v>
      </c>
      <c r="D33" s="13"/>
      <c r="E33" s="13"/>
      <c r="F33" s="8" t="s">
        <v>183</v>
      </c>
      <c r="G33" s="8" t="s">
        <v>15</v>
      </c>
      <c r="H33" s="8" t="s">
        <v>190</v>
      </c>
      <c r="I33" s="8" t="s">
        <v>191</v>
      </c>
      <c r="J33" s="8" t="s">
        <v>192</v>
      </c>
      <c r="K33" s="8" t="s">
        <v>88</v>
      </c>
      <c r="L33" s="8" t="s">
        <v>193</v>
      </c>
      <c r="M33" s="8" t="s">
        <v>29</v>
      </c>
    </row>
    <row r="34" spans="1:13" ht="21" hidden="1" x14ac:dyDescent="0.25">
      <c r="A34" s="21">
        <v>33</v>
      </c>
      <c r="B34" s="18" t="str">
        <f>_xlfn.XLOOKUP(C34,[1]IVW8362itmlist!$C:$C,[1]IVW8362itmlist!$B:$B)</f>
        <v>FG00865</v>
      </c>
      <c r="C34" s="15" t="s">
        <v>194</v>
      </c>
      <c r="D34" s="13"/>
      <c r="E34" s="13"/>
      <c r="F34" s="8" t="s">
        <v>195</v>
      </c>
      <c r="G34" s="8" t="s">
        <v>15</v>
      </c>
      <c r="H34" s="8" t="s">
        <v>196</v>
      </c>
      <c r="I34" s="8" t="s">
        <v>197</v>
      </c>
      <c r="J34" s="8" t="s">
        <v>198</v>
      </c>
      <c r="K34" s="8" t="s">
        <v>199</v>
      </c>
      <c r="L34" s="8" t="s">
        <v>200</v>
      </c>
      <c r="M34" s="8" t="s">
        <v>201</v>
      </c>
    </row>
    <row r="35" spans="1:13" ht="21" hidden="1" x14ac:dyDescent="0.25">
      <c r="A35" s="21">
        <v>34</v>
      </c>
      <c r="B35" s="18" t="str">
        <f>_xlfn.XLOOKUP(C35,[1]IVW8362itmlist!$C:$C,[1]IVW8362itmlist!$B:$B)</f>
        <v>FG04792</v>
      </c>
      <c r="C35" s="15" t="s">
        <v>202</v>
      </c>
      <c r="D35" s="13"/>
      <c r="E35" s="13"/>
      <c r="F35" s="8" t="s">
        <v>203</v>
      </c>
      <c r="G35" s="8" t="s">
        <v>15</v>
      </c>
      <c r="H35" s="8" t="s">
        <v>39</v>
      </c>
      <c r="I35" s="8" t="s">
        <v>204</v>
      </c>
      <c r="J35" s="8" t="s">
        <v>205</v>
      </c>
      <c r="K35" s="8" t="s">
        <v>27</v>
      </c>
      <c r="L35" s="8" t="s">
        <v>206</v>
      </c>
      <c r="M35" s="8" t="s">
        <v>207</v>
      </c>
    </row>
    <row r="36" spans="1:13" hidden="1" x14ac:dyDescent="0.25">
      <c r="A36" s="21">
        <v>35</v>
      </c>
      <c r="B36" s="18" t="str">
        <f>_xlfn.XLOOKUP(C36,[1]IVW8362itmlist!$C:$C,[1]IVW8362itmlist!$B:$B)</f>
        <v>FG04089</v>
      </c>
      <c r="C36" s="15" t="s">
        <v>208</v>
      </c>
      <c r="D36" s="13"/>
      <c r="E36" s="13"/>
      <c r="F36" s="8" t="s">
        <v>209</v>
      </c>
      <c r="G36" s="8" t="s">
        <v>15</v>
      </c>
      <c r="H36" s="8" t="s">
        <v>39</v>
      </c>
      <c r="I36" s="8" t="s">
        <v>210</v>
      </c>
      <c r="J36" s="8" t="s">
        <v>205</v>
      </c>
      <c r="K36" s="8" t="s">
        <v>27</v>
      </c>
      <c r="L36" s="8" t="s">
        <v>211</v>
      </c>
      <c r="M36" s="8" t="s">
        <v>207</v>
      </c>
    </row>
    <row r="37" spans="1:13" hidden="1" x14ac:dyDescent="0.25">
      <c r="A37" s="21">
        <v>36</v>
      </c>
      <c r="B37" s="18" t="str">
        <f>_xlfn.XLOOKUP(C37,[1]IVW8362itmlist!$C:$C,[1]IVW8362itmlist!$B:$B)</f>
        <v>FG04090</v>
      </c>
      <c r="C37" s="15" t="s">
        <v>212</v>
      </c>
      <c r="D37" s="13"/>
      <c r="E37" s="13"/>
      <c r="F37" s="8" t="s">
        <v>209</v>
      </c>
      <c r="G37" s="8" t="s">
        <v>15</v>
      </c>
      <c r="H37" s="8" t="s">
        <v>39</v>
      </c>
      <c r="I37" s="8" t="s">
        <v>213</v>
      </c>
      <c r="J37" s="8" t="s">
        <v>205</v>
      </c>
      <c r="K37" s="8" t="s">
        <v>27</v>
      </c>
      <c r="L37" s="8" t="s">
        <v>211</v>
      </c>
      <c r="M37" s="9"/>
    </row>
    <row r="38" spans="1:13" ht="21" hidden="1" x14ac:dyDescent="0.25">
      <c r="A38" s="21">
        <v>37</v>
      </c>
      <c r="B38" s="18" t="str">
        <f>_xlfn.XLOOKUP(C38,[1]IVW8362itmlist!$C:$C,[1]IVW8362itmlist!$B:$B)</f>
        <v>FG03412</v>
      </c>
      <c r="C38" s="15" t="s">
        <v>214</v>
      </c>
      <c r="D38" s="13"/>
      <c r="E38" s="13"/>
      <c r="F38" s="8" t="s">
        <v>215</v>
      </c>
      <c r="G38" s="8" t="s">
        <v>15</v>
      </c>
      <c r="H38" s="8" t="s">
        <v>216</v>
      </c>
      <c r="I38" s="8" t="s">
        <v>217</v>
      </c>
      <c r="J38" s="8" t="s">
        <v>218</v>
      </c>
      <c r="K38" s="8" t="s">
        <v>219</v>
      </c>
      <c r="L38" s="8" t="s">
        <v>220</v>
      </c>
      <c r="M38" s="8" t="s">
        <v>29</v>
      </c>
    </row>
    <row r="39" spans="1:13" hidden="1" x14ac:dyDescent="0.25">
      <c r="A39" s="21">
        <v>38</v>
      </c>
      <c r="B39" s="18" t="str">
        <f>_xlfn.XLOOKUP(C39,[1]IVW8362itmlist!$C:$C,[1]IVW8362itmlist!$B:$B)</f>
        <v>FG03070</v>
      </c>
      <c r="C39" s="15" t="s">
        <v>221</v>
      </c>
      <c r="D39" s="13"/>
      <c r="E39" s="13"/>
      <c r="F39" s="8" t="s">
        <v>222</v>
      </c>
      <c r="G39" s="8" t="s">
        <v>15</v>
      </c>
      <c r="H39" s="8" t="s">
        <v>39</v>
      </c>
      <c r="I39" s="8" t="s">
        <v>223</v>
      </c>
      <c r="J39" s="8" t="s">
        <v>52</v>
      </c>
      <c r="K39" s="8" t="s">
        <v>27</v>
      </c>
      <c r="L39" s="8" t="s">
        <v>224</v>
      </c>
      <c r="M39" s="8" t="s">
        <v>225</v>
      </c>
    </row>
    <row r="40" spans="1:13" hidden="1" x14ac:dyDescent="0.25">
      <c r="A40" s="21">
        <v>39</v>
      </c>
      <c r="B40" s="18" t="str">
        <f>_xlfn.XLOOKUP(C40,[1]IVW8362itmlist!$C:$C,[1]IVW8362itmlist!$B:$B)</f>
        <v>FG03069</v>
      </c>
      <c r="C40" s="15" t="s">
        <v>226</v>
      </c>
      <c r="D40" s="13"/>
      <c r="E40" s="13"/>
      <c r="F40" s="8" t="s">
        <v>222</v>
      </c>
      <c r="G40" s="8" t="s">
        <v>15</v>
      </c>
      <c r="H40" s="8" t="s">
        <v>227</v>
      </c>
      <c r="I40" s="8" t="s">
        <v>228</v>
      </c>
      <c r="J40" s="8" t="s">
        <v>229</v>
      </c>
      <c r="K40" s="8" t="s">
        <v>27</v>
      </c>
      <c r="L40" s="8" t="s">
        <v>230</v>
      </c>
      <c r="M40" s="8" t="s">
        <v>231</v>
      </c>
    </row>
    <row r="41" spans="1:13" hidden="1" x14ac:dyDescent="0.25">
      <c r="A41" s="21">
        <v>40</v>
      </c>
      <c r="B41" s="18" t="str">
        <f>_xlfn.XLOOKUP(C41,[1]IVW8362itmlist!$C:$C,[1]IVW8362itmlist!$B:$B)</f>
        <v>FG03071</v>
      </c>
      <c r="C41" s="15" t="s">
        <v>232</v>
      </c>
      <c r="D41" s="13"/>
      <c r="E41" s="13"/>
      <c r="F41" s="8" t="s">
        <v>222</v>
      </c>
      <c r="G41" s="8" t="s">
        <v>15</v>
      </c>
      <c r="H41" s="8" t="s">
        <v>39</v>
      </c>
      <c r="I41" s="8" t="s">
        <v>233</v>
      </c>
      <c r="J41" s="8" t="s">
        <v>52</v>
      </c>
      <c r="K41" s="8" t="s">
        <v>27</v>
      </c>
      <c r="L41" s="8" t="s">
        <v>234</v>
      </c>
      <c r="M41" s="8" t="s">
        <v>235</v>
      </c>
    </row>
    <row r="42" spans="1:13" ht="21" hidden="1" x14ac:dyDescent="0.25">
      <c r="A42" s="21">
        <v>41</v>
      </c>
      <c r="B42" s="18" t="str">
        <f>_xlfn.XLOOKUP(C42,[1]IVW8362itmlist!$C:$C,[1]IVW8362itmlist!$B:$B)</f>
        <v>FG03603</v>
      </c>
      <c r="C42" s="15" t="s">
        <v>236</v>
      </c>
      <c r="D42" s="13"/>
      <c r="E42" s="13"/>
      <c r="F42" s="8" t="s">
        <v>237</v>
      </c>
      <c r="G42" s="8" t="s">
        <v>15</v>
      </c>
      <c r="H42" s="8" t="s">
        <v>45</v>
      </c>
      <c r="I42" s="8" t="s">
        <v>238</v>
      </c>
      <c r="J42" s="8" t="s">
        <v>119</v>
      </c>
      <c r="K42" s="8" t="s">
        <v>27</v>
      </c>
      <c r="L42" s="8" t="s">
        <v>239</v>
      </c>
      <c r="M42" s="8" t="s">
        <v>29</v>
      </c>
    </row>
    <row r="43" spans="1:13" ht="21" hidden="1" x14ac:dyDescent="0.25">
      <c r="A43" s="21">
        <v>42</v>
      </c>
      <c r="B43" s="18" t="str">
        <f>_xlfn.XLOOKUP(C43,[1]IVW8362itmlist!$C:$C,[1]IVW8362itmlist!$B:$B)</f>
        <v>FG04561</v>
      </c>
      <c r="C43" s="15" t="s">
        <v>240</v>
      </c>
      <c r="D43" s="13"/>
      <c r="E43" s="13"/>
      <c r="F43" s="8" t="s">
        <v>241</v>
      </c>
      <c r="G43" s="8" t="s">
        <v>15</v>
      </c>
      <c r="H43" s="8" t="s">
        <v>39</v>
      </c>
      <c r="I43" s="8" t="s">
        <v>242</v>
      </c>
      <c r="J43" s="8" t="s">
        <v>243</v>
      </c>
      <c r="K43" s="8" t="s">
        <v>27</v>
      </c>
      <c r="L43" s="8" t="s">
        <v>239</v>
      </c>
      <c r="M43" s="8" t="s">
        <v>29</v>
      </c>
    </row>
    <row r="44" spans="1:13" ht="21" hidden="1" x14ac:dyDescent="0.25">
      <c r="A44" s="21">
        <v>43</v>
      </c>
      <c r="B44" s="18" t="str">
        <f>_xlfn.XLOOKUP(C44,[1]IVW8362itmlist!$C:$C,[1]IVW8362itmlist!$B:$B)</f>
        <v>FG03602</v>
      </c>
      <c r="C44" s="15" t="s">
        <v>244</v>
      </c>
      <c r="D44" s="13"/>
      <c r="E44" s="13"/>
      <c r="F44" s="8" t="s">
        <v>245</v>
      </c>
      <c r="G44" s="8" t="s">
        <v>15</v>
      </c>
      <c r="H44" s="8" t="s">
        <v>16</v>
      </c>
      <c r="I44" s="8" t="s">
        <v>246</v>
      </c>
      <c r="J44" s="8" t="s">
        <v>247</v>
      </c>
      <c r="K44" s="8" t="s">
        <v>19</v>
      </c>
      <c r="L44" s="8" t="s">
        <v>239</v>
      </c>
      <c r="M44" s="8" t="s">
        <v>29</v>
      </c>
    </row>
    <row r="45" spans="1:13" hidden="1" x14ac:dyDescent="0.25">
      <c r="A45" s="21">
        <v>44</v>
      </c>
      <c r="B45" s="18" t="str">
        <f>_xlfn.XLOOKUP(C45,[1]IVW8362itmlist!$C:$C,[1]IVW8362itmlist!$B:$B)</f>
        <v>FG00918</v>
      </c>
      <c r="C45" s="15" t="s">
        <v>248</v>
      </c>
      <c r="D45" s="13"/>
      <c r="E45" s="13"/>
      <c r="F45" s="8" t="s">
        <v>249</v>
      </c>
      <c r="G45" s="8" t="s">
        <v>15</v>
      </c>
      <c r="H45" s="8" t="s">
        <v>45</v>
      </c>
      <c r="I45" s="8" t="s">
        <v>250</v>
      </c>
      <c r="J45" s="8" t="s">
        <v>119</v>
      </c>
      <c r="K45" s="8" t="s">
        <v>27</v>
      </c>
      <c r="L45" s="8" t="s">
        <v>251</v>
      </c>
      <c r="M45" s="8" t="s">
        <v>29</v>
      </c>
    </row>
    <row r="46" spans="1:13" hidden="1" x14ac:dyDescent="0.25">
      <c r="A46" s="21">
        <v>45</v>
      </c>
      <c r="B46" s="18" t="str">
        <f>_xlfn.XLOOKUP(C46,[1]IVW8362itmlist!$C:$C,[1]IVW8362itmlist!$B:$B)</f>
        <v>FG07115</v>
      </c>
      <c r="C46" s="15" t="s">
        <v>252</v>
      </c>
      <c r="D46" s="13"/>
      <c r="E46" s="13"/>
      <c r="F46" s="8" t="s">
        <v>253</v>
      </c>
      <c r="G46" s="8" t="s">
        <v>15</v>
      </c>
      <c r="H46" s="8" t="s">
        <v>34</v>
      </c>
      <c r="I46" s="8" t="s">
        <v>254</v>
      </c>
      <c r="J46" s="8" t="s">
        <v>255</v>
      </c>
      <c r="K46" s="8" t="s">
        <v>27</v>
      </c>
      <c r="L46" s="8" t="s">
        <v>251</v>
      </c>
      <c r="M46" s="8" t="s">
        <v>29</v>
      </c>
    </row>
    <row r="47" spans="1:13" hidden="1" x14ac:dyDescent="0.25">
      <c r="A47" s="21">
        <v>46</v>
      </c>
      <c r="B47" s="18" t="str">
        <f>_xlfn.XLOOKUP(C47,[1]IVW8362itmlist!$C:$C,[1]IVW8362itmlist!$B:$B)</f>
        <v>FG04095</v>
      </c>
      <c r="C47" s="15" t="s">
        <v>256</v>
      </c>
      <c r="D47" s="13"/>
      <c r="E47" s="13"/>
      <c r="F47" s="8" t="s">
        <v>257</v>
      </c>
      <c r="G47" s="8" t="s">
        <v>15</v>
      </c>
      <c r="H47" s="8" t="s">
        <v>258</v>
      </c>
      <c r="I47" s="8" t="s">
        <v>259</v>
      </c>
      <c r="J47" s="8" t="s">
        <v>260</v>
      </c>
      <c r="K47" s="8" t="s">
        <v>261</v>
      </c>
      <c r="L47" s="8" t="s">
        <v>262</v>
      </c>
      <c r="M47" s="8" t="s">
        <v>263</v>
      </c>
    </row>
    <row r="48" spans="1:13" hidden="1" x14ac:dyDescent="0.25">
      <c r="A48" s="21">
        <v>47</v>
      </c>
      <c r="B48" s="18" t="str">
        <f>_xlfn.XLOOKUP(C48,[1]IVW8362itmlist!$C:$C,[1]IVW8362itmlist!$B:$B)</f>
        <v>FG03566</v>
      </c>
      <c r="C48" s="15" t="s">
        <v>264</v>
      </c>
      <c r="D48" s="13"/>
      <c r="E48" s="13"/>
      <c r="F48" s="8" t="s">
        <v>265</v>
      </c>
      <c r="G48" s="8" t="s">
        <v>15</v>
      </c>
      <c r="H48" s="8" t="s">
        <v>45</v>
      </c>
      <c r="I48" s="8" t="s">
        <v>266</v>
      </c>
      <c r="J48" s="8" t="s">
        <v>267</v>
      </c>
      <c r="K48" s="8" t="s">
        <v>27</v>
      </c>
      <c r="L48" s="8" t="s">
        <v>268</v>
      </c>
      <c r="M48" s="8" t="s">
        <v>269</v>
      </c>
    </row>
    <row r="49" spans="1:13" hidden="1" x14ac:dyDescent="0.25">
      <c r="A49" s="21">
        <v>48</v>
      </c>
      <c r="B49" s="18" t="str">
        <f>_xlfn.XLOOKUP(C49,[1]IVW8362itmlist!$C:$C,[1]IVW8362itmlist!$B:$B)</f>
        <v>FG03567</v>
      </c>
      <c r="C49" s="15" t="s">
        <v>270</v>
      </c>
      <c r="D49" s="13"/>
      <c r="E49" s="13"/>
      <c r="F49" s="8" t="s">
        <v>265</v>
      </c>
      <c r="G49" s="8" t="s">
        <v>15</v>
      </c>
      <c r="H49" s="8" t="s">
        <v>39</v>
      </c>
      <c r="I49" s="8" t="s">
        <v>271</v>
      </c>
      <c r="J49" s="8" t="s">
        <v>52</v>
      </c>
      <c r="K49" s="8" t="s">
        <v>27</v>
      </c>
      <c r="L49" s="8" t="s">
        <v>268</v>
      </c>
      <c r="M49" s="8" t="s">
        <v>272</v>
      </c>
    </row>
    <row r="50" spans="1:13" ht="21" hidden="1" x14ac:dyDescent="0.25">
      <c r="A50" s="21">
        <v>49</v>
      </c>
      <c r="B50" s="18" t="str">
        <f>_xlfn.XLOOKUP(C50,[1]IVW8362itmlist!$C:$C,[1]IVW8362itmlist!$B:$B)</f>
        <v>FG04079</v>
      </c>
      <c r="C50" s="15" t="s">
        <v>273</v>
      </c>
      <c r="D50" s="13"/>
      <c r="E50" s="13"/>
      <c r="F50" s="8" t="s">
        <v>274</v>
      </c>
      <c r="G50" s="8" t="s">
        <v>15</v>
      </c>
      <c r="H50" s="8" t="s">
        <v>275</v>
      </c>
      <c r="I50" s="8" t="s">
        <v>276</v>
      </c>
      <c r="J50" s="8" t="s">
        <v>277</v>
      </c>
      <c r="K50" s="8" t="s">
        <v>27</v>
      </c>
      <c r="L50" s="8" t="s">
        <v>278</v>
      </c>
      <c r="M50" s="8" t="s">
        <v>279</v>
      </c>
    </row>
    <row r="51" spans="1:13" ht="21" hidden="1" x14ac:dyDescent="0.25">
      <c r="A51" s="21">
        <v>50</v>
      </c>
      <c r="B51" s="18" t="str">
        <f>_xlfn.XLOOKUP(C51,[1]IVW8362itmlist!$C:$C,[1]IVW8362itmlist!$B:$B)</f>
        <v>FG01415</v>
      </c>
      <c r="C51" s="15" t="s">
        <v>280</v>
      </c>
      <c r="D51" s="13"/>
      <c r="E51" s="13"/>
      <c r="F51" s="8" t="s">
        <v>281</v>
      </c>
      <c r="G51" s="8" t="s">
        <v>15</v>
      </c>
      <c r="H51" s="8" t="s">
        <v>24</v>
      </c>
      <c r="I51" s="8" t="s">
        <v>282</v>
      </c>
      <c r="J51" s="8" t="s">
        <v>283</v>
      </c>
      <c r="K51" s="8" t="s">
        <v>27</v>
      </c>
      <c r="L51" s="8" t="s">
        <v>284</v>
      </c>
      <c r="M51" s="8" t="s">
        <v>285</v>
      </c>
    </row>
    <row r="52" spans="1:13" ht="21" hidden="1" x14ac:dyDescent="0.25">
      <c r="A52" s="21">
        <v>51</v>
      </c>
      <c r="B52" s="18" t="str">
        <f>_xlfn.XLOOKUP(C52,[1]IVW8362itmlist!$C:$C,[1]IVW8362itmlist!$B:$B)</f>
        <v>FG01873</v>
      </c>
      <c r="C52" s="15" t="s">
        <v>286</v>
      </c>
      <c r="D52" s="13"/>
      <c r="E52" s="13"/>
      <c r="F52" s="8" t="s">
        <v>287</v>
      </c>
      <c r="G52" s="8" t="s">
        <v>15</v>
      </c>
      <c r="H52" s="8" t="s">
        <v>24</v>
      </c>
      <c r="I52" s="8" t="s">
        <v>288</v>
      </c>
      <c r="J52" s="8" t="s">
        <v>289</v>
      </c>
      <c r="K52" s="8" t="s">
        <v>27</v>
      </c>
      <c r="L52" s="8" t="s">
        <v>290</v>
      </c>
      <c r="M52" s="8" t="s">
        <v>29</v>
      </c>
    </row>
    <row r="53" spans="1:13" ht="21" hidden="1" x14ac:dyDescent="0.25">
      <c r="A53" s="21">
        <v>52</v>
      </c>
      <c r="B53" s="18" t="str">
        <f>_xlfn.XLOOKUP(C53,[1]IVW8362itmlist!$C:$C,[1]IVW8362itmlist!$B:$B)</f>
        <v>FG01871</v>
      </c>
      <c r="C53" s="15" t="s">
        <v>291</v>
      </c>
      <c r="D53" s="13"/>
      <c r="E53" s="13"/>
      <c r="F53" s="8" t="s">
        <v>292</v>
      </c>
      <c r="G53" s="8" t="s">
        <v>15</v>
      </c>
      <c r="H53" s="8" t="s">
        <v>34</v>
      </c>
      <c r="I53" s="8" t="s">
        <v>293</v>
      </c>
      <c r="J53" s="8" t="s">
        <v>294</v>
      </c>
      <c r="K53" s="8" t="s">
        <v>27</v>
      </c>
      <c r="L53" s="8" t="s">
        <v>295</v>
      </c>
      <c r="M53" s="8" t="s">
        <v>296</v>
      </c>
    </row>
    <row r="54" spans="1:13" hidden="1" x14ac:dyDescent="0.25">
      <c r="A54" s="21">
        <v>53</v>
      </c>
      <c r="B54" s="18" t="str">
        <f>_xlfn.XLOOKUP(C54,[1]IVW8362itmlist!$C:$C,[1]IVW8362itmlist!$B:$B)</f>
        <v>FG01292</v>
      </c>
      <c r="C54" s="15" t="s">
        <v>297</v>
      </c>
      <c r="D54" s="13"/>
      <c r="E54" s="13"/>
      <c r="F54" s="8" t="s">
        <v>298</v>
      </c>
      <c r="G54" s="8" t="s">
        <v>15</v>
      </c>
      <c r="H54" s="8" t="s">
        <v>299</v>
      </c>
      <c r="I54" s="8" t="s">
        <v>300</v>
      </c>
      <c r="J54" s="8" t="s">
        <v>301</v>
      </c>
      <c r="K54" s="8" t="s">
        <v>27</v>
      </c>
      <c r="L54" s="8" t="s">
        <v>302</v>
      </c>
      <c r="M54" s="8" t="s">
        <v>303</v>
      </c>
    </row>
    <row r="55" spans="1:13" hidden="1" x14ac:dyDescent="0.25">
      <c r="A55" s="21">
        <v>54</v>
      </c>
      <c r="B55" s="18" t="str">
        <f>_xlfn.XLOOKUP(C55,[1]IVW8362itmlist!$C:$C,[1]IVW8362itmlist!$B:$B)</f>
        <v>FG04631</v>
      </c>
      <c r="C55" s="15" t="s">
        <v>304</v>
      </c>
      <c r="D55" s="13"/>
      <c r="E55" s="13"/>
      <c r="F55" s="8" t="s">
        <v>305</v>
      </c>
      <c r="G55" s="8" t="s">
        <v>15</v>
      </c>
      <c r="H55" s="8" t="s">
        <v>24</v>
      </c>
      <c r="I55" s="8" t="s">
        <v>306</v>
      </c>
      <c r="J55" s="8" t="s">
        <v>26</v>
      </c>
      <c r="K55" s="8" t="s">
        <v>27</v>
      </c>
      <c r="L55" s="8" t="s">
        <v>307</v>
      </c>
      <c r="M55" s="8" t="s">
        <v>308</v>
      </c>
    </row>
    <row r="56" spans="1:13" hidden="1" x14ac:dyDescent="0.25">
      <c r="A56" s="21">
        <v>55</v>
      </c>
      <c r="B56" s="18" t="str">
        <f>_xlfn.XLOOKUP(C56,[1]IVW8362itmlist!$C:$C,[1]IVW8362itmlist!$B:$B)</f>
        <v>FG04022</v>
      </c>
      <c r="C56" s="15" t="s">
        <v>309</v>
      </c>
      <c r="D56" s="13"/>
      <c r="E56" s="13"/>
      <c r="F56" s="8" t="s">
        <v>310</v>
      </c>
      <c r="G56" s="8" t="s">
        <v>15</v>
      </c>
      <c r="H56" s="8" t="s">
        <v>311</v>
      </c>
      <c r="I56" s="8" t="s">
        <v>312</v>
      </c>
      <c r="J56" s="8" t="s">
        <v>313</v>
      </c>
      <c r="K56" s="8" t="s">
        <v>27</v>
      </c>
      <c r="L56" s="8" t="s">
        <v>314</v>
      </c>
      <c r="M56" s="8" t="s">
        <v>29</v>
      </c>
    </row>
    <row r="57" spans="1:13" hidden="1" x14ac:dyDescent="0.25">
      <c r="A57" s="21">
        <v>56</v>
      </c>
      <c r="B57" s="18" t="str">
        <f>_xlfn.XLOOKUP(C57,[1]IVW8362itmlist!$C:$C,[1]IVW8362itmlist!$B:$B)</f>
        <v>FG04021</v>
      </c>
      <c r="C57" s="15" t="s">
        <v>315</v>
      </c>
      <c r="D57" s="13"/>
      <c r="E57" s="13"/>
      <c r="F57" s="8" t="s">
        <v>310</v>
      </c>
      <c r="G57" s="8" t="s">
        <v>15</v>
      </c>
      <c r="H57" s="8" t="s">
        <v>39</v>
      </c>
      <c r="I57" s="8" t="s">
        <v>316</v>
      </c>
      <c r="J57" s="8" t="s">
        <v>313</v>
      </c>
      <c r="K57" s="8" t="s">
        <v>27</v>
      </c>
      <c r="L57" s="8" t="s">
        <v>314</v>
      </c>
      <c r="M57" s="8" t="s">
        <v>29</v>
      </c>
    </row>
    <row r="58" spans="1:13" ht="21" hidden="1" x14ac:dyDescent="0.25">
      <c r="A58" s="21">
        <v>57</v>
      </c>
      <c r="B58" s="18" t="str">
        <f>_xlfn.XLOOKUP(C58,[1]IVW8362itmlist!$C:$C,[1]IVW8362itmlist!$B:$B)</f>
        <v>FG00438</v>
      </c>
      <c r="C58" s="15" t="s">
        <v>317</v>
      </c>
      <c r="D58" s="13"/>
      <c r="E58" s="13"/>
      <c r="F58" s="8" t="s">
        <v>318</v>
      </c>
      <c r="G58" s="8" t="s">
        <v>15</v>
      </c>
      <c r="H58" s="8" t="s">
        <v>311</v>
      </c>
      <c r="I58" s="8" t="s">
        <v>319</v>
      </c>
      <c r="J58" s="8" t="s">
        <v>243</v>
      </c>
      <c r="K58" s="8" t="s">
        <v>27</v>
      </c>
      <c r="L58" s="8" t="s">
        <v>320</v>
      </c>
      <c r="M58" s="8" t="s">
        <v>321</v>
      </c>
    </row>
    <row r="59" spans="1:13" ht="21" x14ac:dyDescent="0.25">
      <c r="A59" s="21">
        <v>58</v>
      </c>
      <c r="B59" s="18" t="str">
        <f>_xlfn.XLOOKUP(C59,[1]IVW8362itmlist!$C:$C,[1]IVW8362itmlist!$B:$B)</f>
        <v>FG00547</v>
      </c>
      <c r="C59" s="15" t="s">
        <v>322</v>
      </c>
      <c r="D59" s="13"/>
      <c r="E59" s="13"/>
      <c r="F59" s="8" t="s">
        <v>323</v>
      </c>
      <c r="G59" s="8" t="s">
        <v>15</v>
      </c>
      <c r="H59" s="8" t="s">
        <v>39</v>
      </c>
      <c r="I59" s="8" t="s">
        <v>324</v>
      </c>
      <c r="J59" s="8" t="s">
        <v>243</v>
      </c>
      <c r="K59" s="8" t="s">
        <v>27</v>
      </c>
      <c r="L59" s="8" t="s">
        <v>325</v>
      </c>
      <c r="M59" s="8" t="s">
        <v>29</v>
      </c>
    </row>
    <row r="60" spans="1:13" ht="21" x14ac:dyDescent="0.25">
      <c r="A60" s="21">
        <v>59</v>
      </c>
      <c r="B60" s="18" t="str">
        <f>_xlfn.XLOOKUP(C60,[1]IVW8362itmlist!$C:$C,[1]IVW8362itmlist!$B:$B)</f>
        <v>FG00548</v>
      </c>
      <c r="C60" s="15" t="s">
        <v>326</v>
      </c>
      <c r="D60" s="13"/>
      <c r="E60" s="13"/>
      <c r="F60" s="8" t="s">
        <v>327</v>
      </c>
      <c r="G60" s="8" t="s">
        <v>15</v>
      </c>
      <c r="H60" s="8" t="s">
        <v>45</v>
      </c>
      <c r="I60" s="8" t="s">
        <v>328</v>
      </c>
      <c r="J60" s="8" t="s">
        <v>119</v>
      </c>
      <c r="K60" s="8" t="s">
        <v>27</v>
      </c>
      <c r="L60" s="8" t="s">
        <v>325</v>
      </c>
      <c r="M60" s="8" t="s">
        <v>29</v>
      </c>
    </row>
    <row r="61" spans="1:13" ht="21" hidden="1" x14ac:dyDescent="0.25">
      <c r="A61" s="21">
        <v>60</v>
      </c>
      <c r="B61" s="18" t="str">
        <f>_xlfn.XLOOKUP(C61,[1]IVW8362itmlist!$C:$C,[1]IVW8362itmlist!$B:$B)</f>
        <v>FG04063</v>
      </c>
      <c r="C61" s="15" t="s">
        <v>329</v>
      </c>
      <c r="D61" s="13"/>
      <c r="E61" s="13"/>
      <c r="F61" s="8" t="s">
        <v>330</v>
      </c>
      <c r="G61" s="8" t="s">
        <v>15</v>
      </c>
      <c r="H61" s="8" t="s">
        <v>39</v>
      </c>
      <c r="I61" s="8" t="s">
        <v>331</v>
      </c>
      <c r="J61" s="8" t="s">
        <v>205</v>
      </c>
      <c r="K61" s="8" t="s">
        <v>27</v>
      </c>
      <c r="L61" s="8" t="s">
        <v>332</v>
      </c>
      <c r="M61" s="8" t="s">
        <v>29</v>
      </c>
    </row>
    <row r="62" spans="1:13" ht="21" hidden="1" x14ac:dyDescent="0.25">
      <c r="A62" s="21">
        <v>61</v>
      </c>
      <c r="B62" s="18" t="str">
        <f>_xlfn.XLOOKUP(C62,[1]IVW8362itmlist!$C:$C,[1]IVW8362itmlist!$B:$B)</f>
        <v>FG04911</v>
      </c>
      <c r="C62" s="15" t="s">
        <v>333</v>
      </c>
      <c r="D62" s="13"/>
      <c r="E62" s="13"/>
      <c r="F62" s="8" t="s">
        <v>330</v>
      </c>
      <c r="G62" s="8" t="s">
        <v>15</v>
      </c>
      <c r="H62" s="8" t="s">
        <v>39</v>
      </c>
      <c r="I62" s="8" t="s">
        <v>334</v>
      </c>
      <c r="J62" s="8" t="s">
        <v>205</v>
      </c>
      <c r="K62" s="8" t="s">
        <v>27</v>
      </c>
      <c r="L62" s="8" t="s">
        <v>332</v>
      </c>
      <c r="M62" s="8" t="s">
        <v>29</v>
      </c>
    </row>
    <row r="63" spans="1:13" ht="21" hidden="1" x14ac:dyDescent="0.25">
      <c r="A63" s="21">
        <v>62</v>
      </c>
      <c r="B63" s="18" t="str">
        <f>_xlfn.XLOOKUP(C63,[1]IVW8362itmlist!$C:$C,[1]IVW8362itmlist!$B:$B)</f>
        <v>FG02276</v>
      </c>
      <c r="C63" s="15" t="s">
        <v>335</v>
      </c>
      <c r="D63" s="13"/>
      <c r="E63" s="13"/>
      <c r="F63" s="8" t="s">
        <v>330</v>
      </c>
      <c r="G63" s="8" t="s">
        <v>15</v>
      </c>
      <c r="H63" s="8" t="s">
        <v>16</v>
      </c>
      <c r="I63" s="8" t="s">
        <v>336</v>
      </c>
      <c r="J63" s="8" t="s">
        <v>337</v>
      </c>
      <c r="K63" s="8" t="s">
        <v>19</v>
      </c>
      <c r="L63" s="8" t="s">
        <v>332</v>
      </c>
      <c r="M63" s="8" t="s">
        <v>29</v>
      </c>
    </row>
    <row r="64" spans="1:13" hidden="1" x14ac:dyDescent="0.25">
      <c r="A64" s="21">
        <v>63</v>
      </c>
      <c r="B64" s="18" t="str">
        <f>_xlfn.XLOOKUP(C64,[1]IVW8362itmlist!$C:$C,[1]IVW8362itmlist!$B:$B)</f>
        <v>FG04438</v>
      </c>
      <c r="C64" s="15" t="s">
        <v>338</v>
      </c>
      <c r="D64" s="13"/>
      <c r="E64" s="13"/>
      <c r="F64" s="8" t="s">
        <v>330</v>
      </c>
      <c r="G64" s="8" t="s">
        <v>15</v>
      </c>
      <c r="H64" s="8" t="s">
        <v>34</v>
      </c>
      <c r="I64" s="8" t="s">
        <v>339</v>
      </c>
      <c r="J64" s="8" t="s">
        <v>340</v>
      </c>
      <c r="K64" s="8" t="s">
        <v>27</v>
      </c>
      <c r="L64" s="8" t="s">
        <v>341</v>
      </c>
      <c r="M64" s="8" t="s">
        <v>342</v>
      </c>
    </row>
    <row r="65" spans="1:13" hidden="1" x14ac:dyDescent="0.25">
      <c r="A65" s="21">
        <v>64</v>
      </c>
      <c r="B65" s="18" t="str">
        <f>_xlfn.XLOOKUP(C65,[1]IVW8362itmlist!$C:$C,[1]IVW8362itmlist!$B:$B)</f>
        <v>FG02275</v>
      </c>
      <c r="C65" s="15" t="s">
        <v>343</v>
      </c>
      <c r="D65" s="13"/>
      <c r="E65" s="13"/>
      <c r="F65" s="8" t="s">
        <v>330</v>
      </c>
      <c r="G65" s="8" t="s">
        <v>15</v>
      </c>
      <c r="H65" s="8" t="s">
        <v>344</v>
      </c>
      <c r="I65" s="8" t="s">
        <v>345</v>
      </c>
      <c r="J65" s="8" t="s">
        <v>346</v>
      </c>
      <c r="K65" s="8" t="s">
        <v>347</v>
      </c>
      <c r="L65" s="8" t="s">
        <v>348</v>
      </c>
      <c r="M65" s="8" t="s">
        <v>349</v>
      </c>
    </row>
    <row r="66" spans="1:13" hidden="1" x14ac:dyDescent="0.25">
      <c r="A66" s="21">
        <v>65</v>
      </c>
      <c r="B66" s="18" t="str">
        <f>_xlfn.XLOOKUP(C66,[1]IVW8362itmlist!$C:$C,[1]IVW8362itmlist!$B:$B)</f>
        <v>FG01778</v>
      </c>
      <c r="C66" s="15" t="s">
        <v>350</v>
      </c>
      <c r="D66" s="13"/>
      <c r="E66" s="13"/>
      <c r="F66" s="8" t="s">
        <v>351</v>
      </c>
      <c r="G66" s="8" t="s">
        <v>15</v>
      </c>
      <c r="H66" s="8" t="s">
        <v>216</v>
      </c>
      <c r="I66" s="8" t="s">
        <v>352</v>
      </c>
      <c r="J66" s="8" t="s">
        <v>353</v>
      </c>
      <c r="K66" s="8" t="s">
        <v>219</v>
      </c>
      <c r="L66" s="8" t="s">
        <v>354</v>
      </c>
      <c r="M66" s="8" t="s">
        <v>355</v>
      </c>
    </row>
    <row r="67" spans="1:13" hidden="1" x14ac:dyDescent="0.25">
      <c r="A67" s="21">
        <v>66</v>
      </c>
      <c r="B67" s="18" t="str">
        <f>_xlfn.XLOOKUP(C67,[1]IVW8362itmlist!$C:$C,[1]IVW8362itmlist!$B:$B)</f>
        <v>FG03876</v>
      </c>
      <c r="C67" s="15" t="s">
        <v>356</v>
      </c>
      <c r="D67" s="13"/>
      <c r="E67" s="13"/>
      <c r="F67" s="8" t="s">
        <v>357</v>
      </c>
      <c r="G67" s="8" t="s">
        <v>15</v>
      </c>
      <c r="H67" s="8" t="s">
        <v>39</v>
      </c>
      <c r="I67" s="8" t="s">
        <v>352</v>
      </c>
      <c r="J67" s="8" t="s">
        <v>313</v>
      </c>
      <c r="K67" s="8" t="s">
        <v>27</v>
      </c>
      <c r="L67" s="8" t="s">
        <v>354</v>
      </c>
      <c r="M67" s="8" t="s">
        <v>225</v>
      </c>
    </row>
    <row r="68" spans="1:13" hidden="1" x14ac:dyDescent="0.25">
      <c r="A68" s="21">
        <v>67</v>
      </c>
      <c r="B68" s="18" t="str">
        <f>_xlfn.XLOOKUP(C68,[1]IVW8362itmlist!$C:$C,[1]IVW8362itmlist!$B:$B)</f>
        <v>FG01825</v>
      </c>
      <c r="C68" s="15" t="s">
        <v>358</v>
      </c>
      <c r="D68" s="13"/>
      <c r="E68" s="13"/>
      <c r="F68" s="8" t="s">
        <v>359</v>
      </c>
      <c r="G68" s="8" t="s">
        <v>15</v>
      </c>
      <c r="H68" s="8" t="s">
        <v>45</v>
      </c>
      <c r="I68" s="8" t="s">
        <v>360</v>
      </c>
      <c r="J68" s="8" t="s">
        <v>97</v>
      </c>
      <c r="K68" s="8" t="s">
        <v>27</v>
      </c>
      <c r="L68" s="8" t="s">
        <v>361</v>
      </c>
      <c r="M68" s="8" t="s">
        <v>29</v>
      </c>
    </row>
    <row r="69" spans="1:13" ht="31.5" hidden="1" x14ac:dyDescent="0.25">
      <c r="A69" s="21">
        <v>68</v>
      </c>
      <c r="B69" s="18" t="str">
        <f>_xlfn.XLOOKUP(C69,[1]IVW8362itmlist!$C:$C,[1]IVW8362itmlist!$B:$B)</f>
        <v>FG01576</v>
      </c>
      <c r="C69" s="15" t="s">
        <v>362</v>
      </c>
      <c r="D69" s="13"/>
      <c r="E69" s="13"/>
      <c r="F69" s="8" t="s">
        <v>363</v>
      </c>
      <c r="G69" s="8" t="s">
        <v>15</v>
      </c>
      <c r="H69" s="8" t="s">
        <v>364</v>
      </c>
      <c r="I69" s="8" t="s">
        <v>365</v>
      </c>
      <c r="J69" s="8" t="s">
        <v>366</v>
      </c>
      <c r="K69" s="8" t="s">
        <v>367</v>
      </c>
      <c r="L69" s="8" t="s">
        <v>368</v>
      </c>
      <c r="M69" s="8" t="s">
        <v>369</v>
      </c>
    </row>
    <row r="70" spans="1:13" ht="21" hidden="1" x14ac:dyDescent="0.25">
      <c r="A70" s="21">
        <v>69</v>
      </c>
      <c r="B70" s="18" t="str">
        <f>_xlfn.XLOOKUP(C70,[1]IVW8362itmlist!$C:$C,[1]IVW8362itmlist!$B:$B)</f>
        <v>FG04492</v>
      </c>
      <c r="C70" s="15" t="s">
        <v>370</v>
      </c>
      <c r="D70" s="13"/>
      <c r="E70" s="13"/>
      <c r="F70" s="8" t="s">
        <v>371</v>
      </c>
      <c r="G70" s="8" t="s">
        <v>15</v>
      </c>
      <c r="H70" s="8" t="s">
        <v>372</v>
      </c>
      <c r="I70" s="8" t="s">
        <v>373</v>
      </c>
      <c r="J70" s="8" t="s">
        <v>374</v>
      </c>
      <c r="K70" s="8" t="s">
        <v>375</v>
      </c>
      <c r="L70" s="8" t="s">
        <v>376</v>
      </c>
      <c r="M70" s="8" t="s">
        <v>29</v>
      </c>
    </row>
    <row r="71" spans="1:13" ht="21" hidden="1" x14ac:dyDescent="0.25">
      <c r="A71" s="21">
        <v>70</v>
      </c>
      <c r="B71" s="18" t="str">
        <f>_xlfn.XLOOKUP(C71,[1]IVW8362itmlist!$C:$C,[1]IVW8362itmlist!$B:$B)</f>
        <v>FG04104</v>
      </c>
      <c r="C71" s="15" t="s">
        <v>377</v>
      </c>
      <c r="D71" s="13"/>
      <c r="E71" s="13"/>
      <c r="F71" s="8" t="s">
        <v>371</v>
      </c>
      <c r="G71" s="8" t="s">
        <v>15</v>
      </c>
      <c r="H71" s="8" t="s">
        <v>45</v>
      </c>
      <c r="I71" s="8" t="s">
        <v>378</v>
      </c>
      <c r="J71" s="8" t="s">
        <v>119</v>
      </c>
      <c r="K71" s="8" t="s">
        <v>27</v>
      </c>
      <c r="L71" s="8" t="s">
        <v>379</v>
      </c>
      <c r="M71" s="8" t="s">
        <v>380</v>
      </c>
    </row>
    <row r="72" spans="1:13" ht="21" hidden="1" x14ac:dyDescent="0.25">
      <c r="A72" s="21">
        <v>71</v>
      </c>
      <c r="B72" s="18" t="str">
        <f>_xlfn.XLOOKUP(C72,[1]IVW8362itmlist!$C:$C,[1]IVW8362itmlist!$B:$B)</f>
        <v>FG04081</v>
      </c>
      <c r="C72" s="15" t="s">
        <v>381</v>
      </c>
      <c r="D72" s="13"/>
      <c r="E72" s="13"/>
      <c r="F72" s="8" t="s">
        <v>371</v>
      </c>
      <c r="G72" s="8" t="s">
        <v>15</v>
      </c>
      <c r="H72" s="8" t="s">
        <v>39</v>
      </c>
      <c r="I72" s="8" t="s">
        <v>382</v>
      </c>
      <c r="J72" s="8" t="s">
        <v>313</v>
      </c>
      <c r="K72" s="8" t="s">
        <v>27</v>
      </c>
      <c r="L72" s="8" t="s">
        <v>383</v>
      </c>
      <c r="M72" s="8" t="s">
        <v>380</v>
      </c>
    </row>
    <row r="73" spans="1:13" ht="31.5" hidden="1" x14ac:dyDescent="0.25">
      <c r="A73" s="21">
        <v>72</v>
      </c>
      <c r="B73" s="18" t="str">
        <f>_xlfn.XLOOKUP(C73,[1]IVW8362itmlist!$C:$C,[1]IVW8362itmlist!$B:$B)</f>
        <v>FG02981</v>
      </c>
      <c r="C73" s="15" t="s">
        <v>384</v>
      </c>
      <c r="D73" s="13"/>
      <c r="E73" s="13"/>
      <c r="F73" s="8" t="s">
        <v>385</v>
      </c>
      <c r="G73" s="8" t="s">
        <v>15</v>
      </c>
      <c r="H73" s="8" t="s">
        <v>386</v>
      </c>
      <c r="I73" s="8" t="s">
        <v>387</v>
      </c>
      <c r="J73" s="8" t="s">
        <v>388</v>
      </c>
      <c r="K73" s="8" t="s">
        <v>389</v>
      </c>
      <c r="L73" s="8" t="s">
        <v>390</v>
      </c>
      <c r="M73" s="8" t="s">
        <v>29</v>
      </c>
    </row>
    <row r="74" spans="1:13" ht="21" hidden="1" x14ac:dyDescent="0.25">
      <c r="A74" s="21">
        <v>73</v>
      </c>
      <c r="B74" s="18" t="str">
        <f>_xlfn.XLOOKUP(C74,[1]IVW8362itmlist!$C:$C,[1]IVW8362itmlist!$B:$B)</f>
        <v>FG00879</v>
      </c>
      <c r="C74" s="15" t="s">
        <v>391</v>
      </c>
      <c r="D74" s="13"/>
      <c r="E74" s="13"/>
      <c r="F74" s="8" t="s">
        <v>392</v>
      </c>
      <c r="G74" s="8" t="s">
        <v>15</v>
      </c>
      <c r="H74" s="8" t="s">
        <v>216</v>
      </c>
      <c r="I74" s="8" t="s">
        <v>393</v>
      </c>
      <c r="J74" s="8" t="s">
        <v>394</v>
      </c>
      <c r="K74" s="8" t="s">
        <v>219</v>
      </c>
      <c r="L74" s="8" t="s">
        <v>395</v>
      </c>
      <c r="M74" s="8" t="s">
        <v>396</v>
      </c>
    </row>
    <row r="75" spans="1:13" ht="21" hidden="1" x14ac:dyDescent="0.25">
      <c r="A75" s="21">
        <v>74</v>
      </c>
      <c r="B75" s="18" t="str">
        <f>_xlfn.XLOOKUP(C75,[1]IVW8362itmlist!$C:$C,[1]IVW8362itmlist!$B:$B)</f>
        <v>FG02136</v>
      </c>
      <c r="C75" s="15" t="s">
        <v>397</v>
      </c>
      <c r="D75" s="13"/>
      <c r="E75" s="13"/>
      <c r="F75" s="8" t="s">
        <v>398</v>
      </c>
      <c r="G75" s="8" t="s">
        <v>15</v>
      </c>
      <c r="H75" s="8" t="s">
        <v>399</v>
      </c>
      <c r="I75" s="8" t="s">
        <v>400</v>
      </c>
      <c r="J75" s="8" t="s">
        <v>401</v>
      </c>
      <c r="K75" s="8" t="s">
        <v>402</v>
      </c>
      <c r="L75" s="8" t="s">
        <v>403</v>
      </c>
      <c r="M75" s="8" t="s">
        <v>29</v>
      </c>
    </row>
    <row r="76" spans="1:13" hidden="1" x14ac:dyDescent="0.25">
      <c r="A76" s="21">
        <v>75</v>
      </c>
      <c r="B76" s="18" t="str">
        <f>_xlfn.XLOOKUP(C76,[1]IVW8362itmlist!$C:$C,[1]IVW8362itmlist!$B:$B)</f>
        <v>FG04052</v>
      </c>
      <c r="C76" s="15" t="s">
        <v>404</v>
      </c>
      <c r="D76" s="13"/>
      <c r="E76" s="13"/>
      <c r="F76" s="8" t="s">
        <v>405</v>
      </c>
      <c r="G76" s="8" t="s">
        <v>15</v>
      </c>
      <c r="H76" s="8" t="s">
        <v>399</v>
      </c>
      <c r="I76" s="8" t="s">
        <v>406</v>
      </c>
      <c r="J76" s="8" t="s">
        <v>407</v>
      </c>
      <c r="K76" s="8" t="s">
        <v>402</v>
      </c>
      <c r="L76" s="8" t="s">
        <v>408</v>
      </c>
      <c r="M76" s="8" t="s">
        <v>409</v>
      </c>
    </row>
    <row r="77" spans="1:13" hidden="1" x14ac:dyDescent="0.25">
      <c r="A77" s="21">
        <v>76</v>
      </c>
      <c r="B77" s="18" t="str">
        <f>_xlfn.XLOOKUP(C77,[1]IVW8362itmlist!$C:$C,[1]IVW8362itmlist!$B:$B)</f>
        <v>FG04053</v>
      </c>
      <c r="C77" s="15" t="s">
        <v>410</v>
      </c>
      <c r="D77" s="13"/>
      <c r="E77" s="13"/>
      <c r="F77" s="8" t="s">
        <v>405</v>
      </c>
      <c r="G77" s="8" t="s">
        <v>15</v>
      </c>
      <c r="H77" s="8" t="s">
        <v>399</v>
      </c>
      <c r="I77" s="8" t="s">
        <v>411</v>
      </c>
      <c r="J77" s="8" t="s">
        <v>407</v>
      </c>
      <c r="K77" s="8" t="s">
        <v>402</v>
      </c>
      <c r="L77" s="8" t="s">
        <v>408</v>
      </c>
      <c r="M77" s="8" t="s">
        <v>409</v>
      </c>
    </row>
    <row r="78" spans="1:13" ht="21" hidden="1" x14ac:dyDescent="0.25">
      <c r="A78" s="21">
        <v>77</v>
      </c>
      <c r="B78" s="18" t="str">
        <f>_xlfn.XLOOKUP(C78,[1]IVW8362itmlist!$C:$C,[1]IVW8362itmlist!$B:$B)</f>
        <v>FG00675</v>
      </c>
      <c r="C78" s="15" t="s">
        <v>412</v>
      </c>
      <c r="D78" s="13"/>
      <c r="E78" s="13"/>
      <c r="F78" s="8" t="s">
        <v>413</v>
      </c>
      <c r="G78" s="8" t="s">
        <v>15</v>
      </c>
      <c r="H78" s="8" t="s">
        <v>364</v>
      </c>
      <c r="I78" s="8" t="s">
        <v>414</v>
      </c>
      <c r="J78" s="8" t="s">
        <v>415</v>
      </c>
      <c r="K78" s="8" t="s">
        <v>389</v>
      </c>
      <c r="L78" s="8" t="s">
        <v>416</v>
      </c>
      <c r="M78" s="8" t="s">
        <v>29</v>
      </c>
    </row>
    <row r="79" spans="1:13" ht="21" hidden="1" x14ac:dyDescent="0.25">
      <c r="A79" s="21">
        <v>78</v>
      </c>
      <c r="B79" s="18" t="str">
        <f>_xlfn.XLOOKUP(C79,[1]IVW8362itmlist!$C:$C,[1]IVW8362itmlist!$B:$B)</f>
        <v>FG00676</v>
      </c>
      <c r="C79" s="15" t="s">
        <v>417</v>
      </c>
      <c r="D79" s="13"/>
      <c r="E79" s="13"/>
      <c r="F79" s="8" t="s">
        <v>418</v>
      </c>
      <c r="G79" s="8" t="s">
        <v>15</v>
      </c>
      <c r="H79" s="8" t="s">
        <v>364</v>
      </c>
      <c r="I79" s="8" t="s">
        <v>419</v>
      </c>
      <c r="J79" s="8" t="s">
        <v>415</v>
      </c>
      <c r="K79" s="8" t="s">
        <v>389</v>
      </c>
      <c r="L79" s="8" t="s">
        <v>416</v>
      </c>
      <c r="M79" s="8" t="s">
        <v>29</v>
      </c>
    </row>
    <row r="80" spans="1:13" ht="31.5" hidden="1" x14ac:dyDescent="0.25">
      <c r="A80" s="21">
        <v>79</v>
      </c>
      <c r="B80" s="18" t="str">
        <f>_xlfn.XLOOKUP(C80,[1]IVW8362itmlist!$C:$C,[1]IVW8362itmlist!$B:$B)</f>
        <v>FG01900</v>
      </c>
      <c r="C80" s="15" t="s">
        <v>420</v>
      </c>
      <c r="D80" s="13"/>
      <c r="E80" s="13"/>
      <c r="F80" s="8" t="s">
        <v>421</v>
      </c>
      <c r="G80" s="8" t="s">
        <v>15</v>
      </c>
      <c r="H80" s="8" t="s">
        <v>364</v>
      </c>
      <c r="I80" s="8" t="s">
        <v>422</v>
      </c>
      <c r="J80" s="8" t="s">
        <v>423</v>
      </c>
      <c r="K80" s="8" t="s">
        <v>389</v>
      </c>
      <c r="L80" s="8" t="s">
        <v>424</v>
      </c>
      <c r="M80" s="8" t="s">
        <v>29</v>
      </c>
    </row>
    <row r="81" spans="1:13" ht="21" hidden="1" x14ac:dyDescent="0.25">
      <c r="A81" s="21">
        <v>80</v>
      </c>
      <c r="B81" s="18" t="str">
        <f>_xlfn.XLOOKUP(C81,[1]IVW8362itmlist!$C:$C,[1]IVW8362itmlist!$B:$B)</f>
        <v>FG03867</v>
      </c>
      <c r="C81" s="15" t="s">
        <v>425</v>
      </c>
      <c r="D81" s="13"/>
      <c r="E81" s="13"/>
      <c r="F81" s="8" t="s">
        <v>19592</v>
      </c>
      <c r="G81" s="8" t="s">
        <v>15</v>
      </c>
      <c r="H81" s="8" t="s">
        <v>364</v>
      </c>
      <c r="I81" s="8" t="s">
        <v>426</v>
      </c>
      <c r="J81" s="8" t="s">
        <v>427</v>
      </c>
      <c r="K81" s="8" t="s">
        <v>19</v>
      </c>
      <c r="L81" s="8" t="s">
        <v>428</v>
      </c>
      <c r="M81" s="8" t="s">
        <v>429</v>
      </c>
    </row>
    <row r="82" spans="1:13" hidden="1" x14ac:dyDescent="0.25">
      <c r="A82" s="21">
        <v>81</v>
      </c>
      <c r="B82" s="18" t="str">
        <f>_xlfn.XLOOKUP(C82,[1]IVW8362itmlist!$C:$C,[1]IVW8362itmlist!$B:$B)</f>
        <v>FG04323</v>
      </c>
      <c r="C82" s="15" t="s">
        <v>430</v>
      </c>
      <c r="D82" s="13"/>
      <c r="E82" s="13"/>
      <c r="F82" s="8" t="s">
        <v>431</v>
      </c>
      <c r="G82" s="8" t="s">
        <v>15</v>
      </c>
      <c r="H82" s="8" t="s">
        <v>39</v>
      </c>
      <c r="I82" s="8" t="s">
        <v>432</v>
      </c>
      <c r="J82" s="8" t="s">
        <v>433</v>
      </c>
      <c r="K82" s="8" t="s">
        <v>27</v>
      </c>
      <c r="L82" s="8" t="s">
        <v>434</v>
      </c>
      <c r="M82" s="8" t="s">
        <v>435</v>
      </c>
    </row>
    <row r="83" spans="1:13" ht="21" hidden="1" x14ac:dyDescent="0.25">
      <c r="A83" s="21">
        <v>82</v>
      </c>
      <c r="B83" s="18" t="str">
        <f>_xlfn.XLOOKUP(C83,[1]IVW8362itmlist!$C:$C,[1]IVW8362itmlist!$B:$B)</f>
        <v>FG02642</v>
      </c>
      <c r="C83" s="15" t="s">
        <v>436</v>
      </c>
      <c r="D83" s="13"/>
      <c r="E83" s="13"/>
      <c r="F83" s="8" t="s">
        <v>437</v>
      </c>
      <c r="G83" s="8" t="s">
        <v>15</v>
      </c>
      <c r="H83" s="8" t="s">
        <v>386</v>
      </c>
      <c r="I83" s="8" t="s">
        <v>438</v>
      </c>
      <c r="J83" s="8" t="s">
        <v>439</v>
      </c>
      <c r="K83" s="8" t="s">
        <v>440</v>
      </c>
      <c r="L83" s="8" t="s">
        <v>441</v>
      </c>
      <c r="M83" s="8" t="s">
        <v>442</v>
      </c>
    </row>
    <row r="84" spans="1:13" ht="21" hidden="1" x14ac:dyDescent="0.25">
      <c r="A84" s="21">
        <v>83</v>
      </c>
      <c r="B84" s="18" t="str">
        <f>_xlfn.XLOOKUP(C84,[1]IVW8362itmlist!$C:$C,[1]IVW8362itmlist!$B:$B)</f>
        <v>FG01281</v>
      </c>
      <c r="C84" s="15" t="s">
        <v>443</v>
      </c>
      <c r="D84" s="13"/>
      <c r="E84" s="13"/>
      <c r="F84" s="8" t="s">
        <v>444</v>
      </c>
      <c r="G84" s="8" t="s">
        <v>15</v>
      </c>
      <c r="H84" s="8" t="s">
        <v>386</v>
      </c>
      <c r="I84" s="8" t="s">
        <v>445</v>
      </c>
      <c r="J84" s="8" t="s">
        <v>439</v>
      </c>
      <c r="K84" s="8" t="s">
        <v>440</v>
      </c>
      <c r="L84" s="8" t="s">
        <v>446</v>
      </c>
      <c r="M84" s="8"/>
    </row>
    <row r="85" spans="1:13" hidden="1" x14ac:dyDescent="0.25">
      <c r="A85" s="21">
        <v>84</v>
      </c>
      <c r="B85" s="18" t="str">
        <f>_xlfn.XLOOKUP(C85,[1]IVW8362itmlist!$C:$C,[1]IVW8362itmlist!$B:$B)</f>
        <v>FG02694</v>
      </c>
      <c r="C85" s="15" t="s">
        <v>447</v>
      </c>
      <c r="D85" s="13"/>
      <c r="E85" s="13"/>
      <c r="F85" s="8" t="s">
        <v>448</v>
      </c>
      <c r="G85" s="8" t="s">
        <v>15</v>
      </c>
      <c r="H85" s="8" t="s">
        <v>39</v>
      </c>
      <c r="I85" s="8" t="s">
        <v>449</v>
      </c>
      <c r="J85" s="8" t="s">
        <v>52</v>
      </c>
      <c r="K85" s="8" t="s">
        <v>27</v>
      </c>
      <c r="L85" s="8" t="s">
        <v>450</v>
      </c>
      <c r="M85" s="8" t="s">
        <v>451</v>
      </c>
    </row>
    <row r="86" spans="1:13" hidden="1" x14ac:dyDescent="0.25">
      <c r="A86" s="21">
        <v>85</v>
      </c>
      <c r="B86" s="18" t="str">
        <f>_xlfn.XLOOKUP(C86,[1]IVW8362itmlist!$C:$C,[1]IVW8362itmlist!$B:$B)</f>
        <v>FG02695</v>
      </c>
      <c r="C86" s="15" t="s">
        <v>452</v>
      </c>
      <c r="D86" s="13"/>
      <c r="E86" s="13"/>
      <c r="F86" s="8" t="s">
        <v>448</v>
      </c>
      <c r="G86" s="8" t="s">
        <v>15</v>
      </c>
      <c r="H86" s="8" t="s">
        <v>386</v>
      </c>
      <c r="I86" s="8" t="s">
        <v>453</v>
      </c>
      <c r="J86" s="8" t="s">
        <v>454</v>
      </c>
      <c r="K86" s="8" t="s">
        <v>440</v>
      </c>
      <c r="L86" s="8" t="s">
        <v>455</v>
      </c>
      <c r="M86" s="8" t="s">
        <v>456</v>
      </c>
    </row>
    <row r="87" spans="1:13" hidden="1" x14ac:dyDescent="0.25">
      <c r="A87" s="21">
        <v>86</v>
      </c>
      <c r="B87" s="18" t="str">
        <f>_xlfn.XLOOKUP(C87,[1]IVW8362itmlist!$C:$C,[1]IVW8362itmlist!$B:$B)</f>
        <v>FG02696</v>
      </c>
      <c r="C87" s="15" t="s">
        <v>457</v>
      </c>
      <c r="D87" s="13"/>
      <c r="E87" s="13"/>
      <c r="F87" s="8" t="s">
        <v>448</v>
      </c>
      <c r="G87" s="8" t="s">
        <v>15</v>
      </c>
      <c r="H87" s="8" t="s">
        <v>24</v>
      </c>
      <c r="I87" s="8" t="s">
        <v>458</v>
      </c>
      <c r="J87" s="8" t="s">
        <v>72</v>
      </c>
      <c r="K87" s="8" t="s">
        <v>27</v>
      </c>
      <c r="L87" s="8" t="s">
        <v>459</v>
      </c>
      <c r="M87" s="8" t="s">
        <v>460</v>
      </c>
    </row>
    <row r="88" spans="1:13" hidden="1" x14ac:dyDescent="0.25">
      <c r="A88" s="21">
        <v>87</v>
      </c>
      <c r="B88" s="18" t="str">
        <f>_xlfn.XLOOKUP(C88,[1]IVW8362itmlist!$C:$C,[1]IVW8362itmlist!$B:$B)</f>
        <v>FG04892</v>
      </c>
      <c r="C88" s="15" t="s">
        <v>461</v>
      </c>
      <c r="D88" s="13"/>
      <c r="E88" s="13"/>
      <c r="F88" s="8" t="s">
        <v>462</v>
      </c>
      <c r="G88" s="8" t="s">
        <v>15</v>
      </c>
      <c r="H88" s="8" t="s">
        <v>364</v>
      </c>
      <c r="I88" s="8" t="s">
        <v>463</v>
      </c>
      <c r="J88" s="8" t="s">
        <v>464</v>
      </c>
      <c r="K88" s="8" t="s">
        <v>19</v>
      </c>
      <c r="L88" s="8" t="s">
        <v>465</v>
      </c>
      <c r="M88" s="8" t="s">
        <v>29</v>
      </c>
    </row>
    <row r="89" spans="1:13" hidden="1" x14ac:dyDescent="0.25">
      <c r="A89" s="21">
        <v>88</v>
      </c>
      <c r="B89" s="18" t="str">
        <f>_xlfn.XLOOKUP(C89,[1]IVW8362itmlist!$C:$C,[1]IVW8362itmlist!$B:$B)</f>
        <v>FG04758</v>
      </c>
      <c r="C89" s="15" t="s">
        <v>466</v>
      </c>
      <c r="D89" s="13"/>
      <c r="E89" s="13"/>
      <c r="F89" s="8" t="s">
        <v>467</v>
      </c>
      <c r="G89" s="8" t="s">
        <v>15</v>
      </c>
      <c r="H89" s="8" t="s">
        <v>39</v>
      </c>
      <c r="I89" s="8" t="s">
        <v>468</v>
      </c>
      <c r="J89" s="8" t="s">
        <v>205</v>
      </c>
      <c r="K89" s="8" t="s">
        <v>27</v>
      </c>
      <c r="L89" s="8" t="s">
        <v>469</v>
      </c>
      <c r="M89" s="8" t="s">
        <v>470</v>
      </c>
    </row>
    <row r="90" spans="1:13" hidden="1" x14ac:dyDescent="0.25">
      <c r="A90" s="21">
        <v>89</v>
      </c>
      <c r="B90" s="18" t="str">
        <f>_xlfn.XLOOKUP(C90,[1]IVW8362itmlist!$C:$C,[1]IVW8362itmlist!$B:$B)</f>
        <v>FG04557</v>
      </c>
      <c r="C90" s="15" t="s">
        <v>471</v>
      </c>
      <c r="D90" s="13"/>
      <c r="E90" s="13"/>
      <c r="F90" s="8" t="s">
        <v>472</v>
      </c>
      <c r="G90" s="8" t="s">
        <v>15</v>
      </c>
      <c r="H90" s="8" t="s">
        <v>24</v>
      </c>
      <c r="I90" s="8" t="s">
        <v>473</v>
      </c>
      <c r="J90" s="8" t="s">
        <v>474</v>
      </c>
      <c r="K90" s="8" t="s">
        <v>27</v>
      </c>
      <c r="L90" s="8" t="s">
        <v>475</v>
      </c>
      <c r="M90" s="8" t="s">
        <v>476</v>
      </c>
    </row>
    <row r="91" spans="1:13" ht="21" hidden="1" x14ac:dyDescent="0.25">
      <c r="A91" s="21">
        <v>90</v>
      </c>
      <c r="B91" s="18" t="str">
        <f>_xlfn.XLOOKUP(C91,[1]IVW8362itmlist!$C:$C,[1]IVW8362itmlist!$B:$B)</f>
        <v>FG08683</v>
      </c>
      <c r="C91" s="15" t="s">
        <v>477</v>
      </c>
      <c r="D91" s="13"/>
      <c r="E91" s="13"/>
      <c r="F91" s="8" t="s">
        <v>478</v>
      </c>
      <c r="G91" s="8" t="s">
        <v>15</v>
      </c>
      <c r="H91" s="8" t="s">
        <v>479</v>
      </c>
      <c r="I91" s="8" t="s">
        <v>480</v>
      </c>
      <c r="J91" s="8" t="s">
        <v>481</v>
      </c>
      <c r="K91" s="8" t="s">
        <v>27</v>
      </c>
      <c r="L91" s="8" t="s">
        <v>19946</v>
      </c>
      <c r="M91" s="8" t="s">
        <v>482</v>
      </c>
    </row>
    <row r="92" spans="1:13" hidden="1" x14ac:dyDescent="0.25">
      <c r="A92" s="21">
        <v>91</v>
      </c>
      <c r="B92" s="18" t="str">
        <f>_xlfn.XLOOKUP(C92,[1]IVW8362itmlist!$C:$C,[1]IVW8362itmlist!$B:$B)</f>
        <v>FG04098</v>
      </c>
      <c r="C92" s="15" t="s">
        <v>483</v>
      </c>
      <c r="D92" s="13"/>
      <c r="E92" s="13"/>
      <c r="F92" s="8" t="s">
        <v>484</v>
      </c>
      <c r="G92" s="8" t="s">
        <v>15</v>
      </c>
      <c r="H92" s="8" t="s">
        <v>485</v>
      </c>
      <c r="I92" s="8" t="s">
        <v>486</v>
      </c>
      <c r="J92" s="8" t="s">
        <v>487</v>
      </c>
      <c r="K92" s="8" t="s">
        <v>27</v>
      </c>
      <c r="L92" s="8" t="s">
        <v>488</v>
      </c>
      <c r="M92" s="8" t="s">
        <v>489</v>
      </c>
    </row>
    <row r="93" spans="1:13" ht="31.5" hidden="1" x14ac:dyDescent="0.25">
      <c r="A93" s="21">
        <v>92</v>
      </c>
      <c r="B93" s="18" t="str">
        <f>_xlfn.XLOOKUP(C93,[1]IVW8362itmlist!$C:$C,[1]IVW8362itmlist!$B:$B)</f>
        <v>FG02195</v>
      </c>
      <c r="C93" s="15" t="s">
        <v>490</v>
      </c>
      <c r="D93" s="13"/>
      <c r="E93" s="13"/>
      <c r="F93" s="8" t="s">
        <v>491</v>
      </c>
      <c r="G93" s="8" t="s">
        <v>15</v>
      </c>
      <c r="H93" s="8" t="s">
        <v>45</v>
      </c>
      <c r="I93" s="8" t="s">
        <v>492</v>
      </c>
      <c r="J93" s="8" t="s">
        <v>255</v>
      </c>
      <c r="K93" s="8" t="s">
        <v>27</v>
      </c>
      <c r="L93" s="8" t="s">
        <v>488</v>
      </c>
      <c r="M93" s="8" t="s">
        <v>493</v>
      </c>
    </row>
    <row r="94" spans="1:13" ht="21" hidden="1" x14ac:dyDescent="0.25">
      <c r="A94" s="21">
        <v>93</v>
      </c>
      <c r="B94" s="18" t="str">
        <f>_xlfn.XLOOKUP(C94,[1]IVW8362itmlist!$C:$C,[1]IVW8362itmlist!$B:$B)</f>
        <v>FG04082</v>
      </c>
      <c r="C94" s="15" t="s">
        <v>494</v>
      </c>
      <c r="D94" s="13"/>
      <c r="E94" s="13"/>
      <c r="F94" s="8" t="s">
        <v>495</v>
      </c>
      <c r="G94" s="8" t="s">
        <v>15</v>
      </c>
      <c r="H94" s="8" t="s">
        <v>39</v>
      </c>
      <c r="I94" s="8" t="s">
        <v>496</v>
      </c>
      <c r="J94" s="8" t="s">
        <v>52</v>
      </c>
      <c r="K94" s="8" t="s">
        <v>27</v>
      </c>
      <c r="L94" s="8" t="s">
        <v>497</v>
      </c>
      <c r="M94" s="8" t="s">
        <v>498</v>
      </c>
    </row>
    <row r="95" spans="1:13" hidden="1" x14ac:dyDescent="0.25">
      <c r="A95" s="21">
        <v>94</v>
      </c>
      <c r="B95" s="18" t="str">
        <f>_xlfn.XLOOKUP(C95,[1]IVW8362itmlist!$C:$C,[1]IVW8362itmlist!$B:$B)</f>
        <v>FG03391</v>
      </c>
      <c r="C95" s="15" t="s">
        <v>499</v>
      </c>
      <c r="D95" s="13"/>
      <c r="E95" s="13"/>
      <c r="F95" s="8" t="s">
        <v>500</v>
      </c>
      <c r="G95" s="8" t="s">
        <v>15</v>
      </c>
      <c r="H95" s="8" t="s">
        <v>39</v>
      </c>
      <c r="I95" s="8" t="s">
        <v>501</v>
      </c>
      <c r="J95" s="8" t="s">
        <v>52</v>
      </c>
      <c r="K95" s="8" t="s">
        <v>27</v>
      </c>
      <c r="L95" s="8" t="s">
        <v>502</v>
      </c>
      <c r="M95" s="8"/>
    </row>
    <row r="96" spans="1:13" hidden="1" x14ac:dyDescent="0.25">
      <c r="A96" s="21">
        <v>95</v>
      </c>
      <c r="B96" s="18" t="str">
        <f>_xlfn.XLOOKUP(C96,[1]IVW8362itmlist!$C:$C,[1]IVW8362itmlist!$B:$B)</f>
        <v>FG01320</v>
      </c>
      <c r="C96" s="15" t="s">
        <v>503</v>
      </c>
      <c r="D96" s="13"/>
      <c r="E96" s="13"/>
      <c r="F96" s="8" t="s">
        <v>504</v>
      </c>
      <c r="G96" s="8" t="s">
        <v>15</v>
      </c>
      <c r="H96" s="8" t="s">
        <v>216</v>
      </c>
      <c r="I96" s="8" t="s">
        <v>505</v>
      </c>
      <c r="J96" s="8" t="s">
        <v>506</v>
      </c>
      <c r="K96" s="8" t="s">
        <v>219</v>
      </c>
      <c r="L96" s="8" t="s">
        <v>507</v>
      </c>
      <c r="M96" s="8" t="s">
        <v>508</v>
      </c>
    </row>
    <row r="97" spans="1:13" hidden="1" x14ac:dyDescent="0.25">
      <c r="A97" s="21">
        <v>96</v>
      </c>
      <c r="B97" s="18" t="str">
        <f>_xlfn.XLOOKUP(C97,[1]IVW8362itmlist!$C:$C,[1]IVW8362itmlist!$B:$B)</f>
        <v>FG01319</v>
      </c>
      <c r="C97" s="15" t="s">
        <v>509</v>
      </c>
      <c r="D97" s="13"/>
      <c r="E97" s="13"/>
      <c r="F97" s="8" t="s">
        <v>510</v>
      </c>
      <c r="G97" s="8" t="s">
        <v>15</v>
      </c>
      <c r="H97" s="8" t="s">
        <v>24</v>
      </c>
      <c r="I97" s="8" t="s">
        <v>505</v>
      </c>
      <c r="J97" s="8" t="s">
        <v>72</v>
      </c>
      <c r="K97" s="8" t="s">
        <v>27</v>
      </c>
      <c r="L97" s="8" t="s">
        <v>507</v>
      </c>
      <c r="M97" s="8" t="s">
        <v>308</v>
      </c>
    </row>
    <row r="98" spans="1:13" hidden="1" x14ac:dyDescent="0.25">
      <c r="A98" s="21">
        <v>97</v>
      </c>
      <c r="B98" s="18" t="str">
        <f>_xlfn.XLOOKUP(C98,[1]IVW8362itmlist!$C:$C,[1]IVW8362itmlist!$B:$B)</f>
        <v>FG06906</v>
      </c>
      <c r="C98" s="15" t="s">
        <v>511</v>
      </c>
      <c r="D98" s="13"/>
      <c r="E98" s="13"/>
      <c r="F98" s="8" t="s">
        <v>512</v>
      </c>
      <c r="G98" s="8" t="s">
        <v>15</v>
      </c>
      <c r="H98" s="8" t="s">
        <v>24</v>
      </c>
      <c r="I98" s="8" t="s">
        <v>513</v>
      </c>
      <c r="J98" s="8" t="s">
        <v>474</v>
      </c>
      <c r="K98" s="8" t="s">
        <v>27</v>
      </c>
      <c r="L98" s="8" t="s">
        <v>514</v>
      </c>
      <c r="M98" s="8" t="s">
        <v>515</v>
      </c>
    </row>
    <row r="99" spans="1:13" hidden="1" x14ac:dyDescent="0.25">
      <c r="A99" s="21">
        <v>98</v>
      </c>
      <c r="B99" s="18" t="str">
        <f>_xlfn.XLOOKUP(C99,[1]IVW8362itmlist!$C:$C,[1]IVW8362itmlist!$B:$B)</f>
        <v>FG04040</v>
      </c>
      <c r="C99" s="15" t="s">
        <v>516</v>
      </c>
      <c r="D99" s="13"/>
      <c r="E99" s="13"/>
      <c r="F99" s="8" t="s">
        <v>517</v>
      </c>
      <c r="G99" s="8" t="s">
        <v>15</v>
      </c>
      <c r="H99" s="8" t="s">
        <v>24</v>
      </c>
      <c r="I99" s="8" t="s">
        <v>518</v>
      </c>
      <c r="J99" s="8" t="s">
        <v>474</v>
      </c>
      <c r="K99" s="8" t="s">
        <v>27</v>
      </c>
      <c r="L99" s="8" t="s">
        <v>514</v>
      </c>
      <c r="M99" s="8" t="s">
        <v>515</v>
      </c>
    </row>
    <row r="100" spans="1:13" hidden="1" x14ac:dyDescent="0.25">
      <c r="A100" s="21">
        <v>99</v>
      </c>
      <c r="B100" s="18" t="str">
        <f>_xlfn.XLOOKUP(C100,[1]IVW8362itmlist!$C:$C,[1]IVW8362itmlist!$B:$B)</f>
        <v>FG04096</v>
      </c>
      <c r="C100" s="15" t="s">
        <v>519</v>
      </c>
      <c r="D100" s="13"/>
      <c r="E100" s="13"/>
      <c r="F100" s="8" t="s">
        <v>520</v>
      </c>
      <c r="G100" s="8" t="s">
        <v>15</v>
      </c>
      <c r="H100" s="8" t="s">
        <v>39</v>
      </c>
      <c r="I100" s="8" t="s">
        <v>521</v>
      </c>
      <c r="J100" s="8" t="s">
        <v>313</v>
      </c>
      <c r="K100" s="8" t="s">
        <v>27</v>
      </c>
      <c r="L100" s="8" t="s">
        <v>522</v>
      </c>
      <c r="M100" s="8" t="s">
        <v>523</v>
      </c>
    </row>
    <row r="101" spans="1:13" hidden="1" x14ac:dyDescent="0.25">
      <c r="A101" s="21">
        <v>100</v>
      </c>
      <c r="B101" s="18" t="str">
        <f>_xlfn.XLOOKUP(C101,[1]IVW8362itmlist!$C:$C,[1]IVW8362itmlist!$B:$B)</f>
        <v>FG06495</v>
      </c>
      <c r="C101" s="15" t="s">
        <v>524</v>
      </c>
      <c r="D101" s="13"/>
      <c r="E101" s="13"/>
      <c r="F101" s="8" t="s">
        <v>525</v>
      </c>
      <c r="G101" s="8" t="s">
        <v>15</v>
      </c>
      <c r="H101" s="8" t="s">
        <v>34</v>
      </c>
      <c r="I101" s="8" t="s">
        <v>526</v>
      </c>
      <c r="J101" s="8" t="s">
        <v>527</v>
      </c>
      <c r="K101" s="8" t="s">
        <v>27</v>
      </c>
      <c r="L101" s="8" t="s">
        <v>522</v>
      </c>
      <c r="M101" s="8" t="s">
        <v>528</v>
      </c>
    </row>
    <row r="102" spans="1:13" hidden="1" x14ac:dyDescent="0.25">
      <c r="A102" s="21">
        <v>101</v>
      </c>
      <c r="B102" s="18" t="str">
        <f>_xlfn.XLOOKUP(C102,[1]IVW8362itmlist!$C:$C,[1]IVW8362itmlist!$B:$B)</f>
        <v>FG00409</v>
      </c>
      <c r="C102" s="15" t="s">
        <v>529</v>
      </c>
      <c r="D102" s="13"/>
      <c r="E102" s="13"/>
      <c r="F102" s="8" t="s">
        <v>530</v>
      </c>
      <c r="G102" s="8" t="s">
        <v>15</v>
      </c>
      <c r="H102" s="8" t="s">
        <v>45</v>
      </c>
      <c r="I102" s="8" t="s">
        <v>531</v>
      </c>
      <c r="J102" s="8" t="s">
        <v>119</v>
      </c>
      <c r="K102" s="8" t="s">
        <v>27</v>
      </c>
      <c r="L102" s="8" t="s">
        <v>532</v>
      </c>
      <c r="M102" s="8" t="s">
        <v>533</v>
      </c>
    </row>
    <row r="103" spans="1:13" hidden="1" x14ac:dyDescent="0.25">
      <c r="A103" s="21">
        <v>102</v>
      </c>
      <c r="B103" s="18" t="str">
        <f>_xlfn.XLOOKUP(C103,[1]IVW8362itmlist!$C:$C,[1]IVW8362itmlist!$B:$B)</f>
        <v>FG04902</v>
      </c>
      <c r="C103" s="15" t="s">
        <v>534</v>
      </c>
      <c r="D103" s="13"/>
      <c r="E103" s="13"/>
      <c r="F103" s="8" t="s">
        <v>535</v>
      </c>
      <c r="G103" s="8" t="s">
        <v>15</v>
      </c>
      <c r="H103" s="8" t="s">
        <v>39</v>
      </c>
      <c r="I103" s="8" t="s">
        <v>536</v>
      </c>
      <c r="J103" s="8" t="s">
        <v>313</v>
      </c>
      <c r="K103" s="8" t="s">
        <v>27</v>
      </c>
      <c r="L103" s="8" t="s">
        <v>537</v>
      </c>
      <c r="M103" s="8" t="s">
        <v>538</v>
      </c>
    </row>
    <row r="104" spans="1:13" hidden="1" x14ac:dyDescent="0.25">
      <c r="A104" s="21">
        <v>103</v>
      </c>
      <c r="B104" s="18" t="str">
        <f>_xlfn.XLOOKUP(C104,[1]IVW8362itmlist!$C:$C,[1]IVW8362itmlist!$B:$B)</f>
        <v>FG01039</v>
      </c>
      <c r="C104" s="15" t="s">
        <v>539</v>
      </c>
      <c r="D104" s="13"/>
      <c r="E104" s="13"/>
      <c r="F104" s="8" t="s">
        <v>540</v>
      </c>
      <c r="G104" s="8" t="s">
        <v>15</v>
      </c>
      <c r="H104" s="8" t="s">
        <v>45</v>
      </c>
      <c r="I104" s="8" t="s">
        <v>541</v>
      </c>
      <c r="J104" s="8" t="s">
        <v>527</v>
      </c>
      <c r="K104" s="8" t="s">
        <v>27</v>
      </c>
      <c r="L104" s="8" t="s">
        <v>542</v>
      </c>
      <c r="M104" s="8" t="s">
        <v>543</v>
      </c>
    </row>
    <row r="105" spans="1:13" ht="21" hidden="1" x14ac:dyDescent="0.25">
      <c r="A105" s="21">
        <v>104</v>
      </c>
      <c r="B105" s="18" t="str">
        <f>_xlfn.XLOOKUP(C105,[1]IVW8362itmlist!$C:$C,[1]IVW8362itmlist!$B:$B)</f>
        <v>FG04626</v>
      </c>
      <c r="C105" s="15" t="s">
        <v>544</v>
      </c>
      <c r="D105" s="13"/>
      <c r="E105" s="13"/>
      <c r="F105" s="8" t="s">
        <v>545</v>
      </c>
      <c r="G105" s="8" t="s">
        <v>15</v>
      </c>
      <c r="H105" s="8" t="s">
        <v>77</v>
      </c>
      <c r="I105" s="8" t="s">
        <v>546</v>
      </c>
      <c r="J105" s="8" t="s">
        <v>547</v>
      </c>
      <c r="K105" s="8" t="s">
        <v>88</v>
      </c>
      <c r="L105" s="8" t="s">
        <v>548</v>
      </c>
      <c r="M105" s="8" t="s">
        <v>549</v>
      </c>
    </row>
    <row r="106" spans="1:13" ht="21" hidden="1" x14ac:dyDescent="0.25">
      <c r="A106" s="21">
        <v>105</v>
      </c>
      <c r="B106" s="18" t="str">
        <f>_xlfn.XLOOKUP(C106,[1]IVW8362itmlist!$C:$C,[1]IVW8362itmlist!$B:$B)</f>
        <v>FG03868</v>
      </c>
      <c r="C106" s="15" t="s">
        <v>550</v>
      </c>
      <c r="D106" s="13"/>
      <c r="E106" s="13"/>
      <c r="F106" s="8" t="s">
        <v>551</v>
      </c>
      <c r="G106" s="8" t="s">
        <v>15</v>
      </c>
      <c r="H106" s="8" t="s">
        <v>216</v>
      </c>
      <c r="I106" s="8" t="s">
        <v>552</v>
      </c>
      <c r="J106" s="8" t="s">
        <v>394</v>
      </c>
      <c r="K106" s="8" t="s">
        <v>219</v>
      </c>
      <c r="L106" s="8" t="s">
        <v>553</v>
      </c>
      <c r="M106" s="8" t="s">
        <v>554</v>
      </c>
    </row>
    <row r="107" spans="1:13" ht="21" hidden="1" x14ac:dyDescent="0.25">
      <c r="A107" s="21">
        <v>106</v>
      </c>
      <c r="B107" s="18" t="str">
        <f>_xlfn.XLOOKUP(C107,[1]IVW8362itmlist!$C:$C,[1]IVW8362itmlist!$B:$B)</f>
        <v>FG04842</v>
      </c>
      <c r="C107" s="15" t="s">
        <v>555</v>
      </c>
      <c r="D107" s="13"/>
      <c r="E107" s="13"/>
      <c r="F107" s="8" t="s">
        <v>556</v>
      </c>
      <c r="G107" s="8" t="s">
        <v>15</v>
      </c>
      <c r="H107" s="8" t="s">
        <v>39</v>
      </c>
      <c r="I107" s="8" t="s">
        <v>557</v>
      </c>
      <c r="J107" s="8" t="s">
        <v>313</v>
      </c>
      <c r="K107" s="8" t="s">
        <v>27</v>
      </c>
      <c r="L107" s="8" t="s">
        <v>558</v>
      </c>
      <c r="M107" s="8" t="s">
        <v>559</v>
      </c>
    </row>
    <row r="108" spans="1:13" ht="21" hidden="1" x14ac:dyDescent="0.25">
      <c r="A108" s="21">
        <v>107</v>
      </c>
      <c r="B108" s="18" t="str">
        <f>_xlfn.XLOOKUP(C108,[1]IVW8362itmlist!$C:$C,[1]IVW8362itmlist!$B:$B)</f>
        <v>FG03869</v>
      </c>
      <c r="C108" s="7" t="s">
        <v>560</v>
      </c>
      <c r="D108" s="13"/>
      <c r="E108" s="13"/>
      <c r="F108" s="8" t="s">
        <v>561</v>
      </c>
      <c r="G108" s="8" t="s">
        <v>15</v>
      </c>
      <c r="H108" s="8" t="s">
        <v>216</v>
      </c>
      <c r="I108" s="8" t="s">
        <v>562</v>
      </c>
      <c r="J108" s="8" t="s">
        <v>394</v>
      </c>
      <c r="K108" s="8" t="s">
        <v>219</v>
      </c>
      <c r="L108" s="8" t="s">
        <v>563</v>
      </c>
      <c r="M108" s="8" t="s">
        <v>355</v>
      </c>
    </row>
    <row r="109" spans="1:13" hidden="1" x14ac:dyDescent="0.25">
      <c r="A109" s="21">
        <v>108</v>
      </c>
      <c r="B109" s="18" t="str">
        <f>_xlfn.XLOOKUP(C109,[1]IVW8362itmlist!$C:$C,[1]IVW8362itmlist!$B:$B)</f>
        <v>FG03873</v>
      </c>
      <c r="C109" s="7" t="s">
        <v>564</v>
      </c>
      <c r="D109" s="13"/>
      <c r="E109" s="13"/>
      <c r="F109" s="8" t="s">
        <v>565</v>
      </c>
      <c r="G109" s="8" t="s">
        <v>15</v>
      </c>
      <c r="H109" s="8" t="s">
        <v>24</v>
      </c>
      <c r="I109" s="8" t="s">
        <v>566</v>
      </c>
      <c r="J109" s="8" t="s">
        <v>72</v>
      </c>
      <c r="K109" s="8" t="s">
        <v>27</v>
      </c>
      <c r="L109" s="8" t="s">
        <v>567</v>
      </c>
      <c r="M109" s="8" t="s">
        <v>568</v>
      </c>
    </row>
    <row r="110" spans="1:13" ht="21" hidden="1" x14ac:dyDescent="0.25">
      <c r="A110" s="21">
        <v>109</v>
      </c>
      <c r="B110" s="18" t="str">
        <f>_xlfn.XLOOKUP(C110,[1]IVW8362itmlist!$C:$C,[1]IVW8362itmlist!$B:$B)</f>
        <v>FG02421</v>
      </c>
      <c r="C110" s="7" t="s">
        <v>569</v>
      </c>
      <c r="D110" s="13"/>
      <c r="E110" s="13"/>
      <c r="F110" s="8" t="s">
        <v>570</v>
      </c>
      <c r="G110" s="8" t="s">
        <v>15</v>
      </c>
      <c r="H110" s="8" t="s">
        <v>364</v>
      </c>
      <c r="I110" s="8" t="s">
        <v>571</v>
      </c>
      <c r="J110" s="8" t="s">
        <v>572</v>
      </c>
      <c r="K110" s="8" t="s">
        <v>19</v>
      </c>
      <c r="L110" s="8" t="s">
        <v>573</v>
      </c>
      <c r="M110" s="8" t="s">
        <v>574</v>
      </c>
    </row>
    <row r="111" spans="1:13" hidden="1" x14ac:dyDescent="0.25">
      <c r="A111" s="21">
        <v>110</v>
      </c>
      <c r="B111" s="18" t="str">
        <f>_xlfn.XLOOKUP(C111,[1]IVW8362itmlist!$C:$C,[1]IVW8362itmlist!$B:$B)</f>
        <v>FG02370</v>
      </c>
      <c r="C111" s="15" t="s">
        <v>575</v>
      </c>
      <c r="D111" s="13"/>
      <c r="E111" s="13"/>
      <c r="F111" s="8" t="s">
        <v>576</v>
      </c>
      <c r="G111" s="8" t="s">
        <v>15</v>
      </c>
      <c r="H111" s="8" t="s">
        <v>34</v>
      </c>
      <c r="I111" s="8" t="s">
        <v>577</v>
      </c>
      <c r="J111" s="8" t="s">
        <v>527</v>
      </c>
      <c r="K111" s="8" t="s">
        <v>27</v>
      </c>
      <c r="L111" s="8" t="s">
        <v>522</v>
      </c>
      <c r="M111" s="8" t="s">
        <v>578</v>
      </c>
    </row>
    <row r="112" spans="1:13" hidden="1" x14ac:dyDescent="0.25">
      <c r="A112" s="21">
        <v>111</v>
      </c>
      <c r="B112" s="18" t="str">
        <f>_xlfn.XLOOKUP(C112,[1]IVW8362itmlist!$C:$C,[1]IVW8362itmlist!$B:$B)</f>
        <v>FG04770</v>
      </c>
      <c r="C112" s="15" t="s">
        <v>579</v>
      </c>
      <c r="D112" s="13"/>
      <c r="E112" s="13"/>
      <c r="F112" s="8" t="s">
        <v>580</v>
      </c>
      <c r="G112" s="8" t="s">
        <v>15</v>
      </c>
      <c r="H112" s="8" t="s">
        <v>45</v>
      </c>
      <c r="I112" s="8" t="s">
        <v>581</v>
      </c>
      <c r="J112" s="8" t="s">
        <v>119</v>
      </c>
      <c r="K112" s="8" t="s">
        <v>27</v>
      </c>
      <c r="L112" s="8" t="s">
        <v>582</v>
      </c>
      <c r="M112" s="8" t="s">
        <v>29</v>
      </c>
    </row>
    <row r="113" spans="1:13" hidden="1" x14ac:dyDescent="0.25">
      <c r="A113" s="21">
        <v>112</v>
      </c>
      <c r="B113" s="18" t="str">
        <f>_xlfn.XLOOKUP(C113,[1]IVW8362itmlist!$C:$C,[1]IVW8362itmlist!$B:$B)</f>
        <v>FG02369</v>
      </c>
      <c r="C113" s="15" t="s">
        <v>583</v>
      </c>
      <c r="D113" s="13"/>
      <c r="E113" s="13"/>
      <c r="F113" s="8" t="s">
        <v>584</v>
      </c>
      <c r="G113" s="8" t="s">
        <v>15</v>
      </c>
      <c r="H113" s="8" t="s">
        <v>585</v>
      </c>
      <c r="I113" s="8" t="s">
        <v>586</v>
      </c>
      <c r="J113" s="8" t="s">
        <v>587</v>
      </c>
      <c r="K113" s="8" t="s">
        <v>27</v>
      </c>
      <c r="L113" s="8" t="s">
        <v>588</v>
      </c>
      <c r="M113" s="8" t="s">
        <v>589</v>
      </c>
    </row>
    <row r="114" spans="1:13" hidden="1" x14ac:dyDescent="0.25">
      <c r="A114" s="21">
        <v>113</v>
      </c>
      <c r="B114" s="18" t="str">
        <f>_xlfn.XLOOKUP(C114,[1]IVW8362itmlist!$C:$C,[1]IVW8362itmlist!$B:$B)</f>
        <v>FG02367</v>
      </c>
      <c r="C114" s="15" t="s">
        <v>590</v>
      </c>
      <c r="D114" s="13"/>
      <c r="E114" s="13"/>
      <c r="F114" s="8" t="s">
        <v>591</v>
      </c>
      <c r="G114" s="8" t="s">
        <v>15</v>
      </c>
      <c r="H114" s="8" t="s">
        <v>364</v>
      </c>
      <c r="I114" s="8" t="s">
        <v>592</v>
      </c>
      <c r="J114" s="8" t="s">
        <v>593</v>
      </c>
      <c r="K114" s="8" t="s">
        <v>19</v>
      </c>
      <c r="L114" s="8" t="s">
        <v>594</v>
      </c>
      <c r="M114" s="8" t="s">
        <v>595</v>
      </c>
    </row>
    <row r="115" spans="1:13" hidden="1" x14ac:dyDescent="0.25">
      <c r="A115" s="21">
        <v>114</v>
      </c>
      <c r="B115" s="18" t="str">
        <f>_xlfn.XLOOKUP(C115,[1]IVW8362itmlist!$C:$C,[1]IVW8362itmlist!$B:$B)</f>
        <v>FG02368</v>
      </c>
      <c r="C115" s="7" t="s">
        <v>596</v>
      </c>
      <c r="D115" s="13"/>
      <c r="E115" s="13"/>
      <c r="F115" s="8" t="s">
        <v>597</v>
      </c>
      <c r="G115" s="8" t="s">
        <v>15</v>
      </c>
      <c r="H115" s="8" t="s">
        <v>45</v>
      </c>
      <c r="I115" s="8" t="s">
        <v>598</v>
      </c>
      <c r="J115" s="8" t="s">
        <v>119</v>
      </c>
      <c r="K115" s="8" t="s">
        <v>27</v>
      </c>
      <c r="L115" s="8" t="s">
        <v>594</v>
      </c>
      <c r="M115" s="8" t="s">
        <v>595</v>
      </c>
    </row>
    <row r="116" spans="1:13" hidden="1" x14ac:dyDescent="0.25">
      <c r="A116" s="21">
        <v>115</v>
      </c>
      <c r="B116" s="18" t="str">
        <f>_xlfn.XLOOKUP(C116,[1]IVW8362itmlist!$C:$C,[1]IVW8362itmlist!$B:$B)</f>
        <v>FG00028</v>
      </c>
      <c r="C116" s="15" t="s">
        <v>599</v>
      </c>
      <c r="D116" s="13"/>
      <c r="E116" s="13"/>
      <c r="F116" s="8" t="s">
        <v>600</v>
      </c>
      <c r="G116" s="8" t="s">
        <v>15</v>
      </c>
      <c r="H116" s="8" t="s">
        <v>39</v>
      </c>
      <c r="I116" s="8" t="s">
        <v>601</v>
      </c>
      <c r="J116" s="8" t="s">
        <v>52</v>
      </c>
      <c r="K116" s="8" t="s">
        <v>27</v>
      </c>
      <c r="L116" s="8" t="s">
        <v>602</v>
      </c>
      <c r="M116" s="8" t="s">
        <v>603</v>
      </c>
    </row>
    <row r="117" spans="1:13" hidden="1" x14ac:dyDescent="0.25">
      <c r="A117" s="21">
        <v>116</v>
      </c>
      <c r="B117" s="18" t="str">
        <f>_xlfn.XLOOKUP(C117,[1]IVW8362itmlist!$C:$C,[1]IVW8362itmlist!$B:$B)</f>
        <v>FG02492</v>
      </c>
      <c r="C117" s="15" t="s">
        <v>604</v>
      </c>
      <c r="D117" s="13"/>
      <c r="E117" s="13"/>
      <c r="F117" s="8" t="s">
        <v>605</v>
      </c>
      <c r="G117" s="8" t="s">
        <v>15</v>
      </c>
      <c r="H117" s="8" t="s">
        <v>45</v>
      </c>
      <c r="I117" s="8" t="s">
        <v>581</v>
      </c>
      <c r="J117" s="8" t="s">
        <v>119</v>
      </c>
      <c r="K117" s="8" t="s">
        <v>27</v>
      </c>
      <c r="L117" s="8" t="s">
        <v>606</v>
      </c>
      <c r="M117" s="8" t="s">
        <v>595</v>
      </c>
    </row>
    <row r="118" spans="1:13" hidden="1" x14ac:dyDescent="0.25">
      <c r="A118" s="21">
        <v>117</v>
      </c>
      <c r="B118" s="18" t="str">
        <f>_xlfn.XLOOKUP(C118,[1]IVW8362itmlist!$C:$C,[1]IVW8362itmlist!$B:$B)</f>
        <v>FG02489</v>
      </c>
      <c r="C118" s="15" t="s">
        <v>607</v>
      </c>
      <c r="D118" s="13"/>
      <c r="E118" s="13"/>
      <c r="F118" s="8" t="s">
        <v>605</v>
      </c>
      <c r="G118" s="8" t="s">
        <v>15</v>
      </c>
      <c r="H118" s="8" t="s">
        <v>608</v>
      </c>
      <c r="I118" s="8" t="s">
        <v>609</v>
      </c>
      <c r="J118" s="8" t="s">
        <v>610</v>
      </c>
      <c r="K118" s="8" t="s">
        <v>440</v>
      </c>
      <c r="L118" s="8" t="s">
        <v>611</v>
      </c>
      <c r="M118" s="8" t="s">
        <v>595</v>
      </c>
    </row>
    <row r="119" spans="1:13" hidden="1" x14ac:dyDescent="0.25">
      <c r="A119" s="21">
        <v>118</v>
      </c>
      <c r="B119" s="18" t="str">
        <f>_xlfn.XLOOKUP(C119,[1]IVW8362itmlist!$C:$C,[1]IVW8362itmlist!$B:$B)</f>
        <v>FG02491</v>
      </c>
      <c r="C119" s="15" t="s">
        <v>612</v>
      </c>
      <c r="D119" s="13"/>
      <c r="E119" s="13"/>
      <c r="F119" s="8" t="s">
        <v>605</v>
      </c>
      <c r="G119" s="8" t="s">
        <v>15</v>
      </c>
      <c r="H119" s="8" t="s">
        <v>216</v>
      </c>
      <c r="I119" s="8" t="s">
        <v>613</v>
      </c>
      <c r="J119" s="8" t="s">
        <v>394</v>
      </c>
      <c r="K119" s="8" t="s">
        <v>219</v>
      </c>
      <c r="L119" s="8" t="s">
        <v>614</v>
      </c>
      <c r="M119" s="8" t="s">
        <v>615</v>
      </c>
    </row>
    <row r="120" spans="1:13" hidden="1" x14ac:dyDescent="0.25">
      <c r="A120" s="21">
        <v>119</v>
      </c>
      <c r="B120" s="18" t="str">
        <f>_xlfn.XLOOKUP(C120,[1]IVW8362itmlist!$C:$C,[1]IVW8362itmlist!$B:$B)</f>
        <v>FG02490</v>
      </c>
      <c r="C120" s="15" t="s">
        <v>616</v>
      </c>
      <c r="D120" s="13"/>
      <c r="E120" s="13"/>
      <c r="F120" s="8" t="s">
        <v>605</v>
      </c>
      <c r="G120" s="8" t="s">
        <v>15</v>
      </c>
      <c r="H120" s="8" t="s">
        <v>216</v>
      </c>
      <c r="I120" s="8" t="s">
        <v>617</v>
      </c>
      <c r="J120" s="8" t="s">
        <v>394</v>
      </c>
      <c r="K120" s="8" t="s">
        <v>219</v>
      </c>
      <c r="L120" s="8" t="s">
        <v>614</v>
      </c>
      <c r="M120" s="8" t="s">
        <v>618</v>
      </c>
    </row>
    <row r="121" spans="1:13" hidden="1" x14ac:dyDescent="0.25">
      <c r="A121" s="21">
        <v>120</v>
      </c>
      <c r="B121" s="18" t="str">
        <f>_xlfn.XLOOKUP(C121,[1]IVW8362itmlist!$C:$C,[1]IVW8362itmlist!$B:$B)</f>
        <v>FG02488</v>
      </c>
      <c r="C121" s="15" t="s">
        <v>619</v>
      </c>
      <c r="D121" s="13"/>
      <c r="E121" s="13"/>
      <c r="F121" s="8" t="s">
        <v>605</v>
      </c>
      <c r="G121" s="8" t="s">
        <v>15</v>
      </c>
      <c r="H121" s="8" t="s">
        <v>216</v>
      </c>
      <c r="I121" s="8" t="s">
        <v>620</v>
      </c>
      <c r="J121" s="8" t="s">
        <v>394</v>
      </c>
      <c r="K121" s="8" t="s">
        <v>219</v>
      </c>
      <c r="L121" s="8" t="s">
        <v>614</v>
      </c>
      <c r="M121" s="8" t="s">
        <v>621</v>
      </c>
    </row>
    <row r="122" spans="1:13" hidden="1" x14ac:dyDescent="0.25">
      <c r="A122" s="21">
        <v>121</v>
      </c>
      <c r="B122" s="18" t="str">
        <f>_xlfn.XLOOKUP(C122,[1]IVW8362itmlist!$C:$C,[1]IVW8362itmlist!$B:$B)</f>
        <v>FG04070</v>
      </c>
      <c r="C122" s="15" t="s">
        <v>622</v>
      </c>
      <c r="D122" s="13"/>
      <c r="E122" s="13"/>
      <c r="F122" s="8" t="s">
        <v>605</v>
      </c>
      <c r="G122" s="8" t="s">
        <v>15</v>
      </c>
      <c r="H122" s="8" t="s">
        <v>364</v>
      </c>
      <c r="I122" s="8" t="s">
        <v>592</v>
      </c>
      <c r="J122" s="8" t="s">
        <v>593</v>
      </c>
      <c r="K122" s="8" t="s">
        <v>19</v>
      </c>
      <c r="L122" s="8" t="s">
        <v>611</v>
      </c>
      <c r="M122" s="8"/>
    </row>
    <row r="123" spans="1:13" ht="31.5" hidden="1" x14ac:dyDescent="0.25">
      <c r="A123" s="21">
        <v>122</v>
      </c>
      <c r="B123" s="18" t="str">
        <f>_xlfn.XLOOKUP(C123,[1]IVW8362itmlist!$C:$C,[1]IVW8362itmlist!$B:$B)</f>
        <v>FG01590</v>
      </c>
      <c r="C123" s="15" t="s">
        <v>623</v>
      </c>
      <c r="D123" s="13"/>
      <c r="E123" s="13"/>
      <c r="F123" s="8" t="s">
        <v>624</v>
      </c>
      <c r="G123" s="8" t="s">
        <v>15</v>
      </c>
      <c r="H123" s="8" t="s">
        <v>45</v>
      </c>
      <c r="I123" s="8" t="s">
        <v>625</v>
      </c>
      <c r="J123" s="8" t="s">
        <v>255</v>
      </c>
      <c r="K123" s="8" t="s">
        <v>27</v>
      </c>
      <c r="L123" s="8" t="s">
        <v>626</v>
      </c>
      <c r="M123" s="8" t="s">
        <v>627</v>
      </c>
    </row>
    <row r="124" spans="1:13" hidden="1" x14ac:dyDescent="0.25">
      <c r="A124" s="21">
        <v>123</v>
      </c>
      <c r="B124" s="18" t="str">
        <f>_xlfn.XLOOKUP(C124,[1]IVW8362itmlist!$C:$C,[1]IVW8362itmlist!$B:$B)</f>
        <v>FG01589</v>
      </c>
      <c r="C124" s="15" t="s">
        <v>628</v>
      </c>
      <c r="D124" s="13"/>
      <c r="E124" s="13"/>
      <c r="F124" s="8" t="s">
        <v>629</v>
      </c>
      <c r="G124" s="8" t="s">
        <v>15</v>
      </c>
      <c r="H124" s="8" t="s">
        <v>364</v>
      </c>
      <c r="I124" s="8" t="s">
        <v>630</v>
      </c>
      <c r="J124" s="8" t="s">
        <v>631</v>
      </c>
      <c r="K124" s="8" t="s">
        <v>440</v>
      </c>
      <c r="L124" s="8" t="s">
        <v>632</v>
      </c>
      <c r="M124" s="8" t="s">
        <v>29</v>
      </c>
    </row>
    <row r="125" spans="1:13" ht="21" hidden="1" x14ac:dyDescent="0.25">
      <c r="A125" s="21">
        <v>124</v>
      </c>
      <c r="B125" s="18" t="str">
        <f>_xlfn.XLOOKUP(C125,[1]IVW8362itmlist!$C:$C,[1]IVW8362itmlist!$B:$B)</f>
        <v>FG01587</v>
      </c>
      <c r="C125" s="15" t="s">
        <v>633</v>
      </c>
      <c r="D125" s="13"/>
      <c r="E125" s="13"/>
      <c r="F125" s="8" t="s">
        <v>634</v>
      </c>
      <c r="G125" s="8" t="s">
        <v>15</v>
      </c>
      <c r="H125" s="8" t="s">
        <v>485</v>
      </c>
      <c r="I125" s="8" t="s">
        <v>635</v>
      </c>
      <c r="J125" s="8" t="s">
        <v>243</v>
      </c>
      <c r="K125" s="8" t="s">
        <v>27</v>
      </c>
      <c r="L125" s="8" t="s">
        <v>636</v>
      </c>
      <c r="M125" s="8" t="s">
        <v>637</v>
      </c>
    </row>
    <row r="126" spans="1:13" ht="21" hidden="1" x14ac:dyDescent="0.25">
      <c r="A126" s="21">
        <v>125</v>
      </c>
      <c r="B126" s="18" t="str">
        <f>_xlfn.XLOOKUP(C126,[1]IVW8362itmlist!$C:$C,[1]IVW8362itmlist!$B:$B)</f>
        <v>FG01253</v>
      </c>
      <c r="C126" s="15" t="s">
        <v>638</v>
      </c>
      <c r="D126" s="13"/>
      <c r="E126" s="13"/>
      <c r="F126" s="8" t="s">
        <v>639</v>
      </c>
      <c r="G126" s="8" t="s">
        <v>15</v>
      </c>
      <c r="H126" s="8" t="s">
        <v>640</v>
      </c>
      <c r="I126" s="8" t="s">
        <v>641</v>
      </c>
      <c r="J126" s="8" t="s">
        <v>642</v>
      </c>
      <c r="K126" s="8" t="s">
        <v>643</v>
      </c>
      <c r="L126" s="8" t="s">
        <v>644</v>
      </c>
      <c r="M126" s="8" t="s">
        <v>645</v>
      </c>
    </row>
    <row r="127" spans="1:13" ht="21" hidden="1" x14ac:dyDescent="0.25">
      <c r="A127" s="21">
        <v>126</v>
      </c>
      <c r="B127" s="18" t="str">
        <f>_xlfn.XLOOKUP(C127,[1]IVW8362itmlist!$C:$C,[1]IVW8362itmlist!$B:$B)</f>
        <v>FG06923</v>
      </c>
      <c r="C127" s="15" t="s">
        <v>646</v>
      </c>
      <c r="D127" s="13"/>
      <c r="E127" s="13"/>
      <c r="F127" s="8" t="s">
        <v>647</v>
      </c>
      <c r="G127" s="8" t="s">
        <v>15</v>
      </c>
      <c r="H127" s="8" t="s">
        <v>608</v>
      </c>
      <c r="I127" s="8" t="s">
        <v>648</v>
      </c>
      <c r="J127" s="8" t="s">
        <v>649</v>
      </c>
      <c r="K127" s="8" t="s">
        <v>440</v>
      </c>
      <c r="L127" s="8" t="s">
        <v>650</v>
      </c>
      <c r="M127" s="8" t="s">
        <v>29</v>
      </c>
    </row>
    <row r="128" spans="1:13" ht="21" hidden="1" x14ac:dyDescent="0.25">
      <c r="A128" s="21">
        <v>127</v>
      </c>
      <c r="B128" s="18" t="str">
        <f>_xlfn.XLOOKUP(C128,[1]IVW8362itmlist!$C:$C,[1]IVW8362itmlist!$B:$B)</f>
        <v>FG06917</v>
      </c>
      <c r="C128" s="15" t="s">
        <v>651</v>
      </c>
      <c r="D128" s="13"/>
      <c r="E128" s="13"/>
      <c r="F128" s="8" t="s">
        <v>652</v>
      </c>
      <c r="G128" s="8" t="s">
        <v>15</v>
      </c>
      <c r="H128" s="8" t="s">
        <v>364</v>
      </c>
      <c r="I128" s="8" t="s">
        <v>653</v>
      </c>
      <c r="J128" s="8" t="s">
        <v>454</v>
      </c>
      <c r="K128" s="8" t="s">
        <v>440</v>
      </c>
      <c r="L128" s="8" t="s">
        <v>654</v>
      </c>
      <c r="M128" s="8" t="s">
        <v>29</v>
      </c>
    </row>
    <row r="129" spans="1:13" ht="21" hidden="1" x14ac:dyDescent="0.25">
      <c r="A129" s="21">
        <v>128</v>
      </c>
      <c r="B129" s="18" t="str">
        <f>_xlfn.XLOOKUP(C129,[1]IVW8362itmlist!$C:$C,[1]IVW8362itmlist!$B:$B)</f>
        <v>FG06924</v>
      </c>
      <c r="C129" s="15" t="s">
        <v>655</v>
      </c>
      <c r="D129" s="13"/>
      <c r="E129" s="13"/>
      <c r="F129" s="8" t="s">
        <v>652</v>
      </c>
      <c r="G129" s="8" t="s">
        <v>15</v>
      </c>
      <c r="H129" s="8" t="s">
        <v>364</v>
      </c>
      <c r="I129" s="8" t="s">
        <v>656</v>
      </c>
      <c r="J129" s="8" t="s">
        <v>454</v>
      </c>
      <c r="K129" s="8" t="s">
        <v>440</v>
      </c>
      <c r="L129" s="8" t="s">
        <v>654</v>
      </c>
      <c r="M129" s="8" t="s">
        <v>29</v>
      </c>
    </row>
    <row r="130" spans="1:13" ht="21" hidden="1" x14ac:dyDescent="0.25">
      <c r="A130" s="21">
        <v>129</v>
      </c>
      <c r="B130" s="18" t="str">
        <f>_xlfn.XLOOKUP(C130,[1]IVW8362itmlist!$C:$C,[1]IVW8362itmlist!$B:$B)</f>
        <v>FG06915</v>
      </c>
      <c r="C130" s="15" t="s">
        <v>657</v>
      </c>
      <c r="D130" s="13"/>
      <c r="E130" s="13"/>
      <c r="F130" s="8" t="s">
        <v>658</v>
      </c>
      <c r="G130" s="8" t="s">
        <v>15</v>
      </c>
      <c r="H130" s="8" t="s">
        <v>386</v>
      </c>
      <c r="I130" s="8" t="s">
        <v>659</v>
      </c>
      <c r="J130" s="8" t="s">
        <v>454</v>
      </c>
      <c r="K130" s="8" t="s">
        <v>440</v>
      </c>
      <c r="L130" s="8" t="s">
        <v>660</v>
      </c>
      <c r="M130" s="8" t="s">
        <v>29</v>
      </c>
    </row>
    <row r="131" spans="1:13" ht="21" hidden="1" x14ac:dyDescent="0.25">
      <c r="A131" s="21">
        <v>130</v>
      </c>
      <c r="B131" s="18" t="str">
        <f>_xlfn.XLOOKUP(C131,[1]IVW8362itmlist!$C:$C,[1]IVW8362itmlist!$B:$B)</f>
        <v>FG06914</v>
      </c>
      <c r="C131" s="15" t="s">
        <v>661</v>
      </c>
      <c r="D131" s="13"/>
      <c r="E131" s="13"/>
      <c r="F131" s="8" t="s">
        <v>662</v>
      </c>
      <c r="G131" s="8" t="s">
        <v>15</v>
      </c>
      <c r="H131" s="8" t="s">
        <v>386</v>
      </c>
      <c r="I131" s="8" t="s">
        <v>663</v>
      </c>
      <c r="J131" s="8" t="s">
        <v>454</v>
      </c>
      <c r="K131" s="8" t="s">
        <v>440</v>
      </c>
      <c r="L131" s="8" t="s">
        <v>660</v>
      </c>
      <c r="M131" s="8" t="s">
        <v>29</v>
      </c>
    </row>
    <row r="132" spans="1:13" ht="21" hidden="1" x14ac:dyDescent="0.25">
      <c r="A132" s="21">
        <v>131</v>
      </c>
      <c r="B132" s="18" t="str">
        <f>_xlfn.XLOOKUP(C132,[1]IVW8362itmlist!$C:$C,[1]IVW8362itmlist!$B:$B)</f>
        <v>FG07147</v>
      </c>
      <c r="C132" s="15" t="s">
        <v>664</v>
      </c>
      <c r="D132" s="13"/>
      <c r="E132" s="13"/>
      <c r="F132" s="8" t="s">
        <v>665</v>
      </c>
      <c r="G132" s="8" t="s">
        <v>15</v>
      </c>
      <c r="H132" s="8" t="s">
        <v>364</v>
      </c>
      <c r="I132" s="8" t="s">
        <v>666</v>
      </c>
      <c r="J132" s="8" t="s">
        <v>667</v>
      </c>
      <c r="K132" s="8" t="s">
        <v>440</v>
      </c>
      <c r="L132" s="8" t="s">
        <v>668</v>
      </c>
      <c r="M132" s="8" t="s">
        <v>29</v>
      </c>
    </row>
    <row r="133" spans="1:13" ht="21" hidden="1" x14ac:dyDescent="0.25">
      <c r="A133" s="21">
        <v>132</v>
      </c>
      <c r="B133" s="18" t="str">
        <f>_xlfn.XLOOKUP(C133,[1]IVW8362itmlist!$C:$C,[1]IVW8362itmlist!$B:$B)</f>
        <v>FG06910</v>
      </c>
      <c r="C133" s="15" t="s">
        <v>669</v>
      </c>
      <c r="D133" s="13"/>
      <c r="E133" s="13"/>
      <c r="F133" s="8" t="s">
        <v>670</v>
      </c>
      <c r="G133" s="8" t="s">
        <v>15</v>
      </c>
      <c r="H133" s="8" t="s">
        <v>364</v>
      </c>
      <c r="I133" s="8" t="s">
        <v>671</v>
      </c>
      <c r="J133" s="8" t="s">
        <v>672</v>
      </c>
      <c r="K133" s="8" t="s">
        <v>440</v>
      </c>
      <c r="L133" s="8" t="s">
        <v>668</v>
      </c>
      <c r="M133" s="8" t="s">
        <v>29</v>
      </c>
    </row>
    <row r="134" spans="1:13" ht="21" hidden="1" x14ac:dyDescent="0.25">
      <c r="A134" s="21">
        <v>133</v>
      </c>
      <c r="B134" s="18" t="str">
        <f>_xlfn.XLOOKUP(C134,[1]IVW8362itmlist!$C:$C,[1]IVW8362itmlist!$B:$B)</f>
        <v>FG07140</v>
      </c>
      <c r="C134" s="15" t="s">
        <v>673</v>
      </c>
      <c r="D134" s="13"/>
      <c r="E134" s="13"/>
      <c r="F134" s="8" t="s">
        <v>674</v>
      </c>
      <c r="G134" s="8" t="s">
        <v>15</v>
      </c>
      <c r="H134" s="8" t="s">
        <v>386</v>
      </c>
      <c r="I134" s="8" t="s">
        <v>675</v>
      </c>
      <c r="J134" s="8" t="s">
        <v>454</v>
      </c>
      <c r="K134" s="8" t="s">
        <v>389</v>
      </c>
      <c r="L134" s="8" t="s">
        <v>676</v>
      </c>
      <c r="M134" s="8" t="s">
        <v>29</v>
      </c>
    </row>
    <row r="135" spans="1:13" ht="21" hidden="1" x14ac:dyDescent="0.25">
      <c r="A135" s="21">
        <v>134</v>
      </c>
      <c r="B135" s="18" t="str">
        <f>_xlfn.XLOOKUP(C135,[1]IVW8362itmlist!$C:$C,[1]IVW8362itmlist!$B:$B)</f>
        <v>FG02157</v>
      </c>
      <c r="C135" s="7" t="s">
        <v>677</v>
      </c>
      <c r="D135" s="13"/>
      <c r="E135" s="13"/>
      <c r="F135" s="8" t="s">
        <v>678</v>
      </c>
      <c r="G135" s="8" t="s">
        <v>15</v>
      </c>
      <c r="H135" s="8" t="s">
        <v>364</v>
      </c>
      <c r="I135" s="8" t="s">
        <v>679</v>
      </c>
      <c r="J135" s="8" t="s">
        <v>415</v>
      </c>
      <c r="K135" s="8" t="s">
        <v>680</v>
      </c>
      <c r="L135" s="8" t="s">
        <v>681</v>
      </c>
      <c r="M135" s="8" t="s">
        <v>29</v>
      </c>
    </row>
    <row r="136" spans="1:13" ht="21" hidden="1" x14ac:dyDescent="0.25">
      <c r="A136" s="21">
        <v>135</v>
      </c>
      <c r="B136" s="18" t="str">
        <f>_xlfn.XLOOKUP(C136,[1]IVW8362itmlist!$C:$C,[1]IVW8362itmlist!$B:$B)</f>
        <v>FG03396</v>
      </c>
      <c r="C136" s="7" t="s">
        <v>682</v>
      </c>
      <c r="D136" s="13"/>
      <c r="E136" s="13"/>
      <c r="F136" s="8" t="s">
        <v>683</v>
      </c>
      <c r="G136" s="8" t="s">
        <v>15</v>
      </c>
      <c r="H136" s="8" t="s">
        <v>684</v>
      </c>
      <c r="I136" s="8" t="s">
        <v>685</v>
      </c>
      <c r="J136" s="8" t="s">
        <v>547</v>
      </c>
      <c r="K136" s="8" t="s">
        <v>686</v>
      </c>
      <c r="L136" s="8" t="s">
        <v>687</v>
      </c>
      <c r="M136" s="8" t="s">
        <v>688</v>
      </c>
    </row>
    <row r="137" spans="1:13" ht="21" hidden="1" x14ac:dyDescent="0.25">
      <c r="A137" s="21">
        <v>136</v>
      </c>
      <c r="B137" s="18" t="str">
        <f>_xlfn.XLOOKUP(C137,[1]IVW8362itmlist!$C:$C,[1]IVW8362itmlist!$B:$B)</f>
        <v>FG04930</v>
      </c>
      <c r="C137" s="7" t="s">
        <v>689</v>
      </c>
      <c r="D137" s="13"/>
      <c r="E137" s="13"/>
      <c r="F137" s="8" t="s">
        <v>683</v>
      </c>
      <c r="G137" s="8" t="s">
        <v>15</v>
      </c>
      <c r="H137" s="8" t="s">
        <v>364</v>
      </c>
      <c r="I137" s="8" t="s">
        <v>690</v>
      </c>
      <c r="J137" s="8" t="s">
        <v>691</v>
      </c>
      <c r="K137" s="8" t="s">
        <v>692</v>
      </c>
      <c r="L137" s="8" t="s">
        <v>693</v>
      </c>
      <c r="M137" s="8"/>
    </row>
    <row r="138" spans="1:13" hidden="1" x14ac:dyDescent="0.25">
      <c r="A138" s="21">
        <v>137</v>
      </c>
      <c r="B138" s="18" t="str">
        <f>_xlfn.XLOOKUP(C138,[1]IVW8362itmlist!$C:$C,[1]IVW8362itmlist!$B:$B)</f>
        <v>FG04097</v>
      </c>
      <c r="C138" s="7" t="s">
        <v>694</v>
      </c>
      <c r="D138" s="13"/>
      <c r="E138" s="13"/>
      <c r="F138" s="8" t="s">
        <v>683</v>
      </c>
      <c r="G138" s="8" t="s">
        <v>15</v>
      </c>
      <c r="H138" s="8" t="s">
        <v>364</v>
      </c>
      <c r="I138" s="8" t="s">
        <v>695</v>
      </c>
      <c r="J138" s="8" t="s">
        <v>691</v>
      </c>
      <c r="K138" s="8" t="s">
        <v>696</v>
      </c>
      <c r="L138" s="8" t="s">
        <v>697</v>
      </c>
      <c r="M138" s="8" t="s">
        <v>698</v>
      </c>
    </row>
    <row r="139" spans="1:13" ht="21" hidden="1" x14ac:dyDescent="0.25">
      <c r="A139" s="21">
        <v>138</v>
      </c>
      <c r="B139" s="18" t="str">
        <f>_xlfn.XLOOKUP(C139,[1]IVW8362itmlist!$C:$C,[1]IVW8362itmlist!$B:$B)</f>
        <v>FG02922</v>
      </c>
      <c r="C139" s="7" t="s">
        <v>699</v>
      </c>
      <c r="D139" s="13"/>
      <c r="E139" s="13"/>
      <c r="F139" s="8" t="s">
        <v>700</v>
      </c>
      <c r="G139" s="8" t="s">
        <v>15</v>
      </c>
      <c r="H139" s="8" t="s">
        <v>701</v>
      </c>
      <c r="I139" s="8" t="s">
        <v>702</v>
      </c>
      <c r="J139" s="8" t="s">
        <v>703</v>
      </c>
      <c r="K139" s="8" t="s">
        <v>375</v>
      </c>
      <c r="L139" s="8" t="s">
        <v>704</v>
      </c>
      <c r="M139" s="8" t="s">
        <v>698</v>
      </c>
    </row>
    <row r="140" spans="1:13" hidden="1" x14ac:dyDescent="0.25">
      <c r="A140" s="21">
        <v>139</v>
      </c>
      <c r="B140" s="18" t="str">
        <f>_xlfn.XLOOKUP(C140,[1]IVW8362itmlist!$C:$C,[1]IVW8362itmlist!$B:$B)</f>
        <v>FG01658</v>
      </c>
      <c r="C140" s="7" t="s">
        <v>705</v>
      </c>
      <c r="D140" s="13"/>
      <c r="E140" s="13"/>
      <c r="F140" s="8" t="s">
        <v>706</v>
      </c>
      <c r="G140" s="8" t="s">
        <v>15</v>
      </c>
      <c r="H140" s="8" t="s">
        <v>701</v>
      </c>
      <c r="I140" s="8" t="s">
        <v>707</v>
      </c>
      <c r="J140" s="8" t="s">
        <v>703</v>
      </c>
      <c r="K140" s="8" t="s">
        <v>375</v>
      </c>
      <c r="L140" s="8" t="s">
        <v>708</v>
      </c>
      <c r="M140" s="8" t="s">
        <v>698</v>
      </c>
    </row>
    <row r="141" spans="1:13" hidden="1" x14ac:dyDescent="0.25">
      <c r="A141" s="21">
        <v>140</v>
      </c>
      <c r="B141" s="18" t="str">
        <f>_xlfn.XLOOKUP(C141,[1]IVW8362itmlist!$C:$C,[1]IVW8362itmlist!$B:$B)</f>
        <v>FG01553</v>
      </c>
      <c r="C141" s="7" t="s">
        <v>709</v>
      </c>
      <c r="D141" s="13"/>
      <c r="E141" s="13"/>
      <c r="F141" s="8" t="s">
        <v>710</v>
      </c>
      <c r="G141" s="8" t="s">
        <v>15</v>
      </c>
      <c r="H141" s="8" t="s">
        <v>701</v>
      </c>
      <c r="I141" s="8" t="s">
        <v>711</v>
      </c>
      <c r="J141" s="8" t="s">
        <v>703</v>
      </c>
      <c r="K141" s="8" t="s">
        <v>375</v>
      </c>
      <c r="L141" s="8" t="s">
        <v>708</v>
      </c>
      <c r="M141" s="8" t="s">
        <v>698</v>
      </c>
    </row>
    <row r="142" spans="1:13" ht="21" hidden="1" x14ac:dyDescent="0.25">
      <c r="A142" s="21">
        <v>141</v>
      </c>
      <c r="B142" s="18" t="str">
        <f>_xlfn.XLOOKUP(C142,[1]IVW8362itmlist!$C:$C,[1]IVW8362itmlist!$B:$B)</f>
        <v>FG02332</v>
      </c>
      <c r="C142" s="7" t="s">
        <v>712</v>
      </c>
      <c r="D142" s="13"/>
      <c r="E142" s="13"/>
      <c r="F142" s="8" t="s">
        <v>713</v>
      </c>
      <c r="G142" s="8" t="s">
        <v>15</v>
      </c>
      <c r="H142" s="8" t="s">
        <v>714</v>
      </c>
      <c r="I142" s="8" t="s">
        <v>715</v>
      </c>
      <c r="J142" s="8" t="s">
        <v>716</v>
      </c>
      <c r="K142" s="8" t="s">
        <v>717</v>
      </c>
      <c r="L142" s="8" t="s">
        <v>718</v>
      </c>
      <c r="M142" s="8" t="s">
        <v>719</v>
      </c>
    </row>
    <row r="143" spans="1:13" ht="21" hidden="1" x14ac:dyDescent="0.25">
      <c r="A143" s="21">
        <v>142</v>
      </c>
      <c r="B143" s="18" t="str">
        <f>_xlfn.XLOOKUP(C143,[1]IVW8362itmlist!$C:$C,[1]IVW8362itmlist!$B:$B)</f>
        <v>FG02246</v>
      </c>
      <c r="C143" s="7" t="s">
        <v>720</v>
      </c>
      <c r="D143" s="13"/>
      <c r="E143" s="13"/>
      <c r="F143" s="8" t="s">
        <v>721</v>
      </c>
      <c r="G143" s="8" t="s">
        <v>15</v>
      </c>
      <c r="H143" s="8" t="s">
        <v>722</v>
      </c>
      <c r="I143" s="8" t="s">
        <v>723</v>
      </c>
      <c r="J143" s="8" t="s">
        <v>407</v>
      </c>
      <c r="K143" s="8" t="s">
        <v>724</v>
      </c>
      <c r="L143" s="8" t="s">
        <v>725</v>
      </c>
      <c r="M143" s="8" t="s">
        <v>726</v>
      </c>
    </row>
    <row r="144" spans="1:13" hidden="1" x14ac:dyDescent="0.25">
      <c r="A144" s="21">
        <v>143</v>
      </c>
      <c r="B144" s="18" t="str">
        <f>_xlfn.XLOOKUP(C144,[1]IVW8362itmlist!$C:$C,[1]IVW8362itmlist!$B:$B)</f>
        <v>FG00740</v>
      </c>
      <c r="C144" s="15" t="s">
        <v>727</v>
      </c>
      <c r="D144" s="13"/>
      <c r="E144" s="13"/>
      <c r="F144" s="8" t="s">
        <v>728</v>
      </c>
      <c r="G144" s="8" t="s">
        <v>15</v>
      </c>
      <c r="H144" s="8" t="s">
        <v>722</v>
      </c>
      <c r="I144" s="8" t="s">
        <v>729</v>
      </c>
      <c r="J144" s="8" t="s">
        <v>407</v>
      </c>
      <c r="K144" s="8" t="s">
        <v>724</v>
      </c>
      <c r="L144" s="8" t="s">
        <v>730</v>
      </c>
      <c r="M144" s="8" t="s">
        <v>731</v>
      </c>
    </row>
    <row r="145" spans="1:13" ht="21" hidden="1" x14ac:dyDescent="0.25">
      <c r="A145" s="21">
        <v>144</v>
      </c>
      <c r="B145" s="18" t="str">
        <f>_xlfn.XLOOKUP(C145,[1]IVW8362itmlist!$C:$C,[1]IVW8362itmlist!$B:$B)</f>
        <v>FG01639</v>
      </c>
      <c r="C145" s="7" t="s">
        <v>732</v>
      </c>
      <c r="D145" s="13"/>
      <c r="E145" s="13"/>
      <c r="F145" s="8" t="s">
        <v>733</v>
      </c>
      <c r="G145" s="8" t="s">
        <v>15</v>
      </c>
      <c r="H145" s="8" t="s">
        <v>722</v>
      </c>
      <c r="I145" s="8" t="s">
        <v>734</v>
      </c>
      <c r="J145" s="8" t="s">
        <v>407</v>
      </c>
      <c r="K145" s="8" t="s">
        <v>724</v>
      </c>
      <c r="L145" s="8" t="s">
        <v>735</v>
      </c>
      <c r="M145" s="8" t="s">
        <v>736</v>
      </c>
    </row>
    <row r="146" spans="1:13" ht="21" hidden="1" x14ac:dyDescent="0.25">
      <c r="A146" s="21">
        <v>145</v>
      </c>
      <c r="B146" s="18" t="str">
        <f>_xlfn.XLOOKUP(C146,[1]IVW8362itmlist!$C:$C,[1]IVW8362itmlist!$B:$B)</f>
        <v>FG02256</v>
      </c>
      <c r="C146" s="15" t="s">
        <v>737</v>
      </c>
      <c r="D146" s="13"/>
      <c r="E146" s="13"/>
      <c r="F146" s="8" t="s">
        <v>738</v>
      </c>
      <c r="G146" s="8" t="s">
        <v>15</v>
      </c>
      <c r="H146" s="8" t="s">
        <v>39</v>
      </c>
      <c r="I146" s="8" t="s">
        <v>739</v>
      </c>
      <c r="J146" s="8" t="s">
        <v>52</v>
      </c>
      <c r="K146" s="8" t="s">
        <v>27</v>
      </c>
      <c r="L146" s="8" t="s">
        <v>740</v>
      </c>
      <c r="M146" s="8" t="s">
        <v>741</v>
      </c>
    </row>
    <row r="147" spans="1:13" hidden="1" x14ac:dyDescent="0.25">
      <c r="A147" s="21">
        <v>146</v>
      </c>
      <c r="B147" s="18" t="str">
        <f>_xlfn.XLOOKUP(C147,[1]IVW8362itmlist!$C:$C,[1]IVW8362itmlist!$B:$B)</f>
        <v>FG03518</v>
      </c>
      <c r="C147" s="7" t="s">
        <v>742</v>
      </c>
      <c r="D147" s="13"/>
      <c r="E147" s="13"/>
      <c r="F147" s="8" t="s">
        <v>743</v>
      </c>
      <c r="G147" s="8" t="s">
        <v>15</v>
      </c>
      <c r="H147" s="8" t="s">
        <v>714</v>
      </c>
      <c r="I147" s="8" t="s">
        <v>744</v>
      </c>
      <c r="J147" s="8" t="s">
        <v>407</v>
      </c>
      <c r="K147" s="8" t="s">
        <v>717</v>
      </c>
      <c r="L147" s="8" t="s">
        <v>745</v>
      </c>
      <c r="M147" s="8" t="s">
        <v>746</v>
      </c>
    </row>
    <row r="148" spans="1:13" ht="21" hidden="1" x14ac:dyDescent="0.25">
      <c r="A148" s="21">
        <v>147</v>
      </c>
      <c r="B148" s="18" t="str">
        <f>_xlfn.XLOOKUP(C148,[1]IVW8362itmlist!$C:$C,[1]IVW8362itmlist!$B:$B)</f>
        <v>FG02607</v>
      </c>
      <c r="C148" s="7" t="s">
        <v>747</v>
      </c>
      <c r="D148" s="13"/>
      <c r="E148" s="13"/>
      <c r="F148" s="8" t="s">
        <v>748</v>
      </c>
      <c r="G148" s="8" t="s">
        <v>15</v>
      </c>
      <c r="H148" s="8" t="s">
        <v>24</v>
      </c>
      <c r="I148" s="8" t="s">
        <v>749</v>
      </c>
      <c r="J148" s="8" t="s">
        <v>750</v>
      </c>
      <c r="K148" s="8" t="s">
        <v>751</v>
      </c>
      <c r="L148" s="8" t="s">
        <v>752</v>
      </c>
      <c r="M148" s="8" t="s">
        <v>753</v>
      </c>
    </row>
    <row r="149" spans="1:13" ht="21" hidden="1" x14ac:dyDescent="0.25">
      <c r="A149" s="21">
        <v>148</v>
      </c>
      <c r="B149" s="18" t="str">
        <f>_xlfn.XLOOKUP(C149,[1]IVW8362itmlist!$C:$C,[1]IVW8362itmlist!$B:$B)</f>
        <v>FG02606</v>
      </c>
      <c r="C149" s="7" t="s">
        <v>754</v>
      </c>
      <c r="D149" s="13"/>
      <c r="E149" s="13"/>
      <c r="F149" s="8" t="s">
        <v>755</v>
      </c>
      <c r="G149" s="8" t="s">
        <v>15</v>
      </c>
      <c r="H149" s="8" t="s">
        <v>24</v>
      </c>
      <c r="I149" s="8" t="s">
        <v>756</v>
      </c>
      <c r="J149" s="8" t="s">
        <v>26</v>
      </c>
      <c r="K149" s="8" t="s">
        <v>751</v>
      </c>
      <c r="L149" s="8" t="s">
        <v>752</v>
      </c>
      <c r="M149" s="8" t="s">
        <v>753</v>
      </c>
    </row>
    <row r="150" spans="1:13" hidden="1" x14ac:dyDescent="0.25">
      <c r="A150" s="21">
        <v>149</v>
      </c>
      <c r="B150" s="18" t="str">
        <f>_xlfn.XLOOKUP(C150,[1]IVW8362itmlist!$C:$C,[1]IVW8362itmlist!$B:$B)</f>
        <v>FG01982</v>
      </c>
      <c r="C150" s="7" t="s">
        <v>757</v>
      </c>
      <c r="D150" s="13"/>
      <c r="E150" s="13"/>
      <c r="F150" s="8" t="s">
        <v>758</v>
      </c>
      <c r="G150" s="8" t="s">
        <v>15</v>
      </c>
      <c r="H150" s="8" t="s">
        <v>386</v>
      </c>
      <c r="I150" s="8" t="s">
        <v>759</v>
      </c>
      <c r="J150" s="8" t="s">
        <v>760</v>
      </c>
      <c r="K150" s="8" t="s">
        <v>761</v>
      </c>
      <c r="L150" s="8" t="s">
        <v>762</v>
      </c>
      <c r="M150" s="8" t="s">
        <v>763</v>
      </c>
    </row>
    <row r="151" spans="1:13" ht="21" hidden="1" x14ac:dyDescent="0.25">
      <c r="A151" s="21">
        <v>150</v>
      </c>
      <c r="B151" s="18" t="str">
        <f>_xlfn.XLOOKUP(C151,[1]IVW8362itmlist!$C:$C,[1]IVW8362itmlist!$B:$B)</f>
        <v>FG00874</v>
      </c>
      <c r="C151" s="7" t="s">
        <v>764</v>
      </c>
      <c r="D151" s="13"/>
      <c r="E151" s="13"/>
      <c r="F151" s="8" t="s">
        <v>765</v>
      </c>
      <c r="G151" s="8" t="s">
        <v>15</v>
      </c>
      <c r="H151" s="8" t="s">
        <v>386</v>
      </c>
      <c r="I151" s="8" t="s">
        <v>766</v>
      </c>
      <c r="J151" s="8" t="s">
        <v>760</v>
      </c>
      <c r="K151" s="8" t="s">
        <v>761</v>
      </c>
      <c r="L151" s="8" t="s">
        <v>767</v>
      </c>
      <c r="M151" s="8" t="s">
        <v>768</v>
      </c>
    </row>
    <row r="152" spans="1:13" hidden="1" x14ac:dyDescent="0.25">
      <c r="A152" s="21">
        <v>151</v>
      </c>
      <c r="B152" s="18" t="str">
        <f>_xlfn.XLOOKUP(C152,[1]IVW8362itmlist!$C:$C,[1]IVW8362itmlist!$B:$B)</f>
        <v>FG03292</v>
      </c>
      <c r="C152" s="7" t="s">
        <v>769</v>
      </c>
      <c r="D152" s="13"/>
      <c r="E152" s="13"/>
      <c r="F152" s="8" t="s">
        <v>770</v>
      </c>
      <c r="G152" s="8" t="s">
        <v>15</v>
      </c>
      <c r="H152" s="8" t="s">
        <v>39</v>
      </c>
      <c r="I152" s="8" t="s">
        <v>771</v>
      </c>
      <c r="J152" s="8" t="s">
        <v>772</v>
      </c>
      <c r="K152" s="8" t="s">
        <v>27</v>
      </c>
      <c r="L152" s="8" t="s">
        <v>773</v>
      </c>
      <c r="M152" s="8" t="s">
        <v>774</v>
      </c>
    </row>
    <row r="153" spans="1:13" hidden="1" x14ac:dyDescent="0.25">
      <c r="A153" s="21">
        <v>152</v>
      </c>
      <c r="B153" s="18" t="str">
        <f>_xlfn.XLOOKUP(C153,[1]IVW8362itmlist!$C:$C,[1]IVW8362itmlist!$B:$B)</f>
        <v>FG03291</v>
      </c>
      <c r="C153" s="7" t="s">
        <v>775</v>
      </c>
      <c r="D153" s="13"/>
      <c r="E153" s="13"/>
      <c r="F153" s="8" t="s">
        <v>776</v>
      </c>
      <c r="G153" s="8" t="s">
        <v>15</v>
      </c>
      <c r="H153" s="8" t="s">
        <v>39</v>
      </c>
      <c r="I153" s="8" t="s">
        <v>777</v>
      </c>
      <c r="J153" s="8" t="s">
        <v>772</v>
      </c>
      <c r="K153" s="8" t="s">
        <v>27</v>
      </c>
      <c r="L153" s="8" t="s">
        <v>773</v>
      </c>
      <c r="M153" s="8" t="s">
        <v>774</v>
      </c>
    </row>
    <row r="154" spans="1:13" ht="21" hidden="1" x14ac:dyDescent="0.25">
      <c r="A154" s="21">
        <v>153</v>
      </c>
      <c r="B154" s="18" t="str">
        <f>_xlfn.XLOOKUP(C154,[1]IVW8362itmlist!$C:$C,[1]IVW8362itmlist!$B:$B)</f>
        <v>FG04102</v>
      </c>
      <c r="C154" s="7" t="s">
        <v>778</v>
      </c>
      <c r="D154" s="13"/>
      <c r="E154" s="13"/>
      <c r="F154" s="8" t="s">
        <v>779</v>
      </c>
      <c r="G154" s="8" t="s">
        <v>15</v>
      </c>
      <c r="H154" s="8" t="s">
        <v>608</v>
      </c>
      <c r="I154" s="8" t="s">
        <v>780</v>
      </c>
      <c r="J154" s="8" t="s">
        <v>119</v>
      </c>
      <c r="K154" s="8" t="s">
        <v>440</v>
      </c>
      <c r="L154" s="8" t="s">
        <v>781</v>
      </c>
      <c r="M154" s="8" t="s">
        <v>29</v>
      </c>
    </row>
    <row r="155" spans="1:13" hidden="1" x14ac:dyDescent="0.25">
      <c r="A155" s="21">
        <v>154</v>
      </c>
      <c r="B155" s="18" t="str">
        <f>_xlfn.XLOOKUP(C155,[1]IVW8362itmlist!$C:$C,[1]IVW8362itmlist!$B:$B)</f>
        <v>FG04101</v>
      </c>
      <c r="C155" s="7" t="s">
        <v>782</v>
      </c>
      <c r="D155" s="13"/>
      <c r="E155" s="13"/>
      <c r="F155" s="8" t="s">
        <v>779</v>
      </c>
      <c r="G155" s="8" t="s">
        <v>15</v>
      </c>
      <c r="H155" s="8" t="s">
        <v>608</v>
      </c>
      <c r="I155" s="8" t="s">
        <v>783</v>
      </c>
      <c r="J155" s="8" t="s">
        <v>119</v>
      </c>
      <c r="K155" s="8" t="s">
        <v>440</v>
      </c>
      <c r="L155" s="8" t="s">
        <v>784</v>
      </c>
      <c r="M155" s="8" t="s">
        <v>29</v>
      </c>
    </row>
    <row r="156" spans="1:13" ht="21" hidden="1" x14ac:dyDescent="0.25">
      <c r="A156" s="21">
        <v>155</v>
      </c>
      <c r="B156" s="18" t="str">
        <f>_xlfn.XLOOKUP(C156,[1]IVW8362itmlist!$C:$C,[1]IVW8362itmlist!$B:$B)</f>
        <v>FG00760</v>
      </c>
      <c r="C156" s="7" t="s">
        <v>785</v>
      </c>
      <c r="D156" s="13"/>
      <c r="E156" s="13"/>
      <c r="F156" s="8" t="s">
        <v>786</v>
      </c>
      <c r="G156" s="8" t="s">
        <v>15</v>
      </c>
      <c r="H156" s="8" t="s">
        <v>39</v>
      </c>
      <c r="I156" s="8" t="s">
        <v>787</v>
      </c>
      <c r="J156" s="8" t="s">
        <v>772</v>
      </c>
      <c r="K156" s="8" t="s">
        <v>27</v>
      </c>
      <c r="L156" s="8" t="s">
        <v>788</v>
      </c>
      <c r="M156" s="8" t="s">
        <v>53</v>
      </c>
    </row>
    <row r="157" spans="1:13" ht="21" hidden="1" x14ac:dyDescent="0.25">
      <c r="A157" s="21">
        <v>156</v>
      </c>
      <c r="B157" s="18" t="str">
        <f>_xlfn.XLOOKUP(C157,[1]IVW8362itmlist!$C:$C,[1]IVW8362itmlist!$B:$B)</f>
        <v>FG00759</v>
      </c>
      <c r="C157" s="7" t="s">
        <v>789</v>
      </c>
      <c r="D157" s="13"/>
      <c r="E157" s="13"/>
      <c r="F157" s="8" t="s">
        <v>790</v>
      </c>
      <c r="G157" s="8" t="s">
        <v>15</v>
      </c>
      <c r="H157" s="8" t="s">
        <v>39</v>
      </c>
      <c r="I157" s="8" t="s">
        <v>791</v>
      </c>
      <c r="J157" s="8" t="s">
        <v>772</v>
      </c>
      <c r="K157" s="8" t="s">
        <v>27</v>
      </c>
      <c r="L157" s="8" t="s">
        <v>792</v>
      </c>
      <c r="M157" s="8" t="s">
        <v>53</v>
      </c>
    </row>
    <row r="158" spans="1:13" ht="21" hidden="1" x14ac:dyDescent="0.25">
      <c r="A158" s="21">
        <v>157</v>
      </c>
      <c r="B158" s="18" t="str">
        <f>_xlfn.XLOOKUP(C158,[1]IVW8362itmlist!$C:$C,[1]IVW8362itmlist!$B:$B)</f>
        <v>FG00338</v>
      </c>
      <c r="C158" s="15" t="s">
        <v>793</v>
      </c>
      <c r="D158" s="13"/>
      <c r="E158" s="13"/>
      <c r="F158" s="8" t="s">
        <v>794</v>
      </c>
      <c r="G158" s="8" t="s">
        <v>15</v>
      </c>
      <c r="H158" s="8" t="s">
        <v>795</v>
      </c>
      <c r="I158" s="8" t="s">
        <v>796</v>
      </c>
      <c r="J158" s="8" t="s">
        <v>772</v>
      </c>
      <c r="K158" s="8" t="s">
        <v>27</v>
      </c>
      <c r="L158" s="8" t="s">
        <v>797</v>
      </c>
      <c r="M158" s="8" t="s">
        <v>53</v>
      </c>
    </row>
    <row r="159" spans="1:13" hidden="1" x14ac:dyDescent="0.25">
      <c r="A159" s="21">
        <v>158</v>
      </c>
      <c r="B159" s="18" t="str">
        <f>_xlfn.XLOOKUP(C159,[1]IVW8362itmlist!$C:$C,[1]IVW8362itmlist!$B:$B)</f>
        <v>FG03629</v>
      </c>
      <c r="C159" s="7" t="s">
        <v>798</v>
      </c>
      <c r="D159" s="13"/>
      <c r="E159" s="13"/>
      <c r="F159" s="8" t="s">
        <v>799</v>
      </c>
      <c r="G159" s="8" t="s">
        <v>15</v>
      </c>
      <c r="H159" s="8" t="s">
        <v>39</v>
      </c>
      <c r="I159" s="8" t="s">
        <v>800</v>
      </c>
      <c r="J159" s="8" t="s">
        <v>313</v>
      </c>
      <c r="K159" s="8" t="s">
        <v>27</v>
      </c>
      <c r="L159" s="8" t="s">
        <v>801</v>
      </c>
      <c r="M159" s="8" t="s">
        <v>802</v>
      </c>
    </row>
    <row r="160" spans="1:13" ht="21" hidden="1" x14ac:dyDescent="0.25">
      <c r="A160" s="21">
        <v>159</v>
      </c>
      <c r="B160" s="18" t="str">
        <f>_xlfn.XLOOKUP(C160,[1]IVW8362itmlist!$C:$C,[1]IVW8362itmlist!$B:$B)</f>
        <v>FG02795</v>
      </c>
      <c r="C160" s="7" t="s">
        <v>803</v>
      </c>
      <c r="D160" s="13"/>
      <c r="E160" s="13"/>
      <c r="F160" s="8" t="s">
        <v>804</v>
      </c>
      <c r="G160" s="8" t="s">
        <v>15</v>
      </c>
      <c r="H160" s="8" t="s">
        <v>39</v>
      </c>
      <c r="I160" s="8" t="s">
        <v>805</v>
      </c>
      <c r="J160" s="8" t="s">
        <v>772</v>
      </c>
      <c r="K160" s="8" t="s">
        <v>27</v>
      </c>
      <c r="L160" s="8" t="s">
        <v>806</v>
      </c>
      <c r="M160" s="8" t="s">
        <v>807</v>
      </c>
    </row>
    <row r="161" spans="1:13" ht="21" hidden="1" x14ac:dyDescent="0.25">
      <c r="A161" s="21">
        <v>160</v>
      </c>
      <c r="B161" s="18" t="str">
        <f>_xlfn.XLOOKUP(C161,[1]IVW8362itmlist!$C:$C,[1]IVW8362itmlist!$B:$B)</f>
        <v>FG02794</v>
      </c>
      <c r="C161" s="7" t="s">
        <v>808</v>
      </c>
      <c r="D161" s="13"/>
      <c r="E161" s="13"/>
      <c r="F161" s="8" t="s">
        <v>804</v>
      </c>
      <c r="G161" s="8" t="s">
        <v>15</v>
      </c>
      <c r="H161" s="8" t="s">
        <v>39</v>
      </c>
      <c r="I161" s="8" t="s">
        <v>809</v>
      </c>
      <c r="J161" s="8" t="s">
        <v>772</v>
      </c>
      <c r="K161" s="8" t="s">
        <v>27</v>
      </c>
      <c r="L161" s="8" t="s">
        <v>806</v>
      </c>
      <c r="M161" s="8" t="s">
        <v>807</v>
      </c>
    </row>
    <row r="162" spans="1:13" ht="21" hidden="1" x14ac:dyDescent="0.25">
      <c r="A162" s="21">
        <v>161</v>
      </c>
      <c r="B162" s="18" t="str">
        <f>_xlfn.XLOOKUP(C162,[1]IVW8362itmlist!$C:$C,[1]IVW8362itmlist!$B:$B)</f>
        <v>FG02796</v>
      </c>
      <c r="C162" s="7" t="s">
        <v>810</v>
      </c>
      <c r="D162" s="13"/>
      <c r="E162" s="13"/>
      <c r="F162" s="8" t="s">
        <v>804</v>
      </c>
      <c r="G162" s="8" t="s">
        <v>15</v>
      </c>
      <c r="H162" s="8" t="s">
        <v>39</v>
      </c>
      <c r="I162" s="8" t="s">
        <v>811</v>
      </c>
      <c r="J162" s="8" t="s">
        <v>772</v>
      </c>
      <c r="K162" s="8" t="s">
        <v>27</v>
      </c>
      <c r="L162" s="8" t="s">
        <v>806</v>
      </c>
      <c r="M162" s="8"/>
    </row>
    <row r="163" spans="1:13" ht="21" hidden="1" x14ac:dyDescent="0.25">
      <c r="A163" s="21">
        <v>162</v>
      </c>
      <c r="B163" s="18" t="str">
        <f>_xlfn.XLOOKUP(C163,[1]IVW8362itmlist!$C:$C,[1]IVW8362itmlist!$B:$B)</f>
        <v>FG00582</v>
      </c>
      <c r="C163" s="15" t="s">
        <v>812</v>
      </c>
      <c r="D163" s="13"/>
      <c r="E163" s="13"/>
      <c r="F163" s="8" t="s">
        <v>813</v>
      </c>
      <c r="G163" s="8" t="s">
        <v>15</v>
      </c>
      <c r="H163" s="8" t="s">
        <v>39</v>
      </c>
      <c r="I163" s="8" t="s">
        <v>814</v>
      </c>
      <c r="J163" s="8" t="s">
        <v>772</v>
      </c>
      <c r="K163" s="8" t="s">
        <v>27</v>
      </c>
      <c r="L163" s="8" t="s">
        <v>815</v>
      </c>
      <c r="M163" s="8" t="s">
        <v>816</v>
      </c>
    </row>
    <row r="164" spans="1:13" ht="21" hidden="1" x14ac:dyDescent="0.25">
      <c r="A164" s="21">
        <v>163</v>
      </c>
      <c r="B164" s="18" t="str">
        <f>_xlfn.XLOOKUP(C164,[1]IVW8362itmlist!$C:$C,[1]IVW8362itmlist!$B:$B)</f>
        <v>FG00581</v>
      </c>
      <c r="C164" s="15" t="s">
        <v>817</v>
      </c>
      <c r="D164" s="13"/>
      <c r="E164" s="13"/>
      <c r="F164" s="8" t="s">
        <v>813</v>
      </c>
      <c r="G164" s="8" t="s">
        <v>15</v>
      </c>
      <c r="H164" s="8" t="s">
        <v>39</v>
      </c>
      <c r="I164" s="8" t="s">
        <v>818</v>
      </c>
      <c r="J164" s="8" t="s">
        <v>772</v>
      </c>
      <c r="K164" s="8" t="s">
        <v>27</v>
      </c>
      <c r="L164" s="8" t="s">
        <v>815</v>
      </c>
      <c r="M164" s="8" t="s">
        <v>816</v>
      </c>
    </row>
    <row r="165" spans="1:13" hidden="1" x14ac:dyDescent="0.25">
      <c r="A165" s="21">
        <v>164</v>
      </c>
      <c r="B165" s="18" t="str">
        <f>_xlfn.XLOOKUP(C165,[1]IVW8362itmlist!$C:$C,[1]IVW8362itmlist!$B:$B)</f>
        <v>FG02140</v>
      </c>
      <c r="C165" s="7" t="s">
        <v>819</v>
      </c>
      <c r="D165" s="13"/>
      <c r="E165" s="13"/>
      <c r="F165" s="8" t="s">
        <v>820</v>
      </c>
      <c r="G165" s="8" t="s">
        <v>15</v>
      </c>
      <c r="H165" s="8" t="s">
        <v>39</v>
      </c>
      <c r="I165" s="8" t="s">
        <v>821</v>
      </c>
      <c r="J165" s="8" t="s">
        <v>243</v>
      </c>
      <c r="K165" s="8" t="s">
        <v>27</v>
      </c>
      <c r="L165" s="8" t="s">
        <v>822</v>
      </c>
      <c r="M165" s="8" t="s">
        <v>823</v>
      </c>
    </row>
    <row r="166" spans="1:13" ht="21" hidden="1" x14ac:dyDescent="0.25">
      <c r="A166" s="21">
        <v>165</v>
      </c>
      <c r="B166" s="18" t="str">
        <f>_xlfn.XLOOKUP(C166,[1]IVW8362itmlist!$C:$C,[1]IVW8362itmlist!$B:$B)</f>
        <v>FG02139</v>
      </c>
      <c r="C166" s="7" t="s">
        <v>824</v>
      </c>
      <c r="D166" s="13"/>
      <c r="E166" s="13"/>
      <c r="F166" s="8" t="s">
        <v>825</v>
      </c>
      <c r="G166" s="8" t="s">
        <v>15</v>
      </c>
      <c r="H166" s="8" t="s">
        <v>39</v>
      </c>
      <c r="I166" s="8" t="s">
        <v>826</v>
      </c>
      <c r="J166" s="8" t="s">
        <v>772</v>
      </c>
      <c r="K166" s="8" t="s">
        <v>27</v>
      </c>
      <c r="L166" s="8" t="s">
        <v>827</v>
      </c>
      <c r="M166" s="8" t="s">
        <v>828</v>
      </c>
    </row>
    <row r="167" spans="1:13" ht="21" hidden="1" x14ac:dyDescent="0.25">
      <c r="A167" s="21">
        <v>166</v>
      </c>
      <c r="B167" s="18" t="str">
        <f>_xlfn.XLOOKUP(C167,[1]IVW8362itmlist!$C:$C,[1]IVW8362itmlist!$B:$B)</f>
        <v>FG01834</v>
      </c>
      <c r="C167" s="7" t="s">
        <v>829</v>
      </c>
      <c r="D167" s="13"/>
      <c r="E167" s="13"/>
      <c r="F167" s="8" t="s">
        <v>830</v>
      </c>
      <c r="G167" s="8" t="s">
        <v>15</v>
      </c>
      <c r="H167" s="8" t="s">
        <v>39</v>
      </c>
      <c r="I167" s="8" t="s">
        <v>831</v>
      </c>
      <c r="J167" s="8" t="s">
        <v>772</v>
      </c>
      <c r="K167" s="8" t="s">
        <v>27</v>
      </c>
      <c r="L167" s="8" t="s">
        <v>832</v>
      </c>
      <c r="M167" s="8" t="s">
        <v>53</v>
      </c>
    </row>
    <row r="168" spans="1:13" ht="21" hidden="1" x14ac:dyDescent="0.25">
      <c r="A168" s="21">
        <v>167</v>
      </c>
      <c r="B168" s="18" t="str">
        <f>_xlfn.XLOOKUP(C168,[1]IVW8362itmlist!$C:$C,[1]IVW8362itmlist!$B:$B)</f>
        <v>FG01832</v>
      </c>
      <c r="C168" s="7" t="s">
        <v>833</v>
      </c>
      <c r="D168" s="13"/>
      <c r="E168" s="13"/>
      <c r="F168" s="8" t="s">
        <v>830</v>
      </c>
      <c r="G168" s="8" t="s">
        <v>15</v>
      </c>
      <c r="H168" s="8" t="s">
        <v>39</v>
      </c>
      <c r="I168" s="8" t="s">
        <v>834</v>
      </c>
      <c r="J168" s="8" t="s">
        <v>772</v>
      </c>
      <c r="K168" s="8" t="s">
        <v>27</v>
      </c>
      <c r="L168" s="8" t="s">
        <v>835</v>
      </c>
      <c r="M168" s="8" t="s">
        <v>836</v>
      </c>
    </row>
    <row r="169" spans="1:13" ht="21" hidden="1" x14ac:dyDescent="0.25">
      <c r="A169" s="21">
        <v>168</v>
      </c>
      <c r="B169" s="18" t="str">
        <f>_xlfn.XLOOKUP(C169,[1]IVW8362itmlist!$C:$C,[1]IVW8362itmlist!$B:$B)</f>
        <v>FG01833</v>
      </c>
      <c r="C169" s="7" t="s">
        <v>837</v>
      </c>
      <c r="D169" s="13"/>
      <c r="E169" s="13"/>
      <c r="F169" s="8" t="s">
        <v>830</v>
      </c>
      <c r="G169" s="8" t="s">
        <v>15</v>
      </c>
      <c r="H169" s="8" t="s">
        <v>39</v>
      </c>
      <c r="I169" s="8" t="s">
        <v>838</v>
      </c>
      <c r="J169" s="8" t="s">
        <v>839</v>
      </c>
      <c r="K169" s="8" t="s">
        <v>27</v>
      </c>
      <c r="L169" s="8" t="s">
        <v>835</v>
      </c>
      <c r="M169" s="8" t="s">
        <v>836</v>
      </c>
    </row>
    <row r="170" spans="1:13" ht="21" hidden="1" x14ac:dyDescent="0.25">
      <c r="A170" s="21">
        <v>169</v>
      </c>
      <c r="B170" s="18" t="str">
        <f>_xlfn.XLOOKUP(C170,[1]IVW8362itmlist!$C:$C,[1]IVW8362itmlist!$B:$B)</f>
        <v>FG01225</v>
      </c>
      <c r="C170" s="7" t="s">
        <v>840</v>
      </c>
      <c r="D170" s="13"/>
      <c r="E170" s="13"/>
      <c r="F170" s="8" t="s">
        <v>841</v>
      </c>
      <c r="G170" s="8" t="s">
        <v>15</v>
      </c>
      <c r="H170" s="8" t="s">
        <v>39</v>
      </c>
      <c r="I170" s="8" t="s">
        <v>842</v>
      </c>
      <c r="J170" s="8" t="s">
        <v>772</v>
      </c>
      <c r="K170" s="8" t="s">
        <v>27</v>
      </c>
      <c r="L170" s="8" t="s">
        <v>843</v>
      </c>
      <c r="M170" s="8" t="s">
        <v>774</v>
      </c>
    </row>
    <row r="171" spans="1:13" hidden="1" x14ac:dyDescent="0.25">
      <c r="A171" s="21">
        <v>170</v>
      </c>
      <c r="B171" s="18" t="str">
        <f>_xlfn.XLOOKUP(C171,[1]IVW8362itmlist!$C:$C,[1]IVW8362itmlist!$B:$B)</f>
        <v>FG01223</v>
      </c>
      <c r="C171" s="7" t="s">
        <v>844</v>
      </c>
      <c r="D171" s="13"/>
      <c r="E171" s="13"/>
      <c r="F171" s="8" t="s">
        <v>841</v>
      </c>
      <c r="G171" s="8" t="s">
        <v>15</v>
      </c>
      <c r="H171" s="8" t="s">
        <v>39</v>
      </c>
      <c r="I171" s="8" t="s">
        <v>845</v>
      </c>
      <c r="J171" s="8" t="s">
        <v>772</v>
      </c>
      <c r="K171" s="8" t="s">
        <v>27</v>
      </c>
      <c r="L171" s="8" t="s">
        <v>846</v>
      </c>
      <c r="M171" s="8" t="s">
        <v>847</v>
      </c>
    </row>
    <row r="172" spans="1:13" hidden="1" x14ac:dyDescent="0.25">
      <c r="A172" s="21">
        <v>171</v>
      </c>
      <c r="B172" s="18" t="str">
        <f>_xlfn.XLOOKUP(C172,[1]IVW8362itmlist!$C:$C,[1]IVW8362itmlist!$B:$B)</f>
        <v>FG01224</v>
      </c>
      <c r="C172" s="7" t="s">
        <v>848</v>
      </c>
      <c r="D172" s="13"/>
      <c r="E172" s="13"/>
      <c r="F172" s="8" t="s">
        <v>841</v>
      </c>
      <c r="G172" s="8" t="s">
        <v>15</v>
      </c>
      <c r="H172" s="8" t="s">
        <v>39</v>
      </c>
      <c r="I172" s="8" t="s">
        <v>849</v>
      </c>
      <c r="J172" s="8" t="s">
        <v>772</v>
      </c>
      <c r="K172" s="8" t="s">
        <v>27</v>
      </c>
      <c r="L172" s="8" t="s">
        <v>846</v>
      </c>
      <c r="M172" s="8" t="s">
        <v>847</v>
      </c>
    </row>
    <row r="173" spans="1:13" ht="21" hidden="1" x14ac:dyDescent="0.25">
      <c r="A173" s="21">
        <v>172</v>
      </c>
      <c r="B173" s="18" t="str">
        <f>_xlfn.XLOOKUP(C173,[1]IVW8362itmlist!$C:$C,[1]IVW8362itmlist!$B:$B)</f>
        <v>FG00181</v>
      </c>
      <c r="C173" s="15" t="s">
        <v>850</v>
      </c>
      <c r="D173" s="13"/>
      <c r="E173" s="13"/>
      <c r="F173" s="8" t="s">
        <v>851</v>
      </c>
      <c r="G173" s="8" t="s">
        <v>15</v>
      </c>
      <c r="H173" s="8" t="s">
        <v>39</v>
      </c>
      <c r="I173" s="8" t="s">
        <v>852</v>
      </c>
      <c r="J173" s="8" t="s">
        <v>772</v>
      </c>
      <c r="K173" s="8" t="s">
        <v>27</v>
      </c>
      <c r="L173" s="8" t="s">
        <v>853</v>
      </c>
      <c r="M173" s="8" t="s">
        <v>854</v>
      </c>
    </row>
    <row r="174" spans="1:13" ht="21" hidden="1" x14ac:dyDescent="0.25">
      <c r="A174" s="21">
        <v>173</v>
      </c>
      <c r="B174" s="18" t="str">
        <f>_xlfn.XLOOKUP(C174,[1]IVW8362itmlist!$C:$C,[1]IVW8362itmlist!$B:$B)</f>
        <v>FG00182</v>
      </c>
      <c r="C174" s="15" t="s">
        <v>855</v>
      </c>
      <c r="D174" s="13"/>
      <c r="E174" s="13"/>
      <c r="F174" s="8" t="s">
        <v>851</v>
      </c>
      <c r="G174" s="8" t="s">
        <v>15</v>
      </c>
      <c r="H174" s="8" t="s">
        <v>39</v>
      </c>
      <c r="I174" s="8" t="s">
        <v>856</v>
      </c>
      <c r="J174" s="8" t="s">
        <v>772</v>
      </c>
      <c r="K174" s="8" t="s">
        <v>27</v>
      </c>
      <c r="L174" s="8" t="s">
        <v>853</v>
      </c>
      <c r="M174" s="8" t="s">
        <v>854</v>
      </c>
    </row>
    <row r="175" spans="1:13" ht="21" hidden="1" x14ac:dyDescent="0.25">
      <c r="A175" s="21">
        <v>174</v>
      </c>
      <c r="B175" s="18" t="str">
        <f>_xlfn.XLOOKUP(C175,[1]IVW8362itmlist!$C:$C,[1]IVW8362itmlist!$B:$B)</f>
        <v>FG02702</v>
      </c>
      <c r="C175" s="7" t="s">
        <v>857</v>
      </c>
      <c r="D175" s="13"/>
      <c r="E175" s="13"/>
      <c r="F175" s="8" t="s">
        <v>858</v>
      </c>
      <c r="G175" s="8" t="s">
        <v>15</v>
      </c>
      <c r="H175" s="8" t="s">
        <v>24</v>
      </c>
      <c r="I175" s="8" t="s">
        <v>859</v>
      </c>
      <c r="J175" s="8" t="s">
        <v>772</v>
      </c>
      <c r="K175" s="8" t="s">
        <v>27</v>
      </c>
      <c r="L175" s="8" t="s">
        <v>860</v>
      </c>
      <c r="M175" s="8" t="s">
        <v>53</v>
      </c>
    </row>
    <row r="176" spans="1:13" hidden="1" x14ac:dyDescent="0.25">
      <c r="A176" s="21">
        <v>175</v>
      </c>
      <c r="B176" s="18" t="str">
        <f>_xlfn.XLOOKUP(C176,[1]IVW8362itmlist!$C:$C,[1]IVW8362itmlist!$B:$B)</f>
        <v>FG02701</v>
      </c>
      <c r="C176" s="7" t="s">
        <v>861</v>
      </c>
      <c r="D176" s="13"/>
      <c r="E176" s="13"/>
      <c r="F176" s="8" t="s">
        <v>858</v>
      </c>
      <c r="G176" s="8" t="s">
        <v>15</v>
      </c>
      <c r="H176" s="8" t="s">
        <v>24</v>
      </c>
      <c r="I176" s="8" t="s">
        <v>862</v>
      </c>
      <c r="J176" s="8" t="s">
        <v>26</v>
      </c>
      <c r="K176" s="8" t="s">
        <v>27</v>
      </c>
      <c r="L176" s="8" t="s">
        <v>863</v>
      </c>
      <c r="M176" s="8" t="s">
        <v>864</v>
      </c>
    </row>
    <row r="177" spans="1:13" hidden="1" x14ac:dyDescent="0.25">
      <c r="A177" s="21">
        <v>176</v>
      </c>
      <c r="B177" s="18" t="str">
        <f>_xlfn.XLOOKUP(C177,[1]IVW8362itmlist!$C:$C,[1]IVW8362itmlist!$B:$B)</f>
        <v>FG02700</v>
      </c>
      <c r="C177" s="7" t="s">
        <v>865</v>
      </c>
      <c r="D177" s="13"/>
      <c r="E177" s="13"/>
      <c r="F177" s="8" t="s">
        <v>858</v>
      </c>
      <c r="G177" s="8" t="s">
        <v>15</v>
      </c>
      <c r="H177" s="8" t="s">
        <v>24</v>
      </c>
      <c r="I177" s="8" t="s">
        <v>866</v>
      </c>
      <c r="J177" s="8" t="s">
        <v>26</v>
      </c>
      <c r="K177" s="8" t="s">
        <v>27</v>
      </c>
      <c r="L177" s="8" t="s">
        <v>863</v>
      </c>
      <c r="M177" s="8" t="s">
        <v>864</v>
      </c>
    </row>
    <row r="178" spans="1:13" hidden="1" x14ac:dyDescent="0.25">
      <c r="A178" s="21">
        <v>177</v>
      </c>
      <c r="B178" s="18" t="str">
        <f>_xlfn.XLOOKUP(C178,[1]IVW8362itmlist!$C:$C,[1]IVW8362itmlist!$B:$B)</f>
        <v>FG03212</v>
      </c>
      <c r="C178" s="15" t="s">
        <v>867</v>
      </c>
      <c r="D178" s="13"/>
      <c r="E178" s="13"/>
      <c r="F178" s="8" t="s">
        <v>868</v>
      </c>
      <c r="G178" s="8" t="s">
        <v>15</v>
      </c>
      <c r="H178" s="8" t="s">
        <v>39</v>
      </c>
      <c r="I178" s="8" t="s">
        <v>869</v>
      </c>
      <c r="J178" s="8" t="s">
        <v>772</v>
      </c>
      <c r="K178" s="8" t="s">
        <v>27</v>
      </c>
      <c r="L178" s="8" t="s">
        <v>870</v>
      </c>
      <c r="M178" s="8" t="s">
        <v>53</v>
      </c>
    </row>
    <row r="179" spans="1:13" hidden="1" x14ac:dyDescent="0.25">
      <c r="A179" s="21">
        <v>178</v>
      </c>
      <c r="B179" s="18" t="str">
        <f>_xlfn.XLOOKUP(C179,[1]IVW8362itmlist!$C:$C,[1]IVW8362itmlist!$B:$B)</f>
        <v>FG03209</v>
      </c>
      <c r="C179" s="15" t="s">
        <v>871</v>
      </c>
      <c r="D179" s="13"/>
      <c r="E179" s="13"/>
      <c r="F179" s="8" t="s">
        <v>868</v>
      </c>
      <c r="G179" s="8" t="s">
        <v>15</v>
      </c>
      <c r="H179" s="8" t="s">
        <v>39</v>
      </c>
      <c r="I179" s="8" t="s">
        <v>872</v>
      </c>
      <c r="J179" s="8" t="s">
        <v>772</v>
      </c>
      <c r="K179" s="8" t="s">
        <v>27</v>
      </c>
      <c r="L179" s="8" t="s">
        <v>873</v>
      </c>
      <c r="M179" s="8" t="s">
        <v>53</v>
      </c>
    </row>
    <row r="180" spans="1:13" hidden="1" x14ac:dyDescent="0.25">
      <c r="A180" s="21">
        <v>179</v>
      </c>
      <c r="B180" s="18" t="str">
        <f>_xlfn.XLOOKUP(C180,[1]IVW8362itmlist!$C:$C,[1]IVW8362itmlist!$B:$B)</f>
        <v>FG03213</v>
      </c>
      <c r="C180" s="15" t="s">
        <v>874</v>
      </c>
      <c r="D180" s="13"/>
      <c r="E180" s="13"/>
      <c r="F180" s="8" t="s">
        <v>868</v>
      </c>
      <c r="G180" s="8" t="s">
        <v>15</v>
      </c>
      <c r="H180" s="8" t="s">
        <v>39</v>
      </c>
      <c r="I180" s="8" t="s">
        <v>875</v>
      </c>
      <c r="J180" s="8" t="s">
        <v>772</v>
      </c>
      <c r="K180" s="8" t="s">
        <v>27</v>
      </c>
      <c r="L180" s="8" t="s">
        <v>870</v>
      </c>
      <c r="M180" s="8" t="s">
        <v>53</v>
      </c>
    </row>
    <row r="181" spans="1:13" hidden="1" x14ac:dyDescent="0.25">
      <c r="A181" s="21">
        <v>180</v>
      </c>
      <c r="B181" s="18" t="str">
        <f>_xlfn.XLOOKUP(C181,[1]IVW8362itmlist!$C:$C,[1]IVW8362itmlist!$B:$B)</f>
        <v>FG03214</v>
      </c>
      <c r="C181" s="15" t="s">
        <v>876</v>
      </c>
      <c r="D181" s="13"/>
      <c r="E181" s="13"/>
      <c r="F181" s="8" t="s">
        <v>868</v>
      </c>
      <c r="G181" s="8" t="s">
        <v>15</v>
      </c>
      <c r="H181" s="8" t="s">
        <v>39</v>
      </c>
      <c r="I181" s="8" t="s">
        <v>877</v>
      </c>
      <c r="J181" s="8" t="s">
        <v>772</v>
      </c>
      <c r="K181" s="8" t="s">
        <v>27</v>
      </c>
      <c r="L181" s="8" t="s">
        <v>870</v>
      </c>
      <c r="M181" s="8" t="s">
        <v>53</v>
      </c>
    </row>
    <row r="182" spans="1:13" hidden="1" x14ac:dyDescent="0.25">
      <c r="A182" s="21">
        <v>181</v>
      </c>
      <c r="B182" s="18" t="str">
        <f>_xlfn.XLOOKUP(C182,[1]IVW8362itmlist!$C:$C,[1]IVW8362itmlist!$B:$B)</f>
        <v>FG03210</v>
      </c>
      <c r="C182" s="15" t="s">
        <v>878</v>
      </c>
      <c r="D182" s="13"/>
      <c r="E182" s="13"/>
      <c r="F182" s="8" t="s">
        <v>868</v>
      </c>
      <c r="G182" s="8" t="s">
        <v>15</v>
      </c>
      <c r="H182" s="8" t="s">
        <v>39</v>
      </c>
      <c r="I182" s="8" t="s">
        <v>879</v>
      </c>
      <c r="J182" s="8" t="s">
        <v>772</v>
      </c>
      <c r="K182" s="8" t="s">
        <v>27</v>
      </c>
      <c r="L182" s="8" t="s">
        <v>870</v>
      </c>
      <c r="M182" s="8" t="s">
        <v>53</v>
      </c>
    </row>
    <row r="183" spans="1:13" hidden="1" x14ac:dyDescent="0.25">
      <c r="A183" s="21">
        <v>182</v>
      </c>
      <c r="B183" s="18" t="str">
        <f>_xlfn.XLOOKUP(C183,[1]IVW8362itmlist!$C:$C,[1]IVW8362itmlist!$B:$B)</f>
        <v>FG03215</v>
      </c>
      <c r="C183" s="15" t="s">
        <v>880</v>
      </c>
      <c r="D183" s="13"/>
      <c r="E183" s="13"/>
      <c r="F183" s="8" t="s">
        <v>868</v>
      </c>
      <c r="G183" s="8" t="s">
        <v>15</v>
      </c>
      <c r="H183" s="8" t="s">
        <v>39</v>
      </c>
      <c r="I183" s="8" t="s">
        <v>881</v>
      </c>
      <c r="J183" s="8" t="s">
        <v>772</v>
      </c>
      <c r="K183" s="8" t="s">
        <v>27</v>
      </c>
      <c r="L183" s="8" t="s">
        <v>882</v>
      </c>
      <c r="M183" s="8" t="s">
        <v>53</v>
      </c>
    </row>
    <row r="184" spans="1:13" hidden="1" x14ac:dyDescent="0.25">
      <c r="A184" s="21">
        <v>183</v>
      </c>
      <c r="B184" s="18" t="str">
        <f>_xlfn.XLOOKUP(C184,[1]IVW8362itmlist!$C:$C,[1]IVW8362itmlist!$B:$B)</f>
        <v>FG03211</v>
      </c>
      <c r="C184" s="15" t="s">
        <v>883</v>
      </c>
      <c r="D184" s="13"/>
      <c r="E184" s="13"/>
      <c r="F184" s="8" t="s">
        <v>868</v>
      </c>
      <c r="G184" s="8" t="s">
        <v>15</v>
      </c>
      <c r="H184" s="8" t="s">
        <v>39</v>
      </c>
      <c r="I184" s="8" t="s">
        <v>884</v>
      </c>
      <c r="J184" s="8" t="s">
        <v>772</v>
      </c>
      <c r="K184" s="8" t="s">
        <v>27</v>
      </c>
      <c r="L184" s="8" t="s">
        <v>882</v>
      </c>
      <c r="M184" s="8" t="s">
        <v>53</v>
      </c>
    </row>
    <row r="185" spans="1:13" ht="21" hidden="1" x14ac:dyDescent="0.25">
      <c r="A185" s="21">
        <v>184</v>
      </c>
      <c r="B185" s="18" t="str">
        <f>_xlfn.XLOOKUP(C185,[1]IVW8362itmlist!$C:$C,[1]IVW8362itmlist!$B:$B)</f>
        <v>FG03447</v>
      </c>
      <c r="C185" s="7" t="s">
        <v>885</v>
      </c>
      <c r="D185" s="13"/>
      <c r="E185" s="13"/>
      <c r="F185" s="8" t="s">
        <v>886</v>
      </c>
      <c r="G185" s="8" t="s">
        <v>15</v>
      </c>
      <c r="H185" s="8" t="s">
        <v>585</v>
      </c>
      <c r="I185" s="8" t="s">
        <v>887</v>
      </c>
      <c r="J185" s="8" t="s">
        <v>772</v>
      </c>
      <c r="K185" s="8" t="s">
        <v>27</v>
      </c>
      <c r="L185" s="8" t="s">
        <v>888</v>
      </c>
      <c r="M185" s="8" t="s">
        <v>889</v>
      </c>
    </row>
    <row r="186" spans="1:13" hidden="1" x14ac:dyDescent="0.25">
      <c r="A186" s="21">
        <v>185</v>
      </c>
      <c r="B186" s="18" t="str">
        <f>_xlfn.XLOOKUP(C186,[1]IVW8362itmlist!$C:$C,[1]IVW8362itmlist!$B:$B)</f>
        <v>FG01496</v>
      </c>
      <c r="C186" s="7" t="s">
        <v>890</v>
      </c>
      <c r="D186" s="13"/>
      <c r="E186" s="13"/>
      <c r="F186" s="8" t="s">
        <v>891</v>
      </c>
      <c r="G186" s="8" t="s">
        <v>15</v>
      </c>
      <c r="H186" s="8" t="s">
        <v>39</v>
      </c>
      <c r="I186" s="8" t="s">
        <v>892</v>
      </c>
      <c r="J186" s="8" t="s">
        <v>772</v>
      </c>
      <c r="K186" s="8" t="s">
        <v>27</v>
      </c>
      <c r="L186" s="8" t="s">
        <v>893</v>
      </c>
      <c r="M186" s="8" t="s">
        <v>29</v>
      </c>
    </row>
    <row r="187" spans="1:13" hidden="1" x14ac:dyDescent="0.25">
      <c r="A187" s="21">
        <v>186</v>
      </c>
      <c r="B187" s="18" t="str">
        <f>_xlfn.XLOOKUP(C187,[1]IVW8362itmlist!$C:$C,[1]IVW8362itmlist!$B:$B)</f>
        <v>FG01409</v>
      </c>
      <c r="C187" s="15" t="s">
        <v>894</v>
      </c>
      <c r="D187" s="13"/>
      <c r="E187" s="13"/>
      <c r="F187" s="8" t="s">
        <v>895</v>
      </c>
      <c r="G187" s="8" t="s">
        <v>15</v>
      </c>
      <c r="H187" s="8" t="s">
        <v>896</v>
      </c>
      <c r="I187" s="8" t="s">
        <v>897</v>
      </c>
      <c r="J187" s="8" t="s">
        <v>52</v>
      </c>
      <c r="K187" s="8" t="s">
        <v>27</v>
      </c>
      <c r="L187" s="8" t="s">
        <v>898</v>
      </c>
      <c r="M187" s="8" t="s">
        <v>29</v>
      </c>
    </row>
    <row r="188" spans="1:13" hidden="1" x14ac:dyDescent="0.25">
      <c r="A188" s="21">
        <v>187</v>
      </c>
      <c r="B188" s="18" t="str">
        <f>_xlfn.XLOOKUP(C188,[1]IVW8362itmlist!$C:$C,[1]IVW8362itmlist!$B:$B)</f>
        <v>FG01408</v>
      </c>
      <c r="C188" s="15" t="s">
        <v>899</v>
      </c>
      <c r="D188" s="13"/>
      <c r="E188" s="13"/>
      <c r="F188" s="8" t="s">
        <v>895</v>
      </c>
      <c r="G188" s="8" t="s">
        <v>15</v>
      </c>
      <c r="H188" s="8" t="s">
        <v>39</v>
      </c>
      <c r="I188" s="8" t="s">
        <v>900</v>
      </c>
      <c r="J188" s="8" t="s">
        <v>772</v>
      </c>
      <c r="K188" s="8" t="s">
        <v>27</v>
      </c>
      <c r="L188" s="8" t="s">
        <v>898</v>
      </c>
      <c r="M188" s="8" t="s">
        <v>29</v>
      </c>
    </row>
    <row r="189" spans="1:13" hidden="1" x14ac:dyDescent="0.25">
      <c r="A189" s="21">
        <v>188</v>
      </c>
      <c r="B189" s="18" t="str">
        <f>_xlfn.XLOOKUP(C189,[1]IVW8362itmlist!$C:$C,[1]IVW8362itmlist!$B:$B)</f>
        <v>FG01407</v>
      </c>
      <c r="C189" s="15" t="s">
        <v>901</v>
      </c>
      <c r="D189" s="13"/>
      <c r="E189" s="13"/>
      <c r="F189" s="8" t="s">
        <v>895</v>
      </c>
      <c r="G189" s="8" t="s">
        <v>15</v>
      </c>
      <c r="H189" s="8" t="s">
        <v>39</v>
      </c>
      <c r="I189" s="8" t="s">
        <v>902</v>
      </c>
      <c r="J189" s="8" t="s">
        <v>772</v>
      </c>
      <c r="K189" s="8" t="s">
        <v>27</v>
      </c>
      <c r="L189" s="8" t="s">
        <v>898</v>
      </c>
      <c r="M189" s="8" t="s">
        <v>29</v>
      </c>
    </row>
    <row r="190" spans="1:13" hidden="1" x14ac:dyDescent="0.25">
      <c r="A190" s="21">
        <v>189</v>
      </c>
      <c r="B190" s="18" t="str">
        <f>_xlfn.XLOOKUP(C190,[1]IVW8362itmlist!$C:$C,[1]IVW8362itmlist!$B:$B)</f>
        <v>FG03585</v>
      </c>
      <c r="C190" s="15" t="s">
        <v>903</v>
      </c>
      <c r="D190" s="13"/>
      <c r="E190" s="13"/>
      <c r="F190" s="8" t="s">
        <v>904</v>
      </c>
      <c r="G190" s="8" t="s">
        <v>15</v>
      </c>
      <c r="H190" s="8" t="s">
        <v>585</v>
      </c>
      <c r="I190" s="8" t="s">
        <v>905</v>
      </c>
      <c r="J190" s="8" t="s">
        <v>772</v>
      </c>
      <c r="K190" s="8" t="s">
        <v>27</v>
      </c>
      <c r="L190" s="8" t="s">
        <v>906</v>
      </c>
      <c r="M190" s="8" t="s">
        <v>29</v>
      </c>
    </row>
    <row r="191" spans="1:13" hidden="1" x14ac:dyDescent="0.25">
      <c r="A191" s="21">
        <v>190</v>
      </c>
      <c r="B191" s="18" t="str">
        <f>_xlfn.XLOOKUP(C191,[1]IVW8362itmlist!$C:$C,[1]IVW8362itmlist!$B:$B)</f>
        <v>FG03584</v>
      </c>
      <c r="C191" s="15" t="s">
        <v>907</v>
      </c>
      <c r="D191" s="13"/>
      <c r="E191" s="13"/>
      <c r="F191" s="8" t="s">
        <v>904</v>
      </c>
      <c r="G191" s="8" t="s">
        <v>15</v>
      </c>
      <c r="H191" s="8" t="s">
        <v>585</v>
      </c>
      <c r="I191" s="8" t="s">
        <v>908</v>
      </c>
      <c r="J191" s="8" t="s">
        <v>772</v>
      </c>
      <c r="K191" s="8" t="s">
        <v>27</v>
      </c>
      <c r="L191" s="8" t="s">
        <v>906</v>
      </c>
      <c r="M191" s="8" t="s">
        <v>29</v>
      </c>
    </row>
    <row r="192" spans="1:13" hidden="1" x14ac:dyDescent="0.25">
      <c r="A192" s="21">
        <v>191</v>
      </c>
      <c r="B192" s="18" t="str">
        <f>_xlfn.XLOOKUP(C192,[1]IVW8362itmlist!$C:$C,[1]IVW8362itmlist!$B:$B)</f>
        <v>FG03583</v>
      </c>
      <c r="C192" s="15" t="s">
        <v>909</v>
      </c>
      <c r="D192" s="13"/>
      <c r="E192" s="13"/>
      <c r="F192" s="8" t="s">
        <v>904</v>
      </c>
      <c r="G192" s="8" t="s">
        <v>15</v>
      </c>
      <c r="H192" s="8" t="s">
        <v>39</v>
      </c>
      <c r="I192" s="8" t="s">
        <v>910</v>
      </c>
      <c r="J192" s="8" t="s">
        <v>772</v>
      </c>
      <c r="K192" s="8" t="s">
        <v>27</v>
      </c>
      <c r="L192" s="8" t="s">
        <v>906</v>
      </c>
      <c r="M192" s="8" t="s">
        <v>29</v>
      </c>
    </row>
    <row r="193" spans="1:13" hidden="1" x14ac:dyDescent="0.25">
      <c r="A193" s="21">
        <v>192</v>
      </c>
      <c r="B193" s="18" t="str">
        <f>_xlfn.XLOOKUP(C193,[1]IVW8362itmlist!$C:$C,[1]IVW8362itmlist!$B:$B)</f>
        <v>FG03582</v>
      </c>
      <c r="C193" s="15" t="s">
        <v>911</v>
      </c>
      <c r="D193" s="13"/>
      <c r="E193" s="13"/>
      <c r="F193" s="8" t="s">
        <v>904</v>
      </c>
      <c r="G193" s="8" t="s">
        <v>15</v>
      </c>
      <c r="H193" s="8" t="s">
        <v>39</v>
      </c>
      <c r="I193" s="8" t="s">
        <v>912</v>
      </c>
      <c r="J193" s="8" t="s">
        <v>772</v>
      </c>
      <c r="K193" s="8" t="s">
        <v>27</v>
      </c>
      <c r="L193" s="8" t="s">
        <v>906</v>
      </c>
      <c r="M193" s="8" t="s">
        <v>29</v>
      </c>
    </row>
    <row r="194" spans="1:13" hidden="1" x14ac:dyDescent="0.25">
      <c r="A194" s="21">
        <v>193</v>
      </c>
      <c r="B194" s="18" t="str">
        <f>_xlfn.XLOOKUP(C194,[1]IVW8362itmlist!$C:$C,[1]IVW8362itmlist!$B:$B)</f>
        <v>FG03581</v>
      </c>
      <c r="C194" s="15" t="s">
        <v>913</v>
      </c>
      <c r="D194" s="13"/>
      <c r="E194" s="13"/>
      <c r="F194" s="8" t="s">
        <v>904</v>
      </c>
      <c r="G194" s="8" t="s">
        <v>15</v>
      </c>
      <c r="H194" s="8" t="s">
        <v>39</v>
      </c>
      <c r="I194" s="8" t="s">
        <v>914</v>
      </c>
      <c r="J194" s="8" t="s">
        <v>772</v>
      </c>
      <c r="K194" s="8" t="s">
        <v>27</v>
      </c>
      <c r="L194" s="8" t="s">
        <v>915</v>
      </c>
      <c r="M194" s="8" t="s">
        <v>29</v>
      </c>
    </row>
    <row r="195" spans="1:13" hidden="1" x14ac:dyDescent="0.25">
      <c r="A195" s="21">
        <v>194</v>
      </c>
      <c r="B195" s="18" t="str">
        <f>_xlfn.XLOOKUP(C195,[1]IVW8362itmlist!$C:$C,[1]IVW8362itmlist!$B:$B)</f>
        <v>FG04893</v>
      </c>
      <c r="C195" s="7" t="s">
        <v>916</v>
      </c>
      <c r="D195" s="13"/>
      <c r="E195" s="13"/>
      <c r="F195" s="8" t="s">
        <v>917</v>
      </c>
      <c r="G195" s="8" t="s">
        <v>15</v>
      </c>
      <c r="H195" s="8" t="s">
        <v>608</v>
      </c>
      <c r="I195" s="8" t="s">
        <v>918</v>
      </c>
      <c r="J195" s="8" t="s">
        <v>919</v>
      </c>
      <c r="K195" s="8" t="s">
        <v>440</v>
      </c>
      <c r="L195" s="8" t="s">
        <v>920</v>
      </c>
      <c r="M195" s="8" t="s">
        <v>29</v>
      </c>
    </row>
    <row r="196" spans="1:13" ht="21" hidden="1" x14ac:dyDescent="0.25">
      <c r="A196" s="21">
        <v>195</v>
      </c>
      <c r="B196" s="18" t="str">
        <f>_xlfn.XLOOKUP(C196,[1]IVW8362itmlist!$C:$C,[1]IVW8362itmlist!$B:$B)</f>
        <v>FG03429</v>
      </c>
      <c r="C196" s="7" t="s">
        <v>921</v>
      </c>
      <c r="D196" s="13"/>
      <c r="E196" s="13"/>
      <c r="F196" s="8" t="s">
        <v>922</v>
      </c>
      <c r="G196" s="8" t="s">
        <v>15</v>
      </c>
      <c r="H196" s="8" t="s">
        <v>923</v>
      </c>
      <c r="I196" s="8" t="s">
        <v>924</v>
      </c>
      <c r="J196" s="8" t="s">
        <v>925</v>
      </c>
      <c r="K196" s="8" t="s">
        <v>158</v>
      </c>
      <c r="L196" s="8" t="s">
        <v>926</v>
      </c>
      <c r="M196" s="8" t="s">
        <v>927</v>
      </c>
    </row>
    <row r="197" spans="1:13" ht="21" hidden="1" x14ac:dyDescent="0.25">
      <c r="A197" s="21">
        <v>196</v>
      </c>
      <c r="B197" s="18" t="str">
        <f>_xlfn.XLOOKUP(C197,[1]IVW8362itmlist!$C:$C,[1]IVW8362itmlist!$B:$B)</f>
        <v>FG02201</v>
      </c>
      <c r="C197" s="15" t="s">
        <v>928</v>
      </c>
      <c r="D197" s="13"/>
      <c r="E197" s="13"/>
      <c r="F197" s="8" t="s">
        <v>929</v>
      </c>
      <c r="G197" s="8" t="s">
        <v>15</v>
      </c>
      <c r="H197" s="8" t="s">
        <v>39</v>
      </c>
      <c r="I197" s="8" t="s">
        <v>930</v>
      </c>
      <c r="J197" s="8" t="s">
        <v>52</v>
      </c>
      <c r="K197" s="8" t="s">
        <v>27</v>
      </c>
      <c r="L197" s="8" t="s">
        <v>931</v>
      </c>
      <c r="M197" s="8" t="s">
        <v>932</v>
      </c>
    </row>
    <row r="198" spans="1:13" ht="21" hidden="1" x14ac:dyDescent="0.25">
      <c r="A198" s="21">
        <v>197</v>
      </c>
      <c r="B198" s="18" t="str">
        <f>_xlfn.XLOOKUP(C198,[1]IVW8362itmlist!$C:$C,[1]IVW8362itmlist!$B:$B)</f>
        <v>FG02200</v>
      </c>
      <c r="C198" s="15" t="s">
        <v>933</v>
      </c>
      <c r="D198" s="13"/>
      <c r="E198" s="13"/>
      <c r="F198" s="8" t="s">
        <v>934</v>
      </c>
      <c r="G198" s="8" t="s">
        <v>15</v>
      </c>
      <c r="H198" s="8" t="s">
        <v>684</v>
      </c>
      <c r="I198" s="8" t="s">
        <v>935</v>
      </c>
      <c r="J198" s="8" t="s">
        <v>936</v>
      </c>
      <c r="K198" s="8" t="s">
        <v>88</v>
      </c>
      <c r="L198" s="8" t="s">
        <v>937</v>
      </c>
      <c r="M198" s="8" t="s">
        <v>938</v>
      </c>
    </row>
    <row r="199" spans="1:13" ht="21" hidden="1" x14ac:dyDescent="0.25">
      <c r="A199" s="21">
        <v>198</v>
      </c>
      <c r="B199" s="18" t="str">
        <f>_xlfn.XLOOKUP(C199,[1]IVW8362itmlist!$C:$C,[1]IVW8362itmlist!$B:$B)</f>
        <v>FG04009</v>
      </c>
      <c r="C199" s="15" t="s">
        <v>939</v>
      </c>
      <c r="D199" s="13"/>
      <c r="E199" s="13"/>
      <c r="F199" s="8" t="s">
        <v>940</v>
      </c>
      <c r="G199" s="8" t="s">
        <v>15</v>
      </c>
      <c r="H199" s="8" t="s">
        <v>608</v>
      </c>
      <c r="I199" s="8" t="s">
        <v>941</v>
      </c>
      <c r="J199" s="8" t="s">
        <v>942</v>
      </c>
      <c r="K199" s="8" t="s">
        <v>440</v>
      </c>
      <c r="L199" s="8" t="s">
        <v>943</v>
      </c>
      <c r="M199" s="8" t="s">
        <v>944</v>
      </c>
    </row>
    <row r="200" spans="1:13" ht="21" hidden="1" x14ac:dyDescent="0.25">
      <c r="A200" s="21">
        <v>199</v>
      </c>
      <c r="B200" s="18" t="str">
        <f>_xlfn.XLOOKUP(C200,[1]IVW8362itmlist!$C:$C,[1]IVW8362itmlist!$B:$B)</f>
        <v>FG01395</v>
      </c>
      <c r="C200" s="15" t="s">
        <v>945</v>
      </c>
      <c r="D200" s="13"/>
      <c r="E200" s="13"/>
      <c r="F200" s="8" t="s">
        <v>946</v>
      </c>
      <c r="G200" s="8" t="s">
        <v>15</v>
      </c>
      <c r="H200" s="8" t="s">
        <v>24</v>
      </c>
      <c r="I200" s="8" t="s">
        <v>947</v>
      </c>
      <c r="J200" s="8" t="s">
        <v>948</v>
      </c>
      <c r="K200" s="8" t="s">
        <v>27</v>
      </c>
      <c r="L200" s="8" t="s">
        <v>949</v>
      </c>
      <c r="M200" s="8" t="s">
        <v>950</v>
      </c>
    </row>
    <row r="201" spans="1:13" ht="21" hidden="1" x14ac:dyDescent="0.25">
      <c r="A201" s="21">
        <v>200</v>
      </c>
      <c r="B201" s="18" t="str">
        <f>_xlfn.XLOOKUP(C201,[1]IVW8362itmlist!$C:$C,[1]IVW8362itmlist!$B:$B)</f>
        <v>FG04010</v>
      </c>
      <c r="C201" s="15" t="s">
        <v>951</v>
      </c>
      <c r="D201" s="13"/>
      <c r="E201" s="13"/>
      <c r="F201" s="8" t="s">
        <v>952</v>
      </c>
      <c r="G201" s="8" t="s">
        <v>15</v>
      </c>
      <c r="H201" s="8" t="s">
        <v>39</v>
      </c>
      <c r="I201" s="8" t="s">
        <v>953</v>
      </c>
      <c r="J201" s="8" t="s">
        <v>954</v>
      </c>
      <c r="K201" s="8" t="s">
        <v>27</v>
      </c>
      <c r="L201" s="8" t="s">
        <v>949</v>
      </c>
      <c r="M201" s="8" t="s">
        <v>955</v>
      </c>
    </row>
    <row r="202" spans="1:13" ht="21" hidden="1" x14ac:dyDescent="0.25">
      <c r="A202" s="21">
        <v>201</v>
      </c>
      <c r="B202" s="18" t="str">
        <f>_xlfn.XLOOKUP(C202,[1]IVW8362itmlist!$C:$C,[1]IVW8362itmlist!$B:$B)</f>
        <v>FG04062</v>
      </c>
      <c r="C202" s="15" t="s">
        <v>956</v>
      </c>
      <c r="D202" s="13"/>
      <c r="E202" s="13"/>
      <c r="F202" s="8" t="s">
        <v>957</v>
      </c>
      <c r="G202" s="8" t="s">
        <v>15</v>
      </c>
      <c r="H202" s="8" t="s">
        <v>34</v>
      </c>
      <c r="I202" s="8" t="s">
        <v>958</v>
      </c>
      <c r="J202" s="8" t="s">
        <v>340</v>
      </c>
      <c r="K202" s="8" t="s">
        <v>27</v>
      </c>
      <c r="L202" s="8" t="s">
        <v>959</v>
      </c>
      <c r="M202" s="8" t="s">
        <v>960</v>
      </c>
    </row>
    <row r="203" spans="1:13" hidden="1" x14ac:dyDescent="0.25">
      <c r="A203" s="21">
        <v>202</v>
      </c>
      <c r="B203" s="18" t="str">
        <f>_xlfn.XLOOKUP(C203,[1]IVW8362itmlist!$C:$C,[1]IVW8362itmlist!$B:$B)</f>
        <v>FG04057</v>
      </c>
      <c r="C203" s="15" t="s">
        <v>961</v>
      </c>
      <c r="D203" s="13"/>
      <c r="E203" s="13"/>
      <c r="F203" s="8" t="s">
        <v>962</v>
      </c>
      <c r="G203" s="8" t="s">
        <v>15</v>
      </c>
      <c r="H203" s="8" t="s">
        <v>39</v>
      </c>
      <c r="I203" s="8" t="s">
        <v>963</v>
      </c>
      <c r="J203" s="8" t="s">
        <v>964</v>
      </c>
      <c r="K203" s="8" t="s">
        <v>27</v>
      </c>
      <c r="L203" s="8" t="s">
        <v>965</v>
      </c>
      <c r="M203" s="8" t="s">
        <v>966</v>
      </c>
    </row>
    <row r="204" spans="1:13" hidden="1" x14ac:dyDescent="0.25">
      <c r="A204" s="21">
        <v>203</v>
      </c>
      <c r="B204" s="18" t="str">
        <f>_xlfn.XLOOKUP(C204,[1]IVW8362itmlist!$C:$C,[1]IVW8362itmlist!$B:$B)</f>
        <v>FG04058</v>
      </c>
      <c r="C204" s="15" t="s">
        <v>967</v>
      </c>
      <c r="D204" s="13"/>
      <c r="E204" s="13"/>
      <c r="F204" s="8" t="s">
        <v>968</v>
      </c>
      <c r="G204" s="8" t="s">
        <v>15</v>
      </c>
      <c r="H204" s="8" t="s">
        <v>969</v>
      </c>
      <c r="I204" s="8" t="s">
        <v>970</v>
      </c>
      <c r="J204" s="8" t="s">
        <v>971</v>
      </c>
      <c r="K204" s="8" t="s">
        <v>158</v>
      </c>
      <c r="L204" s="8" t="s">
        <v>972</v>
      </c>
      <c r="M204" s="8" t="s">
        <v>973</v>
      </c>
    </row>
    <row r="205" spans="1:13" hidden="1" x14ac:dyDescent="0.25">
      <c r="A205" s="21">
        <v>204</v>
      </c>
      <c r="B205" s="18" t="str">
        <f>_xlfn.XLOOKUP(C205,[1]IVW8362itmlist!$C:$C,[1]IVW8362itmlist!$B:$B)</f>
        <v>FG00756</v>
      </c>
      <c r="C205" s="15" t="s">
        <v>974</v>
      </c>
      <c r="D205" s="13"/>
      <c r="E205" s="13"/>
      <c r="F205" s="8" t="s">
        <v>975</v>
      </c>
      <c r="G205" s="8" t="s">
        <v>15</v>
      </c>
      <c r="H205" s="8" t="s">
        <v>684</v>
      </c>
      <c r="I205" s="8" t="s">
        <v>976</v>
      </c>
      <c r="J205" s="8" t="s">
        <v>977</v>
      </c>
      <c r="K205" s="8" t="s">
        <v>88</v>
      </c>
      <c r="L205" s="8" t="s">
        <v>978</v>
      </c>
      <c r="M205" s="8" t="s">
        <v>979</v>
      </c>
    </row>
    <row r="206" spans="1:13" hidden="1" x14ac:dyDescent="0.25">
      <c r="A206" s="21">
        <v>205</v>
      </c>
      <c r="B206" s="18" t="str">
        <f>_xlfn.XLOOKUP(C206,[1]IVW8362itmlist!$C:$C,[1]IVW8362itmlist!$B:$B)</f>
        <v>FG00758</v>
      </c>
      <c r="C206" s="15" t="s">
        <v>980</v>
      </c>
      <c r="D206" s="13"/>
      <c r="E206" s="13"/>
      <c r="F206" s="8" t="s">
        <v>981</v>
      </c>
      <c r="G206" s="8" t="s">
        <v>15</v>
      </c>
      <c r="H206" s="8" t="s">
        <v>39</v>
      </c>
      <c r="I206" s="8" t="s">
        <v>982</v>
      </c>
      <c r="J206" s="8" t="s">
        <v>52</v>
      </c>
      <c r="K206" s="8" t="s">
        <v>27</v>
      </c>
      <c r="L206" s="8" t="s">
        <v>983</v>
      </c>
      <c r="M206" s="8" t="s">
        <v>984</v>
      </c>
    </row>
    <row r="207" spans="1:13" hidden="1" x14ac:dyDescent="0.25">
      <c r="A207" s="21">
        <v>206</v>
      </c>
      <c r="B207" s="18" t="str">
        <f>_xlfn.XLOOKUP(C207,[1]IVW8362itmlist!$C:$C,[1]IVW8362itmlist!$B:$B)</f>
        <v>FG00757</v>
      </c>
      <c r="C207" s="15" t="s">
        <v>985</v>
      </c>
      <c r="D207" s="13"/>
      <c r="E207" s="13"/>
      <c r="F207" s="8" t="s">
        <v>986</v>
      </c>
      <c r="G207" s="8" t="s">
        <v>15</v>
      </c>
      <c r="H207" s="8" t="s">
        <v>39</v>
      </c>
      <c r="I207" s="8" t="s">
        <v>987</v>
      </c>
      <c r="J207" s="8" t="s">
        <v>52</v>
      </c>
      <c r="K207" s="8" t="s">
        <v>27</v>
      </c>
      <c r="L207" s="8" t="s">
        <v>983</v>
      </c>
      <c r="M207" s="8" t="s">
        <v>988</v>
      </c>
    </row>
    <row r="208" spans="1:13" hidden="1" x14ac:dyDescent="0.25">
      <c r="A208" s="21">
        <v>207</v>
      </c>
      <c r="B208" s="18" t="str">
        <f>_xlfn.XLOOKUP(C208,[1]IVW8362itmlist!$C:$C,[1]IVW8362itmlist!$B:$B)</f>
        <v>FG02668</v>
      </c>
      <c r="C208" s="15" t="s">
        <v>989</v>
      </c>
      <c r="D208" s="13"/>
      <c r="E208" s="13"/>
      <c r="F208" s="8" t="s">
        <v>76</v>
      </c>
      <c r="G208" s="8" t="s">
        <v>15</v>
      </c>
      <c r="H208" s="8" t="s">
        <v>364</v>
      </c>
      <c r="I208" s="8" t="s">
        <v>990</v>
      </c>
      <c r="J208" s="8" t="s">
        <v>991</v>
      </c>
      <c r="K208" s="8" t="s">
        <v>19</v>
      </c>
      <c r="L208" s="8" t="s">
        <v>992</v>
      </c>
      <c r="M208" s="8" t="s">
        <v>993</v>
      </c>
    </row>
    <row r="209" spans="1:13" hidden="1" x14ac:dyDescent="0.25">
      <c r="A209" s="21">
        <v>208</v>
      </c>
      <c r="B209" s="18" t="str">
        <f>_xlfn.XLOOKUP(C209,[1]IVW8362itmlist!$C:$C,[1]IVW8362itmlist!$B:$B)</f>
        <v>FG02666</v>
      </c>
      <c r="C209" s="15" t="s">
        <v>994</v>
      </c>
      <c r="D209" s="13"/>
      <c r="E209" s="13"/>
      <c r="F209" s="8" t="s">
        <v>76</v>
      </c>
      <c r="G209" s="8" t="s">
        <v>15</v>
      </c>
      <c r="H209" s="8" t="s">
        <v>364</v>
      </c>
      <c r="I209" s="8" t="s">
        <v>995</v>
      </c>
      <c r="J209" s="8" t="s">
        <v>996</v>
      </c>
      <c r="K209" s="8" t="s">
        <v>19</v>
      </c>
      <c r="L209" s="8" t="s">
        <v>992</v>
      </c>
      <c r="M209" s="8" t="s">
        <v>997</v>
      </c>
    </row>
    <row r="210" spans="1:13" hidden="1" x14ac:dyDescent="0.25">
      <c r="A210" s="21">
        <v>209</v>
      </c>
      <c r="B210" s="18" t="str">
        <f>_xlfn.XLOOKUP(C210,[1]IVW8362itmlist!$C:$C,[1]IVW8362itmlist!$B:$B)</f>
        <v>FG02664</v>
      </c>
      <c r="C210" s="15" t="s">
        <v>998</v>
      </c>
      <c r="D210" s="13"/>
      <c r="E210" s="13"/>
      <c r="F210" s="8" t="s">
        <v>76</v>
      </c>
      <c r="G210" s="8" t="s">
        <v>15</v>
      </c>
      <c r="H210" s="8" t="s">
        <v>364</v>
      </c>
      <c r="I210" s="8" t="s">
        <v>999</v>
      </c>
      <c r="J210" s="8" t="s">
        <v>1000</v>
      </c>
      <c r="K210" s="8" t="s">
        <v>19</v>
      </c>
      <c r="L210" s="8" t="s">
        <v>992</v>
      </c>
      <c r="M210" s="8" t="s">
        <v>1001</v>
      </c>
    </row>
    <row r="211" spans="1:13" hidden="1" x14ac:dyDescent="0.25">
      <c r="A211" s="21">
        <v>210</v>
      </c>
      <c r="B211" s="18" t="str">
        <f>_xlfn.XLOOKUP(C211,[1]IVW8362itmlist!$C:$C,[1]IVW8362itmlist!$B:$B)</f>
        <v>FG02667</v>
      </c>
      <c r="C211" s="15" t="s">
        <v>1002</v>
      </c>
      <c r="D211" s="13"/>
      <c r="E211" s="13"/>
      <c r="F211" s="8" t="s">
        <v>76</v>
      </c>
      <c r="G211" s="8" t="s">
        <v>15</v>
      </c>
      <c r="H211" s="8" t="s">
        <v>24</v>
      </c>
      <c r="I211" s="8" t="s">
        <v>1003</v>
      </c>
      <c r="J211" s="8" t="s">
        <v>72</v>
      </c>
      <c r="K211" s="8" t="s">
        <v>27</v>
      </c>
      <c r="L211" s="8" t="s">
        <v>992</v>
      </c>
      <c r="M211" s="8" t="s">
        <v>1004</v>
      </c>
    </row>
    <row r="212" spans="1:13" hidden="1" x14ac:dyDescent="0.25">
      <c r="A212" s="21">
        <v>211</v>
      </c>
      <c r="B212" s="18" t="str">
        <f>_xlfn.XLOOKUP(C212,[1]IVW8362itmlist!$C:$C,[1]IVW8362itmlist!$B:$B)</f>
        <v>FG02665</v>
      </c>
      <c r="C212" s="15" t="s">
        <v>1005</v>
      </c>
      <c r="D212" s="13"/>
      <c r="E212" s="13"/>
      <c r="F212" s="8" t="s">
        <v>76</v>
      </c>
      <c r="G212" s="8" t="s">
        <v>15</v>
      </c>
      <c r="H212" s="8" t="s">
        <v>24</v>
      </c>
      <c r="I212" s="8" t="s">
        <v>1006</v>
      </c>
      <c r="J212" s="8" t="s">
        <v>72</v>
      </c>
      <c r="K212" s="8" t="s">
        <v>27</v>
      </c>
      <c r="L212" s="8" t="s">
        <v>992</v>
      </c>
      <c r="M212" s="8" t="s">
        <v>1007</v>
      </c>
    </row>
    <row r="213" spans="1:13" hidden="1" x14ac:dyDescent="0.25">
      <c r="A213" s="21">
        <v>212</v>
      </c>
      <c r="B213" s="18" t="str">
        <f>_xlfn.XLOOKUP(C213,[1]IVW8362itmlist!$C:$C,[1]IVW8362itmlist!$B:$B)</f>
        <v>FG02663</v>
      </c>
      <c r="C213" s="15" t="s">
        <v>1008</v>
      </c>
      <c r="D213" s="13"/>
      <c r="E213" s="13"/>
      <c r="F213" s="8" t="s">
        <v>76</v>
      </c>
      <c r="G213" s="8" t="s">
        <v>15</v>
      </c>
      <c r="H213" s="8" t="s">
        <v>24</v>
      </c>
      <c r="I213" s="8" t="s">
        <v>1009</v>
      </c>
      <c r="J213" s="8" t="s">
        <v>72</v>
      </c>
      <c r="K213" s="8" t="s">
        <v>27</v>
      </c>
      <c r="L213" s="8" t="s">
        <v>992</v>
      </c>
      <c r="M213" s="8" t="s">
        <v>1010</v>
      </c>
    </row>
    <row r="214" spans="1:13" ht="21" hidden="1" x14ac:dyDescent="0.25">
      <c r="A214" s="21">
        <v>213</v>
      </c>
      <c r="B214" s="18" t="str">
        <f>_xlfn.XLOOKUP(C214,[1]IVW8362itmlist!$C:$C,[1]IVW8362itmlist!$B:$B)</f>
        <v>FG03338</v>
      </c>
      <c r="C214" s="15" t="s">
        <v>1011</v>
      </c>
      <c r="D214" s="13"/>
      <c r="E214" s="13"/>
      <c r="F214" s="8" t="s">
        <v>1012</v>
      </c>
      <c r="G214" s="8" t="s">
        <v>15</v>
      </c>
      <c r="H214" s="8" t="s">
        <v>1013</v>
      </c>
      <c r="I214" s="8" t="s">
        <v>1014</v>
      </c>
      <c r="J214" s="8" t="s">
        <v>1015</v>
      </c>
      <c r="K214" s="8" t="s">
        <v>27</v>
      </c>
      <c r="L214" s="8" t="s">
        <v>1016</v>
      </c>
      <c r="M214" s="8" t="s">
        <v>1017</v>
      </c>
    </row>
    <row r="215" spans="1:13" hidden="1" x14ac:dyDescent="0.25">
      <c r="A215" s="21">
        <v>214</v>
      </c>
      <c r="B215" s="18" t="str">
        <f>_xlfn.XLOOKUP(C215,[1]IVW8362itmlist!$C:$C,[1]IVW8362itmlist!$B:$B)</f>
        <v>FG04103</v>
      </c>
      <c r="C215" s="15" t="s">
        <v>1018</v>
      </c>
      <c r="D215" s="13"/>
      <c r="E215" s="13"/>
      <c r="F215" s="8" t="s">
        <v>1019</v>
      </c>
      <c r="G215" s="8" t="s">
        <v>15</v>
      </c>
      <c r="H215" s="8" t="s">
        <v>39</v>
      </c>
      <c r="I215" s="8" t="s">
        <v>1020</v>
      </c>
      <c r="J215" s="8" t="s">
        <v>52</v>
      </c>
      <c r="K215" s="8" t="s">
        <v>27</v>
      </c>
      <c r="L215" s="8" t="s">
        <v>1021</v>
      </c>
      <c r="M215" s="8" t="s">
        <v>1022</v>
      </c>
    </row>
    <row r="216" spans="1:13" hidden="1" x14ac:dyDescent="0.25">
      <c r="A216" s="21">
        <v>215</v>
      </c>
      <c r="B216" s="18" t="str">
        <f>_xlfn.XLOOKUP(C216,[1]IVW8362itmlist!$C:$C,[1]IVW8362itmlist!$B:$B)</f>
        <v>FG04617</v>
      </c>
      <c r="C216" s="15" t="s">
        <v>1023</v>
      </c>
      <c r="D216" s="13"/>
      <c r="E216" s="13"/>
      <c r="F216" s="8" t="s">
        <v>1019</v>
      </c>
      <c r="G216" s="8" t="s">
        <v>15</v>
      </c>
      <c r="H216" s="8" t="s">
        <v>39</v>
      </c>
      <c r="I216" s="8" t="s">
        <v>1024</v>
      </c>
      <c r="J216" s="8" t="s">
        <v>313</v>
      </c>
      <c r="K216" s="8" t="s">
        <v>27</v>
      </c>
      <c r="L216" s="8" t="s">
        <v>1021</v>
      </c>
      <c r="M216" s="8" t="s">
        <v>1025</v>
      </c>
    </row>
    <row r="217" spans="1:13" ht="21" hidden="1" x14ac:dyDescent="0.25">
      <c r="A217" s="21">
        <v>216</v>
      </c>
      <c r="B217" s="18" t="str">
        <f>_xlfn.XLOOKUP(C217,[1]IVW8362itmlist!$C:$C,[1]IVW8362itmlist!$B:$B)</f>
        <v>FG03432</v>
      </c>
      <c r="C217" s="15" t="s">
        <v>1026</v>
      </c>
      <c r="D217" s="13"/>
      <c r="E217" s="13"/>
      <c r="F217" s="8" t="s">
        <v>1027</v>
      </c>
      <c r="G217" s="8" t="s">
        <v>15</v>
      </c>
      <c r="H217" s="8" t="s">
        <v>386</v>
      </c>
      <c r="I217" s="8" t="s">
        <v>1028</v>
      </c>
      <c r="J217" s="8" t="s">
        <v>454</v>
      </c>
      <c r="K217" s="8" t="s">
        <v>440</v>
      </c>
      <c r="L217" s="8" t="s">
        <v>1029</v>
      </c>
      <c r="M217" s="8" t="s">
        <v>1030</v>
      </c>
    </row>
    <row r="218" spans="1:13" ht="21" hidden="1" x14ac:dyDescent="0.25">
      <c r="A218" s="21">
        <v>217</v>
      </c>
      <c r="B218" s="18" t="str">
        <f>_xlfn.XLOOKUP(C218,[1]IVW8362itmlist!$C:$C,[1]IVW8362itmlist!$B:$B)</f>
        <v>FG03433</v>
      </c>
      <c r="C218" s="15" t="s">
        <v>1031</v>
      </c>
      <c r="D218" s="13"/>
      <c r="E218" s="13"/>
      <c r="F218" s="8" t="s">
        <v>1032</v>
      </c>
      <c r="G218" s="8" t="s">
        <v>15</v>
      </c>
      <c r="H218" s="8" t="s">
        <v>386</v>
      </c>
      <c r="I218" s="8" t="s">
        <v>1033</v>
      </c>
      <c r="J218" s="8" t="s">
        <v>454</v>
      </c>
      <c r="K218" s="8" t="s">
        <v>440</v>
      </c>
      <c r="L218" s="8" t="s">
        <v>1029</v>
      </c>
      <c r="M218" s="8" t="s">
        <v>1030</v>
      </c>
    </row>
    <row r="219" spans="1:13" ht="21" hidden="1" x14ac:dyDescent="0.25">
      <c r="A219" s="21">
        <v>218</v>
      </c>
      <c r="B219" s="18" t="str">
        <f>_xlfn.XLOOKUP(C219,[1]IVW8362itmlist!$C:$C,[1]IVW8362itmlist!$B:$B)</f>
        <v>FG02662</v>
      </c>
      <c r="C219" s="15" t="s">
        <v>1034</v>
      </c>
      <c r="D219" s="13"/>
      <c r="E219" s="13"/>
      <c r="F219" s="8" t="s">
        <v>1035</v>
      </c>
      <c r="G219" s="8" t="s">
        <v>15</v>
      </c>
      <c r="H219" s="8" t="s">
        <v>39</v>
      </c>
      <c r="I219" s="8" t="s">
        <v>1036</v>
      </c>
      <c r="J219" s="8" t="s">
        <v>52</v>
      </c>
      <c r="K219" s="8" t="s">
        <v>27</v>
      </c>
      <c r="L219" s="8" t="s">
        <v>1037</v>
      </c>
      <c r="M219" s="8" t="s">
        <v>1038</v>
      </c>
    </row>
    <row r="220" spans="1:13" ht="21" hidden="1" x14ac:dyDescent="0.25">
      <c r="A220" s="21">
        <v>219</v>
      </c>
      <c r="B220" s="18" t="str">
        <f>_xlfn.XLOOKUP(C220,[1]IVW8362itmlist!$C:$C,[1]IVW8362itmlist!$B:$B)</f>
        <v>FG02661</v>
      </c>
      <c r="C220" s="15" t="s">
        <v>1039</v>
      </c>
      <c r="D220" s="13"/>
      <c r="E220" s="13"/>
      <c r="F220" s="8" t="s">
        <v>1040</v>
      </c>
      <c r="G220" s="8" t="s">
        <v>15</v>
      </c>
      <c r="H220" s="8" t="s">
        <v>39</v>
      </c>
      <c r="I220" s="8" t="s">
        <v>1041</v>
      </c>
      <c r="J220" s="8" t="s">
        <v>52</v>
      </c>
      <c r="K220" s="8" t="s">
        <v>27</v>
      </c>
      <c r="L220" s="8" t="s">
        <v>1042</v>
      </c>
      <c r="M220" s="8" t="s">
        <v>1043</v>
      </c>
    </row>
    <row r="221" spans="1:13" hidden="1" x14ac:dyDescent="0.25">
      <c r="A221" s="21">
        <v>220</v>
      </c>
      <c r="B221" s="18" t="str">
        <f>_xlfn.XLOOKUP(C221,[1]IVW8362itmlist!$C:$C,[1]IVW8362itmlist!$B:$B)</f>
        <v>FG03570</v>
      </c>
      <c r="C221" s="15" t="s">
        <v>1044</v>
      </c>
      <c r="D221" s="13"/>
      <c r="E221" s="13"/>
      <c r="F221" s="8" t="s">
        <v>1045</v>
      </c>
      <c r="G221" s="8" t="s">
        <v>15</v>
      </c>
      <c r="H221" s="8" t="s">
        <v>39</v>
      </c>
      <c r="I221" s="8" t="s">
        <v>1046</v>
      </c>
      <c r="J221" s="8" t="s">
        <v>1047</v>
      </c>
      <c r="K221" s="8" t="s">
        <v>27</v>
      </c>
      <c r="L221" s="8" t="s">
        <v>1048</v>
      </c>
      <c r="M221" s="8" t="s">
        <v>1049</v>
      </c>
    </row>
    <row r="222" spans="1:13" hidden="1" x14ac:dyDescent="0.25">
      <c r="A222" s="21">
        <v>221</v>
      </c>
      <c r="B222" s="18" t="str">
        <f>_xlfn.XLOOKUP(C222,[1]IVW8362itmlist!$C:$C,[1]IVW8362itmlist!$B:$B)</f>
        <v>FG03569</v>
      </c>
      <c r="C222" s="15" t="s">
        <v>1050</v>
      </c>
      <c r="D222" s="13"/>
      <c r="E222" s="13"/>
      <c r="F222" s="8" t="s">
        <v>1045</v>
      </c>
      <c r="G222" s="8" t="s">
        <v>15</v>
      </c>
      <c r="H222" s="8" t="s">
        <v>39</v>
      </c>
      <c r="I222" s="8" t="s">
        <v>1051</v>
      </c>
      <c r="J222" s="8" t="s">
        <v>1052</v>
      </c>
      <c r="K222" s="8" t="s">
        <v>27</v>
      </c>
      <c r="L222" s="8" t="s">
        <v>1048</v>
      </c>
      <c r="M222" s="8" t="s">
        <v>1053</v>
      </c>
    </row>
    <row r="223" spans="1:13" ht="21" hidden="1" x14ac:dyDescent="0.25">
      <c r="A223" s="21">
        <v>222</v>
      </c>
      <c r="B223" s="18" t="str">
        <f>_xlfn.XLOOKUP(C223,[1]IVW8362itmlist!$C:$C,[1]IVW8362itmlist!$B:$B)</f>
        <v>FG03568</v>
      </c>
      <c r="C223" s="15" t="s">
        <v>1054</v>
      </c>
      <c r="D223" s="13"/>
      <c r="E223" s="13"/>
      <c r="F223" s="8" t="s">
        <v>1045</v>
      </c>
      <c r="G223" s="8" t="s">
        <v>15</v>
      </c>
      <c r="H223" s="8" t="s">
        <v>34</v>
      </c>
      <c r="I223" s="8" t="s">
        <v>1055</v>
      </c>
      <c r="J223" s="8" t="s">
        <v>340</v>
      </c>
      <c r="K223" s="8" t="s">
        <v>27</v>
      </c>
      <c r="L223" s="8" t="s">
        <v>1056</v>
      </c>
      <c r="M223" s="8" t="s">
        <v>1057</v>
      </c>
    </row>
    <row r="224" spans="1:13" hidden="1" x14ac:dyDescent="0.25">
      <c r="A224" s="21">
        <v>223</v>
      </c>
      <c r="B224" s="18" t="str">
        <f>_xlfn.XLOOKUP(C224,[1]IVW8362itmlist!$C:$C,[1]IVW8362itmlist!$B:$B)</f>
        <v>FG04055</v>
      </c>
      <c r="C224" s="15" t="s">
        <v>1058</v>
      </c>
      <c r="D224" s="13"/>
      <c r="E224" s="13"/>
      <c r="F224" s="8" t="s">
        <v>1059</v>
      </c>
      <c r="G224" s="8" t="s">
        <v>15</v>
      </c>
      <c r="H224" s="8" t="s">
        <v>39</v>
      </c>
      <c r="I224" s="8" t="s">
        <v>1060</v>
      </c>
      <c r="J224" s="8" t="s">
        <v>313</v>
      </c>
      <c r="K224" s="8" t="s">
        <v>27</v>
      </c>
      <c r="L224" s="8" t="s">
        <v>1061</v>
      </c>
      <c r="M224" s="8" t="s">
        <v>1062</v>
      </c>
    </row>
    <row r="225" spans="1:13" ht="21" hidden="1" x14ac:dyDescent="0.25">
      <c r="A225" s="21">
        <v>224</v>
      </c>
      <c r="B225" s="18" t="str">
        <f>_xlfn.XLOOKUP(C225,[1]IVW8362itmlist!$C:$C,[1]IVW8362itmlist!$B:$B)</f>
        <v>FG03611</v>
      </c>
      <c r="C225" s="15" t="s">
        <v>1063</v>
      </c>
      <c r="D225" s="13"/>
      <c r="E225" s="13"/>
      <c r="F225" s="8" t="s">
        <v>1064</v>
      </c>
      <c r="G225" s="8" t="s">
        <v>15</v>
      </c>
      <c r="H225" s="8" t="s">
        <v>386</v>
      </c>
      <c r="I225" s="8" t="s">
        <v>1065</v>
      </c>
      <c r="J225" s="8" t="s">
        <v>454</v>
      </c>
      <c r="K225" s="8" t="s">
        <v>19</v>
      </c>
      <c r="L225" s="8" t="s">
        <v>1066</v>
      </c>
      <c r="M225" s="8" t="s">
        <v>1067</v>
      </c>
    </row>
    <row r="226" spans="1:13" ht="21" hidden="1" x14ac:dyDescent="0.25">
      <c r="A226" s="21">
        <v>225</v>
      </c>
      <c r="B226" s="18" t="str">
        <f>_xlfn.XLOOKUP(C226,[1]IVW8362itmlist!$C:$C,[1]IVW8362itmlist!$B:$B)</f>
        <v>FG03610</v>
      </c>
      <c r="C226" s="15" t="s">
        <v>1068</v>
      </c>
      <c r="D226" s="13"/>
      <c r="E226" s="13"/>
      <c r="F226" s="8" t="s">
        <v>1064</v>
      </c>
      <c r="G226" s="8" t="s">
        <v>15</v>
      </c>
      <c r="H226" s="8" t="s">
        <v>386</v>
      </c>
      <c r="I226" s="8" t="s">
        <v>1069</v>
      </c>
      <c r="J226" s="8" t="s">
        <v>454</v>
      </c>
      <c r="K226" s="8" t="s">
        <v>19</v>
      </c>
      <c r="L226" s="8" t="s">
        <v>1066</v>
      </c>
      <c r="M226" s="8" t="s">
        <v>1067</v>
      </c>
    </row>
    <row r="227" spans="1:13" ht="21" hidden="1" x14ac:dyDescent="0.25">
      <c r="A227" s="21">
        <v>226</v>
      </c>
      <c r="B227" s="18" t="str">
        <f>_xlfn.XLOOKUP(C227,[1]IVW8362itmlist!$C:$C,[1]IVW8362itmlist!$B:$B)</f>
        <v>FG03853</v>
      </c>
      <c r="C227" s="15" t="s">
        <v>1070</v>
      </c>
      <c r="D227" s="13"/>
      <c r="E227" s="13"/>
      <c r="F227" s="8" t="s">
        <v>1071</v>
      </c>
      <c r="G227" s="8" t="s">
        <v>15</v>
      </c>
      <c r="H227" s="8" t="s">
        <v>216</v>
      </c>
      <c r="I227" s="8" t="s">
        <v>1072</v>
      </c>
      <c r="J227" s="8" t="s">
        <v>394</v>
      </c>
      <c r="K227" s="8" t="s">
        <v>219</v>
      </c>
      <c r="L227" s="8" t="s">
        <v>1073</v>
      </c>
      <c r="M227" s="8" t="s">
        <v>1074</v>
      </c>
    </row>
    <row r="228" spans="1:13" ht="21" hidden="1" x14ac:dyDescent="0.25">
      <c r="A228" s="21">
        <v>227</v>
      </c>
      <c r="B228" s="18" t="str">
        <f>_xlfn.XLOOKUP(C228,[1]IVW8362itmlist!$C:$C,[1]IVW8362itmlist!$B:$B)</f>
        <v>FG04539</v>
      </c>
      <c r="C228" s="15" t="s">
        <v>1075</v>
      </c>
      <c r="D228" s="13"/>
      <c r="E228" s="13"/>
      <c r="F228" s="8" t="s">
        <v>1071</v>
      </c>
      <c r="G228" s="8" t="s">
        <v>15</v>
      </c>
      <c r="H228" s="8" t="s">
        <v>34</v>
      </c>
      <c r="I228" s="8" t="s">
        <v>1076</v>
      </c>
      <c r="J228" s="8" t="s">
        <v>119</v>
      </c>
      <c r="K228" s="8" t="s">
        <v>27</v>
      </c>
      <c r="L228" s="8" t="s">
        <v>1077</v>
      </c>
      <c r="M228" s="8" t="s">
        <v>1078</v>
      </c>
    </row>
    <row r="229" spans="1:13" ht="21" hidden="1" x14ac:dyDescent="0.25">
      <c r="A229" s="21">
        <v>228</v>
      </c>
      <c r="B229" s="18" t="str">
        <f>_xlfn.XLOOKUP(C229,[1]IVW8362itmlist!$C:$C,[1]IVW8362itmlist!$B:$B)</f>
        <v>FG07026</v>
      </c>
      <c r="C229" s="15" t="s">
        <v>1079</v>
      </c>
      <c r="D229" s="13"/>
      <c r="E229" s="13"/>
      <c r="F229" s="8" t="s">
        <v>1071</v>
      </c>
      <c r="G229" s="8" t="s">
        <v>15</v>
      </c>
      <c r="H229" s="8" t="s">
        <v>39</v>
      </c>
      <c r="I229" s="8" t="s">
        <v>1080</v>
      </c>
      <c r="J229" s="8" t="s">
        <v>313</v>
      </c>
      <c r="K229" s="8" t="s">
        <v>27</v>
      </c>
      <c r="L229" s="8" t="s">
        <v>1081</v>
      </c>
      <c r="M229" s="8"/>
    </row>
    <row r="230" spans="1:13" ht="21" hidden="1" x14ac:dyDescent="0.25">
      <c r="A230" s="21">
        <v>229</v>
      </c>
      <c r="B230" s="18" t="str">
        <f>_xlfn.XLOOKUP(C230,[1]IVW8362itmlist!$C:$C,[1]IVW8362itmlist!$B:$B)</f>
        <v>FG04540</v>
      </c>
      <c r="C230" s="15" t="s">
        <v>1082</v>
      </c>
      <c r="D230" s="13"/>
      <c r="E230" s="13"/>
      <c r="F230" s="8" t="s">
        <v>1071</v>
      </c>
      <c r="G230" s="8" t="s">
        <v>15</v>
      </c>
      <c r="H230" s="8" t="s">
        <v>608</v>
      </c>
      <c r="I230" s="8" t="s">
        <v>1083</v>
      </c>
      <c r="J230" s="8" t="s">
        <v>119</v>
      </c>
      <c r="K230" s="8" t="s">
        <v>440</v>
      </c>
      <c r="L230" s="8" t="s">
        <v>1084</v>
      </c>
      <c r="M230" s="8" t="s">
        <v>1085</v>
      </c>
    </row>
    <row r="231" spans="1:13" hidden="1" x14ac:dyDescent="0.25">
      <c r="A231" s="21">
        <v>230</v>
      </c>
      <c r="B231" s="18" t="str">
        <f>_xlfn.XLOOKUP(C231,[1]IVW8362itmlist!$C:$C,[1]IVW8362itmlist!$B:$B)</f>
        <v>FG04051</v>
      </c>
      <c r="C231" s="15" t="s">
        <v>1086</v>
      </c>
      <c r="D231" s="13"/>
      <c r="E231" s="13"/>
      <c r="F231" s="8" t="s">
        <v>1087</v>
      </c>
      <c r="G231" s="8" t="s">
        <v>15</v>
      </c>
      <c r="H231" s="8" t="s">
        <v>45</v>
      </c>
      <c r="I231" s="8" t="s">
        <v>1088</v>
      </c>
      <c r="J231" s="8" t="s">
        <v>527</v>
      </c>
      <c r="K231" s="8" t="s">
        <v>27</v>
      </c>
      <c r="L231" s="8" t="s">
        <v>1089</v>
      </c>
      <c r="M231" s="8" t="s">
        <v>29</v>
      </c>
    </row>
    <row r="232" spans="1:13" hidden="1" x14ac:dyDescent="0.25">
      <c r="A232" s="21">
        <v>231</v>
      </c>
      <c r="B232" s="18" t="str">
        <f>_xlfn.XLOOKUP(C232,[1]IVW8362itmlist!$C:$C,[1]IVW8362itmlist!$B:$B)</f>
        <v>FG04428</v>
      </c>
      <c r="C232" s="15" t="s">
        <v>1090</v>
      </c>
      <c r="D232" s="13"/>
      <c r="E232" s="13"/>
      <c r="F232" s="8" t="s">
        <v>1091</v>
      </c>
      <c r="G232" s="8" t="s">
        <v>15</v>
      </c>
      <c r="H232" s="8" t="s">
        <v>39</v>
      </c>
      <c r="I232" s="8" t="s">
        <v>1092</v>
      </c>
      <c r="J232" s="8" t="s">
        <v>52</v>
      </c>
      <c r="K232" s="8" t="s">
        <v>27</v>
      </c>
      <c r="L232" s="8" t="s">
        <v>1089</v>
      </c>
      <c r="M232" s="8" t="s">
        <v>1093</v>
      </c>
    </row>
    <row r="233" spans="1:13" ht="21" hidden="1" x14ac:dyDescent="0.25">
      <c r="A233" s="21">
        <v>232</v>
      </c>
      <c r="B233" s="18" t="str">
        <f>_xlfn.XLOOKUP(C233,[1]IVW8362itmlist!$C:$C,[1]IVW8362itmlist!$B:$B)</f>
        <v>FG08834</v>
      </c>
      <c r="C233" s="15" t="s">
        <v>1094</v>
      </c>
      <c r="D233" s="13"/>
      <c r="E233" s="13"/>
      <c r="F233" s="8" t="s">
        <v>728</v>
      </c>
      <c r="G233" s="8" t="s">
        <v>15</v>
      </c>
      <c r="H233" s="8" t="s">
        <v>39</v>
      </c>
      <c r="I233" s="8" t="s">
        <v>1095</v>
      </c>
      <c r="J233" s="8" t="s">
        <v>313</v>
      </c>
      <c r="K233" s="8" t="s">
        <v>27</v>
      </c>
      <c r="L233" s="8" t="s">
        <v>1096</v>
      </c>
      <c r="M233" s="8" t="s">
        <v>1097</v>
      </c>
    </row>
    <row r="234" spans="1:13" ht="21" hidden="1" x14ac:dyDescent="0.25">
      <c r="A234" s="21">
        <v>233</v>
      </c>
      <c r="B234" s="18" t="str">
        <f>_xlfn.XLOOKUP(C234,[1]IVW8362itmlist!$C:$C,[1]IVW8362itmlist!$B:$B)</f>
        <v>FG03650</v>
      </c>
      <c r="C234" s="15" t="s">
        <v>1098</v>
      </c>
      <c r="D234" s="13"/>
      <c r="E234" s="13"/>
      <c r="F234" s="8" t="s">
        <v>728</v>
      </c>
      <c r="G234" s="8" t="s">
        <v>15</v>
      </c>
      <c r="H234" s="8" t="s">
        <v>608</v>
      </c>
      <c r="I234" s="8" t="s">
        <v>1099</v>
      </c>
      <c r="J234" s="8" t="s">
        <v>119</v>
      </c>
      <c r="K234" s="8" t="s">
        <v>440</v>
      </c>
      <c r="L234" s="8" t="s">
        <v>1096</v>
      </c>
      <c r="M234" s="8" t="s">
        <v>1100</v>
      </c>
    </row>
    <row r="235" spans="1:13" ht="21" hidden="1" x14ac:dyDescent="0.25">
      <c r="A235" s="21">
        <v>234</v>
      </c>
      <c r="B235" s="18" t="str">
        <f>_xlfn.XLOOKUP(C235,[1]IVW8362itmlist!$C:$C,[1]IVW8362itmlist!$B:$B)</f>
        <v>FG01793</v>
      </c>
      <c r="C235" s="15" t="s">
        <v>1101</v>
      </c>
      <c r="D235" s="13"/>
      <c r="E235" s="13"/>
      <c r="F235" s="8" t="s">
        <v>1102</v>
      </c>
      <c r="G235" s="8" t="s">
        <v>15</v>
      </c>
      <c r="H235" s="8" t="s">
        <v>39</v>
      </c>
      <c r="I235" s="8" t="s">
        <v>1103</v>
      </c>
      <c r="J235" s="8" t="s">
        <v>52</v>
      </c>
      <c r="K235" s="8" t="s">
        <v>27</v>
      </c>
      <c r="L235" s="8" t="s">
        <v>1104</v>
      </c>
      <c r="M235" s="8" t="s">
        <v>1105</v>
      </c>
    </row>
    <row r="236" spans="1:13" ht="21" hidden="1" x14ac:dyDescent="0.25">
      <c r="A236" s="21">
        <v>235</v>
      </c>
      <c r="B236" s="18" t="str">
        <f>_xlfn.XLOOKUP(C236,[1]IVW8362itmlist!$C:$C,[1]IVW8362itmlist!$B:$B)</f>
        <v>FG01792</v>
      </c>
      <c r="C236" s="15" t="s">
        <v>1106</v>
      </c>
      <c r="D236" s="13"/>
      <c r="E236" s="13"/>
      <c r="F236" s="8" t="s">
        <v>1107</v>
      </c>
      <c r="G236" s="8" t="s">
        <v>15</v>
      </c>
      <c r="H236" s="8" t="s">
        <v>39</v>
      </c>
      <c r="I236" s="8" t="s">
        <v>1108</v>
      </c>
      <c r="J236" s="8" t="s">
        <v>52</v>
      </c>
      <c r="K236" s="8" t="s">
        <v>27</v>
      </c>
      <c r="L236" s="8" t="s">
        <v>1104</v>
      </c>
      <c r="M236" s="8" t="s">
        <v>1105</v>
      </c>
    </row>
    <row r="237" spans="1:13" ht="21" hidden="1" x14ac:dyDescent="0.25">
      <c r="A237" s="21">
        <v>236</v>
      </c>
      <c r="B237" s="18" t="str">
        <f>_xlfn.XLOOKUP(C237,[1]IVW8362itmlist!$C:$C,[1]IVW8362itmlist!$B:$B)</f>
        <v>FG01791</v>
      </c>
      <c r="C237" s="15" t="s">
        <v>1109</v>
      </c>
      <c r="D237" s="13"/>
      <c r="E237" s="13"/>
      <c r="F237" s="8" t="s">
        <v>1110</v>
      </c>
      <c r="G237" s="8" t="s">
        <v>15</v>
      </c>
      <c r="H237" s="8" t="s">
        <v>608</v>
      </c>
      <c r="I237" s="8" t="s">
        <v>1111</v>
      </c>
      <c r="J237" s="8" t="s">
        <v>119</v>
      </c>
      <c r="K237" s="8" t="s">
        <v>440</v>
      </c>
      <c r="L237" s="8" t="s">
        <v>1104</v>
      </c>
      <c r="M237" s="8" t="s">
        <v>1112</v>
      </c>
    </row>
    <row r="238" spans="1:13" hidden="1" x14ac:dyDescent="0.25">
      <c r="A238" s="21">
        <v>237</v>
      </c>
      <c r="B238" s="18" t="str">
        <f>_xlfn.XLOOKUP(C238,[1]IVW8362itmlist!$C:$C,[1]IVW8362itmlist!$B:$B)</f>
        <v>FG02254</v>
      </c>
      <c r="C238" s="15" t="s">
        <v>1113</v>
      </c>
      <c r="D238" s="13"/>
      <c r="E238" s="13"/>
      <c r="F238" s="8" t="s">
        <v>1114</v>
      </c>
      <c r="G238" s="8" t="s">
        <v>15</v>
      </c>
      <c r="H238" s="8" t="s">
        <v>722</v>
      </c>
      <c r="I238" s="8" t="s">
        <v>1115</v>
      </c>
      <c r="J238" s="8" t="s">
        <v>407</v>
      </c>
      <c r="K238" s="8" t="s">
        <v>724</v>
      </c>
      <c r="L238" s="8" t="s">
        <v>1116</v>
      </c>
      <c r="M238" s="8" t="s">
        <v>1117</v>
      </c>
    </row>
    <row r="239" spans="1:13" hidden="1" x14ac:dyDescent="0.25">
      <c r="A239" s="21">
        <v>238</v>
      </c>
      <c r="B239" s="18" t="str">
        <f>_xlfn.XLOOKUP(C239,[1]IVW8362itmlist!$C:$C,[1]IVW8362itmlist!$B:$B)</f>
        <v>FG02255</v>
      </c>
      <c r="C239" s="15" t="s">
        <v>1118</v>
      </c>
      <c r="D239" s="13"/>
      <c r="E239" s="13"/>
      <c r="F239" s="8" t="s">
        <v>1119</v>
      </c>
      <c r="G239" s="8" t="s">
        <v>15</v>
      </c>
      <c r="H239" s="8" t="s">
        <v>608</v>
      </c>
      <c r="I239" s="8" t="s">
        <v>1120</v>
      </c>
      <c r="J239" s="8" t="s">
        <v>119</v>
      </c>
      <c r="K239" s="8" t="s">
        <v>440</v>
      </c>
      <c r="L239" s="8" t="s">
        <v>1121</v>
      </c>
      <c r="M239" s="8" t="s">
        <v>1122</v>
      </c>
    </row>
    <row r="240" spans="1:13" ht="21" hidden="1" x14ac:dyDescent="0.25">
      <c r="A240" s="21">
        <v>239</v>
      </c>
      <c r="B240" s="18" t="str">
        <f>_xlfn.XLOOKUP(C240,[1]IVW8362itmlist!$C:$C,[1]IVW8362itmlist!$B:$B)</f>
        <v>FG02258</v>
      </c>
      <c r="C240" s="15" t="s">
        <v>1123</v>
      </c>
      <c r="D240" s="13"/>
      <c r="E240" s="13"/>
      <c r="F240" s="8" t="s">
        <v>1124</v>
      </c>
      <c r="G240" s="8" t="s">
        <v>15</v>
      </c>
      <c r="H240" s="8" t="s">
        <v>34</v>
      </c>
      <c r="I240" s="8" t="s">
        <v>1125</v>
      </c>
      <c r="J240" s="8" t="s">
        <v>527</v>
      </c>
      <c r="K240" s="8" t="s">
        <v>27</v>
      </c>
      <c r="L240" s="8" t="s">
        <v>1126</v>
      </c>
      <c r="M240" s="8" t="s">
        <v>1127</v>
      </c>
    </row>
    <row r="241" spans="1:13" ht="21" hidden="1" x14ac:dyDescent="0.25">
      <c r="A241" s="21">
        <v>240</v>
      </c>
      <c r="B241" s="18" t="str">
        <f>_xlfn.XLOOKUP(C241,[1]IVW8362itmlist!$C:$C,[1]IVW8362itmlist!$B:$B)</f>
        <v>FG02257</v>
      </c>
      <c r="C241" s="15" t="s">
        <v>1128</v>
      </c>
      <c r="D241" s="13"/>
      <c r="E241" s="13"/>
      <c r="F241" s="8" t="s">
        <v>1129</v>
      </c>
      <c r="G241" s="8" t="s">
        <v>15</v>
      </c>
      <c r="H241" s="8" t="s">
        <v>39</v>
      </c>
      <c r="I241" s="8" t="s">
        <v>1130</v>
      </c>
      <c r="J241" s="8" t="s">
        <v>52</v>
      </c>
      <c r="K241" s="8" t="s">
        <v>27</v>
      </c>
      <c r="L241" s="8" t="s">
        <v>1126</v>
      </c>
      <c r="M241" s="8" t="s">
        <v>1131</v>
      </c>
    </row>
    <row r="242" spans="1:13" ht="21" hidden="1" x14ac:dyDescent="0.25">
      <c r="A242" s="21">
        <v>241</v>
      </c>
      <c r="B242" s="18" t="str">
        <f>_xlfn.XLOOKUP(C242,[1]IVW8362itmlist!$C:$C,[1]IVW8362itmlist!$B:$B)</f>
        <v>FG02253</v>
      </c>
      <c r="C242" s="15" t="s">
        <v>1132</v>
      </c>
      <c r="D242" s="13"/>
      <c r="E242" s="13"/>
      <c r="F242" s="8" t="s">
        <v>1133</v>
      </c>
      <c r="G242" s="8" t="s">
        <v>15</v>
      </c>
      <c r="H242" s="8" t="s">
        <v>608</v>
      </c>
      <c r="I242" s="8" t="s">
        <v>1134</v>
      </c>
      <c r="J242" s="8" t="s">
        <v>119</v>
      </c>
      <c r="K242" s="8" t="s">
        <v>440</v>
      </c>
      <c r="L242" s="8" t="s">
        <v>1126</v>
      </c>
      <c r="M242" s="8" t="s">
        <v>1135</v>
      </c>
    </row>
    <row r="243" spans="1:13" ht="21" hidden="1" x14ac:dyDescent="0.25">
      <c r="A243" s="21">
        <v>242</v>
      </c>
      <c r="B243" s="18" t="str">
        <f>_xlfn.XLOOKUP(C243,[1]IVW8362itmlist!$C:$C,[1]IVW8362itmlist!$B:$B)</f>
        <v>FG01398</v>
      </c>
      <c r="C243" s="15" t="s">
        <v>1136</v>
      </c>
      <c r="D243" s="13"/>
      <c r="E243" s="13"/>
      <c r="F243" s="8" t="s">
        <v>1137</v>
      </c>
      <c r="G243" s="8" t="s">
        <v>15</v>
      </c>
      <c r="H243" s="8" t="s">
        <v>24</v>
      </c>
      <c r="I243" s="8" t="s">
        <v>1138</v>
      </c>
      <c r="J243" s="8" t="s">
        <v>72</v>
      </c>
      <c r="K243" s="8" t="s">
        <v>27</v>
      </c>
      <c r="L243" s="8" t="s">
        <v>1139</v>
      </c>
      <c r="M243" s="8" t="s">
        <v>1140</v>
      </c>
    </row>
    <row r="244" spans="1:13" hidden="1" x14ac:dyDescent="0.25">
      <c r="A244" s="21">
        <v>243</v>
      </c>
      <c r="B244" s="18" t="str">
        <f>_xlfn.XLOOKUP(C244,[1]IVW8362itmlist!$C:$C,[1]IVW8362itmlist!$B:$B)</f>
        <v>FG01397</v>
      </c>
      <c r="C244" s="15" t="s">
        <v>1141</v>
      </c>
      <c r="D244" s="13"/>
      <c r="E244" s="13"/>
      <c r="F244" s="8" t="s">
        <v>1142</v>
      </c>
      <c r="G244" s="8" t="s">
        <v>15</v>
      </c>
      <c r="H244" s="8" t="s">
        <v>34</v>
      </c>
      <c r="I244" s="8" t="s">
        <v>1143</v>
      </c>
      <c r="J244" s="8" t="s">
        <v>119</v>
      </c>
      <c r="K244" s="8" t="s">
        <v>27</v>
      </c>
      <c r="L244" s="8" t="s">
        <v>1144</v>
      </c>
      <c r="M244" s="8" t="s">
        <v>1145</v>
      </c>
    </row>
    <row r="245" spans="1:13" hidden="1" x14ac:dyDescent="0.25">
      <c r="A245" s="21">
        <v>244</v>
      </c>
      <c r="B245" s="18" t="str">
        <f>_xlfn.XLOOKUP(C245,[1]IVW8362itmlist!$C:$C,[1]IVW8362itmlist!$B:$B)</f>
        <v>FG01396</v>
      </c>
      <c r="C245" s="15" t="s">
        <v>1146</v>
      </c>
      <c r="D245" s="13"/>
      <c r="E245" s="13"/>
      <c r="F245" s="8" t="s">
        <v>1147</v>
      </c>
      <c r="G245" s="8" t="s">
        <v>15</v>
      </c>
      <c r="H245" s="8" t="s">
        <v>34</v>
      </c>
      <c r="I245" s="8" t="s">
        <v>1148</v>
      </c>
      <c r="J245" s="8" t="s">
        <v>119</v>
      </c>
      <c r="K245" s="8" t="s">
        <v>27</v>
      </c>
      <c r="L245" s="8" t="s">
        <v>1144</v>
      </c>
      <c r="M245" s="8" t="s">
        <v>1145</v>
      </c>
    </row>
    <row r="246" spans="1:13" ht="21" hidden="1" x14ac:dyDescent="0.25">
      <c r="A246" s="21">
        <v>245</v>
      </c>
      <c r="B246" s="18" t="str">
        <f>_xlfn.XLOOKUP(C246,[1]IVW8362itmlist!$C:$C,[1]IVW8362itmlist!$B:$B)</f>
        <v>FG03399</v>
      </c>
      <c r="C246" s="15" t="s">
        <v>1149</v>
      </c>
      <c r="D246" s="13"/>
      <c r="E246" s="13"/>
      <c r="F246" s="8" t="s">
        <v>1150</v>
      </c>
      <c r="G246" s="8" t="s">
        <v>15</v>
      </c>
      <c r="H246" s="8" t="s">
        <v>1151</v>
      </c>
      <c r="I246" s="8" t="s">
        <v>1152</v>
      </c>
      <c r="J246" s="8" t="s">
        <v>1153</v>
      </c>
      <c r="K246" s="8" t="s">
        <v>27</v>
      </c>
      <c r="L246" s="8" t="s">
        <v>1154</v>
      </c>
      <c r="M246" s="8" t="s">
        <v>1155</v>
      </c>
    </row>
    <row r="247" spans="1:13" ht="21" hidden="1" x14ac:dyDescent="0.25">
      <c r="A247" s="21">
        <v>246</v>
      </c>
      <c r="B247" s="18" t="str">
        <f>_xlfn.XLOOKUP(C247,[1]IVW8362itmlist!$C:$C,[1]IVW8362itmlist!$B:$B)</f>
        <v>FG03400</v>
      </c>
      <c r="C247" s="15" t="s">
        <v>1156</v>
      </c>
      <c r="D247" s="13"/>
      <c r="E247" s="13"/>
      <c r="F247" s="8" t="s">
        <v>1150</v>
      </c>
      <c r="G247" s="8" t="s">
        <v>15</v>
      </c>
      <c r="H247" s="8" t="s">
        <v>1151</v>
      </c>
      <c r="I247" s="8" t="s">
        <v>1157</v>
      </c>
      <c r="J247" s="8" t="s">
        <v>1153</v>
      </c>
      <c r="K247" s="8" t="s">
        <v>27</v>
      </c>
      <c r="L247" s="8" t="s">
        <v>1154</v>
      </c>
      <c r="M247" s="8" t="s">
        <v>1158</v>
      </c>
    </row>
    <row r="248" spans="1:13" ht="21" hidden="1" x14ac:dyDescent="0.25">
      <c r="A248" s="21">
        <v>247</v>
      </c>
      <c r="B248" s="18" t="str">
        <f>_xlfn.XLOOKUP(C248,[1]IVW8362itmlist!$C:$C,[1]IVW8362itmlist!$B:$B)</f>
        <v>FG03401</v>
      </c>
      <c r="C248" s="15" t="s">
        <v>1159</v>
      </c>
      <c r="D248" s="13"/>
      <c r="E248" s="13"/>
      <c r="F248" s="8" t="s">
        <v>1150</v>
      </c>
      <c r="G248" s="8" t="s">
        <v>15</v>
      </c>
      <c r="H248" s="8" t="s">
        <v>386</v>
      </c>
      <c r="I248" s="8" t="s">
        <v>1160</v>
      </c>
      <c r="J248" s="8" t="s">
        <v>1161</v>
      </c>
      <c r="K248" s="8" t="s">
        <v>440</v>
      </c>
      <c r="L248" s="8" t="s">
        <v>1154</v>
      </c>
      <c r="M248" s="8" t="s">
        <v>1162</v>
      </c>
    </row>
    <row r="249" spans="1:13" ht="21" hidden="1" x14ac:dyDescent="0.25">
      <c r="A249" s="21">
        <v>248</v>
      </c>
      <c r="B249" s="18" t="str">
        <f>_xlfn.XLOOKUP(C249,[1]IVW8362itmlist!$C:$C,[1]IVW8362itmlist!$B:$B)</f>
        <v>FG03397</v>
      </c>
      <c r="C249" s="15" t="s">
        <v>1163</v>
      </c>
      <c r="D249" s="13"/>
      <c r="E249" s="13"/>
      <c r="F249" s="8" t="s">
        <v>1150</v>
      </c>
      <c r="G249" s="8" t="s">
        <v>15</v>
      </c>
      <c r="H249" s="8" t="s">
        <v>386</v>
      </c>
      <c r="I249" s="8" t="s">
        <v>1164</v>
      </c>
      <c r="J249" s="8" t="s">
        <v>1165</v>
      </c>
      <c r="K249" s="8" t="s">
        <v>440</v>
      </c>
      <c r="L249" s="8" t="s">
        <v>1154</v>
      </c>
      <c r="M249" s="8" t="s">
        <v>1166</v>
      </c>
    </row>
    <row r="250" spans="1:13" ht="21" hidden="1" x14ac:dyDescent="0.25">
      <c r="A250" s="21">
        <v>249</v>
      </c>
      <c r="B250" s="18" t="str">
        <f>_xlfn.XLOOKUP(C250,[1]IVW8362itmlist!$C:$C,[1]IVW8362itmlist!$B:$B)</f>
        <v>FG03402</v>
      </c>
      <c r="C250" s="15" t="s">
        <v>1167</v>
      </c>
      <c r="D250" s="13"/>
      <c r="E250" s="13"/>
      <c r="F250" s="8" t="s">
        <v>1150</v>
      </c>
      <c r="G250" s="8" t="s">
        <v>15</v>
      </c>
      <c r="H250" s="8" t="s">
        <v>39</v>
      </c>
      <c r="I250" s="8" t="s">
        <v>1152</v>
      </c>
      <c r="J250" s="8" t="s">
        <v>1168</v>
      </c>
      <c r="K250" s="8" t="s">
        <v>27</v>
      </c>
      <c r="L250" s="8" t="s">
        <v>1154</v>
      </c>
      <c r="M250" s="8" t="s">
        <v>1169</v>
      </c>
    </row>
    <row r="251" spans="1:13" ht="21" hidden="1" x14ac:dyDescent="0.25">
      <c r="A251" s="21">
        <v>250</v>
      </c>
      <c r="B251" s="18" t="str">
        <f>_xlfn.XLOOKUP(C251,[1]IVW8362itmlist!$C:$C,[1]IVW8362itmlist!$B:$B)</f>
        <v>FG03403</v>
      </c>
      <c r="C251" s="15" t="s">
        <v>1170</v>
      </c>
      <c r="D251" s="13"/>
      <c r="E251" s="13"/>
      <c r="F251" s="8" t="s">
        <v>1150</v>
      </c>
      <c r="G251" s="8" t="s">
        <v>15</v>
      </c>
      <c r="H251" s="8" t="s">
        <v>39</v>
      </c>
      <c r="I251" s="8" t="s">
        <v>1157</v>
      </c>
      <c r="J251" s="8" t="s">
        <v>1168</v>
      </c>
      <c r="K251" s="8" t="s">
        <v>27</v>
      </c>
      <c r="L251" s="8" t="s">
        <v>1154</v>
      </c>
      <c r="M251" s="8" t="s">
        <v>1171</v>
      </c>
    </row>
    <row r="252" spans="1:13" ht="21" hidden="1" x14ac:dyDescent="0.25">
      <c r="A252" s="21">
        <v>251</v>
      </c>
      <c r="B252" s="18" t="str">
        <f>_xlfn.XLOOKUP(C252,[1]IVW8362itmlist!$C:$C,[1]IVW8362itmlist!$B:$B)</f>
        <v>FG03404</v>
      </c>
      <c r="C252" s="15" t="s">
        <v>1172</v>
      </c>
      <c r="D252" s="13"/>
      <c r="E252" s="13"/>
      <c r="F252" s="8" t="s">
        <v>1150</v>
      </c>
      <c r="G252" s="8" t="s">
        <v>15</v>
      </c>
      <c r="H252" s="8" t="s">
        <v>34</v>
      </c>
      <c r="I252" s="8" t="s">
        <v>1173</v>
      </c>
      <c r="J252" s="8" t="s">
        <v>527</v>
      </c>
      <c r="K252" s="8" t="s">
        <v>27</v>
      </c>
      <c r="L252" s="8" t="s">
        <v>1154</v>
      </c>
      <c r="M252" s="8" t="s">
        <v>1174</v>
      </c>
    </row>
    <row r="253" spans="1:13" ht="21" hidden="1" x14ac:dyDescent="0.25">
      <c r="A253" s="21">
        <v>252</v>
      </c>
      <c r="B253" s="18" t="str">
        <f>_xlfn.XLOOKUP(C253,[1]IVW8362itmlist!$C:$C,[1]IVW8362itmlist!$B:$B)</f>
        <v>FG03405</v>
      </c>
      <c r="C253" s="15" t="s">
        <v>1175</v>
      </c>
      <c r="D253" s="13"/>
      <c r="E253" s="13"/>
      <c r="F253" s="8" t="s">
        <v>1150</v>
      </c>
      <c r="G253" s="8" t="s">
        <v>15</v>
      </c>
      <c r="H253" s="8" t="s">
        <v>34</v>
      </c>
      <c r="I253" s="8" t="s">
        <v>1176</v>
      </c>
      <c r="J253" s="8" t="s">
        <v>527</v>
      </c>
      <c r="K253" s="8" t="s">
        <v>27</v>
      </c>
      <c r="L253" s="8" t="s">
        <v>1154</v>
      </c>
      <c r="M253" s="8" t="s">
        <v>1177</v>
      </c>
    </row>
    <row r="254" spans="1:13" ht="21" hidden="1" x14ac:dyDescent="0.25">
      <c r="A254" s="21">
        <v>253</v>
      </c>
      <c r="B254" s="18" t="str">
        <f>_xlfn.XLOOKUP(C254,[1]IVW8362itmlist!$C:$C,[1]IVW8362itmlist!$B:$B)</f>
        <v>FG03118</v>
      </c>
      <c r="C254" s="15" t="s">
        <v>1178</v>
      </c>
      <c r="D254" s="13"/>
      <c r="E254" s="13"/>
      <c r="F254" s="8" t="s">
        <v>1179</v>
      </c>
      <c r="G254" s="8" t="s">
        <v>15</v>
      </c>
      <c r="H254" s="8" t="s">
        <v>24</v>
      </c>
      <c r="I254" s="8" t="s">
        <v>1180</v>
      </c>
      <c r="J254" s="8" t="s">
        <v>1181</v>
      </c>
      <c r="K254" s="8" t="s">
        <v>27</v>
      </c>
      <c r="L254" s="8" t="s">
        <v>1182</v>
      </c>
      <c r="M254" s="8" t="s">
        <v>1183</v>
      </c>
    </row>
    <row r="255" spans="1:13" ht="21" hidden="1" x14ac:dyDescent="0.25">
      <c r="A255" s="21">
        <v>254</v>
      </c>
      <c r="B255" s="18" t="str">
        <f>_xlfn.XLOOKUP(C255,[1]IVW8362itmlist!$C:$C,[1]IVW8362itmlist!$B:$B)</f>
        <v>FG03117</v>
      </c>
      <c r="C255" s="15" t="s">
        <v>1184</v>
      </c>
      <c r="D255" s="13"/>
      <c r="E255" s="13"/>
      <c r="F255" s="8" t="s">
        <v>1185</v>
      </c>
      <c r="G255" s="8" t="s">
        <v>15</v>
      </c>
      <c r="H255" s="8" t="s">
        <v>1186</v>
      </c>
      <c r="I255" s="8" t="s">
        <v>1187</v>
      </c>
      <c r="J255" s="8" t="s">
        <v>1188</v>
      </c>
      <c r="K255" s="8" t="s">
        <v>27</v>
      </c>
      <c r="L255" s="8" t="s">
        <v>1182</v>
      </c>
      <c r="M255" s="8" t="s">
        <v>1183</v>
      </c>
    </row>
    <row r="256" spans="1:13" ht="21" hidden="1" x14ac:dyDescent="0.25">
      <c r="A256" s="21">
        <v>255</v>
      </c>
      <c r="B256" s="18" t="str">
        <f>_xlfn.XLOOKUP(C256,[1]IVW8362itmlist!$C:$C,[1]IVW8362itmlist!$B:$B)</f>
        <v>FG03116</v>
      </c>
      <c r="C256" s="15" t="s">
        <v>1189</v>
      </c>
      <c r="D256" s="13"/>
      <c r="E256" s="13"/>
      <c r="F256" s="8" t="s">
        <v>1190</v>
      </c>
      <c r="G256" s="8" t="s">
        <v>15</v>
      </c>
      <c r="H256" s="8" t="s">
        <v>34</v>
      </c>
      <c r="I256" s="8" t="s">
        <v>1191</v>
      </c>
      <c r="J256" s="8" t="s">
        <v>119</v>
      </c>
      <c r="K256" s="8" t="s">
        <v>27</v>
      </c>
      <c r="L256" s="8" t="s">
        <v>1182</v>
      </c>
      <c r="M256" s="8" t="s">
        <v>1192</v>
      </c>
    </row>
    <row r="257" spans="1:13" ht="21" hidden="1" x14ac:dyDescent="0.25">
      <c r="A257" s="21">
        <v>256</v>
      </c>
      <c r="B257" s="18" t="str">
        <f>_xlfn.XLOOKUP(C257,[1]IVW8362itmlist!$C:$C,[1]IVW8362itmlist!$B:$B)</f>
        <v>FG00619</v>
      </c>
      <c r="C257" s="15" t="s">
        <v>1193</v>
      </c>
      <c r="D257" s="13"/>
      <c r="E257" s="13"/>
      <c r="F257" s="8" t="s">
        <v>1194</v>
      </c>
      <c r="G257" s="8" t="s">
        <v>15</v>
      </c>
      <c r="H257" s="8" t="s">
        <v>1186</v>
      </c>
      <c r="I257" s="8" t="s">
        <v>1195</v>
      </c>
      <c r="J257" s="8" t="s">
        <v>1188</v>
      </c>
      <c r="K257" s="8" t="s">
        <v>27</v>
      </c>
      <c r="L257" s="8" t="s">
        <v>1196</v>
      </c>
      <c r="M257" s="8" t="s">
        <v>1197</v>
      </c>
    </row>
    <row r="258" spans="1:13" ht="21" hidden="1" x14ac:dyDescent="0.25">
      <c r="A258" s="21">
        <v>257</v>
      </c>
      <c r="B258" s="18" t="str">
        <f>_xlfn.XLOOKUP(C258,[1]IVW8362itmlist!$C:$C,[1]IVW8362itmlist!$B:$B)</f>
        <v>FG00618</v>
      </c>
      <c r="C258" s="15" t="s">
        <v>1198</v>
      </c>
      <c r="D258" s="13"/>
      <c r="E258" s="13"/>
      <c r="F258" s="8" t="s">
        <v>1194</v>
      </c>
      <c r="G258" s="8" t="s">
        <v>15</v>
      </c>
      <c r="H258" s="8" t="s">
        <v>1186</v>
      </c>
      <c r="I258" s="8" t="s">
        <v>1199</v>
      </c>
      <c r="J258" s="8" t="s">
        <v>1188</v>
      </c>
      <c r="K258" s="8" t="s">
        <v>27</v>
      </c>
      <c r="L258" s="8" t="s">
        <v>1196</v>
      </c>
      <c r="M258" s="8" t="s">
        <v>1197</v>
      </c>
    </row>
    <row r="259" spans="1:13" ht="21" hidden="1" x14ac:dyDescent="0.25">
      <c r="A259" s="21">
        <v>258</v>
      </c>
      <c r="B259" s="18" t="str">
        <f>_xlfn.XLOOKUP(C259,[1]IVW8362itmlist!$C:$C,[1]IVW8362itmlist!$B:$B)</f>
        <v>FG00621</v>
      </c>
      <c r="C259" s="15" t="s">
        <v>1200</v>
      </c>
      <c r="D259" s="13"/>
      <c r="E259" s="13"/>
      <c r="F259" s="8" t="s">
        <v>1194</v>
      </c>
      <c r="G259" s="8" t="s">
        <v>15</v>
      </c>
      <c r="H259" s="8" t="s">
        <v>34</v>
      </c>
      <c r="I259" s="8" t="s">
        <v>1201</v>
      </c>
      <c r="J259" s="8" t="s">
        <v>527</v>
      </c>
      <c r="K259" s="8" t="s">
        <v>27</v>
      </c>
      <c r="L259" s="8" t="s">
        <v>1196</v>
      </c>
      <c r="M259" s="8" t="s">
        <v>1202</v>
      </c>
    </row>
    <row r="260" spans="1:13" ht="21" hidden="1" x14ac:dyDescent="0.25">
      <c r="A260" s="21">
        <v>259</v>
      </c>
      <c r="B260" s="18" t="str">
        <f>_xlfn.XLOOKUP(C260,[1]IVW8362itmlist!$C:$C,[1]IVW8362itmlist!$B:$B)</f>
        <v>FG03632</v>
      </c>
      <c r="C260" s="15" t="s">
        <v>1203</v>
      </c>
      <c r="D260" s="13"/>
      <c r="E260" s="13"/>
      <c r="F260" s="8" t="s">
        <v>1204</v>
      </c>
      <c r="G260" s="8" t="s">
        <v>15</v>
      </c>
      <c r="H260" s="8" t="s">
        <v>24</v>
      </c>
      <c r="I260" s="8" t="s">
        <v>1205</v>
      </c>
      <c r="J260" s="8" t="s">
        <v>283</v>
      </c>
      <c r="K260" s="8" t="s">
        <v>27</v>
      </c>
      <c r="L260" s="8" t="s">
        <v>1206</v>
      </c>
      <c r="M260" s="8" t="s">
        <v>1207</v>
      </c>
    </row>
    <row r="261" spans="1:13" ht="21" hidden="1" x14ac:dyDescent="0.25">
      <c r="A261" s="21">
        <v>260</v>
      </c>
      <c r="B261" s="18" t="str">
        <f>_xlfn.XLOOKUP(C261,[1]IVW8362itmlist!$C:$C,[1]IVW8362itmlist!$B:$B)</f>
        <v>FG03631</v>
      </c>
      <c r="C261" s="15" t="s">
        <v>1208</v>
      </c>
      <c r="D261" s="13"/>
      <c r="E261" s="13"/>
      <c r="F261" s="8" t="s">
        <v>1209</v>
      </c>
      <c r="G261" s="8" t="s">
        <v>15</v>
      </c>
      <c r="H261" s="8" t="s">
        <v>34</v>
      </c>
      <c r="I261" s="8" t="s">
        <v>1210</v>
      </c>
      <c r="J261" s="8" t="s">
        <v>527</v>
      </c>
      <c r="K261" s="8" t="s">
        <v>27</v>
      </c>
      <c r="L261" s="8" t="s">
        <v>1211</v>
      </c>
      <c r="M261" s="8" t="s">
        <v>1212</v>
      </c>
    </row>
    <row r="262" spans="1:13" ht="21" hidden="1" x14ac:dyDescent="0.25">
      <c r="A262" s="21">
        <v>261</v>
      </c>
      <c r="B262" s="18" t="str">
        <f>_xlfn.XLOOKUP(C262,[1]IVW8362itmlist!$C:$C,[1]IVW8362itmlist!$B:$B)</f>
        <v>FG03630</v>
      </c>
      <c r="C262" s="15" t="s">
        <v>1213</v>
      </c>
      <c r="D262" s="13"/>
      <c r="E262" s="13"/>
      <c r="F262" s="8" t="s">
        <v>1214</v>
      </c>
      <c r="G262" s="8" t="s">
        <v>15</v>
      </c>
      <c r="H262" s="8" t="s">
        <v>34</v>
      </c>
      <c r="I262" s="8" t="s">
        <v>1215</v>
      </c>
      <c r="J262" s="8" t="s">
        <v>527</v>
      </c>
      <c r="K262" s="8" t="s">
        <v>27</v>
      </c>
      <c r="L262" s="8" t="s">
        <v>1211</v>
      </c>
      <c r="M262" s="8" t="s">
        <v>1212</v>
      </c>
    </row>
    <row r="263" spans="1:13" ht="31.5" hidden="1" x14ac:dyDescent="0.25">
      <c r="A263" s="21">
        <v>262</v>
      </c>
      <c r="B263" s="18" t="str">
        <f>_xlfn.XLOOKUP(C263,[1]IVW8362itmlist!$C:$C,[1]IVW8362itmlist!$B:$B)</f>
        <v>FG00578</v>
      </c>
      <c r="C263" s="15" t="s">
        <v>1216</v>
      </c>
      <c r="D263" s="13"/>
      <c r="E263" s="13"/>
      <c r="F263" s="8" t="s">
        <v>1217</v>
      </c>
      <c r="G263" s="8" t="s">
        <v>15</v>
      </c>
      <c r="H263" s="8" t="s">
        <v>386</v>
      </c>
      <c r="I263" s="8" t="s">
        <v>1218</v>
      </c>
      <c r="J263" s="8" t="s">
        <v>1165</v>
      </c>
      <c r="K263" s="8" t="s">
        <v>440</v>
      </c>
      <c r="L263" s="8" t="s">
        <v>1219</v>
      </c>
      <c r="M263" s="8" t="s">
        <v>1220</v>
      </c>
    </row>
    <row r="264" spans="1:13" ht="31.5" hidden="1" x14ac:dyDescent="0.25">
      <c r="A264" s="21">
        <v>263</v>
      </c>
      <c r="B264" s="18" t="str">
        <f>_xlfn.XLOOKUP(C264,[1]IVW8362itmlist!$C:$C,[1]IVW8362itmlist!$B:$B)</f>
        <v>FG00577</v>
      </c>
      <c r="C264" s="15" t="s">
        <v>1221</v>
      </c>
      <c r="D264" s="13"/>
      <c r="E264" s="13"/>
      <c r="F264" s="8" t="s">
        <v>1222</v>
      </c>
      <c r="G264" s="8" t="s">
        <v>15</v>
      </c>
      <c r="H264" s="8" t="s">
        <v>386</v>
      </c>
      <c r="I264" s="8" t="s">
        <v>1223</v>
      </c>
      <c r="J264" s="8" t="s">
        <v>1161</v>
      </c>
      <c r="K264" s="8" t="s">
        <v>440</v>
      </c>
      <c r="L264" s="8" t="s">
        <v>1219</v>
      </c>
      <c r="M264" s="8" t="s">
        <v>1220</v>
      </c>
    </row>
    <row r="265" spans="1:13" ht="21" hidden="1" x14ac:dyDescent="0.25">
      <c r="A265" s="21">
        <v>264</v>
      </c>
      <c r="B265" s="18" t="str">
        <f>_xlfn.XLOOKUP(C265,[1]IVW8362itmlist!$C:$C,[1]IVW8362itmlist!$B:$B)</f>
        <v>FG01628</v>
      </c>
      <c r="C265" s="15" t="s">
        <v>1224</v>
      </c>
      <c r="D265" s="13"/>
      <c r="E265" s="13"/>
      <c r="F265" s="8" t="s">
        <v>1225</v>
      </c>
      <c r="G265" s="8" t="s">
        <v>15</v>
      </c>
      <c r="H265" s="8" t="s">
        <v>386</v>
      </c>
      <c r="I265" s="8" t="s">
        <v>1226</v>
      </c>
      <c r="J265" s="8" t="s">
        <v>454</v>
      </c>
      <c r="K265" s="8" t="s">
        <v>19</v>
      </c>
      <c r="L265" s="8" t="s">
        <v>1227</v>
      </c>
      <c r="M265" s="8" t="s">
        <v>1228</v>
      </c>
    </row>
    <row r="266" spans="1:13" ht="31.5" hidden="1" x14ac:dyDescent="0.25">
      <c r="A266" s="21">
        <v>265</v>
      </c>
      <c r="B266" s="18" t="str">
        <f>_xlfn.XLOOKUP(C266,[1]IVW8362itmlist!$C:$C,[1]IVW8362itmlist!$B:$B)</f>
        <v>FG01992</v>
      </c>
      <c r="C266" s="15" t="s">
        <v>1229</v>
      </c>
      <c r="D266" s="13"/>
      <c r="E266" s="13"/>
      <c r="F266" s="8" t="s">
        <v>1230</v>
      </c>
      <c r="G266" s="8" t="s">
        <v>15</v>
      </c>
      <c r="H266" s="8" t="s">
        <v>386</v>
      </c>
      <c r="I266" s="8" t="s">
        <v>1231</v>
      </c>
      <c r="J266" s="8" t="s">
        <v>1232</v>
      </c>
      <c r="K266" s="8" t="s">
        <v>440</v>
      </c>
      <c r="L266" s="8" t="s">
        <v>1233</v>
      </c>
      <c r="M266" s="8" t="s">
        <v>1234</v>
      </c>
    </row>
    <row r="267" spans="1:13" ht="31.5" hidden="1" x14ac:dyDescent="0.25">
      <c r="A267" s="21">
        <v>266</v>
      </c>
      <c r="B267" s="18" t="str">
        <f>_xlfn.XLOOKUP(C267,[1]IVW8362itmlist!$C:$C,[1]IVW8362itmlist!$B:$B)</f>
        <v>FG01993</v>
      </c>
      <c r="C267" s="15" t="s">
        <v>1235</v>
      </c>
      <c r="D267" s="13"/>
      <c r="E267" s="13"/>
      <c r="F267" s="8" t="s">
        <v>1236</v>
      </c>
      <c r="G267" s="8" t="s">
        <v>15</v>
      </c>
      <c r="H267" s="8" t="s">
        <v>386</v>
      </c>
      <c r="I267" s="8" t="s">
        <v>1237</v>
      </c>
      <c r="J267" s="8" t="s">
        <v>1238</v>
      </c>
      <c r="K267" s="8" t="s">
        <v>440</v>
      </c>
      <c r="L267" s="8" t="s">
        <v>1233</v>
      </c>
      <c r="M267" s="8" t="s">
        <v>1234</v>
      </c>
    </row>
    <row r="268" spans="1:13" ht="21" hidden="1" x14ac:dyDescent="0.25">
      <c r="A268" s="21">
        <v>267</v>
      </c>
      <c r="B268" s="18" t="str">
        <f>_xlfn.XLOOKUP(C268,[1]IVW8362itmlist!$C:$C,[1]IVW8362itmlist!$B:$B)</f>
        <v>FG02350</v>
      </c>
      <c r="C268" s="15" t="s">
        <v>1239</v>
      </c>
      <c r="D268" s="13"/>
      <c r="E268" s="13"/>
      <c r="F268" s="8" t="s">
        <v>1240</v>
      </c>
      <c r="G268" s="8" t="s">
        <v>15</v>
      </c>
      <c r="H268" s="8" t="s">
        <v>386</v>
      </c>
      <c r="I268" s="8" t="s">
        <v>1241</v>
      </c>
      <c r="J268" s="8" t="s">
        <v>454</v>
      </c>
      <c r="K268" s="8" t="s">
        <v>389</v>
      </c>
      <c r="L268" s="8" t="s">
        <v>1242</v>
      </c>
      <c r="M268" s="8" t="s">
        <v>1243</v>
      </c>
    </row>
    <row r="269" spans="1:13" ht="21" hidden="1" x14ac:dyDescent="0.25">
      <c r="A269" s="21">
        <v>268</v>
      </c>
      <c r="B269" s="18" t="str">
        <f>_xlfn.XLOOKUP(C269,[1]IVW8362itmlist!$C:$C,[1]IVW8362itmlist!$B:$B)</f>
        <v>FG02349</v>
      </c>
      <c r="C269" s="15" t="s">
        <v>1244</v>
      </c>
      <c r="D269" s="13"/>
      <c r="E269" s="13"/>
      <c r="F269" s="8" t="s">
        <v>1245</v>
      </c>
      <c r="G269" s="8" t="s">
        <v>15</v>
      </c>
      <c r="H269" s="8" t="s">
        <v>386</v>
      </c>
      <c r="I269" s="8" t="s">
        <v>1246</v>
      </c>
      <c r="J269" s="8" t="s">
        <v>454</v>
      </c>
      <c r="K269" s="8" t="s">
        <v>389</v>
      </c>
      <c r="L269" s="8" t="s">
        <v>1242</v>
      </c>
      <c r="M269" s="8" t="s">
        <v>1247</v>
      </c>
    </row>
    <row r="270" spans="1:13" ht="21" hidden="1" x14ac:dyDescent="0.25">
      <c r="A270" s="21">
        <v>269</v>
      </c>
      <c r="B270" s="18" t="str">
        <f>_xlfn.XLOOKUP(C270,[1]IVW8362itmlist!$C:$C,[1]IVW8362itmlist!$B:$B)</f>
        <v>FG01642</v>
      </c>
      <c r="C270" s="15" t="s">
        <v>1248</v>
      </c>
      <c r="D270" s="13"/>
      <c r="E270" s="13"/>
      <c r="F270" s="8" t="s">
        <v>1249</v>
      </c>
      <c r="G270" s="8" t="s">
        <v>15</v>
      </c>
      <c r="H270" s="8" t="s">
        <v>386</v>
      </c>
      <c r="I270" s="8" t="s">
        <v>1250</v>
      </c>
      <c r="J270" s="8" t="s">
        <v>1161</v>
      </c>
      <c r="K270" s="8" t="s">
        <v>440</v>
      </c>
      <c r="L270" s="8" t="s">
        <v>1251</v>
      </c>
      <c r="M270" s="8" t="s">
        <v>1252</v>
      </c>
    </row>
    <row r="271" spans="1:13" ht="31.5" hidden="1" x14ac:dyDescent="0.25">
      <c r="A271" s="21">
        <v>270</v>
      </c>
      <c r="B271" s="18" t="str">
        <f>_xlfn.XLOOKUP(C271,[1]IVW8362itmlist!$C:$C,[1]IVW8362itmlist!$B:$B)</f>
        <v>FG03354</v>
      </c>
      <c r="C271" s="15" t="s">
        <v>1253</v>
      </c>
      <c r="D271" s="13"/>
      <c r="E271" s="13"/>
      <c r="F271" s="8" t="s">
        <v>1254</v>
      </c>
      <c r="G271" s="8" t="s">
        <v>15</v>
      </c>
      <c r="H271" s="8" t="s">
        <v>386</v>
      </c>
      <c r="I271" s="8" t="s">
        <v>1255</v>
      </c>
      <c r="J271" s="8" t="s">
        <v>1161</v>
      </c>
      <c r="K271" s="8" t="s">
        <v>440</v>
      </c>
      <c r="L271" s="8" t="s">
        <v>1256</v>
      </c>
      <c r="M271" s="8" t="s">
        <v>1257</v>
      </c>
    </row>
    <row r="272" spans="1:13" ht="31.5" hidden="1" x14ac:dyDescent="0.25">
      <c r="A272" s="21">
        <v>271</v>
      </c>
      <c r="B272" s="18" t="str">
        <f>_xlfn.XLOOKUP(C272,[1]IVW8362itmlist!$C:$C,[1]IVW8362itmlist!$B:$B)</f>
        <v>FG03355</v>
      </c>
      <c r="C272" s="15" t="s">
        <v>1258</v>
      </c>
      <c r="D272" s="13"/>
      <c r="E272" s="13"/>
      <c r="F272" s="8" t="s">
        <v>1254</v>
      </c>
      <c r="G272" s="8" t="s">
        <v>15</v>
      </c>
      <c r="H272" s="8" t="s">
        <v>386</v>
      </c>
      <c r="I272" s="8" t="s">
        <v>1259</v>
      </c>
      <c r="J272" s="8" t="s">
        <v>1260</v>
      </c>
      <c r="K272" s="8" t="s">
        <v>440</v>
      </c>
      <c r="L272" s="8" t="s">
        <v>1256</v>
      </c>
      <c r="M272" s="8" t="s">
        <v>1257</v>
      </c>
    </row>
    <row r="273" spans="1:13" ht="21" hidden="1" x14ac:dyDescent="0.25">
      <c r="A273" s="21">
        <v>272</v>
      </c>
      <c r="B273" s="18" t="str">
        <f>_xlfn.XLOOKUP(C273,[1]IVW8362itmlist!$C:$C,[1]IVW8362itmlist!$B:$B)</f>
        <v>FG03352</v>
      </c>
      <c r="C273" s="15" t="s">
        <v>1261</v>
      </c>
      <c r="D273" s="13"/>
      <c r="E273" s="13"/>
      <c r="F273" s="8" t="s">
        <v>1254</v>
      </c>
      <c r="G273" s="8" t="s">
        <v>15</v>
      </c>
      <c r="H273" s="8" t="s">
        <v>386</v>
      </c>
      <c r="I273" s="8" t="s">
        <v>1262</v>
      </c>
      <c r="J273" s="8" t="s">
        <v>1161</v>
      </c>
      <c r="K273" s="8" t="s">
        <v>440</v>
      </c>
      <c r="L273" s="8" t="s">
        <v>1263</v>
      </c>
      <c r="M273" s="8" t="s">
        <v>1257</v>
      </c>
    </row>
    <row r="274" spans="1:13" ht="21" hidden="1" x14ac:dyDescent="0.25">
      <c r="A274" s="21">
        <v>273</v>
      </c>
      <c r="B274" s="18" t="str">
        <f>_xlfn.XLOOKUP(C274,[1]IVW8362itmlist!$C:$C,[1]IVW8362itmlist!$B:$B)</f>
        <v>FG03353</v>
      </c>
      <c r="C274" s="15" t="s">
        <v>1264</v>
      </c>
      <c r="D274" s="13"/>
      <c r="E274" s="13"/>
      <c r="F274" s="8" t="s">
        <v>1254</v>
      </c>
      <c r="G274" s="8" t="s">
        <v>15</v>
      </c>
      <c r="H274" s="8" t="s">
        <v>386</v>
      </c>
      <c r="I274" s="8" t="s">
        <v>1265</v>
      </c>
      <c r="J274" s="8" t="s">
        <v>1260</v>
      </c>
      <c r="K274" s="8" t="s">
        <v>440</v>
      </c>
      <c r="L274" s="8" t="s">
        <v>1263</v>
      </c>
      <c r="M274" s="8" t="s">
        <v>1257</v>
      </c>
    </row>
    <row r="275" spans="1:13" ht="21" hidden="1" x14ac:dyDescent="0.25">
      <c r="A275" s="21">
        <v>274</v>
      </c>
      <c r="B275" s="18" t="str">
        <f>_xlfn.XLOOKUP(C275,[1]IVW8362itmlist!$C:$C,[1]IVW8362itmlist!$B:$B)</f>
        <v>FG03350</v>
      </c>
      <c r="C275" s="15" t="s">
        <v>1266</v>
      </c>
      <c r="D275" s="13"/>
      <c r="E275" s="13"/>
      <c r="F275" s="8" t="s">
        <v>1254</v>
      </c>
      <c r="G275" s="8" t="s">
        <v>15</v>
      </c>
      <c r="H275" s="8" t="s">
        <v>386</v>
      </c>
      <c r="I275" s="8" t="s">
        <v>1267</v>
      </c>
      <c r="J275" s="8" t="s">
        <v>1161</v>
      </c>
      <c r="K275" s="8" t="s">
        <v>389</v>
      </c>
      <c r="L275" s="8" t="s">
        <v>1268</v>
      </c>
      <c r="M275" s="8" t="s">
        <v>1269</v>
      </c>
    </row>
    <row r="276" spans="1:13" ht="21" hidden="1" x14ac:dyDescent="0.25">
      <c r="A276" s="21">
        <v>275</v>
      </c>
      <c r="B276" s="18" t="str">
        <f>_xlfn.XLOOKUP(C276,[1]IVW8362itmlist!$C:$C,[1]IVW8362itmlist!$B:$B)</f>
        <v>FG03881</v>
      </c>
      <c r="C276" s="15" t="s">
        <v>1270</v>
      </c>
      <c r="D276" s="13"/>
      <c r="E276" s="13"/>
      <c r="F276" s="8" t="s">
        <v>1271</v>
      </c>
      <c r="G276" s="8" t="s">
        <v>15</v>
      </c>
      <c r="H276" s="8" t="s">
        <v>39</v>
      </c>
      <c r="I276" s="8" t="s">
        <v>1272</v>
      </c>
      <c r="J276" s="8" t="s">
        <v>1047</v>
      </c>
      <c r="K276" s="8" t="s">
        <v>27</v>
      </c>
      <c r="L276" s="8" t="s">
        <v>1273</v>
      </c>
      <c r="M276" s="8"/>
    </row>
    <row r="277" spans="1:13" ht="31.5" hidden="1" x14ac:dyDescent="0.25">
      <c r="A277" s="21">
        <v>276</v>
      </c>
      <c r="B277" s="18" t="str">
        <f>_xlfn.XLOOKUP(C277,[1]IVW8362itmlist!$C:$C,[1]IVW8362itmlist!$B:$B)</f>
        <v>FG01867</v>
      </c>
      <c r="C277" s="15" t="s">
        <v>1274</v>
      </c>
      <c r="D277" s="13"/>
      <c r="E277" s="13"/>
      <c r="F277" s="11" t="s">
        <v>1275</v>
      </c>
      <c r="G277" s="11" t="s">
        <v>15</v>
      </c>
      <c r="H277" s="11" t="s">
        <v>1186</v>
      </c>
      <c r="I277" s="11" t="s">
        <v>1276</v>
      </c>
      <c r="J277" s="11" t="s">
        <v>1052</v>
      </c>
      <c r="K277" s="11" t="s">
        <v>27</v>
      </c>
      <c r="L277" s="11" t="s">
        <v>19947</v>
      </c>
      <c r="M277" s="8" t="s">
        <v>1277</v>
      </c>
    </row>
    <row r="278" spans="1:13" ht="31.5" hidden="1" x14ac:dyDescent="0.25">
      <c r="A278" s="21">
        <v>277</v>
      </c>
      <c r="B278" s="18" t="str">
        <f>_xlfn.XLOOKUP(C278,[1]IVW8362itmlist!$C:$C,[1]IVW8362itmlist!$B:$B)</f>
        <v>FG01864</v>
      </c>
      <c r="C278" s="15" t="s">
        <v>1278</v>
      </c>
      <c r="D278" s="13"/>
      <c r="E278" s="13"/>
      <c r="F278" s="11" t="s">
        <v>1279</v>
      </c>
      <c r="G278" s="11" t="s">
        <v>15</v>
      </c>
      <c r="H278" s="11" t="s">
        <v>1186</v>
      </c>
      <c r="I278" s="11" t="s">
        <v>1280</v>
      </c>
      <c r="J278" s="11" t="s">
        <v>587</v>
      </c>
      <c r="K278" s="11" t="s">
        <v>27</v>
      </c>
      <c r="L278" s="11" t="s">
        <v>19948</v>
      </c>
      <c r="M278" s="8" t="s">
        <v>1281</v>
      </c>
    </row>
    <row r="279" spans="1:13" ht="31.5" hidden="1" x14ac:dyDescent="0.25">
      <c r="A279" s="21">
        <v>278</v>
      </c>
      <c r="B279" s="18" t="str">
        <f>_xlfn.XLOOKUP(C279,[1]IVW8362itmlist!$C:$C,[1]IVW8362itmlist!$B:$B)</f>
        <v>FG01859</v>
      </c>
      <c r="C279" s="15" t="s">
        <v>1282</v>
      </c>
      <c r="D279" s="13"/>
      <c r="E279" s="13"/>
      <c r="F279" s="11" t="s">
        <v>1283</v>
      </c>
      <c r="G279" s="11" t="s">
        <v>15</v>
      </c>
      <c r="H279" s="11" t="s">
        <v>1186</v>
      </c>
      <c r="I279" s="11" t="s">
        <v>1284</v>
      </c>
      <c r="J279" s="11" t="s">
        <v>1052</v>
      </c>
      <c r="K279" s="11" t="s">
        <v>27</v>
      </c>
      <c r="L279" s="11" t="s">
        <v>19948</v>
      </c>
      <c r="M279" s="8" t="s">
        <v>1285</v>
      </c>
    </row>
    <row r="280" spans="1:13" ht="31.5" hidden="1" x14ac:dyDescent="0.25">
      <c r="A280" s="21">
        <v>279</v>
      </c>
      <c r="B280" s="18" t="str">
        <f>_xlfn.XLOOKUP(C280,[1]IVW8362itmlist!$C:$C,[1]IVW8362itmlist!$B:$B)</f>
        <v>FG01858</v>
      </c>
      <c r="C280" s="15" t="s">
        <v>1286</v>
      </c>
      <c r="D280" s="13"/>
      <c r="E280" s="13"/>
      <c r="F280" s="11" t="s">
        <v>1287</v>
      </c>
      <c r="G280" s="11" t="s">
        <v>15</v>
      </c>
      <c r="H280" s="11" t="s">
        <v>1288</v>
      </c>
      <c r="I280" s="11" t="s">
        <v>1289</v>
      </c>
      <c r="J280" s="11" t="s">
        <v>527</v>
      </c>
      <c r="K280" s="11" t="s">
        <v>27</v>
      </c>
      <c r="L280" s="11" t="s">
        <v>1290</v>
      </c>
      <c r="M280" s="8" t="s">
        <v>1291</v>
      </c>
    </row>
    <row r="281" spans="1:13" ht="21" hidden="1" x14ac:dyDescent="0.25">
      <c r="A281" s="21">
        <v>280</v>
      </c>
      <c r="B281" s="18" t="str">
        <f>_xlfn.XLOOKUP(C281,[1]IVW8362itmlist!$C:$C,[1]IVW8362itmlist!$B:$B)</f>
        <v>FG04049</v>
      </c>
      <c r="C281" s="15" t="s">
        <v>1292</v>
      </c>
      <c r="D281" s="13"/>
      <c r="E281" s="13"/>
      <c r="F281" s="11" t="s">
        <v>1293</v>
      </c>
      <c r="G281" s="11" t="s">
        <v>15</v>
      </c>
      <c r="H281" s="11" t="s">
        <v>1294</v>
      </c>
      <c r="I281" s="11" t="s">
        <v>1295</v>
      </c>
      <c r="J281" s="11" t="s">
        <v>1296</v>
      </c>
      <c r="K281" s="11" t="s">
        <v>1297</v>
      </c>
      <c r="L281" s="11" t="s">
        <v>19949</v>
      </c>
      <c r="M281" s="8" t="s">
        <v>1298</v>
      </c>
    </row>
    <row r="282" spans="1:13" ht="21" hidden="1" x14ac:dyDescent="0.25">
      <c r="A282" s="21">
        <v>281</v>
      </c>
      <c r="B282" s="18" t="str">
        <f>_xlfn.XLOOKUP(C282,[1]IVW8362itmlist!$C:$C,[1]IVW8362itmlist!$B:$B)</f>
        <v>FG01861</v>
      </c>
      <c r="C282" s="15" t="s">
        <v>1299</v>
      </c>
      <c r="D282" s="13"/>
      <c r="E282" s="13"/>
      <c r="F282" s="11" t="s">
        <v>1300</v>
      </c>
      <c r="G282" s="11" t="s">
        <v>15</v>
      </c>
      <c r="H282" s="11" t="s">
        <v>1294</v>
      </c>
      <c r="I282" s="11" t="s">
        <v>1301</v>
      </c>
      <c r="J282" s="11" t="s">
        <v>1296</v>
      </c>
      <c r="K282" s="11" t="s">
        <v>1297</v>
      </c>
      <c r="L282" s="11" t="s">
        <v>19949</v>
      </c>
      <c r="M282" s="8" t="s">
        <v>1298</v>
      </c>
    </row>
    <row r="283" spans="1:13" ht="21" hidden="1" x14ac:dyDescent="0.25">
      <c r="A283" s="21">
        <v>282</v>
      </c>
      <c r="B283" s="18" t="str">
        <f>_xlfn.XLOOKUP(C283,[1]IVW8362itmlist!$C:$C,[1]IVW8362itmlist!$B:$B)</f>
        <v>FG01860</v>
      </c>
      <c r="C283" s="15" t="s">
        <v>1302</v>
      </c>
      <c r="D283" s="13"/>
      <c r="E283" s="13"/>
      <c r="F283" s="11" t="s">
        <v>1303</v>
      </c>
      <c r="G283" s="11" t="s">
        <v>15</v>
      </c>
      <c r="H283" s="11" t="s">
        <v>1294</v>
      </c>
      <c r="I283" s="11" t="s">
        <v>1304</v>
      </c>
      <c r="J283" s="11" t="s">
        <v>1296</v>
      </c>
      <c r="K283" s="11" t="s">
        <v>1297</v>
      </c>
      <c r="L283" s="11" t="s">
        <v>19949</v>
      </c>
      <c r="M283" s="8" t="s">
        <v>1298</v>
      </c>
    </row>
    <row r="284" spans="1:13" ht="21" hidden="1" x14ac:dyDescent="0.25">
      <c r="A284" s="21">
        <v>283</v>
      </c>
      <c r="B284" s="18" t="str">
        <f>_xlfn.XLOOKUP(C284,[1]IVW8362itmlist!$C:$C,[1]IVW8362itmlist!$B:$B)</f>
        <v>FG03407</v>
      </c>
      <c r="C284" s="15" t="s">
        <v>1305</v>
      </c>
      <c r="D284" s="13"/>
      <c r="E284" s="13"/>
      <c r="F284" s="8" t="s">
        <v>107</v>
      </c>
      <c r="G284" s="8" t="s">
        <v>15</v>
      </c>
      <c r="H284" s="8" t="s">
        <v>85</v>
      </c>
      <c r="I284" s="8" t="s">
        <v>108</v>
      </c>
      <c r="J284" s="8" t="s">
        <v>109</v>
      </c>
      <c r="K284" s="8" t="s">
        <v>88</v>
      </c>
      <c r="L284" s="8" t="s">
        <v>110</v>
      </c>
      <c r="M284" s="8" t="s">
        <v>90</v>
      </c>
    </row>
    <row r="285" spans="1:13" hidden="1" x14ac:dyDescent="0.25">
      <c r="A285" s="21">
        <v>284</v>
      </c>
      <c r="B285" s="18" t="str">
        <f>_xlfn.XLOOKUP(C285,[1]IVW8362itmlist!$C:$C,[1]IVW8362itmlist!$B:$B)</f>
        <v>FG04017</v>
      </c>
      <c r="C285" s="15" t="s">
        <v>1306</v>
      </c>
      <c r="D285" s="13"/>
      <c r="E285" s="13"/>
      <c r="F285" s="8" t="s">
        <v>147</v>
      </c>
      <c r="G285" s="8" t="s">
        <v>15</v>
      </c>
      <c r="H285" s="8" t="s">
        <v>148</v>
      </c>
      <c r="I285" s="8" t="s">
        <v>149</v>
      </c>
      <c r="J285" s="8" t="s">
        <v>150</v>
      </c>
      <c r="K285" s="8" t="s">
        <v>151</v>
      </c>
      <c r="L285" s="8" t="s">
        <v>152</v>
      </c>
      <c r="M285" s="8" t="s">
        <v>145</v>
      </c>
    </row>
    <row r="286" spans="1:13" ht="21" hidden="1" x14ac:dyDescent="0.25">
      <c r="A286" s="21">
        <v>285</v>
      </c>
      <c r="B286" s="18" t="str">
        <f>_xlfn.XLOOKUP(C286,[1]IVW8362itmlist!$C:$C,[1]IVW8362itmlist!$B:$B)</f>
        <v>FG01404</v>
      </c>
      <c r="C286" s="15" t="s">
        <v>1307</v>
      </c>
      <c r="D286" s="13"/>
      <c r="E286" s="13"/>
      <c r="F286" s="8" t="s">
        <v>161</v>
      </c>
      <c r="G286" s="8" t="s">
        <v>15</v>
      </c>
      <c r="H286" s="8" t="s">
        <v>85</v>
      </c>
      <c r="I286" s="8" t="s">
        <v>162</v>
      </c>
      <c r="J286" s="8" t="s">
        <v>109</v>
      </c>
      <c r="K286" s="8" t="s">
        <v>88</v>
      </c>
      <c r="L286" s="8" t="s">
        <v>163</v>
      </c>
      <c r="M286" s="8" t="s">
        <v>145</v>
      </c>
    </row>
    <row r="287" spans="1:13" ht="21" hidden="1" x14ac:dyDescent="0.25">
      <c r="A287" s="21">
        <v>286</v>
      </c>
      <c r="B287" s="18" t="str">
        <f>_xlfn.XLOOKUP(C287,[1]IVW8362itmlist!$C:$C,[1]IVW8362itmlist!$B:$B)</f>
        <v>FG00620</v>
      </c>
      <c r="C287" s="15" t="s">
        <v>1308</v>
      </c>
      <c r="D287" s="13"/>
      <c r="E287" s="13"/>
      <c r="F287" s="8" t="s">
        <v>1194</v>
      </c>
      <c r="G287" s="8" t="s">
        <v>15</v>
      </c>
      <c r="H287" s="8" t="s">
        <v>1186</v>
      </c>
      <c r="I287" s="8" t="s">
        <v>1309</v>
      </c>
      <c r="J287" s="8" t="s">
        <v>1188</v>
      </c>
      <c r="K287" s="8" t="s">
        <v>27</v>
      </c>
      <c r="L287" s="8" t="s">
        <v>1196</v>
      </c>
      <c r="M287" s="8" t="s">
        <v>1197</v>
      </c>
    </row>
    <row r="288" spans="1:13" ht="21" hidden="1" x14ac:dyDescent="0.25">
      <c r="A288" s="21">
        <v>287</v>
      </c>
      <c r="B288" s="18" t="str">
        <f>_xlfn.XLOOKUP(C288,[1]IVW8362itmlist!$C:$C,[1]IVW8362itmlist!$B:$B)</f>
        <v>FG00622</v>
      </c>
      <c r="C288" s="15" t="s">
        <v>1310</v>
      </c>
      <c r="D288" s="13"/>
      <c r="E288" s="13"/>
      <c r="F288" s="8" t="s">
        <v>1194</v>
      </c>
      <c r="G288" s="8" t="s">
        <v>15</v>
      </c>
      <c r="H288" s="8" t="s">
        <v>34</v>
      </c>
      <c r="I288" s="8" t="s">
        <v>1311</v>
      </c>
      <c r="J288" s="8" t="s">
        <v>119</v>
      </c>
      <c r="K288" s="8" t="s">
        <v>27</v>
      </c>
      <c r="L288" s="8" t="s">
        <v>1196</v>
      </c>
      <c r="M288" s="8" t="s">
        <v>1202</v>
      </c>
    </row>
    <row r="289" spans="1:13" ht="21" hidden="1" x14ac:dyDescent="0.25">
      <c r="A289" s="21">
        <v>288</v>
      </c>
      <c r="B289" s="18" t="str">
        <f>_xlfn.XLOOKUP(C289,[1]IVW8362itmlist!$C:$C,[1]IVW8362itmlist!$B:$B)</f>
        <v>FG00866</v>
      </c>
      <c r="C289" s="15" t="s">
        <v>1312</v>
      </c>
      <c r="D289" s="13"/>
      <c r="E289" s="13"/>
      <c r="F289" s="8" t="s">
        <v>195</v>
      </c>
      <c r="G289" s="8" t="s">
        <v>15</v>
      </c>
      <c r="H289" s="8" t="s">
        <v>196</v>
      </c>
      <c r="I289" s="8" t="s">
        <v>197</v>
      </c>
      <c r="J289" s="8" t="s">
        <v>198</v>
      </c>
      <c r="K289" s="8" t="s">
        <v>199</v>
      </c>
      <c r="L289" s="8" t="s">
        <v>200</v>
      </c>
      <c r="M289" s="8" t="s">
        <v>201</v>
      </c>
    </row>
    <row r="290" spans="1:13" ht="21" hidden="1" x14ac:dyDescent="0.25">
      <c r="A290" s="21">
        <v>289</v>
      </c>
      <c r="B290" s="18" t="str">
        <f>_xlfn.XLOOKUP(C290,[1]IVW8362itmlist!$C:$C,[1]IVW8362itmlist!$B:$B)</f>
        <v>FG00867</v>
      </c>
      <c r="C290" s="15" t="s">
        <v>1313</v>
      </c>
      <c r="D290" s="13"/>
      <c r="E290" s="13"/>
      <c r="F290" s="8" t="s">
        <v>195</v>
      </c>
      <c r="G290" s="8" t="s">
        <v>15</v>
      </c>
      <c r="H290" s="8" t="s">
        <v>196</v>
      </c>
      <c r="I290" s="8" t="s">
        <v>197</v>
      </c>
      <c r="J290" s="8" t="s">
        <v>198</v>
      </c>
      <c r="K290" s="8" t="s">
        <v>199</v>
      </c>
      <c r="L290" s="8" t="s">
        <v>200</v>
      </c>
      <c r="M290" s="8" t="s">
        <v>201</v>
      </c>
    </row>
    <row r="291" spans="1:13" ht="21" hidden="1" x14ac:dyDescent="0.25">
      <c r="A291" s="21">
        <v>290</v>
      </c>
      <c r="B291" s="18" t="str">
        <f>_xlfn.XLOOKUP(C291,[1]IVW8362itmlist!$C:$C,[1]IVW8362itmlist!$B:$B)</f>
        <v>FG00868</v>
      </c>
      <c r="C291" s="15" t="s">
        <v>1314</v>
      </c>
      <c r="D291" s="13"/>
      <c r="E291" s="13"/>
      <c r="F291" s="8" t="s">
        <v>195</v>
      </c>
      <c r="G291" s="8" t="s">
        <v>15</v>
      </c>
      <c r="H291" s="8" t="s">
        <v>196</v>
      </c>
      <c r="I291" s="8" t="s">
        <v>197</v>
      </c>
      <c r="J291" s="8" t="s">
        <v>198</v>
      </c>
      <c r="K291" s="8" t="s">
        <v>199</v>
      </c>
      <c r="L291" s="8" t="s">
        <v>200</v>
      </c>
      <c r="M291" s="8" t="s">
        <v>201</v>
      </c>
    </row>
    <row r="292" spans="1:13" ht="21" hidden="1" x14ac:dyDescent="0.25">
      <c r="A292" s="21">
        <v>291</v>
      </c>
      <c r="B292" s="18" t="str">
        <f>_xlfn.XLOOKUP(C292,[1]IVW8362itmlist!$C:$C,[1]IVW8362itmlist!$B:$B)</f>
        <v>FG00869</v>
      </c>
      <c r="C292" s="15" t="s">
        <v>1315</v>
      </c>
      <c r="D292" s="13"/>
      <c r="E292" s="13"/>
      <c r="F292" s="8" t="s">
        <v>195</v>
      </c>
      <c r="G292" s="8" t="s">
        <v>15</v>
      </c>
      <c r="H292" s="8" t="s">
        <v>196</v>
      </c>
      <c r="I292" s="8" t="s">
        <v>197</v>
      </c>
      <c r="J292" s="8" t="s">
        <v>198</v>
      </c>
      <c r="K292" s="8" t="s">
        <v>199</v>
      </c>
      <c r="L292" s="8" t="s">
        <v>200</v>
      </c>
      <c r="M292" s="8" t="s">
        <v>201</v>
      </c>
    </row>
    <row r="293" spans="1:13" ht="21" hidden="1" x14ac:dyDescent="0.25">
      <c r="A293" s="21">
        <v>292</v>
      </c>
      <c r="B293" s="18" t="str">
        <f>_xlfn.XLOOKUP(C293,[1]IVW8362itmlist!$C:$C,[1]IVW8362itmlist!$B:$B)</f>
        <v>FG01872</v>
      </c>
      <c r="C293" s="15" t="s">
        <v>1316</v>
      </c>
      <c r="D293" s="13"/>
      <c r="E293" s="13"/>
      <c r="F293" s="8" t="s">
        <v>292</v>
      </c>
      <c r="G293" s="8" t="s">
        <v>15</v>
      </c>
      <c r="H293" s="8" t="s">
        <v>34</v>
      </c>
      <c r="I293" s="8" t="s">
        <v>293</v>
      </c>
      <c r="J293" s="8" t="s">
        <v>294</v>
      </c>
      <c r="K293" s="8" t="s">
        <v>27</v>
      </c>
      <c r="L293" s="8" t="s">
        <v>295</v>
      </c>
      <c r="M293" s="8" t="s">
        <v>296</v>
      </c>
    </row>
    <row r="294" spans="1:13" hidden="1" x14ac:dyDescent="0.25">
      <c r="A294" s="21">
        <v>293</v>
      </c>
      <c r="B294" s="18" t="str">
        <f>_xlfn.XLOOKUP(C294,[1]IVW8362itmlist!$C:$C,[1]IVW8362itmlist!$B:$B)</f>
        <v>FG04044</v>
      </c>
      <c r="C294" s="15" t="s">
        <v>1317</v>
      </c>
      <c r="D294" s="13"/>
      <c r="E294" s="13"/>
      <c r="F294" s="8" t="s">
        <v>1318</v>
      </c>
      <c r="G294" s="8" t="s">
        <v>15</v>
      </c>
      <c r="H294" s="8" t="s">
        <v>39</v>
      </c>
      <c r="I294" s="8" t="s">
        <v>1319</v>
      </c>
      <c r="J294" s="8" t="s">
        <v>313</v>
      </c>
      <c r="K294" s="8" t="s">
        <v>27</v>
      </c>
      <c r="L294" s="8" t="s">
        <v>537</v>
      </c>
      <c r="M294" s="8" t="s">
        <v>538</v>
      </c>
    </row>
    <row r="295" spans="1:13" hidden="1" x14ac:dyDescent="0.25">
      <c r="A295" s="21">
        <v>294</v>
      </c>
      <c r="B295" s="7" t="s">
        <v>1320</v>
      </c>
      <c r="C295" s="7" t="s">
        <v>1321</v>
      </c>
      <c r="G295" s="8" t="s">
        <v>15</v>
      </c>
    </row>
    <row r="296" spans="1:13" hidden="1" x14ac:dyDescent="0.25">
      <c r="A296" s="21">
        <v>295</v>
      </c>
      <c r="B296" s="7" t="s">
        <v>1322</v>
      </c>
      <c r="C296" s="7" t="s">
        <v>1323</v>
      </c>
      <c r="G296" s="8" t="s">
        <v>15</v>
      </c>
    </row>
    <row r="297" spans="1:13" hidden="1" x14ac:dyDescent="0.25">
      <c r="A297" s="21">
        <v>296</v>
      </c>
      <c r="B297" s="7" t="s">
        <v>1324</v>
      </c>
      <c r="C297" s="7" t="s">
        <v>1325</v>
      </c>
      <c r="G297" s="8" t="s">
        <v>15</v>
      </c>
    </row>
    <row r="298" spans="1:13" hidden="1" x14ac:dyDescent="0.25">
      <c r="A298" s="21">
        <v>297</v>
      </c>
      <c r="B298" s="7" t="s">
        <v>1326</v>
      </c>
      <c r="C298" s="7" t="s">
        <v>1327</v>
      </c>
      <c r="G298" s="8" t="s">
        <v>15</v>
      </c>
    </row>
    <row r="299" spans="1:13" hidden="1" x14ac:dyDescent="0.25">
      <c r="A299" s="21">
        <v>298</v>
      </c>
      <c r="B299" s="7" t="s">
        <v>1328</v>
      </c>
      <c r="C299" s="7" t="s">
        <v>1329</v>
      </c>
      <c r="G299" s="8" t="s">
        <v>15</v>
      </c>
    </row>
    <row r="300" spans="1:13" hidden="1" x14ac:dyDescent="0.25">
      <c r="A300" s="21">
        <v>299</v>
      </c>
      <c r="B300" s="7" t="s">
        <v>1330</v>
      </c>
      <c r="C300" s="7" t="s">
        <v>1331</v>
      </c>
      <c r="G300" s="8" t="s">
        <v>15</v>
      </c>
    </row>
    <row r="301" spans="1:13" hidden="1" x14ac:dyDescent="0.25">
      <c r="A301" s="21">
        <v>300</v>
      </c>
      <c r="B301" s="7" t="s">
        <v>1332</v>
      </c>
      <c r="C301" s="7" t="s">
        <v>1333</v>
      </c>
      <c r="G301" s="8" t="s">
        <v>15</v>
      </c>
    </row>
    <row r="302" spans="1:13" hidden="1" x14ac:dyDescent="0.25">
      <c r="A302" s="21">
        <v>301</v>
      </c>
      <c r="B302" s="7" t="s">
        <v>1334</v>
      </c>
      <c r="C302" s="7" t="s">
        <v>1335</v>
      </c>
      <c r="G302" s="8" t="s">
        <v>15</v>
      </c>
    </row>
    <row r="303" spans="1:13" hidden="1" x14ac:dyDescent="0.25">
      <c r="A303" s="21">
        <v>302</v>
      </c>
      <c r="B303" s="7" t="s">
        <v>1336</v>
      </c>
      <c r="C303" s="7" t="s">
        <v>1337</v>
      </c>
      <c r="G303" s="8" t="s">
        <v>15</v>
      </c>
    </row>
    <row r="304" spans="1:13" hidden="1" x14ac:dyDescent="0.25">
      <c r="A304" s="21">
        <v>303</v>
      </c>
      <c r="B304" s="7" t="s">
        <v>1338</v>
      </c>
      <c r="C304" s="7" t="s">
        <v>1339</v>
      </c>
      <c r="G304" s="8" t="s">
        <v>15</v>
      </c>
    </row>
    <row r="305" spans="1:7" hidden="1" x14ac:dyDescent="0.25">
      <c r="A305" s="21">
        <v>304</v>
      </c>
      <c r="B305" s="7" t="s">
        <v>1340</v>
      </c>
      <c r="C305" s="7" t="s">
        <v>1341</v>
      </c>
      <c r="G305" s="8" t="s">
        <v>15</v>
      </c>
    </row>
    <row r="306" spans="1:7" hidden="1" x14ac:dyDescent="0.25">
      <c r="A306" s="21">
        <v>305</v>
      </c>
      <c r="B306" s="7" t="s">
        <v>1342</v>
      </c>
      <c r="C306" s="7" t="s">
        <v>1343</v>
      </c>
      <c r="G306" s="8" t="s">
        <v>15</v>
      </c>
    </row>
    <row r="307" spans="1:7" hidden="1" x14ac:dyDescent="0.25">
      <c r="A307" s="21">
        <v>306</v>
      </c>
      <c r="B307" s="7" t="s">
        <v>1344</v>
      </c>
      <c r="C307" s="7" t="s">
        <v>1345</v>
      </c>
      <c r="G307" s="8" t="s">
        <v>15</v>
      </c>
    </row>
    <row r="308" spans="1:7" hidden="1" x14ac:dyDescent="0.25">
      <c r="A308" s="21">
        <v>307</v>
      </c>
      <c r="B308" s="7" t="s">
        <v>1346</v>
      </c>
      <c r="C308" s="7" t="s">
        <v>1347</v>
      </c>
      <c r="F308" t="s">
        <v>1348</v>
      </c>
      <c r="G308" s="8" t="s">
        <v>15</v>
      </c>
    </row>
    <row r="309" spans="1:7" hidden="1" x14ac:dyDescent="0.25">
      <c r="A309" s="21">
        <v>308</v>
      </c>
      <c r="B309" s="7" t="s">
        <v>1349</v>
      </c>
      <c r="C309" s="7" t="s">
        <v>1350</v>
      </c>
      <c r="F309" t="s">
        <v>1348</v>
      </c>
      <c r="G309" s="8" t="s">
        <v>15</v>
      </c>
    </row>
    <row r="310" spans="1:7" hidden="1" x14ac:dyDescent="0.25">
      <c r="A310" s="21">
        <v>309</v>
      </c>
      <c r="B310" s="7" t="s">
        <v>1351</v>
      </c>
      <c r="C310" s="7" t="s">
        <v>1352</v>
      </c>
      <c r="F310" t="s">
        <v>1348</v>
      </c>
      <c r="G310" s="8" t="s">
        <v>15</v>
      </c>
    </row>
    <row r="311" spans="1:7" hidden="1" x14ac:dyDescent="0.25">
      <c r="A311" s="21">
        <v>310</v>
      </c>
      <c r="B311" s="7" t="s">
        <v>1353</v>
      </c>
      <c r="C311" s="7" t="s">
        <v>1354</v>
      </c>
      <c r="F311" t="s">
        <v>1348</v>
      </c>
      <c r="G311" s="8" t="s">
        <v>15</v>
      </c>
    </row>
    <row r="312" spans="1:7" hidden="1" x14ac:dyDescent="0.25">
      <c r="A312" s="21">
        <v>311</v>
      </c>
      <c r="B312" s="7" t="s">
        <v>1355</v>
      </c>
      <c r="C312" s="7" t="s">
        <v>1356</v>
      </c>
      <c r="F312" t="s">
        <v>1348</v>
      </c>
      <c r="G312" s="8" t="s">
        <v>15</v>
      </c>
    </row>
    <row r="313" spans="1:7" hidden="1" x14ac:dyDescent="0.25">
      <c r="A313" s="21">
        <v>312</v>
      </c>
      <c r="B313" s="7" t="s">
        <v>1357</v>
      </c>
      <c r="C313" s="7" t="s">
        <v>1358</v>
      </c>
      <c r="G313" s="8" t="s">
        <v>15</v>
      </c>
    </row>
    <row r="314" spans="1:7" hidden="1" x14ac:dyDescent="0.25">
      <c r="A314" s="21">
        <v>313</v>
      </c>
      <c r="B314" s="7" t="s">
        <v>1359</v>
      </c>
      <c r="C314" s="7" t="s">
        <v>1360</v>
      </c>
      <c r="G314" s="8" t="s">
        <v>15</v>
      </c>
    </row>
    <row r="315" spans="1:7" hidden="1" x14ac:dyDescent="0.25">
      <c r="A315" s="21">
        <v>314</v>
      </c>
      <c r="B315" s="7" t="s">
        <v>1361</v>
      </c>
      <c r="C315" s="7" t="s">
        <v>1362</v>
      </c>
      <c r="G315" s="8" t="s">
        <v>15</v>
      </c>
    </row>
    <row r="316" spans="1:7" hidden="1" x14ac:dyDescent="0.25">
      <c r="A316" s="21">
        <v>315</v>
      </c>
      <c r="B316" s="7" t="s">
        <v>1363</v>
      </c>
      <c r="C316" s="7" t="s">
        <v>1364</v>
      </c>
      <c r="G316" s="8" t="s">
        <v>15</v>
      </c>
    </row>
    <row r="317" spans="1:7" hidden="1" x14ac:dyDescent="0.25">
      <c r="A317" s="21">
        <v>316</v>
      </c>
      <c r="B317" s="7" t="s">
        <v>1365</v>
      </c>
      <c r="C317" s="7" t="s">
        <v>1366</v>
      </c>
      <c r="G317" s="8" t="s">
        <v>15</v>
      </c>
    </row>
    <row r="318" spans="1:7" hidden="1" x14ac:dyDescent="0.25">
      <c r="A318" s="21">
        <v>317</v>
      </c>
      <c r="B318" s="7" t="s">
        <v>1367</v>
      </c>
      <c r="C318" s="7" t="s">
        <v>1368</v>
      </c>
      <c r="G318" s="8" t="s">
        <v>15</v>
      </c>
    </row>
    <row r="319" spans="1:7" hidden="1" x14ac:dyDescent="0.25">
      <c r="A319" s="21">
        <v>318</v>
      </c>
      <c r="B319" s="7" t="s">
        <v>1369</v>
      </c>
      <c r="C319" s="7" t="s">
        <v>1370</v>
      </c>
      <c r="F319" t="s">
        <v>1371</v>
      </c>
      <c r="G319" s="8" t="s">
        <v>15</v>
      </c>
    </row>
    <row r="320" spans="1:7" hidden="1" x14ac:dyDescent="0.25">
      <c r="A320" s="21">
        <v>319</v>
      </c>
      <c r="B320" s="7" t="s">
        <v>1372</v>
      </c>
      <c r="C320" s="7" t="s">
        <v>1373</v>
      </c>
      <c r="F320" t="s">
        <v>1371</v>
      </c>
      <c r="G320" s="8" t="s">
        <v>15</v>
      </c>
    </row>
    <row r="321" spans="1:7" hidden="1" x14ac:dyDescent="0.25">
      <c r="A321" s="21">
        <v>320</v>
      </c>
      <c r="B321" s="7" t="s">
        <v>1374</v>
      </c>
      <c r="C321" s="7" t="s">
        <v>1375</v>
      </c>
      <c r="F321" t="s">
        <v>1371</v>
      </c>
      <c r="G321" s="8" t="s">
        <v>15</v>
      </c>
    </row>
    <row r="322" spans="1:7" hidden="1" x14ac:dyDescent="0.25">
      <c r="A322" s="21">
        <v>321</v>
      </c>
      <c r="B322" s="7" t="s">
        <v>1376</v>
      </c>
      <c r="C322" s="7" t="s">
        <v>1377</v>
      </c>
      <c r="G322" s="8" t="s">
        <v>15</v>
      </c>
    </row>
    <row r="323" spans="1:7" hidden="1" x14ac:dyDescent="0.25">
      <c r="A323" s="21">
        <v>322</v>
      </c>
      <c r="B323" s="7" t="s">
        <v>1378</v>
      </c>
      <c r="C323" s="7" t="s">
        <v>1379</v>
      </c>
      <c r="G323" s="8" t="s">
        <v>15</v>
      </c>
    </row>
    <row r="324" spans="1:7" hidden="1" x14ac:dyDescent="0.25">
      <c r="A324" s="21">
        <v>323</v>
      </c>
      <c r="B324" s="7" t="s">
        <v>1380</v>
      </c>
      <c r="C324" s="7" t="s">
        <v>1381</v>
      </c>
      <c r="G324" s="8" t="s">
        <v>15</v>
      </c>
    </row>
    <row r="325" spans="1:7" hidden="1" x14ac:dyDescent="0.25">
      <c r="A325" s="21">
        <v>324</v>
      </c>
      <c r="B325" s="7" t="s">
        <v>1382</v>
      </c>
      <c r="C325" s="7" t="s">
        <v>1383</v>
      </c>
      <c r="G325" s="8" t="s">
        <v>15</v>
      </c>
    </row>
    <row r="326" spans="1:7" hidden="1" x14ac:dyDescent="0.25">
      <c r="A326" s="21">
        <v>325</v>
      </c>
      <c r="B326" s="7" t="s">
        <v>1384</v>
      </c>
      <c r="C326" s="7" t="s">
        <v>1385</v>
      </c>
      <c r="G326" s="8" t="s">
        <v>15</v>
      </c>
    </row>
    <row r="327" spans="1:7" hidden="1" x14ac:dyDescent="0.25">
      <c r="A327" s="21">
        <v>326</v>
      </c>
      <c r="B327" s="7" t="s">
        <v>1386</v>
      </c>
      <c r="C327" s="7" t="s">
        <v>1387</v>
      </c>
      <c r="G327" s="8" t="s">
        <v>15</v>
      </c>
    </row>
    <row r="328" spans="1:7" hidden="1" x14ac:dyDescent="0.25">
      <c r="A328" s="21">
        <v>327</v>
      </c>
      <c r="B328" s="7" t="s">
        <v>1388</v>
      </c>
      <c r="C328" s="7" t="s">
        <v>1389</v>
      </c>
      <c r="F328" t="s">
        <v>1390</v>
      </c>
      <c r="G328" s="8" t="s">
        <v>15</v>
      </c>
    </row>
    <row r="329" spans="1:7" hidden="1" x14ac:dyDescent="0.25">
      <c r="A329" s="21">
        <v>328</v>
      </c>
      <c r="B329" s="7" t="s">
        <v>1391</v>
      </c>
      <c r="C329" s="7" t="s">
        <v>1392</v>
      </c>
      <c r="F329" t="s">
        <v>1390</v>
      </c>
      <c r="G329" s="8" t="s">
        <v>15</v>
      </c>
    </row>
    <row r="330" spans="1:7" hidden="1" x14ac:dyDescent="0.25">
      <c r="A330" s="21">
        <v>329</v>
      </c>
      <c r="B330" s="7" t="s">
        <v>1393</v>
      </c>
      <c r="C330" s="7" t="s">
        <v>1394</v>
      </c>
      <c r="G330" s="8" t="s">
        <v>15</v>
      </c>
    </row>
    <row r="331" spans="1:7" hidden="1" x14ac:dyDescent="0.25">
      <c r="A331" s="21">
        <v>330</v>
      </c>
      <c r="B331" s="7" t="s">
        <v>1395</v>
      </c>
      <c r="C331" s="7" t="s">
        <v>1396</v>
      </c>
      <c r="G331" s="8" t="s">
        <v>15</v>
      </c>
    </row>
    <row r="332" spans="1:7" hidden="1" x14ac:dyDescent="0.25">
      <c r="A332" s="21">
        <v>331</v>
      </c>
      <c r="B332" s="7" t="s">
        <v>1397</v>
      </c>
      <c r="C332" s="7" t="s">
        <v>1398</v>
      </c>
      <c r="G332" s="8" t="s">
        <v>15</v>
      </c>
    </row>
    <row r="333" spans="1:7" hidden="1" x14ac:dyDescent="0.25">
      <c r="A333" s="21">
        <v>332</v>
      </c>
      <c r="B333" s="7" t="s">
        <v>1399</v>
      </c>
      <c r="C333" s="7" t="s">
        <v>1400</v>
      </c>
      <c r="G333" s="8" t="s">
        <v>15</v>
      </c>
    </row>
    <row r="334" spans="1:7" hidden="1" x14ac:dyDescent="0.25">
      <c r="A334" s="21">
        <v>333</v>
      </c>
      <c r="B334" s="7" t="s">
        <v>1401</v>
      </c>
      <c r="C334" s="7" t="s">
        <v>1402</v>
      </c>
      <c r="G334" s="8" t="s">
        <v>15</v>
      </c>
    </row>
    <row r="335" spans="1:7" hidden="1" x14ac:dyDescent="0.25">
      <c r="A335" s="21">
        <v>334</v>
      </c>
      <c r="B335" s="7" t="s">
        <v>1403</v>
      </c>
      <c r="C335" s="7" t="s">
        <v>1404</v>
      </c>
      <c r="G335" s="8" t="s">
        <v>15</v>
      </c>
    </row>
    <row r="336" spans="1:7" hidden="1" x14ac:dyDescent="0.25">
      <c r="A336" s="21">
        <v>335</v>
      </c>
      <c r="B336" s="7" t="s">
        <v>1405</v>
      </c>
      <c r="C336" s="7" t="s">
        <v>1406</v>
      </c>
      <c r="G336" s="8" t="s">
        <v>15</v>
      </c>
    </row>
    <row r="337" spans="1:7" hidden="1" x14ac:dyDescent="0.25">
      <c r="A337" s="21">
        <v>336</v>
      </c>
      <c r="B337" s="7" t="s">
        <v>1407</v>
      </c>
      <c r="C337" s="7" t="s">
        <v>1408</v>
      </c>
      <c r="F337" t="s">
        <v>1409</v>
      </c>
      <c r="G337" s="8" t="s">
        <v>15</v>
      </c>
    </row>
    <row r="338" spans="1:7" hidden="1" x14ac:dyDescent="0.25">
      <c r="A338" s="21">
        <v>337</v>
      </c>
      <c r="B338" s="7" t="s">
        <v>1410</v>
      </c>
      <c r="C338" s="7" t="s">
        <v>1411</v>
      </c>
      <c r="F338" t="s">
        <v>1409</v>
      </c>
      <c r="G338" s="8" t="s">
        <v>15</v>
      </c>
    </row>
    <row r="339" spans="1:7" hidden="1" x14ac:dyDescent="0.25">
      <c r="A339" s="21">
        <v>338</v>
      </c>
      <c r="B339" s="7" t="s">
        <v>1412</v>
      </c>
      <c r="C339" s="7" t="s">
        <v>1413</v>
      </c>
      <c r="F339" t="s">
        <v>1409</v>
      </c>
      <c r="G339" s="8" t="s">
        <v>15</v>
      </c>
    </row>
    <row r="340" spans="1:7" hidden="1" x14ac:dyDescent="0.25">
      <c r="A340" s="21">
        <v>339</v>
      </c>
      <c r="B340" s="7" t="s">
        <v>1414</v>
      </c>
      <c r="C340" s="7" t="s">
        <v>1415</v>
      </c>
      <c r="F340" t="s">
        <v>1409</v>
      </c>
      <c r="G340" s="8" t="s">
        <v>15</v>
      </c>
    </row>
    <row r="341" spans="1:7" hidden="1" x14ac:dyDescent="0.25">
      <c r="A341" s="21">
        <v>340</v>
      </c>
      <c r="B341" s="7" t="s">
        <v>1416</v>
      </c>
      <c r="C341" s="7" t="s">
        <v>1417</v>
      </c>
      <c r="F341" t="s">
        <v>1409</v>
      </c>
      <c r="G341" s="8" t="s">
        <v>15</v>
      </c>
    </row>
    <row r="342" spans="1:7" hidden="1" x14ac:dyDescent="0.25">
      <c r="A342" s="21">
        <v>341</v>
      </c>
      <c r="B342" s="7" t="s">
        <v>1418</v>
      </c>
      <c r="C342" s="7" t="s">
        <v>1419</v>
      </c>
      <c r="F342" t="s">
        <v>1409</v>
      </c>
      <c r="G342" s="8" t="s">
        <v>15</v>
      </c>
    </row>
    <row r="343" spans="1:7" hidden="1" x14ac:dyDescent="0.25">
      <c r="A343" s="21">
        <v>342</v>
      </c>
      <c r="B343" s="7" t="s">
        <v>1420</v>
      </c>
      <c r="C343" s="7" t="s">
        <v>1421</v>
      </c>
      <c r="F343" t="s">
        <v>1409</v>
      </c>
      <c r="G343" s="8" t="s">
        <v>15</v>
      </c>
    </row>
    <row r="344" spans="1:7" hidden="1" x14ac:dyDescent="0.25">
      <c r="A344" s="21">
        <v>343</v>
      </c>
      <c r="B344" s="7" t="s">
        <v>1422</v>
      </c>
      <c r="C344" s="7" t="s">
        <v>1423</v>
      </c>
      <c r="F344" t="s">
        <v>1409</v>
      </c>
      <c r="G344" s="8" t="s">
        <v>15</v>
      </c>
    </row>
    <row r="345" spans="1:7" hidden="1" x14ac:dyDescent="0.25">
      <c r="A345" s="21">
        <v>344</v>
      </c>
      <c r="B345" s="7" t="s">
        <v>1424</v>
      </c>
      <c r="C345" s="7" t="s">
        <v>1425</v>
      </c>
      <c r="F345" t="s">
        <v>1409</v>
      </c>
      <c r="G345" s="8" t="s">
        <v>15</v>
      </c>
    </row>
    <row r="346" spans="1:7" hidden="1" x14ac:dyDescent="0.25">
      <c r="A346" s="21">
        <v>345</v>
      </c>
      <c r="B346" s="7" t="s">
        <v>1426</v>
      </c>
      <c r="C346" s="7" t="s">
        <v>1427</v>
      </c>
      <c r="F346" t="s">
        <v>1409</v>
      </c>
      <c r="G346" s="8" t="s">
        <v>15</v>
      </c>
    </row>
    <row r="347" spans="1:7" hidden="1" x14ac:dyDescent="0.25">
      <c r="A347" s="21">
        <v>346</v>
      </c>
      <c r="B347" s="7" t="s">
        <v>1428</v>
      </c>
      <c r="C347" s="7" t="s">
        <v>1429</v>
      </c>
      <c r="F347" t="s">
        <v>1409</v>
      </c>
      <c r="G347" s="8" t="s">
        <v>15</v>
      </c>
    </row>
    <row r="348" spans="1:7" hidden="1" x14ac:dyDescent="0.25">
      <c r="A348" s="21">
        <v>347</v>
      </c>
      <c r="B348" s="7" t="s">
        <v>1430</v>
      </c>
      <c r="C348" s="7" t="s">
        <v>1431</v>
      </c>
      <c r="F348" t="s">
        <v>1409</v>
      </c>
      <c r="G348" s="8" t="s">
        <v>15</v>
      </c>
    </row>
    <row r="349" spans="1:7" hidden="1" x14ac:dyDescent="0.25">
      <c r="A349" s="21">
        <v>348</v>
      </c>
      <c r="B349" s="7" t="s">
        <v>1432</v>
      </c>
      <c r="C349" s="7" t="s">
        <v>1433</v>
      </c>
      <c r="F349" t="s">
        <v>1409</v>
      </c>
      <c r="G349" s="8" t="s">
        <v>15</v>
      </c>
    </row>
    <row r="350" spans="1:7" hidden="1" x14ac:dyDescent="0.25">
      <c r="A350" s="21">
        <v>349</v>
      </c>
      <c r="B350" s="7" t="s">
        <v>1434</v>
      </c>
      <c r="C350" s="7" t="s">
        <v>1435</v>
      </c>
      <c r="F350" t="s">
        <v>1409</v>
      </c>
      <c r="G350" s="8" t="s">
        <v>15</v>
      </c>
    </row>
    <row r="351" spans="1:7" hidden="1" x14ac:dyDescent="0.25">
      <c r="A351" s="21">
        <v>350</v>
      </c>
      <c r="B351" s="7" t="s">
        <v>1436</v>
      </c>
      <c r="C351" s="7" t="s">
        <v>1437</v>
      </c>
      <c r="G351" s="8" t="s">
        <v>15</v>
      </c>
    </row>
    <row r="352" spans="1:7" hidden="1" x14ac:dyDescent="0.25">
      <c r="A352" s="21">
        <v>351</v>
      </c>
      <c r="B352" s="7" t="s">
        <v>1438</v>
      </c>
      <c r="C352" s="7" t="s">
        <v>1439</v>
      </c>
      <c r="F352" t="s">
        <v>1440</v>
      </c>
      <c r="G352" s="8" t="s">
        <v>15</v>
      </c>
    </row>
    <row r="353" spans="1:7" hidden="1" x14ac:dyDescent="0.25">
      <c r="A353" s="21">
        <v>352</v>
      </c>
      <c r="B353" s="7" t="s">
        <v>1441</v>
      </c>
      <c r="C353" s="7" t="s">
        <v>1442</v>
      </c>
      <c r="F353" t="s">
        <v>1440</v>
      </c>
      <c r="G353" s="8" t="s">
        <v>15</v>
      </c>
    </row>
    <row r="354" spans="1:7" hidden="1" x14ac:dyDescent="0.25">
      <c r="A354" s="21">
        <v>353</v>
      </c>
      <c r="B354" s="7" t="s">
        <v>1443</v>
      </c>
      <c r="C354" s="7" t="s">
        <v>1444</v>
      </c>
      <c r="F354" t="s">
        <v>1440</v>
      </c>
      <c r="G354" s="8" t="s">
        <v>15</v>
      </c>
    </row>
    <row r="355" spans="1:7" hidden="1" x14ac:dyDescent="0.25">
      <c r="A355" s="21">
        <v>354</v>
      </c>
      <c r="B355" s="7" t="s">
        <v>1445</v>
      </c>
      <c r="C355" s="7" t="s">
        <v>1446</v>
      </c>
      <c r="F355" t="s">
        <v>1440</v>
      </c>
      <c r="G355" s="8" t="s">
        <v>15</v>
      </c>
    </row>
    <row r="356" spans="1:7" hidden="1" x14ac:dyDescent="0.25">
      <c r="A356" s="21">
        <v>355</v>
      </c>
      <c r="B356" s="7" t="s">
        <v>1447</v>
      </c>
      <c r="C356" s="7" t="s">
        <v>1448</v>
      </c>
      <c r="G356" s="8" t="s">
        <v>15</v>
      </c>
    </row>
    <row r="357" spans="1:7" hidden="1" x14ac:dyDescent="0.25">
      <c r="A357" s="21">
        <v>356</v>
      </c>
      <c r="B357" s="7" t="s">
        <v>1449</v>
      </c>
      <c r="C357" s="7" t="s">
        <v>1450</v>
      </c>
      <c r="F357" t="s">
        <v>1451</v>
      </c>
      <c r="G357" s="8" t="s">
        <v>15</v>
      </c>
    </row>
    <row r="358" spans="1:7" hidden="1" x14ac:dyDescent="0.25">
      <c r="A358" s="21">
        <v>357</v>
      </c>
      <c r="B358" s="7" t="s">
        <v>1452</v>
      </c>
      <c r="C358" s="7" t="s">
        <v>1453</v>
      </c>
      <c r="F358" t="s">
        <v>1451</v>
      </c>
      <c r="G358" s="8" t="s">
        <v>15</v>
      </c>
    </row>
    <row r="359" spans="1:7" hidden="1" x14ac:dyDescent="0.25">
      <c r="A359" s="21">
        <v>358</v>
      </c>
      <c r="B359" s="7" t="s">
        <v>1454</v>
      </c>
      <c r="C359" s="7" t="s">
        <v>1455</v>
      </c>
      <c r="F359" t="s">
        <v>1456</v>
      </c>
      <c r="G359" s="8" t="s">
        <v>15</v>
      </c>
    </row>
    <row r="360" spans="1:7" hidden="1" x14ac:dyDescent="0.25">
      <c r="A360" s="21">
        <v>359</v>
      </c>
      <c r="B360" s="7" t="s">
        <v>1457</v>
      </c>
      <c r="C360" s="7" t="s">
        <v>1458</v>
      </c>
      <c r="F360" t="s">
        <v>1456</v>
      </c>
      <c r="G360" s="8" t="s">
        <v>15</v>
      </c>
    </row>
    <row r="361" spans="1:7" hidden="1" x14ac:dyDescent="0.25">
      <c r="A361" s="21">
        <v>360</v>
      </c>
      <c r="B361" s="7" t="s">
        <v>1459</v>
      </c>
      <c r="C361" s="7" t="s">
        <v>1460</v>
      </c>
      <c r="F361" t="s">
        <v>1456</v>
      </c>
      <c r="G361" s="8" t="s">
        <v>15</v>
      </c>
    </row>
    <row r="362" spans="1:7" hidden="1" x14ac:dyDescent="0.25">
      <c r="A362" s="21">
        <v>361</v>
      </c>
      <c r="B362" s="7" t="s">
        <v>1461</v>
      </c>
      <c r="C362" s="7" t="s">
        <v>1462</v>
      </c>
      <c r="F362" t="s">
        <v>1456</v>
      </c>
      <c r="G362" s="8" t="s">
        <v>15</v>
      </c>
    </row>
    <row r="363" spans="1:7" hidden="1" x14ac:dyDescent="0.25">
      <c r="A363" s="21">
        <v>362</v>
      </c>
      <c r="B363" s="7" t="s">
        <v>1463</v>
      </c>
      <c r="C363" s="7" t="s">
        <v>1464</v>
      </c>
      <c r="G363" s="8" t="s">
        <v>15</v>
      </c>
    </row>
    <row r="364" spans="1:7" hidden="1" x14ac:dyDescent="0.25">
      <c r="A364" s="21">
        <v>363</v>
      </c>
      <c r="B364" s="7" t="s">
        <v>1465</v>
      </c>
      <c r="C364" s="7" t="s">
        <v>1466</v>
      </c>
      <c r="G364" s="8" t="s">
        <v>15</v>
      </c>
    </row>
    <row r="365" spans="1:7" hidden="1" x14ac:dyDescent="0.25">
      <c r="A365" s="21">
        <v>364</v>
      </c>
      <c r="B365" s="7" t="s">
        <v>1467</v>
      </c>
      <c r="C365" s="7" t="s">
        <v>1468</v>
      </c>
      <c r="F365" t="s">
        <v>1469</v>
      </c>
      <c r="G365" s="8" t="s">
        <v>15</v>
      </c>
    </row>
    <row r="366" spans="1:7" hidden="1" x14ac:dyDescent="0.25">
      <c r="A366" s="21">
        <v>365</v>
      </c>
      <c r="B366" s="7" t="s">
        <v>1470</v>
      </c>
      <c r="C366" s="7" t="s">
        <v>1471</v>
      </c>
      <c r="F366" t="s">
        <v>1469</v>
      </c>
      <c r="G366" s="8" t="s">
        <v>15</v>
      </c>
    </row>
    <row r="367" spans="1:7" hidden="1" x14ac:dyDescent="0.25">
      <c r="A367" s="21">
        <v>366</v>
      </c>
      <c r="B367" s="7" t="s">
        <v>1472</v>
      </c>
      <c r="C367" s="7" t="s">
        <v>1473</v>
      </c>
      <c r="F367" t="s">
        <v>1474</v>
      </c>
      <c r="G367" s="8" t="s">
        <v>15</v>
      </c>
    </row>
    <row r="368" spans="1:7" hidden="1" x14ac:dyDescent="0.25">
      <c r="A368" s="21">
        <v>367</v>
      </c>
      <c r="B368" s="7" t="s">
        <v>1475</v>
      </c>
      <c r="C368" s="7" t="s">
        <v>1476</v>
      </c>
      <c r="F368" t="s">
        <v>1474</v>
      </c>
      <c r="G368" s="8" t="s">
        <v>15</v>
      </c>
    </row>
    <row r="369" spans="1:7" hidden="1" x14ac:dyDescent="0.25">
      <c r="A369" s="21">
        <v>368</v>
      </c>
      <c r="B369" s="7" t="s">
        <v>1477</v>
      </c>
      <c r="C369" s="7" t="s">
        <v>1478</v>
      </c>
      <c r="F369" t="s">
        <v>1479</v>
      </c>
      <c r="G369" s="8" t="s">
        <v>15</v>
      </c>
    </row>
    <row r="370" spans="1:7" hidden="1" x14ac:dyDescent="0.25">
      <c r="A370" s="21">
        <v>369</v>
      </c>
      <c r="B370" s="7" t="s">
        <v>1480</v>
      </c>
      <c r="C370" s="7" t="s">
        <v>1481</v>
      </c>
      <c r="F370" t="s">
        <v>1479</v>
      </c>
      <c r="G370" s="8" t="s">
        <v>15</v>
      </c>
    </row>
    <row r="371" spans="1:7" hidden="1" x14ac:dyDescent="0.25">
      <c r="A371" s="21">
        <v>370</v>
      </c>
      <c r="B371" s="7" t="s">
        <v>1482</v>
      </c>
      <c r="C371" s="7" t="s">
        <v>1483</v>
      </c>
      <c r="G371" s="8" t="s">
        <v>15</v>
      </c>
    </row>
    <row r="372" spans="1:7" hidden="1" x14ac:dyDescent="0.25">
      <c r="A372" s="21">
        <v>371</v>
      </c>
      <c r="B372" s="7" t="s">
        <v>1484</v>
      </c>
      <c r="C372" s="7" t="s">
        <v>1485</v>
      </c>
      <c r="G372" s="8" t="s">
        <v>15</v>
      </c>
    </row>
    <row r="373" spans="1:7" hidden="1" x14ac:dyDescent="0.25">
      <c r="A373" s="21">
        <v>372</v>
      </c>
      <c r="B373" s="7" t="s">
        <v>1486</v>
      </c>
      <c r="C373" s="7" t="s">
        <v>1487</v>
      </c>
      <c r="G373" s="8" t="s">
        <v>15</v>
      </c>
    </row>
    <row r="374" spans="1:7" hidden="1" x14ac:dyDescent="0.25">
      <c r="A374" s="21">
        <v>373</v>
      </c>
      <c r="B374" s="7" t="s">
        <v>1488</v>
      </c>
      <c r="C374" s="7" t="s">
        <v>1489</v>
      </c>
      <c r="G374" s="8" t="s">
        <v>15</v>
      </c>
    </row>
    <row r="375" spans="1:7" hidden="1" x14ac:dyDescent="0.25">
      <c r="A375" s="21">
        <v>374</v>
      </c>
      <c r="B375" s="7" t="s">
        <v>1490</v>
      </c>
      <c r="C375" s="7" t="s">
        <v>1491</v>
      </c>
      <c r="G375" s="8" t="s">
        <v>15</v>
      </c>
    </row>
    <row r="376" spans="1:7" hidden="1" x14ac:dyDescent="0.25">
      <c r="A376" s="21">
        <v>375</v>
      </c>
      <c r="B376" s="7" t="s">
        <v>1492</v>
      </c>
      <c r="C376" s="7" t="s">
        <v>1493</v>
      </c>
      <c r="G376" s="8" t="s">
        <v>15</v>
      </c>
    </row>
    <row r="377" spans="1:7" hidden="1" x14ac:dyDescent="0.25">
      <c r="A377" s="21">
        <v>376</v>
      </c>
      <c r="B377" s="7" t="s">
        <v>1494</v>
      </c>
      <c r="C377" s="7" t="s">
        <v>1495</v>
      </c>
      <c r="G377" s="8" t="s">
        <v>15</v>
      </c>
    </row>
    <row r="378" spans="1:7" hidden="1" x14ac:dyDescent="0.25">
      <c r="A378" s="21">
        <v>377</v>
      </c>
      <c r="B378" s="7" t="s">
        <v>1496</v>
      </c>
      <c r="C378" s="7" t="s">
        <v>1497</v>
      </c>
      <c r="G378" s="8" t="s">
        <v>15</v>
      </c>
    </row>
    <row r="379" spans="1:7" hidden="1" x14ac:dyDescent="0.25">
      <c r="A379" s="21">
        <v>378</v>
      </c>
      <c r="B379" s="7" t="s">
        <v>1498</v>
      </c>
      <c r="C379" s="7" t="s">
        <v>1499</v>
      </c>
      <c r="G379" s="8" t="s">
        <v>15</v>
      </c>
    </row>
    <row r="380" spans="1:7" hidden="1" x14ac:dyDescent="0.25">
      <c r="A380" s="21">
        <v>379</v>
      </c>
      <c r="B380" s="7" t="s">
        <v>1500</v>
      </c>
      <c r="C380" s="7" t="s">
        <v>1501</v>
      </c>
      <c r="G380" s="8" t="s">
        <v>15</v>
      </c>
    </row>
    <row r="381" spans="1:7" hidden="1" x14ac:dyDescent="0.25">
      <c r="A381" s="21">
        <v>380</v>
      </c>
      <c r="B381" s="7" t="s">
        <v>1502</v>
      </c>
      <c r="C381" s="7" t="s">
        <v>1503</v>
      </c>
      <c r="G381" s="8" t="s">
        <v>15</v>
      </c>
    </row>
    <row r="382" spans="1:7" hidden="1" x14ac:dyDescent="0.25">
      <c r="A382" s="21">
        <v>381</v>
      </c>
      <c r="B382" s="7" t="s">
        <v>1504</v>
      </c>
      <c r="C382" s="7" t="s">
        <v>1505</v>
      </c>
      <c r="G382" s="8" t="s">
        <v>15</v>
      </c>
    </row>
    <row r="383" spans="1:7" hidden="1" x14ac:dyDescent="0.25">
      <c r="A383" s="21">
        <v>382</v>
      </c>
      <c r="B383" s="7" t="s">
        <v>1506</v>
      </c>
      <c r="C383" s="7" t="s">
        <v>1507</v>
      </c>
      <c r="G383" s="8" t="s">
        <v>15</v>
      </c>
    </row>
    <row r="384" spans="1:7" hidden="1" x14ac:dyDescent="0.25">
      <c r="A384" s="21">
        <v>383</v>
      </c>
      <c r="B384" s="7" t="s">
        <v>1508</v>
      </c>
      <c r="C384" s="7" t="s">
        <v>1509</v>
      </c>
      <c r="G384" s="8" t="s">
        <v>15</v>
      </c>
    </row>
    <row r="385" spans="1:8" hidden="1" x14ac:dyDescent="0.25">
      <c r="A385" s="21">
        <v>384</v>
      </c>
      <c r="B385" s="7" t="s">
        <v>1510</v>
      </c>
      <c r="C385" s="7" t="s">
        <v>1511</v>
      </c>
      <c r="G385" s="8" t="s">
        <v>15</v>
      </c>
    </row>
    <row r="386" spans="1:8" hidden="1" x14ac:dyDescent="0.25">
      <c r="A386" s="21">
        <v>385</v>
      </c>
      <c r="B386" s="7" t="s">
        <v>1512</v>
      </c>
      <c r="C386" s="7" t="s">
        <v>1513</v>
      </c>
      <c r="G386" s="8" t="s">
        <v>15</v>
      </c>
    </row>
    <row r="387" spans="1:8" hidden="1" x14ac:dyDescent="0.25">
      <c r="A387" s="21">
        <v>386</v>
      </c>
      <c r="B387" s="7" t="s">
        <v>1514</v>
      </c>
      <c r="C387" s="7" t="s">
        <v>1515</v>
      </c>
      <c r="G387" s="8" t="s">
        <v>15</v>
      </c>
    </row>
    <row r="388" spans="1:8" hidden="1" x14ac:dyDescent="0.25">
      <c r="A388" s="21">
        <v>387</v>
      </c>
      <c r="B388" s="7" t="s">
        <v>1516</v>
      </c>
      <c r="C388" s="7" t="s">
        <v>1517</v>
      </c>
      <c r="G388" s="8" t="s">
        <v>15</v>
      </c>
    </row>
    <row r="389" spans="1:8" hidden="1" x14ac:dyDescent="0.25">
      <c r="A389" s="21">
        <v>388</v>
      </c>
      <c r="B389" s="7" t="s">
        <v>1518</v>
      </c>
      <c r="C389" s="7" t="s">
        <v>1519</v>
      </c>
      <c r="G389" s="8" t="s">
        <v>15</v>
      </c>
    </row>
    <row r="390" spans="1:8" hidden="1" x14ac:dyDescent="0.25">
      <c r="A390" s="21">
        <v>389</v>
      </c>
      <c r="B390" s="7" t="s">
        <v>1520</v>
      </c>
      <c r="C390" s="7" t="s">
        <v>1521</v>
      </c>
      <c r="F390" t="s">
        <v>1522</v>
      </c>
      <c r="G390" s="8" t="s">
        <v>15</v>
      </c>
    </row>
    <row r="391" spans="1:8" hidden="1" x14ac:dyDescent="0.25">
      <c r="A391" s="21">
        <v>390</v>
      </c>
      <c r="B391" s="7" t="s">
        <v>1523</v>
      </c>
      <c r="C391" s="7" t="s">
        <v>1524</v>
      </c>
      <c r="F391" t="s">
        <v>1522</v>
      </c>
      <c r="G391" s="8" t="s">
        <v>15</v>
      </c>
    </row>
    <row r="392" spans="1:8" hidden="1" x14ac:dyDescent="0.25">
      <c r="A392" s="21">
        <v>391</v>
      </c>
      <c r="B392" s="7" t="s">
        <v>1525</v>
      </c>
      <c r="C392" s="7" t="s">
        <v>1526</v>
      </c>
      <c r="F392" t="s">
        <v>1522</v>
      </c>
      <c r="G392" s="8" t="s">
        <v>15</v>
      </c>
    </row>
    <row r="393" spans="1:8" hidden="1" x14ac:dyDescent="0.25">
      <c r="A393" s="21">
        <v>392</v>
      </c>
      <c r="B393" s="7" t="s">
        <v>1527</v>
      </c>
      <c r="C393" s="7" t="s">
        <v>1528</v>
      </c>
      <c r="F393" t="s">
        <v>1522</v>
      </c>
      <c r="G393" s="8" t="s">
        <v>15</v>
      </c>
    </row>
    <row r="394" spans="1:8" hidden="1" x14ac:dyDescent="0.25">
      <c r="A394" s="21">
        <v>393</v>
      </c>
      <c r="B394" s="7" t="s">
        <v>1529</v>
      </c>
      <c r="C394" s="7" t="s">
        <v>1530</v>
      </c>
      <c r="F394" t="s">
        <v>1522</v>
      </c>
      <c r="G394" s="8" t="s">
        <v>15</v>
      </c>
    </row>
    <row r="395" spans="1:8" hidden="1" x14ac:dyDescent="0.25">
      <c r="A395" s="21">
        <v>394</v>
      </c>
      <c r="B395" s="7" t="s">
        <v>1531</v>
      </c>
      <c r="C395" s="7" t="s">
        <v>1532</v>
      </c>
      <c r="G395" s="8" t="s">
        <v>15</v>
      </c>
    </row>
    <row r="396" spans="1:8" hidden="1" x14ac:dyDescent="0.25">
      <c r="A396" s="21">
        <v>395</v>
      </c>
      <c r="B396" s="7" t="s">
        <v>1533</v>
      </c>
      <c r="C396" s="7" t="s">
        <v>1534</v>
      </c>
      <c r="G396" s="8" t="s">
        <v>15</v>
      </c>
      <c r="H396" t="str">
        <f>_xlfn.XLOOKUP(B396,Data!T:T,Data!F:F)</f>
        <v>Pack of 6 Amps</v>
      </c>
    </row>
    <row r="397" spans="1:8" hidden="1" x14ac:dyDescent="0.25">
      <c r="A397" s="21">
        <v>396</v>
      </c>
      <c r="B397" s="7" t="s">
        <v>1535</v>
      </c>
      <c r="C397" s="7" t="s">
        <v>1536</v>
      </c>
      <c r="G397" s="8" t="s">
        <v>15</v>
      </c>
    </row>
    <row r="398" spans="1:8" hidden="1" x14ac:dyDescent="0.25">
      <c r="A398" s="21">
        <v>397</v>
      </c>
      <c r="B398" s="7" t="s">
        <v>1537</v>
      </c>
      <c r="C398" s="7" t="s">
        <v>1538</v>
      </c>
      <c r="G398" s="8" t="s">
        <v>15</v>
      </c>
    </row>
    <row r="399" spans="1:8" hidden="1" x14ac:dyDescent="0.25">
      <c r="A399" s="21">
        <v>398</v>
      </c>
      <c r="B399" s="7" t="s">
        <v>1539</v>
      </c>
      <c r="C399" s="7" t="s">
        <v>1540</v>
      </c>
      <c r="G399" s="8" t="s">
        <v>15</v>
      </c>
    </row>
    <row r="400" spans="1:8" hidden="1" x14ac:dyDescent="0.25">
      <c r="A400" s="21">
        <v>399</v>
      </c>
      <c r="B400" s="7" t="s">
        <v>1541</v>
      </c>
      <c r="C400" s="7" t="s">
        <v>1542</v>
      </c>
      <c r="G400" s="8" t="s">
        <v>15</v>
      </c>
    </row>
    <row r="401" spans="1:7" hidden="1" x14ac:dyDescent="0.25">
      <c r="A401" s="21">
        <v>400</v>
      </c>
      <c r="B401" s="7" t="s">
        <v>1543</v>
      </c>
      <c r="C401" s="7" t="s">
        <v>1544</v>
      </c>
      <c r="G401" s="8" t="s">
        <v>15</v>
      </c>
    </row>
    <row r="402" spans="1:7" hidden="1" x14ac:dyDescent="0.25">
      <c r="A402" s="21">
        <v>401</v>
      </c>
      <c r="B402" s="7" t="s">
        <v>1545</v>
      </c>
      <c r="C402" s="7" t="s">
        <v>1546</v>
      </c>
      <c r="F402" t="s">
        <v>1194</v>
      </c>
      <c r="G402" s="8" t="s">
        <v>15</v>
      </c>
    </row>
    <row r="403" spans="1:7" hidden="1" x14ac:dyDescent="0.25">
      <c r="A403" s="21">
        <v>402</v>
      </c>
      <c r="B403" s="7" t="s">
        <v>1547</v>
      </c>
      <c r="C403" s="7" t="s">
        <v>1548</v>
      </c>
      <c r="G403" s="8" t="s">
        <v>15</v>
      </c>
    </row>
    <row r="404" spans="1:7" hidden="1" x14ac:dyDescent="0.25">
      <c r="A404" s="21">
        <v>403</v>
      </c>
      <c r="B404" s="7" t="s">
        <v>1549</v>
      </c>
      <c r="C404" s="7" t="s">
        <v>1550</v>
      </c>
      <c r="F404" t="s">
        <v>1551</v>
      </c>
      <c r="G404" s="8" t="s">
        <v>15</v>
      </c>
    </row>
    <row r="405" spans="1:7" hidden="1" x14ac:dyDescent="0.25">
      <c r="A405" s="21">
        <v>404</v>
      </c>
      <c r="B405" s="7" t="s">
        <v>1552</v>
      </c>
      <c r="C405" s="7" t="s">
        <v>1553</v>
      </c>
      <c r="F405" t="s">
        <v>1551</v>
      </c>
      <c r="G405" s="8" t="s">
        <v>15</v>
      </c>
    </row>
    <row r="406" spans="1:7" hidden="1" x14ac:dyDescent="0.25">
      <c r="A406" s="21">
        <v>405</v>
      </c>
      <c r="B406" s="7" t="s">
        <v>1554</v>
      </c>
      <c r="C406" s="7" t="s">
        <v>1555</v>
      </c>
      <c r="F406" t="s">
        <v>1556</v>
      </c>
      <c r="G406" s="8" t="s">
        <v>15</v>
      </c>
    </row>
    <row r="407" spans="1:7" hidden="1" x14ac:dyDescent="0.25">
      <c r="A407" s="21">
        <v>406</v>
      </c>
      <c r="B407" s="7" t="s">
        <v>1557</v>
      </c>
      <c r="C407" s="7" t="s">
        <v>1558</v>
      </c>
      <c r="F407" t="s">
        <v>1556</v>
      </c>
      <c r="G407" s="8" t="s">
        <v>15</v>
      </c>
    </row>
    <row r="408" spans="1:7" hidden="1" x14ac:dyDescent="0.25">
      <c r="A408" s="21">
        <v>407</v>
      </c>
      <c r="B408" s="7" t="s">
        <v>1559</v>
      </c>
      <c r="C408" s="7" t="s">
        <v>1560</v>
      </c>
      <c r="F408" t="s">
        <v>1556</v>
      </c>
      <c r="G408" s="8" t="s">
        <v>15</v>
      </c>
    </row>
    <row r="409" spans="1:7" hidden="1" x14ac:dyDescent="0.25">
      <c r="A409" s="21">
        <v>408</v>
      </c>
      <c r="B409" s="7" t="s">
        <v>1561</v>
      </c>
      <c r="C409" s="7" t="s">
        <v>1562</v>
      </c>
      <c r="G409" s="8" t="s">
        <v>15</v>
      </c>
    </row>
    <row r="410" spans="1:7" hidden="1" x14ac:dyDescent="0.25">
      <c r="A410" s="21">
        <v>409</v>
      </c>
      <c r="B410" s="7" t="s">
        <v>1563</v>
      </c>
      <c r="C410" s="7" t="s">
        <v>1564</v>
      </c>
      <c r="G410" s="8" t="s">
        <v>15</v>
      </c>
    </row>
    <row r="411" spans="1:7" hidden="1" x14ac:dyDescent="0.25">
      <c r="A411" s="21">
        <v>410</v>
      </c>
      <c r="B411" s="7" t="s">
        <v>1565</v>
      </c>
      <c r="C411" s="7" t="s">
        <v>1566</v>
      </c>
      <c r="G411" s="8" t="s">
        <v>15</v>
      </c>
    </row>
    <row r="412" spans="1:7" hidden="1" x14ac:dyDescent="0.25">
      <c r="A412" s="21">
        <v>411</v>
      </c>
      <c r="B412" s="7" t="s">
        <v>1567</v>
      </c>
      <c r="C412" s="7" t="s">
        <v>1568</v>
      </c>
      <c r="G412" s="8" t="s">
        <v>15</v>
      </c>
    </row>
    <row r="413" spans="1:7" hidden="1" x14ac:dyDescent="0.25">
      <c r="A413" s="21">
        <v>412</v>
      </c>
      <c r="B413" s="7" t="s">
        <v>1569</v>
      </c>
      <c r="C413" s="7" t="s">
        <v>1570</v>
      </c>
      <c r="G413" s="8" t="s">
        <v>15</v>
      </c>
    </row>
    <row r="414" spans="1:7" hidden="1" x14ac:dyDescent="0.25">
      <c r="A414" s="21">
        <v>413</v>
      </c>
      <c r="B414" s="7" t="s">
        <v>1571</v>
      </c>
      <c r="C414" s="7" t="s">
        <v>1572</v>
      </c>
      <c r="G414" s="8" t="s">
        <v>15</v>
      </c>
    </row>
    <row r="415" spans="1:7" hidden="1" x14ac:dyDescent="0.25">
      <c r="A415" s="21">
        <v>414</v>
      </c>
      <c r="B415" s="7" t="s">
        <v>1573</v>
      </c>
      <c r="C415" s="7" t="s">
        <v>1574</v>
      </c>
      <c r="G415" s="8" t="s">
        <v>15</v>
      </c>
    </row>
    <row r="416" spans="1:7" hidden="1" x14ac:dyDescent="0.25">
      <c r="A416" s="21">
        <v>415</v>
      </c>
      <c r="B416" s="7" t="s">
        <v>1575</v>
      </c>
      <c r="C416" s="7" t="s">
        <v>1576</v>
      </c>
      <c r="G416" s="8" t="s">
        <v>15</v>
      </c>
    </row>
    <row r="417" spans="1:7" hidden="1" x14ac:dyDescent="0.25">
      <c r="A417" s="21">
        <v>416</v>
      </c>
      <c r="B417" s="7" t="s">
        <v>1577</v>
      </c>
      <c r="C417" s="7" t="s">
        <v>1578</v>
      </c>
      <c r="G417" s="8" t="s">
        <v>15</v>
      </c>
    </row>
    <row r="418" spans="1:7" hidden="1" x14ac:dyDescent="0.25">
      <c r="A418" s="21">
        <v>417</v>
      </c>
      <c r="B418" s="7" t="s">
        <v>1579</v>
      </c>
      <c r="C418" s="7" t="s">
        <v>1580</v>
      </c>
      <c r="G418" s="8" t="s">
        <v>15</v>
      </c>
    </row>
    <row r="419" spans="1:7" hidden="1" x14ac:dyDescent="0.25">
      <c r="A419" s="21">
        <v>418</v>
      </c>
      <c r="B419" s="7" t="s">
        <v>1581</v>
      </c>
      <c r="C419" s="7" t="s">
        <v>1582</v>
      </c>
      <c r="F419" t="s">
        <v>183</v>
      </c>
      <c r="G419" s="8" t="s">
        <v>15</v>
      </c>
    </row>
    <row r="420" spans="1:7" hidden="1" x14ac:dyDescent="0.25">
      <c r="A420" s="21">
        <v>419</v>
      </c>
      <c r="B420" s="7" t="s">
        <v>1583</v>
      </c>
      <c r="C420" s="7" t="s">
        <v>1584</v>
      </c>
      <c r="G420" s="8" t="s">
        <v>15</v>
      </c>
    </row>
    <row r="421" spans="1:7" hidden="1" x14ac:dyDescent="0.25">
      <c r="A421" s="21">
        <v>420</v>
      </c>
      <c r="B421" s="7" t="s">
        <v>1585</v>
      </c>
      <c r="C421" s="7" t="s">
        <v>1586</v>
      </c>
      <c r="G421" s="8" t="s">
        <v>15</v>
      </c>
    </row>
    <row r="422" spans="1:7" hidden="1" x14ac:dyDescent="0.25">
      <c r="A422" s="21">
        <v>421</v>
      </c>
      <c r="B422" s="7" t="s">
        <v>1587</v>
      </c>
      <c r="C422" s="7" t="s">
        <v>1588</v>
      </c>
      <c r="G422" s="8" t="s">
        <v>15</v>
      </c>
    </row>
    <row r="423" spans="1:7" hidden="1" x14ac:dyDescent="0.25">
      <c r="A423" s="21">
        <v>422</v>
      </c>
      <c r="B423" s="7" t="s">
        <v>1589</v>
      </c>
      <c r="C423" s="7" t="s">
        <v>1590</v>
      </c>
      <c r="G423" s="8" t="s">
        <v>15</v>
      </c>
    </row>
    <row r="424" spans="1:7" hidden="1" x14ac:dyDescent="0.25">
      <c r="A424" s="21">
        <v>423</v>
      </c>
      <c r="B424" s="7" t="s">
        <v>1591</v>
      </c>
      <c r="C424" s="7" t="s">
        <v>1592</v>
      </c>
      <c r="F424" s="8" t="s">
        <v>253</v>
      </c>
      <c r="G424" s="8" t="s">
        <v>15</v>
      </c>
    </row>
    <row r="425" spans="1:7" hidden="1" x14ac:dyDescent="0.25">
      <c r="A425" s="21">
        <v>424</v>
      </c>
      <c r="B425" s="7" t="s">
        <v>1593</v>
      </c>
      <c r="C425" s="7" t="s">
        <v>1594</v>
      </c>
      <c r="F425" s="8" t="s">
        <v>33</v>
      </c>
      <c r="G425" s="8" t="s">
        <v>15</v>
      </c>
    </row>
    <row r="426" spans="1:7" hidden="1" x14ac:dyDescent="0.25">
      <c r="A426" s="21">
        <v>425</v>
      </c>
      <c r="B426" s="7" t="s">
        <v>1595</v>
      </c>
      <c r="C426" s="7" t="s">
        <v>1596</v>
      </c>
      <c r="G426" s="8" t="s">
        <v>15</v>
      </c>
    </row>
    <row r="427" spans="1:7" hidden="1" x14ac:dyDescent="0.25">
      <c r="A427" s="21">
        <v>426</v>
      </c>
      <c r="B427" s="7" t="s">
        <v>1597</v>
      </c>
      <c r="C427" s="7" t="s">
        <v>1598</v>
      </c>
      <c r="G427" s="8" t="s">
        <v>15</v>
      </c>
    </row>
    <row r="428" spans="1:7" hidden="1" x14ac:dyDescent="0.25">
      <c r="A428" s="21">
        <v>427</v>
      </c>
      <c r="B428" s="7" t="s">
        <v>1599</v>
      </c>
      <c r="C428" s="7" t="s">
        <v>1600</v>
      </c>
      <c r="G428" s="8" t="s">
        <v>15</v>
      </c>
    </row>
    <row r="429" spans="1:7" hidden="1" x14ac:dyDescent="0.25">
      <c r="A429" s="21">
        <v>428</v>
      </c>
      <c r="B429" s="7" t="s">
        <v>1601</v>
      </c>
      <c r="C429" s="7" t="s">
        <v>1602</v>
      </c>
      <c r="F429" t="s">
        <v>1603</v>
      </c>
      <c r="G429" s="8" t="s">
        <v>15</v>
      </c>
    </row>
    <row r="430" spans="1:7" hidden="1" x14ac:dyDescent="0.25">
      <c r="A430" s="21">
        <v>429</v>
      </c>
      <c r="B430" s="7" t="s">
        <v>1604</v>
      </c>
      <c r="C430" s="7" t="s">
        <v>1605</v>
      </c>
      <c r="F430" t="s">
        <v>1603</v>
      </c>
      <c r="G430" s="8" t="s">
        <v>15</v>
      </c>
    </row>
    <row r="431" spans="1:7" hidden="1" x14ac:dyDescent="0.25">
      <c r="A431" s="21">
        <v>430</v>
      </c>
      <c r="B431" s="7" t="s">
        <v>1606</v>
      </c>
      <c r="C431" s="7" t="s">
        <v>1607</v>
      </c>
      <c r="F431" t="s">
        <v>1603</v>
      </c>
      <c r="G431" s="8" t="s">
        <v>15</v>
      </c>
    </row>
    <row r="432" spans="1:7" hidden="1" x14ac:dyDescent="0.25">
      <c r="A432" s="21">
        <v>431</v>
      </c>
      <c r="B432" s="7" t="s">
        <v>1608</v>
      </c>
      <c r="C432" s="7" t="s">
        <v>1609</v>
      </c>
      <c r="F432" t="s">
        <v>1603</v>
      </c>
      <c r="G432" s="8" t="s">
        <v>15</v>
      </c>
    </row>
    <row r="433" spans="1:7" hidden="1" x14ac:dyDescent="0.25">
      <c r="A433" s="21">
        <v>432</v>
      </c>
      <c r="B433" s="7" t="s">
        <v>1610</v>
      </c>
      <c r="C433" s="7" t="s">
        <v>1611</v>
      </c>
      <c r="F433" t="s">
        <v>1603</v>
      </c>
      <c r="G433" s="8" t="s">
        <v>15</v>
      </c>
    </row>
    <row r="434" spans="1:7" hidden="1" x14ac:dyDescent="0.25">
      <c r="A434" s="21">
        <v>433</v>
      </c>
      <c r="B434" s="7" t="s">
        <v>1612</v>
      </c>
      <c r="C434" s="7" t="s">
        <v>1613</v>
      </c>
      <c r="F434" t="s">
        <v>1603</v>
      </c>
      <c r="G434" s="8" t="s">
        <v>15</v>
      </c>
    </row>
    <row r="435" spans="1:7" hidden="1" x14ac:dyDescent="0.25">
      <c r="A435" s="21">
        <v>434</v>
      </c>
      <c r="B435" s="7" t="s">
        <v>1614</v>
      </c>
      <c r="C435" s="7" t="s">
        <v>1615</v>
      </c>
      <c r="F435" t="s">
        <v>1603</v>
      </c>
      <c r="G435" s="8" t="s">
        <v>15</v>
      </c>
    </row>
    <row r="436" spans="1:7" hidden="1" x14ac:dyDescent="0.25">
      <c r="A436" s="21">
        <v>435</v>
      </c>
      <c r="B436" s="7" t="s">
        <v>1616</v>
      </c>
      <c r="C436" s="7" t="s">
        <v>1617</v>
      </c>
      <c r="F436" t="s">
        <v>1603</v>
      </c>
      <c r="G436" s="8" t="s">
        <v>15</v>
      </c>
    </row>
    <row r="437" spans="1:7" hidden="1" x14ac:dyDescent="0.25">
      <c r="A437" s="21">
        <v>436</v>
      </c>
      <c r="B437" s="7" t="s">
        <v>1618</v>
      </c>
      <c r="C437" s="7" t="s">
        <v>1619</v>
      </c>
      <c r="F437" t="s">
        <v>1603</v>
      </c>
      <c r="G437" s="8" t="s">
        <v>15</v>
      </c>
    </row>
    <row r="438" spans="1:7" hidden="1" x14ac:dyDescent="0.25">
      <c r="A438" s="21">
        <v>437</v>
      </c>
      <c r="B438" s="7" t="s">
        <v>1620</v>
      </c>
      <c r="C438" s="7" t="s">
        <v>1621</v>
      </c>
      <c r="F438" t="s">
        <v>1603</v>
      </c>
      <c r="G438" s="8" t="s">
        <v>15</v>
      </c>
    </row>
    <row r="439" spans="1:7" hidden="1" x14ac:dyDescent="0.25">
      <c r="A439" s="21">
        <v>438</v>
      </c>
      <c r="B439" s="7" t="s">
        <v>1622</v>
      </c>
      <c r="C439" s="7" t="s">
        <v>1623</v>
      </c>
      <c r="F439" t="s">
        <v>1603</v>
      </c>
      <c r="G439" s="8" t="s">
        <v>15</v>
      </c>
    </row>
    <row r="440" spans="1:7" hidden="1" x14ac:dyDescent="0.25">
      <c r="A440" s="21">
        <v>439</v>
      </c>
      <c r="B440" s="7" t="s">
        <v>1624</v>
      </c>
      <c r="C440" s="7" t="s">
        <v>1625</v>
      </c>
      <c r="F440" t="s">
        <v>1603</v>
      </c>
      <c r="G440" s="8" t="s">
        <v>15</v>
      </c>
    </row>
    <row r="441" spans="1:7" hidden="1" x14ac:dyDescent="0.25">
      <c r="A441" s="21">
        <v>440</v>
      </c>
      <c r="B441" s="7" t="s">
        <v>1626</v>
      </c>
      <c r="C441" s="7" t="s">
        <v>1627</v>
      </c>
      <c r="F441" t="s">
        <v>1603</v>
      </c>
      <c r="G441" s="8" t="s">
        <v>15</v>
      </c>
    </row>
    <row r="442" spans="1:7" hidden="1" x14ac:dyDescent="0.25">
      <c r="A442" s="21">
        <v>441</v>
      </c>
      <c r="B442" s="7" t="s">
        <v>1628</v>
      </c>
      <c r="C442" s="7" t="s">
        <v>1629</v>
      </c>
      <c r="F442" t="s">
        <v>1603</v>
      </c>
      <c r="G442" s="8" t="s">
        <v>15</v>
      </c>
    </row>
    <row r="443" spans="1:7" hidden="1" x14ac:dyDescent="0.25">
      <c r="A443" s="21">
        <v>442</v>
      </c>
      <c r="B443" s="7" t="s">
        <v>1630</v>
      </c>
      <c r="C443" s="7" t="s">
        <v>1631</v>
      </c>
      <c r="F443" t="s">
        <v>1603</v>
      </c>
      <c r="G443" s="8" t="s">
        <v>15</v>
      </c>
    </row>
    <row r="444" spans="1:7" hidden="1" x14ac:dyDescent="0.25">
      <c r="A444" s="21">
        <v>443</v>
      </c>
      <c r="B444" s="7" t="s">
        <v>1632</v>
      </c>
      <c r="C444" s="7" t="s">
        <v>1633</v>
      </c>
      <c r="F444" t="s">
        <v>1603</v>
      </c>
      <c r="G444" s="8" t="s">
        <v>15</v>
      </c>
    </row>
    <row r="445" spans="1:7" hidden="1" x14ac:dyDescent="0.25">
      <c r="A445" s="21">
        <v>444</v>
      </c>
      <c r="B445" s="7" t="s">
        <v>1634</v>
      </c>
      <c r="C445" s="7" t="s">
        <v>1635</v>
      </c>
      <c r="F445" t="s">
        <v>1603</v>
      </c>
      <c r="G445" s="8" t="s">
        <v>15</v>
      </c>
    </row>
    <row r="446" spans="1:7" hidden="1" x14ac:dyDescent="0.25">
      <c r="A446" s="21">
        <v>445</v>
      </c>
      <c r="B446" s="7" t="s">
        <v>1636</v>
      </c>
      <c r="C446" s="7" t="s">
        <v>1637</v>
      </c>
      <c r="F446" t="s">
        <v>1603</v>
      </c>
      <c r="G446" s="8" t="s">
        <v>15</v>
      </c>
    </row>
    <row r="447" spans="1:7" hidden="1" x14ac:dyDescent="0.25">
      <c r="A447" s="21">
        <v>446</v>
      </c>
      <c r="B447" s="7" t="s">
        <v>1638</v>
      </c>
      <c r="C447" s="7" t="s">
        <v>1639</v>
      </c>
      <c r="F447" t="s">
        <v>1603</v>
      </c>
      <c r="G447" s="8" t="s">
        <v>15</v>
      </c>
    </row>
    <row r="448" spans="1:7" hidden="1" x14ac:dyDescent="0.25">
      <c r="A448" s="21">
        <v>447</v>
      </c>
      <c r="B448" s="7" t="s">
        <v>1640</v>
      </c>
      <c r="C448" s="7" t="s">
        <v>1641</v>
      </c>
      <c r="F448" t="s">
        <v>1603</v>
      </c>
      <c r="G448" s="8" t="s">
        <v>15</v>
      </c>
    </row>
    <row r="449" spans="1:7" hidden="1" x14ac:dyDescent="0.25">
      <c r="A449" s="21">
        <v>448</v>
      </c>
      <c r="B449" s="7" t="s">
        <v>1642</v>
      </c>
      <c r="C449" s="7" t="s">
        <v>1643</v>
      </c>
      <c r="F449" t="s">
        <v>1603</v>
      </c>
      <c r="G449" s="8" t="s">
        <v>15</v>
      </c>
    </row>
    <row r="450" spans="1:7" hidden="1" x14ac:dyDescent="0.25">
      <c r="A450" s="21">
        <v>449</v>
      </c>
      <c r="B450" s="7" t="s">
        <v>1644</v>
      </c>
      <c r="C450" s="7" t="s">
        <v>1645</v>
      </c>
      <c r="F450" t="s">
        <v>1603</v>
      </c>
      <c r="G450" s="8" t="s">
        <v>15</v>
      </c>
    </row>
    <row r="451" spans="1:7" hidden="1" x14ac:dyDescent="0.25">
      <c r="A451" s="21">
        <v>450</v>
      </c>
      <c r="B451" s="7" t="s">
        <v>1646</v>
      </c>
      <c r="C451" s="7" t="s">
        <v>1647</v>
      </c>
      <c r="F451" t="s">
        <v>1603</v>
      </c>
      <c r="G451" s="8" t="s">
        <v>15</v>
      </c>
    </row>
    <row r="452" spans="1:7" hidden="1" x14ac:dyDescent="0.25">
      <c r="A452" s="21">
        <v>451</v>
      </c>
      <c r="B452" s="7" t="s">
        <v>1648</v>
      </c>
      <c r="C452" s="7" t="s">
        <v>1649</v>
      </c>
      <c r="F452" t="s">
        <v>1603</v>
      </c>
      <c r="G452" s="8" t="s">
        <v>15</v>
      </c>
    </row>
    <row r="453" spans="1:7" hidden="1" x14ac:dyDescent="0.25">
      <c r="A453" s="21">
        <v>452</v>
      </c>
      <c r="B453" s="7" t="s">
        <v>1650</v>
      </c>
      <c r="C453" s="7" t="s">
        <v>1651</v>
      </c>
      <c r="F453" t="s">
        <v>1603</v>
      </c>
      <c r="G453" s="8" t="s">
        <v>15</v>
      </c>
    </row>
    <row r="454" spans="1:7" hidden="1" x14ac:dyDescent="0.25">
      <c r="A454" s="21">
        <v>453</v>
      </c>
      <c r="B454" s="7" t="s">
        <v>1652</v>
      </c>
      <c r="C454" s="7" t="s">
        <v>1653</v>
      </c>
      <c r="F454" t="s">
        <v>1603</v>
      </c>
      <c r="G454" s="8" t="s">
        <v>15</v>
      </c>
    </row>
    <row r="455" spans="1:7" hidden="1" x14ac:dyDescent="0.25">
      <c r="A455" s="21">
        <v>454</v>
      </c>
      <c r="B455" s="7" t="s">
        <v>1654</v>
      </c>
      <c r="C455" s="7" t="s">
        <v>1655</v>
      </c>
      <c r="F455" t="s">
        <v>1603</v>
      </c>
      <c r="G455" s="8" t="s">
        <v>15</v>
      </c>
    </row>
    <row r="456" spans="1:7" hidden="1" x14ac:dyDescent="0.25">
      <c r="A456" s="21">
        <v>455</v>
      </c>
      <c r="B456" s="7" t="s">
        <v>1656</v>
      </c>
      <c r="C456" s="7" t="s">
        <v>1657</v>
      </c>
      <c r="F456" t="s">
        <v>1603</v>
      </c>
      <c r="G456" s="8" t="s">
        <v>15</v>
      </c>
    </row>
    <row r="457" spans="1:7" hidden="1" x14ac:dyDescent="0.25">
      <c r="A457" s="21">
        <v>456</v>
      </c>
      <c r="B457" s="7" t="s">
        <v>1658</v>
      </c>
      <c r="C457" s="7" t="s">
        <v>1659</v>
      </c>
      <c r="F457" t="s">
        <v>1603</v>
      </c>
      <c r="G457" s="8" t="s">
        <v>15</v>
      </c>
    </row>
    <row r="458" spans="1:7" hidden="1" x14ac:dyDescent="0.25">
      <c r="A458" s="21">
        <v>457</v>
      </c>
      <c r="B458" s="7" t="s">
        <v>1660</v>
      </c>
      <c r="C458" s="7" t="s">
        <v>1661</v>
      </c>
      <c r="F458" t="s">
        <v>1603</v>
      </c>
      <c r="G458" s="8" t="s">
        <v>15</v>
      </c>
    </row>
    <row r="459" spans="1:7" hidden="1" x14ac:dyDescent="0.25">
      <c r="A459" s="21">
        <v>458</v>
      </c>
      <c r="B459" s="7" t="s">
        <v>1662</v>
      </c>
      <c r="C459" s="7" t="s">
        <v>1663</v>
      </c>
      <c r="F459" t="s">
        <v>1603</v>
      </c>
      <c r="G459" s="8" t="s">
        <v>15</v>
      </c>
    </row>
    <row r="460" spans="1:7" hidden="1" x14ac:dyDescent="0.25">
      <c r="A460" s="21">
        <v>459</v>
      </c>
      <c r="B460" s="7" t="s">
        <v>1664</v>
      </c>
      <c r="C460" s="7" t="s">
        <v>1665</v>
      </c>
      <c r="F460" t="s">
        <v>1603</v>
      </c>
      <c r="G460" s="8" t="s">
        <v>15</v>
      </c>
    </row>
    <row r="461" spans="1:7" hidden="1" x14ac:dyDescent="0.25">
      <c r="A461" s="21">
        <v>460</v>
      </c>
      <c r="B461" s="7" t="s">
        <v>1666</v>
      </c>
      <c r="C461" s="7" t="s">
        <v>1667</v>
      </c>
      <c r="F461" t="s">
        <v>1603</v>
      </c>
      <c r="G461" s="8" t="s">
        <v>15</v>
      </c>
    </row>
    <row r="462" spans="1:7" hidden="1" x14ac:dyDescent="0.25">
      <c r="A462" s="21">
        <v>461</v>
      </c>
      <c r="B462" s="7" t="s">
        <v>1668</v>
      </c>
      <c r="C462" s="7" t="s">
        <v>1669</v>
      </c>
      <c r="F462" t="s">
        <v>1603</v>
      </c>
      <c r="G462" s="8" t="s">
        <v>15</v>
      </c>
    </row>
    <row r="463" spans="1:7" hidden="1" x14ac:dyDescent="0.25">
      <c r="A463" s="21">
        <v>462</v>
      </c>
      <c r="B463" s="7" t="s">
        <v>1670</v>
      </c>
      <c r="C463" s="7" t="s">
        <v>1671</v>
      </c>
      <c r="F463" t="s">
        <v>1603</v>
      </c>
      <c r="G463" s="8" t="s">
        <v>15</v>
      </c>
    </row>
    <row r="464" spans="1:7" hidden="1" x14ac:dyDescent="0.25">
      <c r="A464" s="21">
        <v>463</v>
      </c>
      <c r="B464" s="7" t="s">
        <v>1672</v>
      </c>
      <c r="C464" s="7" t="s">
        <v>1673</v>
      </c>
      <c r="F464" t="s">
        <v>1603</v>
      </c>
      <c r="G464" s="8" t="s">
        <v>15</v>
      </c>
    </row>
    <row r="465" spans="1:7" hidden="1" x14ac:dyDescent="0.25">
      <c r="A465" s="21">
        <v>464</v>
      </c>
      <c r="B465" s="7" t="s">
        <v>1674</v>
      </c>
      <c r="C465" s="7" t="s">
        <v>1675</v>
      </c>
      <c r="F465" t="s">
        <v>1603</v>
      </c>
      <c r="G465" s="8" t="s">
        <v>15</v>
      </c>
    </row>
    <row r="466" spans="1:7" hidden="1" x14ac:dyDescent="0.25">
      <c r="A466" s="21">
        <v>465</v>
      </c>
      <c r="B466" s="7" t="s">
        <v>1676</v>
      </c>
      <c r="C466" s="7" t="s">
        <v>1677</v>
      </c>
      <c r="F466" t="s">
        <v>1603</v>
      </c>
      <c r="G466" s="8" t="s">
        <v>15</v>
      </c>
    </row>
    <row r="467" spans="1:7" hidden="1" x14ac:dyDescent="0.25">
      <c r="A467" s="21">
        <v>466</v>
      </c>
      <c r="B467" s="7" t="s">
        <v>1678</v>
      </c>
      <c r="C467" s="7" t="s">
        <v>1679</v>
      </c>
      <c r="F467" t="s">
        <v>1603</v>
      </c>
      <c r="G467" s="8" t="s">
        <v>15</v>
      </c>
    </row>
    <row r="468" spans="1:7" hidden="1" x14ac:dyDescent="0.25">
      <c r="A468" s="21">
        <v>467</v>
      </c>
      <c r="B468" s="7" t="s">
        <v>1680</v>
      </c>
      <c r="C468" s="7" t="s">
        <v>1681</v>
      </c>
      <c r="F468" t="s">
        <v>1603</v>
      </c>
      <c r="G468" s="8" t="s">
        <v>15</v>
      </c>
    </row>
    <row r="469" spans="1:7" hidden="1" x14ac:dyDescent="0.25">
      <c r="A469" s="21">
        <v>468</v>
      </c>
      <c r="B469" s="7" t="s">
        <v>1682</v>
      </c>
      <c r="C469" s="7" t="s">
        <v>1683</v>
      </c>
      <c r="F469" t="s">
        <v>1603</v>
      </c>
      <c r="G469" s="8" t="s">
        <v>15</v>
      </c>
    </row>
    <row r="470" spans="1:7" hidden="1" x14ac:dyDescent="0.25">
      <c r="A470" s="21">
        <v>469</v>
      </c>
      <c r="B470" s="7" t="s">
        <v>1684</v>
      </c>
      <c r="C470" s="7" t="s">
        <v>1685</v>
      </c>
      <c r="F470" t="s">
        <v>1603</v>
      </c>
      <c r="G470" s="8" t="s">
        <v>15</v>
      </c>
    </row>
    <row r="471" spans="1:7" hidden="1" x14ac:dyDescent="0.25">
      <c r="A471" s="21">
        <v>470</v>
      </c>
      <c r="B471" s="7" t="s">
        <v>1686</v>
      </c>
      <c r="C471" s="7" t="s">
        <v>1687</v>
      </c>
      <c r="F471" t="s">
        <v>1603</v>
      </c>
      <c r="G471" s="8" t="s">
        <v>15</v>
      </c>
    </row>
    <row r="472" spans="1:7" hidden="1" x14ac:dyDescent="0.25">
      <c r="A472" s="21">
        <v>471</v>
      </c>
      <c r="B472" s="7" t="s">
        <v>1688</v>
      </c>
      <c r="C472" s="7" t="s">
        <v>1689</v>
      </c>
      <c r="F472" t="s">
        <v>1603</v>
      </c>
      <c r="G472" s="8" t="s">
        <v>15</v>
      </c>
    </row>
    <row r="473" spans="1:7" hidden="1" x14ac:dyDescent="0.25">
      <c r="A473" s="21">
        <v>472</v>
      </c>
      <c r="B473" s="7" t="s">
        <v>1690</v>
      </c>
      <c r="C473" s="7" t="s">
        <v>1691</v>
      </c>
      <c r="F473" t="s">
        <v>1603</v>
      </c>
      <c r="G473" s="8" t="s">
        <v>15</v>
      </c>
    </row>
    <row r="474" spans="1:7" hidden="1" x14ac:dyDescent="0.25">
      <c r="A474" s="21">
        <v>473</v>
      </c>
      <c r="B474" s="7" t="s">
        <v>1692</v>
      </c>
      <c r="C474" s="7" t="s">
        <v>1693</v>
      </c>
      <c r="F474" t="s">
        <v>1603</v>
      </c>
      <c r="G474" s="8" t="s">
        <v>15</v>
      </c>
    </row>
    <row r="475" spans="1:7" hidden="1" x14ac:dyDescent="0.25">
      <c r="A475" s="21">
        <v>474</v>
      </c>
      <c r="B475" s="7" t="s">
        <v>1694</v>
      </c>
      <c r="C475" s="7" t="s">
        <v>1695</v>
      </c>
      <c r="F475" t="s">
        <v>1603</v>
      </c>
      <c r="G475" s="8" t="s">
        <v>15</v>
      </c>
    </row>
    <row r="476" spans="1:7" hidden="1" x14ac:dyDescent="0.25">
      <c r="A476" s="21">
        <v>475</v>
      </c>
      <c r="B476" s="7" t="s">
        <v>1696</v>
      </c>
      <c r="C476" s="7" t="s">
        <v>1697</v>
      </c>
      <c r="F476" t="s">
        <v>1603</v>
      </c>
      <c r="G476" s="8" t="s">
        <v>15</v>
      </c>
    </row>
    <row r="477" spans="1:7" hidden="1" x14ac:dyDescent="0.25">
      <c r="A477" s="21">
        <v>476</v>
      </c>
      <c r="B477" s="7" t="s">
        <v>1698</v>
      </c>
      <c r="C477" s="7" t="s">
        <v>1699</v>
      </c>
      <c r="F477" t="s">
        <v>1603</v>
      </c>
      <c r="G477" s="8" t="s">
        <v>15</v>
      </c>
    </row>
    <row r="478" spans="1:7" hidden="1" x14ac:dyDescent="0.25">
      <c r="A478" s="21">
        <v>477</v>
      </c>
      <c r="B478" s="7" t="s">
        <v>1700</v>
      </c>
      <c r="C478" s="7" t="s">
        <v>1701</v>
      </c>
      <c r="F478" t="s">
        <v>1603</v>
      </c>
      <c r="G478" s="8" t="s">
        <v>15</v>
      </c>
    </row>
    <row r="479" spans="1:7" hidden="1" x14ac:dyDescent="0.25">
      <c r="A479" s="21">
        <v>478</v>
      </c>
      <c r="B479" s="7" t="s">
        <v>1702</v>
      </c>
      <c r="C479" s="7" t="s">
        <v>1703</v>
      </c>
      <c r="F479" t="s">
        <v>1603</v>
      </c>
      <c r="G479" s="8" t="s">
        <v>15</v>
      </c>
    </row>
    <row r="480" spans="1:7" hidden="1" x14ac:dyDescent="0.25">
      <c r="A480" s="21">
        <v>479</v>
      </c>
      <c r="B480" s="7" t="s">
        <v>1704</v>
      </c>
      <c r="C480" s="7" t="s">
        <v>1705</v>
      </c>
      <c r="F480" t="s">
        <v>1603</v>
      </c>
      <c r="G480" s="8" t="s">
        <v>15</v>
      </c>
    </row>
    <row r="481" spans="1:7" hidden="1" x14ac:dyDescent="0.25">
      <c r="A481" s="21">
        <v>480</v>
      </c>
      <c r="B481" s="7" t="s">
        <v>1706</v>
      </c>
      <c r="C481" s="7" t="s">
        <v>1707</v>
      </c>
      <c r="F481" t="s">
        <v>1603</v>
      </c>
      <c r="G481" s="8" t="s">
        <v>15</v>
      </c>
    </row>
    <row r="482" spans="1:7" hidden="1" x14ac:dyDescent="0.25">
      <c r="A482" s="21">
        <v>481</v>
      </c>
      <c r="B482" s="7" t="s">
        <v>1708</v>
      </c>
      <c r="C482" s="7" t="s">
        <v>1709</v>
      </c>
      <c r="F482" t="s">
        <v>1603</v>
      </c>
      <c r="G482" s="8" t="s">
        <v>15</v>
      </c>
    </row>
    <row r="483" spans="1:7" hidden="1" x14ac:dyDescent="0.25">
      <c r="A483" s="21">
        <v>482</v>
      </c>
      <c r="B483" s="7" t="s">
        <v>1710</v>
      </c>
      <c r="C483" s="7" t="s">
        <v>1711</v>
      </c>
      <c r="F483" t="s">
        <v>1603</v>
      </c>
      <c r="G483" s="8" t="s">
        <v>15</v>
      </c>
    </row>
    <row r="484" spans="1:7" hidden="1" x14ac:dyDescent="0.25">
      <c r="A484" s="21">
        <v>483</v>
      </c>
      <c r="B484" s="7" t="s">
        <v>1712</v>
      </c>
      <c r="C484" s="7" t="s">
        <v>1713</v>
      </c>
      <c r="F484" t="s">
        <v>1603</v>
      </c>
      <c r="G484" s="8" t="s">
        <v>15</v>
      </c>
    </row>
    <row r="485" spans="1:7" hidden="1" x14ac:dyDescent="0.25">
      <c r="A485" s="21">
        <v>484</v>
      </c>
      <c r="B485" s="7" t="s">
        <v>1714</v>
      </c>
      <c r="C485" s="7" t="s">
        <v>1715</v>
      </c>
      <c r="F485" t="s">
        <v>1603</v>
      </c>
      <c r="G485" s="8" t="s">
        <v>15</v>
      </c>
    </row>
    <row r="486" spans="1:7" hidden="1" x14ac:dyDescent="0.25">
      <c r="A486" s="21">
        <v>485</v>
      </c>
      <c r="B486" s="7" t="s">
        <v>1716</v>
      </c>
      <c r="C486" s="7" t="s">
        <v>1717</v>
      </c>
      <c r="F486" t="s">
        <v>1603</v>
      </c>
      <c r="G486" s="8" t="s">
        <v>15</v>
      </c>
    </row>
    <row r="487" spans="1:7" hidden="1" x14ac:dyDescent="0.25">
      <c r="A487" s="21">
        <v>486</v>
      </c>
      <c r="B487" s="7" t="s">
        <v>1718</v>
      </c>
      <c r="C487" s="7" t="s">
        <v>1719</v>
      </c>
      <c r="F487" t="s">
        <v>1603</v>
      </c>
      <c r="G487" s="8" t="s">
        <v>15</v>
      </c>
    </row>
    <row r="488" spans="1:7" hidden="1" x14ac:dyDescent="0.25">
      <c r="A488" s="21">
        <v>487</v>
      </c>
      <c r="B488" s="7" t="s">
        <v>1720</v>
      </c>
      <c r="C488" s="7" t="s">
        <v>1721</v>
      </c>
      <c r="F488" t="s">
        <v>1603</v>
      </c>
      <c r="G488" s="8" t="s">
        <v>15</v>
      </c>
    </row>
    <row r="489" spans="1:7" hidden="1" x14ac:dyDescent="0.25">
      <c r="A489" s="21">
        <v>488</v>
      </c>
      <c r="B489" s="7" t="s">
        <v>1722</v>
      </c>
      <c r="C489" s="7" t="s">
        <v>1723</v>
      </c>
      <c r="F489" t="s">
        <v>1603</v>
      </c>
      <c r="G489" s="8" t="s">
        <v>15</v>
      </c>
    </row>
    <row r="490" spans="1:7" hidden="1" x14ac:dyDescent="0.25">
      <c r="A490" s="21">
        <v>489</v>
      </c>
      <c r="B490" s="7" t="s">
        <v>1724</v>
      </c>
      <c r="C490" s="7" t="s">
        <v>1725</v>
      </c>
      <c r="F490" t="s">
        <v>1603</v>
      </c>
      <c r="G490" s="8" t="s">
        <v>15</v>
      </c>
    </row>
    <row r="491" spans="1:7" hidden="1" x14ac:dyDescent="0.25">
      <c r="A491" s="21">
        <v>490</v>
      </c>
      <c r="B491" s="7" t="s">
        <v>1726</v>
      </c>
      <c r="C491" s="7" t="s">
        <v>1727</v>
      </c>
      <c r="F491" t="s">
        <v>1603</v>
      </c>
      <c r="G491" s="8" t="s">
        <v>15</v>
      </c>
    </row>
    <row r="492" spans="1:7" hidden="1" x14ac:dyDescent="0.25">
      <c r="A492" s="21">
        <v>491</v>
      </c>
      <c r="B492" s="7" t="s">
        <v>1728</v>
      </c>
      <c r="C492" s="7" t="s">
        <v>1729</v>
      </c>
      <c r="F492" t="s">
        <v>1603</v>
      </c>
      <c r="G492" s="8" t="s">
        <v>15</v>
      </c>
    </row>
    <row r="493" spans="1:7" hidden="1" x14ac:dyDescent="0.25">
      <c r="A493" s="21">
        <v>492</v>
      </c>
      <c r="B493" s="7" t="s">
        <v>1730</v>
      </c>
      <c r="C493" s="7" t="s">
        <v>1731</v>
      </c>
      <c r="F493" t="s">
        <v>1603</v>
      </c>
      <c r="G493" s="8" t="s">
        <v>15</v>
      </c>
    </row>
    <row r="494" spans="1:7" hidden="1" x14ac:dyDescent="0.25">
      <c r="A494" s="21">
        <v>493</v>
      </c>
      <c r="B494" s="7" t="s">
        <v>1732</v>
      </c>
      <c r="C494" s="7" t="s">
        <v>1733</v>
      </c>
      <c r="F494" t="s">
        <v>1603</v>
      </c>
      <c r="G494" s="8" t="s">
        <v>15</v>
      </c>
    </row>
    <row r="495" spans="1:7" hidden="1" x14ac:dyDescent="0.25">
      <c r="A495" s="21">
        <v>494</v>
      </c>
      <c r="B495" s="7" t="s">
        <v>1734</v>
      </c>
      <c r="C495" s="7" t="s">
        <v>1735</v>
      </c>
      <c r="F495" t="s">
        <v>1603</v>
      </c>
      <c r="G495" s="8" t="s">
        <v>15</v>
      </c>
    </row>
    <row r="496" spans="1:7" hidden="1" x14ac:dyDescent="0.25">
      <c r="A496" s="21">
        <v>495</v>
      </c>
      <c r="B496" s="7" t="s">
        <v>1736</v>
      </c>
      <c r="C496" s="7" t="s">
        <v>1737</v>
      </c>
      <c r="F496" t="s">
        <v>1603</v>
      </c>
      <c r="G496" s="8" t="s">
        <v>15</v>
      </c>
    </row>
    <row r="497" spans="1:7" hidden="1" x14ac:dyDescent="0.25">
      <c r="A497" s="21">
        <v>496</v>
      </c>
      <c r="B497" s="7" t="s">
        <v>1738</v>
      </c>
      <c r="C497" s="7" t="s">
        <v>1739</v>
      </c>
      <c r="F497" t="s">
        <v>1603</v>
      </c>
      <c r="G497" s="8" t="s">
        <v>15</v>
      </c>
    </row>
    <row r="498" spans="1:7" hidden="1" x14ac:dyDescent="0.25">
      <c r="A498" s="21">
        <v>497</v>
      </c>
      <c r="B498" s="7" t="s">
        <v>1740</v>
      </c>
      <c r="C498" s="7" t="s">
        <v>1741</v>
      </c>
      <c r="F498" t="s">
        <v>1603</v>
      </c>
      <c r="G498" s="8" t="s">
        <v>15</v>
      </c>
    </row>
    <row r="499" spans="1:7" hidden="1" x14ac:dyDescent="0.25">
      <c r="A499" s="21">
        <v>498</v>
      </c>
      <c r="B499" s="7" t="s">
        <v>1742</v>
      </c>
      <c r="C499" s="7" t="s">
        <v>1743</v>
      </c>
      <c r="F499" t="s">
        <v>1603</v>
      </c>
      <c r="G499" s="8" t="s">
        <v>15</v>
      </c>
    </row>
    <row r="500" spans="1:7" hidden="1" x14ac:dyDescent="0.25">
      <c r="A500" s="21">
        <v>499</v>
      </c>
      <c r="B500" s="7" t="s">
        <v>1744</v>
      </c>
      <c r="C500" s="7" t="s">
        <v>1745</v>
      </c>
      <c r="F500" t="s">
        <v>1603</v>
      </c>
      <c r="G500" s="8" t="s">
        <v>15</v>
      </c>
    </row>
    <row r="501" spans="1:7" hidden="1" x14ac:dyDescent="0.25">
      <c r="A501" s="21">
        <v>500</v>
      </c>
      <c r="B501" s="7" t="s">
        <v>1746</v>
      </c>
      <c r="C501" s="7" t="s">
        <v>1747</v>
      </c>
      <c r="F501" t="s">
        <v>1603</v>
      </c>
      <c r="G501" s="8" t="s">
        <v>15</v>
      </c>
    </row>
    <row r="502" spans="1:7" hidden="1" x14ac:dyDescent="0.25">
      <c r="A502" s="21">
        <v>501</v>
      </c>
      <c r="B502" s="7" t="s">
        <v>1748</v>
      </c>
      <c r="C502" s="7" t="s">
        <v>1749</v>
      </c>
      <c r="F502" t="s">
        <v>1603</v>
      </c>
      <c r="G502" s="8" t="s">
        <v>15</v>
      </c>
    </row>
    <row r="503" spans="1:7" hidden="1" x14ac:dyDescent="0.25">
      <c r="A503" s="21">
        <v>502</v>
      </c>
      <c r="B503" s="7" t="s">
        <v>1750</v>
      </c>
      <c r="C503" s="7" t="s">
        <v>1751</v>
      </c>
      <c r="F503" t="s">
        <v>1603</v>
      </c>
      <c r="G503" s="8" t="s">
        <v>15</v>
      </c>
    </row>
    <row r="504" spans="1:7" hidden="1" x14ac:dyDescent="0.25">
      <c r="A504" s="21">
        <v>503</v>
      </c>
      <c r="B504" s="7" t="s">
        <v>1752</v>
      </c>
      <c r="C504" s="7" t="s">
        <v>1753</v>
      </c>
      <c r="F504" t="s">
        <v>1603</v>
      </c>
      <c r="G504" s="8" t="s">
        <v>15</v>
      </c>
    </row>
    <row r="505" spans="1:7" hidden="1" x14ac:dyDescent="0.25">
      <c r="A505" s="21">
        <v>504</v>
      </c>
      <c r="B505" s="7" t="s">
        <v>1754</v>
      </c>
      <c r="C505" s="7" t="s">
        <v>1755</v>
      </c>
      <c r="F505" t="s">
        <v>1603</v>
      </c>
      <c r="G505" s="8" t="s">
        <v>15</v>
      </c>
    </row>
    <row r="506" spans="1:7" hidden="1" x14ac:dyDescent="0.25">
      <c r="A506" s="21">
        <v>505</v>
      </c>
      <c r="B506" s="7" t="s">
        <v>1756</v>
      </c>
      <c r="C506" s="7" t="s">
        <v>1757</v>
      </c>
      <c r="F506" t="s">
        <v>1603</v>
      </c>
      <c r="G506" s="8" t="s">
        <v>15</v>
      </c>
    </row>
    <row r="507" spans="1:7" hidden="1" x14ac:dyDescent="0.25">
      <c r="A507" s="21">
        <v>506</v>
      </c>
      <c r="B507" s="7" t="s">
        <v>1758</v>
      </c>
      <c r="C507" s="7" t="s">
        <v>1759</v>
      </c>
      <c r="F507" t="s">
        <v>1603</v>
      </c>
      <c r="G507" s="8" t="s">
        <v>15</v>
      </c>
    </row>
    <row r="508" spans="1:7" hidden="1" x14ac:dyDescent="0.25">
      <c r="A508" s="21">
        <v>507</v>
      </c>
      <c r="B508" s="7" t="s">
        <v>1760</v>
      </c>
      <c r="C508" s="7" t="s">
        <v>1761</v>
      </c>
      <c r="F508" t="s">
        <v>1603</v>
      </c>
      <c r="G508" s="8" t="s">
        <v>15</v>
      </c>
    </row>
    <row r="509" spans="1:7" hidden="1" x14ac:dyDescent="0.25">
      <c r="A509" s="21">
        <v>508</v>
      </c>
      <c r="B509" s="7" t="s">
        <v>1762</v>
      </c>
      <c r="C509" s="7" t="s">
        <v>1763</v>
      </c>
      <c r="F509" t="s">
        <v>1603</v>
      </c>
      <c r="G509" s="8" t="s">
        <v>15</v>
      </c>
    </row>
    <row r="510" spans="1:7" hidden="1" x14ac:dyDescent="0.25">
      <c r="A510" s="21">
        <v>509</v>
      </c>
      <c r="B510" s="7" t="s">
        <v>1764</v>
      </c>
      <c r="C510" s="7" t="s">
        <v>1765</v>
      </c>
      <c r="F510" t="s">
        <v>1603</v>
      </c>
      <c r="G510" s="8" t="s">
        <v>15</v>
      </c>
    </row>
    <row r="511" spans="1:7" hidden="1" x14ac:dyDescent="0.25">
      <c r="A511" s="21">
        <v>510</v>
      </c>
      <c r="B511" s="7" t="s">
        <v>1766</v>
      </c>
      <c r="C511" s="7" t="s">
        <v>1767</v>
      </c>
      <c r="F511" t="s">
        <v>1603</v>
      </c>
      <c r="G511" s="8" t="s">
        <v>15</v>
      </c>
    </row>
    <row r="512" spans="1:7" hidden="1" x14ac:dyDescent="0.25">
      <c r="A512" s="21">
        <v>511</v>
      </c>
      <c r="B512" s="7" t="s">
        <v>1768</v>
      </c>
      <c r="C512" s="7" t="s">
        <v>1769</v>
      </c>
      <c r="F512" t="s">
        <v>1603</v>
      </c>
      <c r="G512" s="8" t="s">
        <v>15</v>
      </c>
    </row>
    <row r="513" spans="1:7" hidden="1" x14ac:dyDescent="0.25">
      <c r="A513" s="21">
        <v>512</v>
      </c>
      <c r="B513" s="7" t="s">
        <v>1770</v>
      </c>
      <c r="C513" s="7" t="s">
        <v>1771</v>
      </c>
      <c r="F513" t="s">
        <v>1603</v>
      </c>
      <c r="G513" s="8" t="s">
        <v>15</v>
      </c>
    </row>
    <row r="514" spans="1:7" hidden="1" x14ac:dyDescent="0.25">
      <c r="A514" s="21">
        <v>513</v>
      </c>
      <c r="B514" s="7" t="s">
        <v>1772</v>
      </c>
      <c r="C514" s="7" t="s">
        <v>1773</v>
      </c>
      <c r="F514" t="s">
        <v>1603</v>
      </c>
      <c r="G514" s="8" t="s">
        <v>15</v>
      </c>
    </row>
    <row r="515" spans="1:7" hidden="1" x14ac:dyDescent="0.25">
      <c r="A515" s="21">
        <v>514</v>
      </c>
      <c r="B515" s="7" t="s">
        <v>1774</v>
      </c>
      <c r="C515" s="7" t="s">
        <v>1775</v>
      </c>
      <c r="F515" t="s">
        <v>1603</v>
      </c>
      <c r="G515" s="8" t="s">
        <v>15</v>
      </c>
    </row>
    <row r="516" spans="1:7" hidden="1" x14ac:dyDescent="0.25">
      <c r="A516" s="21">
        <v>515</v>
      </c>
      <c r="B516" s="7" t="s">
        <v>1776</v>
      </c>
      <c r="C516" s="7" t="s">
        <v>1777</v>
      </c>
      <c r="F516" t="s">
        <v>1603</v>
      </c>
      <c r="G516" s="8" t="s">
        <v>15</v>
      </c>
    </row>
    <row r="517" spans="1:7" hidden="1" x14ac:dyDescent="0.25">
      <c r="A517" s="21">
        <v>516</v>
      </c>
      <c r="B517" s="7" t="s">
        <v>1778</v>
      </c>
      <c r="C517" s="7" t="s">
        <v>1779</v>
      </c>
      <c r="F517" t="s">
        <v>1603</v>
      </c>
      <c r="G517" s="8" t="s">
        <v>15</v>
      </c>
    </row>
    <row r="518" spans="1:7" hidden="1" x14ac:dyDescent="0.25">
      <c r="A518" s="21">
        <v>517</v>
      </c>
      <c r="B518" s="7" t="s">
        <v>1780</v>
      </c>
      <c r="C518" s="7" t="s">
        <v>1781</v>
      </c>
      <c r="F518" t="s">
        <v>1603</v>
      </c>
      <c r="G518" s="8" t="s">
        <v>15</v>
      </c>
    </row>
    <row r="519" spans="1:7" hidden="1" x14ac:dyDescent="0.25">
      <c r="A519" s="21">
        <v>518</v>
      </c>
      <c r="B519" s="7" t="s">
        <v>1782</v>
      </c>
      <c r="C519" s="7" t="s">
        <v>1783</v>
      </c>
      <c r="F519" t="s">
        <v>1603</v>
      </c>
      <c r="G519" s="8" t="s">
        <v>15</v>
      </c>
    </row>
    <row r="520" spans="1:7" hidden="1" x14ac:dyDescent="0.25">
      <c r="A520" s="21">
        <v>519</v>
      </c>
      <c r="B520" s="7" t="s">
        <v>1784</v>
      </c>
      <c r="C520" s="7" t="s">
        <v>1785</v>
      </c>
      <c r="F520" t="s">
        <v>1603</v>
      </c>
      <c r="G520" s="8" t="s">
        <v>15</v>
      </c>
    </row>
    <row r="521" spans="1:7" hidden="1" x14ac:dyDescent="0.25">
      <c r="A521" s="21">
        <v>520</v>
      </c>
      <c r="B521" s="7" t="s">
        <v>1786</v>
      </c>
      <c r="C521" s="7" t="s">
        <v>1787</v>
      </c>
      <c r="F521" t="s">
        <v>1603</v>
      </c>
      <c r="G521" s="8" t="s">
        <v>15</v>
      </c>
    </row>
    <row r="522" spans="1:7" hidden="1" x14ac:dyDescent="0.25">
      <c r="A522" s="21">
        <v>521</v>
      </c>
      <c r="B522" s="7" t="s">
        <v>1788</v>
      </c>
      <c r="C522" s="7" t="s">
        <v>1789</v>
      </c>
      <c r="F522" t="s">
        <v>1603</v>
      </c>
      <c r="G522" s="8" t="s">
        <v>15</v>
      </c>
    </row>
    <row r="523" spans="1:7" hidden="1" x14ac:dyDescent="0.25">
      <c r="A523" s="21">
        <v>522</v>
      </c>
      <c r="B523" s="7" t="s">
        <v>1790</v>
      </c>
      <c r="C523" s="7" t="s">
        <v>1791</v>
      </c>
      <c r="F523" t="s">
        <v>1603</v>
      </c>
      <c r="G523" s="8" t="s">
        <v>15</v>
      </c>
    </row>
    <row r="524" spans="1:7" hidden="1" x14ac:dyDescent="0.25">
      <c r="A524" s="21">
        <v>523</v>
      </c>
      <c r="B524" s="7" t="s">
        <v>1792</v>
      </c>
      <c r="C524" s="7" t="s">
        <v>1793</v>
      </c>
      <c r="F524" t="s">
        <v>1603</v>
      </c>
      <c r="G524" s="8" t="s">
        <v>15</v>
      </c>
    </row>
    <row r="525" spans="1:7" hidden="1" x14ac:dyDescent="0.25">
      <c r="A525" s="21">
        <v>524</v>
      </c>
      <c r="B525" s="7" t="s">
        <v>1794</v>
      </c>
      <c r="C525" s="7" t="s">
        <v>1795</v>
      </c>
      <c r="F525" t="s">
        <v>1603</v>
      </c>
      <c r="G525" s="8" t="s">
        <v>15</v>
      </c>
    </row>
    <row r="526" spans="1:7" hidden="1" x14ac:dyDescent="0.25">
      <c r="A526" s="21">
        <v>525</v>
      </c>
      <c r="B526" s="7" t="s">
        <v>1796</v>
      </c>
      <c r="C526" s="7" t="s">
        <v>1797</v>
      </c>
      <c r="F526" t="s">
        <v>1603</v>
      </c>
      <c r="G526" s="8" t="s">
        <v>15</v>
      </c>
    </row>
    <row r="527" spans="1:7" hidden="1" x14ac:dyDescent="0.25">
      <c r="A527" s="21">
        <v>526</v>
      </c>
      <c r="B527" s="7" t="s">
        <v>1798</v>
      </c>
      <c r="C527" s="7" t="s">
        <v>1799</v>
      </c>
      <c r="F527" t="s">
        <v>1603</v>
      </c>
      <c r="G527" s="8" t="s">
        <v>15</v>
      </c>
    </row>
    <row r="528" spans="1:7" hidden="1" x14ac:dyDescent="0.25">
      <c r="A528" s="21">
        <v>527</v>
      </c>
      <c r="B528" s="7" t="s">
        <v>1800</v>
      </c>
      <c r="C528" s="7" t="s">
        <v>1801</v>
      </c>
      <c r="F528" t="s">
        <v>1603</v>
      </c>
      <c r="G528" s="8" t="s">
        <v>15</v>
      </c>
    </row>
    <row r="529" spans="1:7" hidden="1" x14ac:dyDescent="0.25">
      <c r="A529" s="21">
        <v>528</v>
      </c>
      <c r="B529" s="7" t="s">
        <v>1802</v>
      </c>
      <c r="C529" s="7" t="s">
        <v>1803</v>
      </c>
      <c r="F529" t="s">
        <v>1603</v>
      </c>
      <c r="G529" s="8" t="s">
        <v>15</v>
      </c>
    </row>
    <row r="530" spans="1:7" hidden="1" x14ac:dyDescent="0.25">
      <c r="A530" s="21">
        <v>529</v>
      </c>
      <c r="B530" s="7" t="s">
        <v>1804</v>
      </c>
      <c r="C530" s="7" t="s">
        <v>1805</v>
      </c>
      <c r="F530" t="s">
        <v>1603</v>
      </c>
      <c r="G530" s="8" t="s">
        <v>15</v>
      </c>
    </row>
    <row r="531" spans="1:7" hidden="1" x14ac:dyDescent="0.25">
      <c r="A531" s="21">
        <v>530</v>
      </c>
      <c r="B531" s="7" t="s">
        <v>1806</v>
      </c>
      <c r="C531" s="7" t="s">
        <v>1807</v>
      </c>
      <c r="F531" t="s">
        <v>1603</v>
      </c>
      <c r="G531" s="8" t="s">
        <v>15</v>
      </c>
    </row>
    <row r="532" spans="1:7" hidden="1" x14ac:dyDescent="0.25">
      <c r="A532" s="21">
        <v>531</v>
      </c>
      <c r="B532" s="7" t="s">
        <v>1808</v>
      </c>
      <c r="C532" s="7" t="s">
        <v>1809</v>
      </c>
      <c r="F532" t="s">
        <v>1603</v>
      </c>
      <c r="G532" s="8" t="s">
        <v>15</v>
      </c>
    </row>
    <row r="533" spans="1:7" hidden="1" x14ac:dyDescent="0.25">
      <c r="A533" s="21">
        <v>532</v>
      </c>
      <c r="B533" s="7" t="s">
        <v>1810</v>
      </c>
      <c r="C533" s="7" t="s">
        <v>1811</v>
      </c>
      <c r="F533" t="s">
        <v>1603</v>
      </c>
      <c r="G533" s="8" t="s">
        <v>15</v>
      </c>
    </row>
    <row r="534" spans="1:7" hidden="1" x14ac:dyDescent="0.25">
      <c r="A534" s="21">
        <v>533</v>
      </c>
      <c r="B534" s="7" t="s">
        <v>1812</v>
      </c>
      <c r="C534" s="7" t="s">
        <v>1813</v>
      </c>
      <c r="F534" t="s">
        <v>1603</v>
      </c>
      <c r="G534" s="8" t="s">
        <v>15</v>
      </c>
    </row>
    <row r="535" spans="1:7" hidden="1" x14ac:dyDescent="0.25">
      <c r="A535" s="21">
        <v>534</v>
      </c>
      <c r="B535" s="7" t="s">
        <v>1814</v>
      </c>
      <c r="C535" s="7" t="s">
        <v>1815</v>
      </c>
      <c r="F535" t="s">
        <v>1603</v>
      </c>
      <c r="G535" s="8" t="s">
        <v>15</v>
      </c>
    </row>
    <row r="536" spans="1:7" hidden="1" x14ac:dyDescent="0.25">
      <c r="A536" s="21">
        <v>535</v>
      </c>
      <c r="B536" s="7" t="s">
        <v>1816</v>
      </c>
      <c r="C536" s="7" t="s">
        <v>1817</v>
      </c>
      <c r="F536" t="s">
        <v>1603</v>
      </c>
      <c r="G536" s="8" t="s">
        <v>15</v>
      </c>
    </row>
    <row r="537" spans="1:7" hidden="1" x14ac:dyDescent="0.25">
      <c r="A537" s="21">
        <v>536</v>
      </c>
      <c r="B537" s="7" t="s">
        <v>1818</v>
      </c>
      <c r="C537" s="7" t="s">
        <v>1819</v>
      </c>
      <c r="F537" t="s">
        <v>1603</v>
      </c>
      <c r="G537" s="8" t="s">
        <v>15</v>
      </c>
    </row>
    <row r="538" spans="1:7" hidden="1" x14ac:dyDescent="0.25">
      <c r="A538" s="21">
        <v>537</v>
      </c>
      <c r="B538" s="7" t="s">
        <v>1820</v>
      </c>
      <c r="C538" s="7" t="s">
        <v>1821</v>
      </c>
      <c r="F538" t="s">
        <v>1603</v>
      </c>
      <c r="G538" s="8" t="s">
        <v>15</v>
      </c>
    </row>
    <row r="539" spans="1:7" hidden="1" x14ac:dyDescent="0.25">
      <c r="A539" s="21">
        <v>538</v>
      </c>
      <c r="B539" s="7" t="s">
        <v>1822</v>
      </c>
      <c r="C539" s="7" t="s">
        <v>1823</v>
      </c>
      <c r="F539" t="s">
        <v>1603</v>
      </c>
      <c r="G539" s="8" t="s">
        <v>15</v>
      </c>
    </row>
    <row r="540" spans="1:7" hidden="1" x14ac:dyDescent="0.25">
      <c r="A540" s="21">
        <v>539</v>
      </c>
      <c r="B540" s="7" t="s">
        <v>1824</v>
      </c>
      <c r="C540" s="7" t="s">
        <v>1825</v>
      </c>
      <c r="F540" t="s">
        <v>1603</v>
      </c>
      <c r="G540" s="8" t="s">
        <v>15</v>
      </c>
    </row>
    <row r="541" spans="1:7" hidden="1" x14ac:dyDescent="0.25">
      <c r="A541" s="21">
        <v>540</v>
      </c>
      <c r="B541" s="7" t="s">
        <v>1826</v>
      </c>
      <c r="C541" s="7" t="s">
        <v>1827</v>
      </c>
      <c r="F541" t="s">
        <v>1603</v>
      </c>
      <c r="G541" s="8" t="s">
        <v>15</v>
      </c>
    </row>
    <row r="542" spans="1:7" hidden="1" x14ac:dyDescent="0.25">
      <c r="A542" s="21">
        <v>541</v>
      </c>
      <c r="B542" s="7" t="s">
        <v>1828</v>
      </c>
      <c r="C542" s="7" t="s">
        <v>1829</v>
      </c>
      <c r="F542" t="s">
        <v>1603</v>
      </c>
      <c r="G542" s="8" t="s">
        <v>15</v>
      </c>
    </row>
    <row r="543" spans="1:7" hidden="1" x14ac:dyDescent="0.25">
      <c r="A543" s="21">
        <v>542</v>
      </c>
      <c r="B543" s="7" t="s">
        <v>1830</v>
      </c>
      <c r="C543" s="7" t="s">
        <v>1831</v>
      </c>
      <c r="F543" t="s">
        <v>1603</v>
      </c>
      <c r="G543" s="8" t="s">
        <v>15</v>
      </c>
    </row>
    <row r="544" spans="1:7" hidden="1" x14ac:dyDescent="0.25">
      <c r="A544" s="21">
        <v>543</v>
      </c>
      <c r="B544" s="7" t="s">
        <v>1832</v>
      </c>
      <c r="C544" s="7" t="s">
        <v>1833</v>
      </c>
      <c r="F544" t="s">
        <v>1603</v>
      </c>
      <c r="G544" s="8" t="s">
        <v>15</v>
      </c>
    </row>
    <row r="545" spans="1:7" hidden="1" x14ac:dyDescent="0.25">
      <c r="A545" s="21">
        <v>544</v>
      </c>
      <c r="B545" s="7" t="s">
        <v>1834</v>
      </c>
      <c r="C545" s="7" t="s">
        <v>1835</v>
      </c>
      <c r="F545" t="s">
        <v>1603</v>
      </c>
      <c r="G545" s="8" t="s">
        <v>15</v>
      </c>
    </row>
    <row r="546" spans="1:7" hidden="1" x14ac:dyDescent="0.25">
      <c r="A546" s="21">
        <v>545</v>
      </c>
      <c r="B546" s="7" t="s">
        <v>1836</v>
      </c>
      <c r="C546" s="7" t="s">
        <v>1837</v>
      </c>
      <c r="F546" t="s">
        <v>1603</v>
      </c>
      <c r="G546" s="8" t="s">
        <v>15</v>
      </c>
    </row>
    <row r="547" spans="1:7" hidden="1" x14ac:dyDescent="0.25">
      <c r="A547" s="21">
        <v>546</v>
      </c>
      <c r="B547" s="7" t="s">
        <v>1838</v>
      </c>
      <c r="C547" s="7" t="s">
        <v>1839</v>
      </c>
      <c r="F547" t="s">
        <v>1603</v>
      </c>
      <c r="G547" s="8" t="s">
        <v>15</v>
      </c>
    </row>
    <row r="548" spans="1:7" hidden="1" x14ac:dyDescent="0.25">
      <c r="A548" s="21">
        <v>547</v>
      </c>
      <c r="B548" s="7" t="s">
        <v>1840</v>
      </c>
      <c r="C548" s="7" t="s">
        <v>1841</v>
      </c>
      <c r="F548" t="s">
        <v>1603</v>
      </c>
      <c r="G548" s="8" t="s">
        <v>15</v>
      </c>
    </row>
    <row r="549" spans="1:7" hidden="1" x14ac:dyDescent="0.25">
      <c r="A549" s="21">
        <v>548</v>
      </c>
      <c r="B549" s="7" t="s">
        <v>1842</v>
      </c>
      <c r="C549" s="7" t="s">
        <v>1843</v>
      </c>
      <c r="F549" t="s">
        <v>1603</v>
      </c>
      <c r="G549" s="8" t="s">
        <v>15</v>
      </c>
    </row>
    <row r="550" spans="1:7" hidden="1" x14ac:dyDescent="0.25">
      <c r="A550" s="21">
        <v>549</v>
      </c>
      <c r="B550" s="7" t="s">
        <v>1844</v>
      </c>
      <c r="C550" s="7" t="s">
        <v>1845</v>
      </c>
      <c r="F550" t="s">
        <v>1603</v>
      </c>
      <c r="G550" s="8" t="s">
        <v>15</v>
      </c>
    </row>
    <row r="551" spans="1:7" hidden="1" x14ac:dyDescent="0.25">
      <c r="A551" s="21">
        <v>550</v>
      </c>
      <c r="B551" s="7" t="s">
        <v>1846</v>
      </c>
      <c r="C551" s="7" t="s">
        <v>1847</v>
      </c>
      <c r="F551" t="s">
        <v>1603</v>
      </c>
      <c r="G551" s="8" t="s">
        <v>15</v>
      </c>
    </row>
    <row r="552" spans="1:7" hidden="1" x14ac:dyDescent="0.25">
      <c r="A552" s="21">
        <v>551</v>
      </c>
      <c r="B552" s="7" t="s">
        <v>1848</v>
      </c>
      <c r="C552" s="7" t="s">
        <v>1849</v>
      </c>
      <c r="F552" t="s">
        <v>1603</v>
      </c>
      <c r="G552" s="8" t="s">
        <v>15</v>
      </c>
    </row>
    <row r="553" spans="1:7" hidden="1" x14ac:dyDescent="0.25">
      <c r="A553" s="21">
        <v>552</v>
      </c>
      <c r="B553" s="7" t="s">
        <v>1850</v>
      </c>
      <c r="C553" s="7" t="s">
        <v>1851</v>
      </c>
      <c r="F553" t="s">
        <v>1603</v>
      </c>
      <c r="G553" s="8" t="s">
        <v>15</v>
      </c>
    </row>
    <row r="554" spans="1:7" hidden="1" x14ac:dyDescent="0.25">
      <c r="A554" s="21">
        <v>553</v>
      </c>
      <c r="B554" s="7" t="s">
        <v>1852</v>
      </c>
      <c r="C554" s="7" t="s">
        <v>1853</v>
      </c>
      <c r="F554" t="s">
        <v>1603</v>
      </c>
      <c r="G554" s="8" t="s">
        <v>15</v>
      </c>
    </row>
    <row r="555" spans="1:7" hidden="1" x14ac:dyDescent="0.25">
      <c r="A555" s="21">
        <v>554</v>
      </c>
      <c r="B555" s="7" t="s">
        <v>1854</v>
      </c>
      <c r="C555" s="7" t="s">
        <v>1855</v>
      </c>
      <c r="F555" t="s">
        <v>1603</v>
      </c>
      <c r="G555" s="8" t="s">
        <v>15</v>
      </c>
    </row>
    <row r="556" spans="1:7" hidden="1" x14ac:dyDescent="0.25">
      <c r="A556" s="21">
        <v>555</v>
      </c>
      <c r="B556" s="7" t="s">
        <v>1856</v>
      </c>
      <c r="C556" s="7" t="s">
        <v>1857</v>
      </c>
      <c r="F556" t="s">
        <v>1603</v>
      </c>
      <c r="G556" s="8" t="s">
        <v>15</v>
      </c>
    </row>
    <row r="557" spans="1:7" hidden="1" x14ac:dyDescent="0.25">
      <c r="A557" s="21">
        <v>556</v>
      </c>
      <c r="B557" s="7" t="s">
        <v>1858</v>
      </c>
      <c r="C557" s="7" t="s">
        <v>1859</v>
      </c>
      <c r="F557" t="s">
        <v>1603</v>
      </c>
      <c r="G557" s="8" t="s">
        <v>15</v>
      </c>
    </row>
    <row r="558" spans="1:7" hidden="1" x14ac:dyDescent="0.25">
      <c r="A558" s="21">
        <v>557</v>
      </c>
      <c r="B558" s="7" t="s">
        <v>1860</v>
      </c>
      <c r="C558" s="7" t="s">
        <v>1861</v>
      </c>
      <c r="F558" t="s">
        <v>1603</v>
      </c>
      <c r="G558" s="8" t="s">
        <v>15</v>
      </c>
    </row>
    <row r="559" spans="1:7" hidden="1" x14ac:dyDescent="0.25">
      <c r="A559" s="21">
        <v>558</v>
      </c>
      <c r="B559" s="7" t="s">
        <v>1862</v>
      </c>
      <c r="C559" s="7" t="s">
        <v>1863</v>
      </c>
      <c r="F559" t="s">
        <v>1603</v>
      </c>
      <c r="G559" s="8" t="s">
        <v>15</v>
      </c>
    </row>
    <row r="560" spans="1:7" hidden="1" x14ac:dyDescent="0.25">
      <c r="A560" s="21">
        <v>559</v>
      </c>
      <c r="B560" s="7" t="s">
        <v>1864</v>
      </c>
      <c r="C560" s="7" t="s">
        <v>1865</v>
      </c>
      <c r="F560" t="s">
        <v>1603</v>
      </c>
      <c r="G560" s="8" t="s">
        <v>15</v>
      </c>
    </row>
    <row r="561" spans="1:7" hidden="1" x14ac:dyDescent="0.25">
      <c r="A561" s="21">
        <v>560</v>
      </c>
      <c r="B561" s="7" t="s">
        <v>1866</v>
      </c>
      <c r="C561" s="7" t="s">
        <v>1867</v>
      </c>
      <c r="F561" t="s">
        <v>1603</v>
      </c>
      <c r="G561" s="8" t="s">
        <v>15</v>
      </c>
    </row>
    <row r="562" spans="1:7" hidden="1" x14ac:dyDescent="0.25">
      <c r="A562" s="21">
        <v>561</v>
      </c>
      <c r="B562" s="7" t="s">
        <v>1868</v>
      </c>
      <c r="C562" s="7" t="s">
        <v>1869</v>
      </c>
      <c r="F562" t="s">
        <v>1603</v>
      </c>
      <c r="G562" s="8" t="s">
        <v>15</v>
      </c>
    </row>
    <row r="563" spans="1:7" hidden="1" x14ac:dyDescent="0.25">
      <c r="A563" s="21">
        <v>562</v>
      </c>
      <c r="B563" s="7" t="s">
        <v>1870</v>
      </c>
      <c r="C563" s="7" t="s">
        <v>1871</v>
      </c>
      <c r="F563" t="s">
        <v>1603</v>
      </c>
      <c r="G563" s="8" t="s">
        <v>15</v>
      </c>
    </row>
    <row r="564" spans="1:7" hidden="1" x14ac:dyDescent="0.25">
      <c r="A564" s="21">
        <v>563</v>
      </c>
      <c r="B564" s="7" t="s">
        <v>1872</v>
      </c>
      <c r="C564" s="7" t="s">
        <v>1873</v>
      </c>
      <c r="F564" t="s">
        <v>1603</v>
      </c>
      <c r="G564" s="8" t="s">
        <v>15</v>
      </c>
    </row>
    <row r="565" spans="1:7" hidden="1" x14ac:dyDescent="0.25">
      <c r="A565" s="21">
        <v>564</v>
      </c>
      <c r="B565" s="7" t="s">
        <v>1874</v>
      </c>
      <c r="C565" s="7" t="s">
        <v>1875</v>
      </c>
      <c r="F565" t="s">
        <v>1603</v>
      </c>
      <c r="G565" s="8" t="s">
        <v>15</v>
      </c>
    </row>
    <row r="566" spans="1:7" hidden="1" x14ac:dyDescent="0.25">
      <c r="A566" s="21">
        <v>565</v>
      </c>
      <c r="B566" s="7" t="s">
        <v>1876</v>
      </c>
      <c r="C566" s="7" t="s">
        <v>1877</v>
      </c>
      <c r="F566" t="s">
        <v>1603</v>
      </c>
      <c r="G566" s="8" t="s">
        <v>15</v>
      </c>
    </row>
    <row r="567" spans="1:7" hidden="1" x14ac:dyDescent="0.25">
      <c r="A567" s="21">
        <v>566</v>
      </c>
      <c r="B567" s="7" t="s">
        <v>1878</v>
      </c>
      <c r="C567" s="7" t="s">
        <v>1879</v>
      </c>
      <c r="F567" t="s">
        <v>1603</v>
      </c>
      <c r="G567" s="8" t="s">
        <v>15</v>
      </c>
    </row>
    <row r="568" spans="1:7" hidden="1" x14ac:dyDescent="0.25">
      <c r="A568" s="21">
        <v>567</v>
      </c>
      <c r="B568" s="7" t="s">
        <v>1880</v>
      </c>
      <c r="C568" s="7" t="s">
        <v>1881</v>
      </c>
      <c r="F568" t="s">
        <v>1603</v>
      </c>
      <c r="G568" s="8" t="s">
        <v>15</v>
      </c>
    </row>
    <row r="569" spans="1:7" hidden="1" x14ac:dyDescent="0.25">
      <c r="A569" s="21">
        <v>568</v>
      </c>
      <c r="B569" s="7" t="s">
        <v>1882</v>
      </c>
      <c r="C569" s="7" t="s">
        <v>1883</v>
      </c>
      <c r="F569" t="s">
        <v>1603</v>
      </c>
      <c r="G569" s="8" t="s">
        <v>15</v>
      </c>
    </row>
    <row r="570" spans="1:7" hidden="1" x14ac:dyDescent="0.25">
      <c r="A570" s="21">
        <v>569</v>
      </c>
      <c r="B570" s="7" t="s">
        <v>1884</v>
      </c>
      <c r="C570" s="7" t="s">
        <v>1885</v>
      </c>
      <c r="F570" t="s">
        <v>1603</v>
      </c>
      <c r="G570" s="8" t="s">
        <v>15</v>
      </c>
    </row>
    <row r="571" spans="1:7" hidden="1" x14ac:dyDescent="0.25">
      <c r="A571" s="21">
        <v>570</v>
      </c>
      <c r="B571" s="7" t="s">
        <v>1886</v>
      </c>
      <c r="C571" s="7" t="s">
        <v>1887</v>
      </c>
      <c r="F571" t="s">
        <v>1603</v>
      </c>
      <c r="G571" s="8" t="s">
        <v>15</v>
      </c>
    </row>
    <row r="572" spans="1:7" hidden="1" x14ac:dyDescent="0.25">
      <c r="A572" s="21">
        <v>571</v>
      </c>
      <c r="B572" s="7" t="s">
        <v>1888</v>
      </c>
      <c r="C572" s="7" t="s">
        <v>1889</v>
      </c>
      <c r="F572" t="s">
        <v>1603</v>
      </c>
      <c r="G572" s="8" t="s">
        <v>15</v>
      </c>
    </row>
    <row r="573" spans="1:7" hidden="1" x14ac:dyDescent="0.25">
      <c r="A573" s="21">
        <v>572</v>
      </c>
      <c r="B573" s="7" t="s">
        <v>1890</v>
      </c>
      <c r="C573" s="7" t="s">
        <v>1891</v>
      </c>
      <c r="F573" t="s">
        <v>1603</v>
      </c>
      <c r="G573" s="8" t="s">
        <v>15</v>
      </c>
    </row>
    <row r="574" spans="1:7" hidden="1" x14ac:dyDescent="0.25">
      <c r="A574" s="21">
        <v>573</v>
      </c>
      <c r="B574" s="7" t="s">
        <v>1892</v>
      </c>
      <c r="C574" s="7" t="s">
        <v>1893</v>
      </c>
      <c r="F574" t="s">
        <v>1603</v>
      </c>
      <c r="G574" s="8" t="s">
        <v>15</v>
      </c>
    </row>
    <row r="575" spans="1:7" hidden="1" x14ac:dyDescent="0.25">
      <c r="A575" s="21">
        <v>574</v>
      </c>
      <c r="B575" s="7" t="s">
        <v>1894</v>
      </c>
      <c r="C575" s="7" t="s">
        <v>1895</v>
      </c>
      <c r="F575" t="s">
        <v>1603</v>
      </c>
      <c r="G575" s="8" t="s">
        <v>15</v>
      </c>
    </row>
    <row r="576" spans="1:7" hidden="1" x14ac:dyDescent="0.25">
      <c r="A576" s="21">
        <v>575</v>
      </c>
      <c r="B576" s="7" t="s">
        <v>1896</v>
      </c>
      <c r="C576" s="7" t="s">
        <v>1897</v>
      </c>
      <c r="F576" t="s">
        <v>1603</v>
      </c>
      <c r="G576" s="8" t="s">
        <v>15</v>
      </c>
    </row>
    <row r="577" spans="1:7" hidden="1" x14ac:dyDescent="0.25">
      <c r="A577" s="21">
        <v>576</v>
      </c>
      <c r="B577" s="7" t="s">
        <v>1898</v>
      </c>
      <c r="C577" s="7" t="s">
        <v>1899</v>
      </c>
      <c r="F577" t="s">
        <v>1603</v>
      </c>
      <c r="G577" s="8" t="s">
        <v>15</v>
      </c>
    </row>
    <row r="578" spans="1:7" hidden="1" x14ac:dyDescent="0.25">
      <c r="A578" s="21">
        <v>577</v>
      </c>
      <c r="B578" s="7" t="s">
        <v>1900</v>
      </c>
      <c r="C578" s="7" t="s">
        <v>1901</v>
      </c>
      <c r="F578" t="s">
        <v>1603</v>
      </c>
      <c r="G578" s="8" t="s">
        <v>15</v>
      </c>
    </row>
    <row r="579" spans="1:7" hidden="1" x14ac:dyDescent="0.25">
      <c r="A579" s="21">
        <v>578</v>
      </c>
      <c r="B579" s="7" t="s">
        <v>1902</v>
      </c>
      <c r="C579" s="7" t="s">
        <v>1903</v>
      </c>
      <c r="F579" t="s">
        <v>1603</v>
      </c>
      <c r="G579" s="8" t="s">
        <v>15</v>
      </c>
    </row>
    <row r="580" spans="1:7" hidden="1" x14ac:dyDescent="0.25">
      <c r="A580" s="21">
        <v>579</v>
      </c>
      <c r="B580" s="7" t="s">
        <v>1904</v>
      </c>
      <c r="C580" s="7" t="s">
        <v>1905</v>
      </c>
      <c r="F580" t="s">
        <v>1603</v>
      </c>
      <c r="G580" s="8" t="s">
        <v>15</v>
      </c>
    </row>
    <row r="581" spans="1:7" hidden="1" x14ac:dyDescent="0.25">
      <c r="A581" s="21">
        <v>580</v>
      </c>
      <c r="B581" s="7" t="s">
        <v>1906</v>
      </c>
      <c r="C581" s="7" t="s">
        <v>1907</v>
      </c>
      <c r="F581" t="s">
        <v>1603</v>
      </c>
      <c r="G581" s="8" t="s">
        <v>15</v>
      </c>
    </row>
    <row r="582" spans="1:7" hidden="1" x14ac:dyDescent="0.25">
      <c r="A582" s="21">
        <v>581</v>
      </c>
      <c r="B582" s="7" t="s">
        <v>1908</v>
      </c>
      <c r="C582" s="7" t="s">
        <v>1909</v>
      </c>
      <c r="F582" t="s">
        <v>1603</v>
      </c>
      <c r="G582" s="8" t="s">
        <v>15</v>
      </c>
    </row>
    <row r="583" spans="1:7" hidden="1" x14ac:dyDescent="0.25">
      <c r="A583" s="21">
        <v>582</v>
      </c>
      <c r="B583" s="7" t="s">
        <v>1910</v>
      </c>
      <c r="C583" s="7" t="s">
        <v>1911</v>
      </c>
      <c r="F583" t="s">
        <v>1603</v>
      </c>
      <c r="G583" s="8" t="s">
        <v>15</v>
      </c>
    </row>
    <row r="584" spans="1:7" hidden="1" x14ac:dyDescent="0.25">
      <c r="A584" s="21">
        <v>583</v>
      </c>
      <c r="B584" s="7" t="s">
        <v>1912</v>
      </c>
      <c r="C584" s="7" t="s">
        <v>1913</v>
      </c>
      <c r="F584" t="s">
        <v>1603</v>
      </c>
      <c r="G584" s="8" t="s">
        <v>15</v>
      </c>
    </row>
    <row r="585" spans="1:7" hidden="1" x14ac:dyDescent="0.25">
      <c r="A585" s="21">
        <v>584</v>
      </c>
      <c r="B585" s="7" t="s">
        <v>1914</v>
      </c>
      <c r="C585" s="7" t="s">
        <v>1915</v>
      </c>
      <c r="F585" t="s">
        <v>1603</v>
      </c>
      <c r="G585" s="8" t="s">
        <v>15</v>
      </c>
    </row>
    <row r="586" spans="1:7" hidden="1" x14ac:dyDescent="0.25">
      <c r="A586" s="21">
        <v>585</v>
      </c>
      <c r="B586" s="7" t="s">
        <v>1916</v>
      </c>
      <c r="C586" s="7" t="s">
        <v>1917</v>
      </c>
      <c r="F586" t="s">
        <v>1603</v>
      </c>
      <c r="G586" s="8" t="s">
        <v>15</v>
      </c>
    </row>
    <row r="587" spans="1:7" hidden="1" x14ac:dyDescent="0.25">
      <c r="A587" s="21">
        <v>586</v>
      </c>
      <c r="B587" s="7" t="s">
        <v>1918</v>
      </c>
      <c r="C587" s="7" t="s">
        <v>1919</v>
      </c>
      <c r="F587" t="s">
        <v>1603</v>
      </c>
      <c r="G587" s="8" t="s">
        <v>15</v>
      </c>
    </row>
    <row r="588" spans="1:7" hidden="1" x14ac:dyDescent="0.25">
      <c r="A588" s="21">
        <v>587</v>
      </c>
      <c r="B588" s="7" t="s">
        <v>1920</v>
      </c>
      <c r="C588" s="7" t="s">
        <v>1921</v>
      </c>
      <c r="F588" t="s">
        <v>1603</v>
      </c>
      <c r="G588" s="8" t="s">
        <v>15</v>
      </c>
    </row>
    <row r="589" spans="1:7" hidden="1" x14ac:dyDescent="0.25">
      <c r="A589" s="21">
        <v>588</v>
      </c>
      <c r="B589" s="7" t="s">
        <v>1922</v>
      </c>
      <c r="C589" s="7" t="s">
        <v>1923</v>
      </c>
      <c r="F589" t="s">
        <v>1603</v>
      </c>
      <c r="G589" s="8" t="s">
        <v>15</v>
      </c>
    </row>
    <row r="590" spans="1:7" hidden="1" x14ac:dyDescent="0.25">
      <c r="A590" s="21">
        <v>589</v>
      </c>
      <c r="B590" s="7" t="s">
        <v>1924</v>
      </c>
      <c r="C590" s="7" t="s">
        <v>1925</v>
      </c>
      <c r="F590" t="s">
        <v>1603</v>
      </c>
      <c r="G590" s="8" t="s">
        <v>15</v>
      </c>
    </row>
    <row r="591" spans="1:7" hidden="1" x14ac:dyDescent="0.25">
      <c r="A591" s="21">
        <v>590</v>
      </c>
      <c r="B591" s="7" t="s">
        <v>1926</v>
      </c>
      <c r="C591" s="7" t="s">
        <v>1927</v>
      </c>
      <c r="F591" t="s">
        <v>1603</v>
      </c>
      <c r="G591" s="8" t="s">
        <v>15</v>
      </c>
    </row>
    <row r="592" spans="1:7" hidden="1" x14ac:dyDescent="0.25">
      <c r="A592" s="21">
        <v>591</v>
      </c>
      <c r="B592" s="7" t="s">
        <v>1928</v>
      </c>
      <c r="C592" s="7" t="s">
        <v>1929</v>
      </c>
      <c r="F592" t="s">
        <v>1603</v>
      </c>
      <c r="G592" s="8" t="s">
        <v>15</v>
      </c>
    </row>
    <row r="593" spans="1:7" hidden="1" x14ac:dyDescent="0.25">
      <c r="A593" s="21">
        <v>592</v>
      </c>
      <c r="B593" s="7" t="s">
        <v>1930</v>
      </c>
      <c r="C593" s="7" t="s">
        <v>1931</v>
      </c>
      <c r="F593" t="s">
        <v>1603</v>
      </c>
      <c r="G593" s="8" t="s">
        <v>15</v>
      </c>
    </row>
    <row r="594" spans="1:7" hidden="1" x14ac:dyDescent="0.25">
      <c r="A594" s="21">
        <v>593</v>
      </c>
      <c r="B594" s="7" t="s">
        <v>1932</v>
      </c>
      <c r="C594" s="7" t="s">
        <v>1933</v>
      </c>
      <c r="F594" t="s">
        <v>1603</v>
      </c>
      <c r="G594" s="8" t="s">
        <v>15</v>
      </c>
    </row>
    <row r="595" spans="1:7" hidden="1" x14ac:dyDescent="0.25">
      <c r="A595" s="21">
        <v>594</v>
      </c>
      <c r="B595" s="7" t="s">
        <v>1934</v>
      </c>
      <c r="C595" s="7" t="s">
        <v>1935</v>
      </c>
      <c r="F595" t="s">
        <v>1603</v>
      </c>
      <c r="G595" s="8" t="s">
        <v>15</v>
      </c>
    </row>
    <row r="596" spans="1:7" hidden="1" x14ac:dyDescent="0.25">
      <c r="A596" s="21">
        <v>595</v>
      </c>
      <c r="B596" s="7" t="s">
        <v>1936</v>
      </c>
      <c r="C596" s="7" t="s">
        <v>1937</v>
      </c>
      <c r="F596" t="s">
        <v>1603</v>
      </c>
      <c r="G596" s="8" t="s">
        <v>15</v>
      </c>
    </row>
    <row r="597" spans="1:7" hidden="1" x14ac:dyDescent="0.25">
      <c r="A597" s="21">
        <v>596</v>
      </c>
      <c r="B597" s="7" t="s">
        <v>1938</v>
      </c>
      <c r="C597" s="7" t="s">
        <v>1939</v>
      </c>
      <c r="F597" t="s">
        <v>1603</v>
      </c>
      <c r="G597" s="8" t="s">
        <v>15</v>
      </c>
    </row>
    <row r="598" spans="1:7" hidden="1" x14ac:dyDescent="0.25">
      <c r="A598" s="21">
        <v>597</v>
      </c>
      <c r="B598" s="7" t="s">
        <v>1940</v>
      </c>
      <c r="C598" s="7" t="s">
        <v>1941</v>
      </c>
      <c r="F598" t="s">
        <v>1603</v>
      </c>
      <c r="G598" s="8" t="s">
        <v>15</v>
      </c>
    </row>
    <row r="599" spans="1:7" hidden="1" x14ac:dyDescent="0.25">
      <c r="A599" s="21">
        <v>598</v>
      </c>
      <c r="B599" s="7" t="s">
        <v>1942</v>
      </c>
      <c r="C599" s="7" t="s">
        <v>1943</v>
      </c>
      <c r="F599" t="s">
        <v>1603</v>
      </c>
      <c r="G599" s="8" t="s">
        <v>15</v>
      </c>
    </row>
    <row r="600" spans="1:7" hidden="1" x14ac:dyDescent="0.25">
      <c r="A600" s="21">
        <v>599</v>
      </c>
      <c r="B600" s="7" t="s">
        <v>1944</v>
      </c>
      <c r="C600" s="7" t="s">
        <v>1945</v>
      </c>
      <c r="F600" t="s">
        <v>1603</v>
      </c>
      <c r="G600" s="8" t="s">
        <v>15</v>
      </c>
    </row>
    <row r="601" spans="1:7" hidden="1" x14ac:dyDescent="0.25">
      <c r="A601" s="21">
        <v>600</v>
      </c>
      <c r="B601" s="7" t="s">
        <v>1946</v>
      </c>
      <c r="C601" s="7" t="s">
        <v>1947</v>
      </c>
      <c r="F601" t="s">
        <v>1603</v>
      </c>
      <c r="G601" s="8" t="s">
        <v>15</v>
      </c>
    </row>
    <row r="602" spans="1:7" hidden="1" x14ac:dyDescent="0.25">
      <c r="A602" s="21">
        <v>601</v>
      </c>
      <c r="B602" s="7" t="s">
        <v>1948</v>
      </c>
      <c r="C602" s="7" t="s">
        <v>1949</v>
      </c>
      <c r="F602" t="s">
        <v>1603</v>
      </c>
      <c r="G602" s="8" t="s">
        <v>15</v>
      </c>
    </row>
    <row r="603" spans="1:7" hidden="1" x14ac:dyDescent="0.25">
      <c r="A603" s="21">
        <v>602</v>
      </c>
      <c r="B603" s="7" t="s">
        <v>1950</v>
      </c>
      <c r="C603" s="7" t="s">
        <v>1951</v>
      </c>
      <c r="F603" t="s">
        <v>1603</v>
      </c>
      <c r="G603" s="8" t="s">
        <v>15</v>
      </c>
    </row>
    <row r="604" spans="1:7" hidden="1" x14ac:dyDescent="0.25">
      <c r="A604" s="21">
        <v>603</v>
      </c>
      <c r="B604" s="7" t="s">
        <v>1952</v>
      </c>
      <c r="C604" s="7" t="s">
        <v>1953</v>
      </c>
      <c r="F604" t="s">
        <v>1603</v>
      </c>
      <c r="G604" s="8" t="s">
        <v>15</v>
      </c>
    </row>
    <row r="605" spans="1:7" hidden="1" x14ac:dyDescent="0.25">
      <c r="A605" s="21">
        <v>604</v>
      </c>
      <c r="B605" s="7" t="s">
        <v>1954</v>
      </c>
      <c r="C605" s="7" t="s">
        <v>1955</v>
      </c>
      <c r="F605" t="s">
        <v>1603</v>
      </c>
      <c r="G605" s="8" t="s">
        <v>15</v>
      </c>
    </row>
    <row r="606" spans="1:7" hidden="1" x14ac:dyDescent="0.25">
      <c r="A606" s="21">
        <v>605</v>
      </c>
      <c r="B606" s="7" t="s">
        <v>1956</v>
      </c>
      <c r="C606" s="7" t="s">
        <v>1957</v>
      </c>
      <c r="F606" t="s">
        <v>1603</v>
      </c>
      <c r="G606" s="8" t="s">
        <v>15</v>
      </c>
    </row>
    <row r="607" spans="1:7" hidden="1" x14ac:dyDescent="0.25">
      <c r="A607" s="21">
        <v>606</v>
      </c>
      <c r="B607" s="7" t="s">
        <v>1958</v>
      </c>
      <c r="C607" s="7" t="s">
        <v>1959</v>
      </c>
      <c r="F607" t="s">
        <v>1960</v>
      </c>
      <c r="G607" s="8" t="s">
        <v>15</v>
      </c>
    </row>
    <row r="608" spans="1:7" hidden="1" x14ac:dyDescent="0.25">
      <c r="A608" s="21">
        <v>607</v>
      </c>
      <c r="B608" s="7" t="s">
        <v>1961</v>
      </c>
      <c r="C608" s="7" t="s">
        <v>1962</v>
      </c>
      <c r="F608" t="s">
        <v>1960</v>
      </c>
      <c r="G608" s="8" t="s">
        <v>15</v>
      </c>
    </row>
    <row r="609" spans="1:7" hidden="1" x14ac:dyDescent="0.25">
      <c r="A609" s="21">
        <v>608</v>
      </c>
      <c r="B609" s="7" t="s">
        <v>1963</v>
      </c>
      <c r="C609" s="7" t="s">
        <v>1964</v>
      </c>
      <c r="F609" t="s">
        <v>1960</v>
      </c>
      <c r="G609" s="8" t="s">
        <v>15</v>
      </c>
    </row>
    <row r="610" spans="1:7" hidden="1" x14ac:dyDescent="0.25">
      <c r="A610" s="21">
        <v>609</v>
      </c>
      <c r="B610" s="7" t="s">
        <v>1965</v>
      </c>
      <c r="C610" s="7" t="s">
        <v>1966</v>
      </c>
      <c r="F610" t="s">
        <v>1960</v>
      </c>
      <c r="G610" s="8" t="s">
        <v>15</v>
      </c>
    </row>
    <row r="611" spans="1:7" hidden="1" x14ac:dyDescent="0.25">
      <c r="A611" s="21">
        <v>610</v>
      </c>
      <c r="B611" s="7" t="s">
        <v>1967</v>
      </c>
      <c r="C611" s="7" t="s">
        <v>1968</v>
      </c>
      <c r="G611" s="8" t="s">
        <v>15</v>
      </c>
    </row>
    <row r="612" spans="1:7" hidden="1" x14ac:dyDescent="0.25">
      <c r="A612" s="21">
        <v>611</v>
      </c>
      <c r="B612" s="7" t="s">
        <v>1969</v>
      </c>
      <c r="C612" s="7" t="s">
        <v>1970</v>
      </c>
      <c r="G612" s="8" t="s">
        <v>15</v>
      </c>
    </row>
    <row r="613" spans="1:7" hidden="1" x14ac:dyDescent="0.25">
      <c r="A613" s="21">
        <v>612</v>
      </c>
      <c r="B613" s="7" t="s">
        <v>1971</v>
      </c>
      <c r="C613" s="7" t="s">
        <v>1972</v>
      </c>
      <c r="G613" s="8" t="s">
        <v>15</v>
      </c>
    </row>
    <row r="614" spans="1:7" hidden="1" x14ac:dyDescent="0.25">
      <c r="A614" s="21">
        <v>613</v>
      </c>
      <c r="B614" s="7" t="s">
        <v>1973</v>
      </c>
      <c r="C614" s="7" t="s">
        <v>1974</v>
      </c>
      <c r="G614" s="8" t="s">
        <v>15</v>
      </c>
    </row>
    <row r="615" spans="1:7" hidden="1" x14ac:dyDescent="0.25">
      <c r="A615" s="21">
        <v>614</v>
      </c>
      <c r="B615" s="7" t="s">
        <v>1975</v>
      </c>
      <c r="C615" s="7" t="s">
        <v>1976</v>
      </c>
      <c r="G615" s="8" t="s">
        <v>15</v>
      </c>
    </row>
    <row r="616" spans="1:7" hidden="1" x14ac:dyDescent="0.25">
      <c r="A616" s="21">
        <v>615</v>
      </c>
      <c r="B616" s="7" t="s">
        <v>1977</v>
      </c>
      <c r="C616" s="7" t="s">
        <v>1978</v>
      </c>
      <c r="G616" s="8" t="s">
        <v>15</v>
      </c>
    </row>
    <row r="617" spans="1:7" hidden="1" x14ac:dyDescent="0.25">
      <c r="A617" s="21">
        <v>616</v>
      </c>
      <c r="B617" s="7" t="s">
        <v>1979</v>
      </c>
      <c r="C617" s="7" t="s">
        <v>1980</v>
      </c>
      <c r="G617" s="8" t="s">
        <v>15</v>
      </c>
    </row>
    <row r="618" spans="1:7" hidden="1" x14ac:dyDescent="0.25">
      <c r="A618" s="21">
        <v>617</v>
      </c>
      <c r="B618" s="7" t="s">
        <v>1981</v>
      </c>
      <c r="C618" s="7" t="s">
        <v>1982</v>
      </c>
      <c r="G618" s="8" t="s">
        <v>15</v>
      </c>
    </row>
    <row r="619" spans="1:7" hidden="1" x14ac:dyDescent="0.25">
      <c r="A619" s="21">
        <v>618</v>
      </c>
      <c r="B619" s="7" t="s">
        <v>1983</v>
      </c>
      <c r="C619" s="7" t="s">
        <v>1984</v>
      </c>
      <c r="G619" s="8" t="s">
        <v>15</v>
      </c>
    </row>
    <row r="620" spans="1:7" hidden="1" x14ac:dyDescent="0.25">
      <c r="A620" s="21">
        <v>619</v>
      </c>
      <c r="B620" s="7" t="s">
        <v>1985</v>
      </c>
      <c r="C620" s="7" t="s">
        <v>1986</v>
      </c>
      <c r="G620" s="8" t="s">
        <v>15</v>
      </c>
    </row>
    <row r="621" spans="1:7" hidden="1" x14ac:dyDescent="0.25">
      <c r="A621" s="21">
        <v>620</v>
      </c>
      <c r="B621" s="7" t="s">
        <v>1987</v>
      </c>
      <c r="C621" s="7" t="s">
        <v>1988</v>
      </c>
      <c r="G621" s="8" t="s">
        <v>15</v>
      </c>
    </row>
    <row r="622" spans="1:7" hidden="1" x14ac:dyDescent="0.25">
      <c r="A622" s="21">
        <v>621</v>
      </c>
      <c r="B622" s="7" t="s">
        <v>1989</v>
      </c>
      <c r="C622" s="7" t="s">
        <v>1990</v>
      </c>
      <c r="G622" s="8" t="s">
        <v>15</v>
      </c>
    </row>
    <row r="623" spans="1:7" hidden="1" x14ac:dyDescent="0.25">
      <c r="A623" s="21">
        <v>622</v>
      </c>
      <c r="B623" s="7" t="s">
        <v>1991</v>
      </c>
      <c r="C623" s="7" t="s">
        <v>1992</v>
      </c>
      <c r="G623" s="8" t="s">
        <v>15</v>
      </c>
    </row>
    <row r="624" spans="1:7" hidden="1" x14ac:dyDescent="0.25">
      <c r="A624" s="21">
        <v>623</v>
      </c>
      <c r="B624" s="7" t="s">
        <v>1993</v>
      </c>
      <c r="C624" s="7" t="s">
        <v>1994</v>
      </c>
      <c r="G624" s="8" t="s">
        <v>15</v>
      </c>
    </row>
    <row r="625" spans="1:7" hidden="1" x14ac:dyDescent="0.25">
      <c r="A625" s="21">
        <v>624</v>
      </c>
      <c r="B625" s="7" t="s">
        <v>1995</v>
      </c>
      <c r="C625" s="7" t="s">
        <v>1996</v>
      </c>
      <c r="G625" s="8" t="s">
        <v>15</v>
      </c>
    </row>
    <row r="626" spans="1:7" hidden="1" x14ac:dyDescent="0.25">
      <c r="A626" s="21">
        <v>625</v>
      </c>
      <c r="B626" s="7" t="s">
        <v>1997</v>
      </c>
      <c r="C626" s="7" t="s">
        <v>1998</v>
      </c>
      <c r="G626" s="8" t="s">
        <v>15</v>
      </c>
    </row>
    <row r="627" spans="1:7" hidden="1" x14ac:dyDescent="0.25">
      <c r="A627" s="21">
        <v>626</v>
      </c>
      <c r="B627" s="7" t="s">
        <v>1999</v>
      </c>
      <c r="C627" s="7" t="s">
        <v>2000</v>
      </c>
      <c r="G627" s="8" t="s">
        <v>15</v>
      </c>
    </row>
    <row r="628" spans="1:7" hidden="1" x14ac:dyDescent="0.25">
      <c r="A628" s="21">
        <v>627</v>
      </c>
      <c r="B628" s="7" t="s">
        <v>2001</v>
      </c>
      <c r="C628" s="7" t="s">
        <v>2002</v>
      </c>
      <c r="G628" s="8" t="s">
        <v>15</v>
      </c>
    </row>
    <row r="629" spans="1:7" hidden="1" x14ac:dyDescent="0.25">
      <c r="A629" s="21">
        <v>628</v>
      </c>
      <c r="B629" s="7" t="s">
        <v>2003</v>
      </c>
      <c r="C629" s="7" t="s">
        <v>2004</v>
      </c>
      <c r="G629" s="8" t="s">
        <v>15</v>
      </c>
    </row>
    <row r="630" spans="1:7" hidden="1" x14ac:dyDescent="0.25">
      <c r="A630" s="21">
        <v>629</v>
      </c>
      <c r="B630" s="7" t="s">
        <v>2005</v>
      </c>
      <c r="C630" s="7" t="s">
        <v>2006</v>
      </c>
      <c r="G630" s="8" t="s">
        <v>15</v>
      </c>
    </row>
    <row r="631" spans="1:7" hidden="1" x14ac:dyDescent="0.25">
      <c r="A631" s="21">
        <v>630</v>
      </c>
      <c r="B631" s="7" t="s">
        <v>2007</v>
      </c>
      <c r="C631" s="7" t="s">
        <v>2008</v>
      </c>
      <c r="G631" s="8" t="s">
        <v>15</v>
      </c>
    </row>
    <row r="632" spans="1:7" hidden="1" x14ac:dyDescent="0.25">
      <c r="A632" s="21">
        <v>631</v>
      </c>
      <c r="B632" s="7" t="s">
        <v>2009</v>
      </c>
      <c r="C632" s="7" t="s">
        <v>2010</v>
      </c>
      <c r="G632" s="8" t="s">
        <v>15</v>
      </c>
    </row>
    <row r="633" spans="1:7" hidden="1" x14ac:dyDescent="0.25">
      <c r="A633" s="21">
        <v>632</v>
      </c>
      <c r="B633" s="7" t="s">
        <v>2011</v>
      </c>
      <c r="C633" s="7" t="s">
        <v>2012</v>
      </c>
      <c r="G633" s="8" t="s">
        <v>15</v>
      </c>
    </row>
    <row r="634" spans="1:7" hidden="1" x14ac:dyDescent="0.25">
      <c r="A634" s="21">
        <v>633</v>
      </c>
      <c r="B634" s="7" t="s">
        <v>2013</v>
      </c>
      <c r="C634" s="7" t="s">
        <v>2014</v>
      </c>
      <c r="G634" s="8" t="s">
        <v>15</v>
      </c>
    </row>
    <row r="635" spans="1:7" hidden="1" x14ac:dyDescent="0.25">
      <c r="A635" s="21">
        <v>634</v>
      </c>
      <c r="B635" s="7" t="s">
        <v>2015</v>
      </c>
      <c r="C635" s="7" t="s">
        <v>2016</v>
      </c>
      <c r="G635" s="8" t="s">
        <v>15</v>
      </c>
    </row>
    <row r="636" spans="1:7" hidden="1" x14ac:dyDescent="0.25">
      <c r="A636" s="21">
        <v>635</v>
      </c>
      <c r="B636" s="7" t="s">
        <v>2017</v>
      </c>
      <c r="C636" s="7" t="s">
        <v>2018</v>
      </c>
      <c r="G636" s="8" t="s">
        <v>15</v>
      </c>
    </row>
    <row r="637" spans="1:7" hidden="1" x14ac:dyDescent="0.25">
      <c r="A637" s="21">
        <v>636</v>
      </c>
      <c r="B637" s="7" t="s">
        <v>2019</v>
      </c>
      <c r="C637" s="7" t="s">
        <v>2020</v>
      </c>
      <c r="G637" s="8" t="s">
        <v>15</v>
      </c>
    </row>
    <row r="638" spans="1:7" hidden="1" x14ac:dyDescent="0.25">
      <c r="A638" s="21">
        <v>637</v>
      </c>
      <c r="B638" s="7" t="s">
        <v>2021</v>
      </c>
      <c r="C638" s="7" t="s">
        <v>2022</v>
      </c>
      <c r="F638" t="s">
        <v>2023</v>
      </c>
      <c r="G638" s="8" t="s">
        <v>15</v>
      </c>
    </row>
    <row r="639" spans="1:7" hidden="1" x14ac:dyDescent="0.25">
      <c r="A639" s="21">
        <v>638</v>
      </c>
      <c r="B639" s="7" t="s">
        <v>2024</v>
      </c>
      <c r="C639" s="7" t="s">
        <v>2025</v>
      </c>
      <c r="G639" s="8" t="s">
        <v>15</v>
      </c>
    </row>
    <row r="640" spans="1:7" hidden="1" x14ac:dyDescent="0.25">
      <c r="A640" s="21">
        <v>639</v>
      </c>
      <c r="B640" s="7" t="s">
        <v>2026</v>
      </c>
      <c r="C640" s="7" t="s">
        <v>2027</v>
      </c>
      <c r="G640" s="8" t="s">
        <v>15</v>
      </c>
    </row>
    <row r="641" spans="1:7" hidden="1" x14ac:dyDescent="0.25">
      <c r="A641" s="21">
        <v>640</v>
      </c>
      <c r="B641" s="7" t="s">
        <v>2028</v>
      </c>
      <c r="C641" s="7" t="s">
        <v>2029</v>
      </c>
      <c r="G641" s="8" t="s">
        <v>15</v>
      </c>
    </row>
    <row r="642" spans="1:7" hidden="1" x14ac:dyDescent="0.25">
      <c r="A642" s="21">
        <v>641</v>
      </c>
      <c r="B642" s="7" t="s">
        <v>2030</v>
      </c>
      <c r="C642" s="7" t="s">
        <v>2031</v>
      </c>
      <c r="G642" s="8" t="s">
        <v>15</v>
      </c>
    </row>
    <row r="643" spans="1:7" hidden="1" x14ac:dyDescent="0.25">
      <c r="A643" s="21">
        <v>642</v>
      </c>
      <c r="B643" s="7" t="s">
        <v>2032</v>
      </c>
      <c r="C643" s="7" t="s">
        <v>2033</v>
      </c>
      <c r="F643" t="s">
        <v>1603</v>
      </c>
      <c r="G643" s="8" t="s">
        <v>15</v>
      </c>
    </row>
    <row r="644" spans="1:7" hidden="1" x14ac:dyDescent="0.25">
      <c r="A644" s="21">
        <v>643</v>
      </c>
      <c r="B644" s="7" t="s">
        <v>2034</v>
      </c>
      <c r="C644" s="7" t="s">
        <v>2035</v>
      </c>
      <c r="F644" t="s">
        <v>1603</v>
      </c>
      <c r="G644" s="8" t="s">
        <v>15</v>
      </c>
    </row>
    <row r="645" spans="1:7" hidden="1" x14ac:dyDescent="0.25">
      <c r="A645" s="21">
        <v>644</v>
      </c>
      <c r="B645" s="7" t="s">
        <v>2036</v>
      </c>
      <c r="C645" s="7" t="s">
        <v>2037</v>
      </c>
      <c r="F645" t="s">
        <v>1603</v>
      </c>
      <c r="G645" s="8" t="s">
        <v>15</v>
      </c>
    </row>
    <row r="646" spans="1:7" hidden="1" x14ac:dyDescent="0.25">
      <c r="A646" s="21">
        <v>645</v>
      </c>
      <c r="B646" s="7" t="s">
        <v>2038</v>
      </c>
      <c r="C646" s="7" t="s">
        <v>2039</v>
      </c>
      <c r="F646" t="s">
        <v>1603</v>
      </c>
      <c r="G646" s="8" t="s">
        <v>15</v>
      </c>
    </row>
    <row r="647" spans="1:7" hidden="1" x14ac:dyDescent="0.25">
      <c r="A647" s="21">
        <v>646</v>
      </c>
      <c r="B647" s="7" t="s">
        <v>2040</v>
      </c>
      <c r="C647" s="7" t="s">
        <v>2041</v>
      </c>
      <c r="F647" t="s">
        <v>1603</v>
      </c>
      <c r="G647" s="8" t="s">
        <v>15</v>
      </c>
    </row>
    <row r="648" spans="1:7" hidden="1" x14ac:dyDescent="0.25">
      <c r="A648" s="21">
        <v>647</v>
      </c>
      <c r="B648" s="7" t="s">
        <v>2042</v>
      </c>
      <c r="C648" s="7" t="s">
        <v>2043</v>
      </c>
      <c r="F648" t="s">
        <v>1603</v>
      </c>
      <c r="G648" s="8" t="s">
        <v>15</v>
      </c>
    </row>
    <row r="649" spans="1:7" hidden="1" x14ac:dyDescent="0.25">
      <c r="A649" s="21">
        <v>648</v>
      </c>
      <c r="B649" s="7" t="s">
        <v>2044</v>
      </c>
      <c r="C649" s="7" t="s">
        <v>2045</v>
      </c>
      <c r="F649" t="s">
        <v>1603</v>
      </c>
      <c r="G649" s="8" t="s">
        <v>15</v>
      </c>
    </row>
    <row r="650" spans="1:7" hidden="1" x14ac:dyDescent="0.25">
      <c r="A650" s="21">
        <v>649</v>
      </c>
      <c r="B650" s="7" t="s">
        <v>2046</v>
      </c>
      <c r="C650" s="7" t="s">
        <v>2047</v>
      </c>
      <c r="F650" t="s">
        <v>1603</v>
      </c>
      <c r="G650" s="8" t="s">
        <v>15</v>
      </c>
    </row>
    <row r="651" spans="1:7" hidden="1" x14ac:dyDescent="0.25">
      <c r="A651" s="21">
        <v>650</v>
      </c>
      <c r="B651" s="7" t="s">
        <v>2048</v>
      </c>
      <c r="C651" s="7" t="s">
        <v>2049</v>
      </c>
      <c r="F651" t="s">
        <v>1603</v>
      </c>
      <c r="G651" s="8" t="s">
        <v>15</v>
      </c>
    </row>
    <row r="652" spans="1:7" hidden="1" x14ac:dyDescent="0.25">
      <c r="A652" s="21">
        <v>651</v>
      </c>
      <c r="B652" s="7" t="s">
        <v>2050</v>
      </c>
      <c r="C652" s="7" t="s">
        <v>2051</v>
      </c>
      <c r="F652" t="s">
        <v>1603</v>
      </c>
      <c r="G652" s="8" t="s">
        <v>15</v>
      </c>
    </row>
    <row r="653" spans="1:7" hidden="1" x14ac:dyDescent="0.25">
      <c r="A653" s="21">
        <v>652</v>
      </c>
      <c r="B653" s="7" t="s">
        <v>2052</v>
      </c>
      <c r="C653" s="7" t="s">
        <v>2053</v>
      </c>
      <c r="F653" t="s">
        <v>1603</v>
      </c>
      <c r="G653" s="8" t="s">
        <v>15</v>
      </c>
    </row>
    <row r="654" spans="1:7" hidden="1" x14ac:dyDescent="0.25">
      <c r="A654" s="21">
        <v>653</v>
      </c>
      <c r="B654" s="7" t="s">
        <v>2054</v>
      </c>
      <c r="C654" s="7" t="s">
        <v>2055</v>
      </c>
      <c r="F654" t="s">
        <v>1603</v>
      </c>
      <c r="G654" s="8" t="s">
        <v>15</v>
      </c>
    </row>
    <row r="655" spans="1:7" hidden="1" x14ac:dyDescent="0.25">
      <c r="A655" s="21">
        <v>654</v>
      </c>
      <c r="B655" s="7" t="s">
        <v>2056</v>
      </c>
      <c r="C655" s="7" t="s">
        <v>2057</v>
      </c>
      <c r="F655" t="s">
        <v>1603</v>
      </c>
      <c r="G655" s="8" t="s">
        <v>15</v>
      </c>
    </row>
    <row r="656" spans="1:7" hidden="1" x14ac:dyDescent="0.25">
      <c r="A656" s="21">
        <v>655</v>
      </c>
      <c r="B656" s="7" t="s">
        <v>2058</v>
      </c>
      <c r="C656" s="7" t="s">
        <v>2059</v>
      </c>
      <c r="F656" t="s">
        <v>1603</v>
      </c>
      <c r="G656" s="8" t="s">
        <v>15</v>
      </c>
    </row>
    <row r="657" spans="1:7" hidden="1" x14ac:dyDescent="0.25">
      <c r="A657" s="21">
        <v>656</v>
      </c>
      <c r="B657" s="7" t="s">
        <v>2060</v>
      </c>
      <c r="C657" s="7" t="s">
        <v>2061</v>
      </c>
      <c r="F657" t="s">
        <v>1603</v>
      </c>
      <c r="G657" s="8" t="s">
        <v>15</v>
      </c>
    </row>
    <row r="658" spans="1:7" hidden="1" x14ac:dyDescent="0.25">
      <c r="A658" s="21">
        <v>657</v>
      </c>
      <c r="B658" s="7" t="s">
        <v>2062</v>
      </c>
      <c r="C658" s="7" t="s">
        <v>2063</v>
      </c>
      <c r="F658" t="s">
        <v>1603</v>
      </c>
      <c r="G658" s="8" t="s">
        <v>15</v>
      </c>
    </row>
    <row r="659" spans="1:7" hidden="1" x14ac:dyDescent="0.25">
      <c r="A659" s="21">
        <v>658</v>
      </c>
      <c r="B659" s="7" t="s">
        <v>2064</v>
      </c>
      <c r="C659" s="7" t="s">
        <v>2065</v>
      </c>
      <c r="F659" t="s">
        <v>1603</v>
      </c>
      <c r="G659" s="8" t="s">
        <v>15</v>
      </c>
    </row>
    <row r="660" spans="1:7" hidden="1" x14ac:dyDescent="0.25">
      <c r="A660" s="21">
        <v>659</v>
      </c>
      <c r="B660" s="7" t="s">
        <v>2066</v>
      </c>
      <c r="C660" s="7" t="s">
        <v>2067</v>
      </c>
      <c r="F660" t="s">
        <v>1603</v>
      </c>
      <c r="G660" s="8" t="s">
        <v>15</v>
      </c>
    </row>
    <row r="661" spans="1:7" hidden="1" x14ac:dyDescent="0.25">
      <c r="A661" s="21">
        <v>660</v>
      </c>
      <c r="B661" s="7" t="s">
        <v>2068</v>
      </c>
      <c r="C661" s="7" t="s">
        <v>2069</v>
      </c>
      <c r="F661" t="s">
        <v>1603</v>
      </c>
      <c r="G661" s="8" t="s">
        <v>15</v>
      </c>
    </row>
    <row r="662" spans="1:7" hidden="1" x14ac:dyDescent="0.25">
      <c r="A662" s="21">
        <v>661</v>
      </c>
      <c r="B662" s="7" t="s">
        <v>2070</v>
      </c>
      <c r="C662" s="7" t="s">
        <v>2071</v>
      </c>
      <c r="F662" t="s">
        <v>1603</v>
      </c>
      <c r="G662" s="8" t="s">
        <v>15</v>
      </c>
    </row>
    <row r="663" spans="1:7" hidden="1" x14ac:dyDescent="0.25">
      <c r="A663" s="21">
        <v>662</v>
      </c>
      <c r="B663" s="7" t="s">
        <v>2072</v>
      </c>
      <c r="C663" s="7" t="s">
        <v>2073</v>
      </c>
      <c r="F663" t="s">
        <v>1603</v>
      </c>
      <c r="G663" s="8" t="s">
        <v>15</v>
      </c>
    </row>
    <row r="664" spans="1:7" hidden="1" x14ac:dyDescent="0.25">
      <c r="A664" s="21">
        <v>663</v>
      </c>
      <c r="B664" s="7" t="s">
        <v>2074</v>
      </c>
      <c r="C664" s="7" t="s">
        <v>2075</v>
      </c>
      <c r="F664" t="s">
        <v>1603</v>
      </c>
      <c r="G664" s="8" t="s">
        <v>15</v>
      </c>
    </row>
    <row r="665" spans="1:7" hidden="1" x14ac:dyDescent="0.25">
      <c r="A665" s="21">
        <v>664</v>
      </c>
      <c r="B665" s="7" t="s">
        <v>2076</v>
      </c>
      <c r="C665" s="7" t="s">
        <v>2077</v>
      </c>
      <c r="F665" t="s">
        <v>1603</v>
      </c>
      <c r="G665" s="8" t="s">
        <v>15</v>
      </c>
    </row>
    <row r="666" spans="1:7" hidden="1" x14ac:dyDescent="0.25">
      <c r="A666" s="21">
        <v>665</v>
      </c>
      <c r="B666" s="7" t="s">
        <v>2078</v>
      </c>
      <c r="C666" s="7" t="s">
        <v>2079</v>
      </c>
      <c r="F666" t="s">
        <v>1603</v>
      </c>
      <c r="G666" s="8" t="s">
        <v>15</v>
      </c>
    </row>
    <row r="667" spans="1:7" hidden="1" x14ac:dyDescent="0.25">
      <c r="A667" s="21">
        <v>666</v>
      </c>
      <c r="B667" s="7" t="s">
        <v>2080</v>
      </c>
      <c r="C667" s="7" t="s">
        <v>2081</v>
      </c>
      <c r="F667" t="s">
        <v>1603</v>
      </c>
      <c r="G667" s="8" t="s">
        <v>15</v>
      </c>
    </row>
    <row r="668" spans="1:7" hidden="1" x14ac:dyDescent="0.25">
      <c r="A668" s="21">
        <v>667</v>
      </c>
      <c r="B668" s="7" t="s">
        <v>2082</v>
      </c>
      <c r="C668" s="7" t="s">
        <v>2083</v>
      </c>
      <c r="F668" t="s">
        <v>1603</v>
      </c>
      <c r="G668" s="8" t="s">
        <v>15</v>
      </c>
    </row>
    <row r="669" spans="1:7" hidden="1" x14ac:dyDescent="0.25">
      <c r="A669" s="21">
        <v>668</v>
      </c>
      <c r="B669" s="7" t="s">
        <v>2084</v>
      </c>
      <c r="C669" s="7" t="s">
        <v>2085</v>
      </c>
      <c r="F669" t="s">
        <v>1603</v>
      </c>
      <c r="G669" s="8" t="s">
        <v>15</v>
      </c>
    </row>
    <row r="670" spans="1:7" hidden="1" x14ac:dyDescent="0.25">
      <c r="A670" s="21">
        <v>669</v>
      </c>
      <c r="B670" s="7" t="s">
        <v>2086</v>
      </c>
      <c r="C670" s="7" t="s">
        <v>2087</v>
      </c>
      <c r="F670" t="s">
        <v>1603</v>
      </c>
      <c r="G670" s="8" t="s">
        <v>15</v>
      </c>
    </row>
    <row r="671" spans="1:7" hidden="1" x14ac:dyDescent="0.25">
      <c r="A671" s="21">
        <v>670</v>
      </c>
      <c r="B671" s="7" t="s">
        <v>2088</v>
      </c>
      <c r="C671" s="7" t="s">
        <v>2089</v>
      </c>
      <c r="F671" t="s">
        <v>1603</v>
      </c>
      <c r="G671" s="8" t="s">
        <v>15</v>
      </c>
    </row>
    <row r="672" spans="1:7" hidden="1" x14ac:dyDescent="0.25">
      <c r="A672" s="21">
        <v>671</v>
      </c>
      <c r="B672" s="7" t="s">
        <v>2090</v>
      </c>
      <c r="C672" s="7" t="s">
        <v>2091</v>
      </c>
      <c r="F672" t="s">
        <v>1603</v>
      </c>
      <c r="G672" s="8" t="s">
        <v>15</v>
      </c>
    </row>
    <row r="673" spans="1:7" hidden="1" x14ac:dyDescent="0.25">
      <c r="A673" s="21">
        <v>672</v>
      </c>
      <c r="B673" s="7" t="s">
        <v>2092</v>
      </c>
      <c r="C673" s="7" t="s">
        <v>2093</v>
      </c>
      <c r="F673" t="s">
        <v>1603</v>
      </c>
      <c r="G673" s="8" t="s">
        <v>15</v>
      </c>
    </row>
    <row r="674" spans="1:7" hidden="1" x14ac:dyDescent="0.25">
      <c r="A674" s="21">
        <v>673</v>
      </c>
      <c r="B674" s="7" t="s">
        <v>2094</v>
      </c>
      <c r="C674" s="7" t="s">
        <v>2095</v>
      </c>
      <c r="F674" t="s">
        <v>1603</v>
      </c>
      <c r="G674" s="8" t="s">
        <v>15</v>
      </c>
    </row>
    <row r="675" spans="1:7" hidden="1" x14ac:dyDescent="0.25">
      <c r="A675" s="21">
        <v>674</v>
      </c>
      <c r="B675" s="7" t="s">
        <v>2096</v>
      </c>
      <c r="C675" s="7" t="s">
        <v>2097</v>
      </c>
      <c r="F675" t="s">
        <v>1603</v>
      </c>
      <c r="G675" s="8" t="s">
        <v>15</v>
      </c>
    </row>
    <row r="676" spans="1:7" hidden="1" x14ac:dyDescent="0.25">
      <c r="A676" s="21">
        <v>675</v>
      </c>
      <c r="B676" s="7" t="s">
        <v>2098</v>
      </c>
      <c r="C676" s="7" t="s">
        <v>2099</v>
      </c>
      <c r="F676" t="s">
        <v>1603</v>
      </c>
      <c r="G676" s="8" t="s">
        <v>15</v>
      </c>
    </row>
    <row r="677" spans="1:7" hidden="1" x14ac:dyDescent="0.25">
      <c r="A677" s="21">
        <v>676</v>
      </c>
      <c r="B677" s="7" t="s">
        <v>2100</v>
      </c>
      <c r="C677" s="7" t="s">
        <v>2101</v>
      </c>
      <c r="F677" t="s">
        <v>1603</v>
      </c>
      <c r="G677" s="8" t="s">
        <v>15</v>
      </c>
    </row>
    <row r="678" spans="1:7" hidden="1" x14ac:dyDescent="0.25">
      <c r="A678" s="21">
        <v>677</v>
      </c>
      <c r="B678" s="7" t="s">
        <v>2102</v>
      </c>
      <c r="C678" s="7" t="s">
        <v>2103</v>
      </c>
      <c r="F678" t="s">
        <v>1603</v>
      </c>
      <c r="G678" s="8" t="s">
        <v>15</v>
      </c>
    </row>
    <row r="679" spans="1:7" hidden="1" x14ac:dyDescent="0.25">
      <c r="A679" s="21">
        <v>678</v>
      </c>
      <c r="B679" s="7" t="s">
        <v>2104</v>
      </c>
      <c r="C679" s="7" t="s">
        <v>2105</v>
      </c>
      <c r="F679" t="s">
        <v>1603</v>
      </c>
      <c r="G679" s="8" t="s">
        <v>15</v>
      </c>
    </row>
    <row r="680" spans="1:7" hidden="1" x14ac:dyDescent="0.25">
      <c r="A680" s="21">
        <v>679</v>
      </c>
      <c r="B680" s="7" t="s">
        <v>2106</v>
      </c>
      <c r="C680" s="7" t="s">
        <v>2107</v>
      </c>
      <c r="F680" t="s">
        <v>1603</v>
      </c>
      <c r="G680" s="8" t="s">
        <v>15</v>
      </c>
    </row>
    <row r="681" spans="1:7" hidden="1" x14ac:dyDescent="0.25">
      <c r="A681" s="21">
        <v>680</v>
      </c>
      <c r="B681" s="7" t="s">
        <v>2108</v>
      </c>
      <c r="C681" s="7" t="s">
        <v>2109</v>
      </c>
      <c r="F681" t="s">
        <v>1603</v>
      </c>
      <c r="G681" s="8" t="s">
        <v>15</v>
      </c>
    </row>
    <row r="682" spans="1:7" hidden="1" x14ac:dyDescent="0.25">
      <c r="A682" s="21">
        <v>681</v>
      </c>
      <c r="B682" s="7" t="s">
        <v>2110</v>
      </c>
      <c r="C682" s="7" t="s">
        <v>2111</v>
      </c>
      <c r="F682" t="s">
        <v>1603</v>
      </c>
      <c r="G682" s="8" t="s">
        <v>15</v>
      </c>
    </row>
    <row r="683" spans="1:7" hidden="1" x14ac:dyDescent="0.25">
      <c r="A683" s="21">
        <v>682</v>
      </c>
      <c r="B683" s="7" t="s">
        <v>2112</v>
      </c>
      <c r="C683" s="7" t="s">
        <v>2113</v>
      </c>
      <c r="F683" t="s">
        <v>1603</v>
      </c>
      <c r="G683" s="8" t="s">
        <v>15</v>
      </c>
    </row>
    <row r="684" spans="1:7" hidden="1" x14ac:dyDescent="0.25">
      <c r="A684" s="21">
        <v>683</v>
      </c>
      <c r="B684" s="7" t="s">
        <v>2114</v>
      </c>
      <c r="C684" s="7" t="s">
        <v>2115</v>
      </c>
      <c r="F684" t="s">
        <v>1603</v>
      </c>
      <c r="G684" s="8" t="s">
        <v>15</v>
      </c>
    </row>
    <row r="685" spans="1:7" hidden="1" x14ac:dyDescent="0.25">
      <c r="A685" s="21">
        <v>684</v>
      </c>
      <c r="B685" s="7" t="s">
        <v>2116</v>
      </c>
      <c r="C685" s="7" t="s">
        <v>2117</v>
      </c>
      <c r="F685" t="s">
        <v>1603</v>
      </c>
      <c r="G685" s="8" t="s">
        <v>15</v>
      </c>
    </row>
    <row r="686" spans="1:7" hidden="1" x14ac:dyDescent="0.25">
      <c r="A686" s="21">
        <v>685</v>
      </c>
      <c r="B686" s="7" t="s">
        <v>2118</v>
      </c>
      <c r="C686" s="7" t="s">
        <v>2119</v>
      </c>
      <c r="F686" t="s">
        <v>1603</v>
      </c>
      <c r="G686" s="8" t="s">
        <v>15</v>
      </c>
    </row>
    <row r="687" spans="1:7" hidden="1" x14ac:dyDescent="0.25">
      <c r="A687" s="21">
        <v>686</v>
      </c>
      <c r="B687" s="7" t="s">
        <v>2120</v>
      </c>
      <c r="C687" s="7" t="s">
        <v>2121</v>
      </c>
      <c r="F687" t="s">
        <v>1603</v>
      </c>
      <c r="G687" s="8" t="s">
        <v>15</v>
      </c>
    </row>
    <row r="688" spans="1:7" hidden="1" x14ac:dyDescent="0.25">
      <c r="A688" s="21">
        <v>687</v>
      </c>
      <c r="B688" s="7" t="s">
        <v>2122</v>
      </c>
      <c r="C688" s="7" t="s">
        <v>2123</v>
      </c>
      <c r="F688" t="s">
        <v>1603</v>
      </c>
      <c r="G688" s="8" t="s">
        <v>15</v>
      </c>
    </row>
    <row r="689" spans="1:7" hidden="1" x14ac:dyDescent="0.25">
      <c r="A689" s="21">
        <v>688</v>
      </c>
      <c r="B689" s="7" t="s">
        <v>2124</v>
      </c>
      <c r="C689" s="7" t="s">
        <v>2125</v>
      </c>
      <c r="F689" t="s">
        <v>1603</v>
      </c>
      <c r="G689" s="8" t="s">
        <v>15</v>
      </c>
    </row>
    <row r="690" spans="1:7" hidden="1" x14ac:dyDescent="0.25">
      <c r="A690" s="21">
        <v>689</v>
      </c>
      <c r="B690" s="7" t="s">
        <v>2126</v>
      </c>
      <c r="C690" s="7" t="s">
        <v>2127</v>
      </c>
      <c r="F690" t="s">
        <v>1603</v>
      </c>
      <c r="G690" s="8" t="s">
        <v>15</v>
      </c>
    </row>
    <row r="691" spans="1:7" hidden="1" x14ac:dyDescent="0.25">
      <c r="A691" s="21">
        <v>690</v>
      </c>
      <c r="B691" s="7" t="s">
        <v>2128</v>
      </c>
      <c r="C691" s="7" t="s">
        <v>2129</v>
      </c>
      <c r="F691" t="s">
        <v>1603</v>
      </c>
      <c r="G691" s="8" t="s">
        <v>15</v>
      </c>
    </row>
    <row r="692" spans="1:7" hidden="1" x14ac:dyDescent="0.25">
      <c r="A692" s="21">
        <v>691</v>
      </c>
      <c r="B692" s="7" t="s">
        <v>2130</v>
      </c>
      <c r="C692" s="7" t="s">
        <v>2131</v>
      </c>
      <c r="F692" t="s">
        <v>1603</v>
      </c>
      <c r="G692" s="8" t="s">
        <v>15</v>
      </c>
    </row>
    <row r="693" spans="1:7" hidden="1" x14ac:dyDescent="0.25">
      <c r="A693" s="21">
        <v>692</v>
      </c>
      <c r="B693" s="7" t="s">
        <v>2132</v>
      </c>
      <c r="C693" s="7" t="s">
        <v>2133</v>
      </c>
      <c r="F693" t="s">
        <v>1603</v>
      </c>
      <c r="G693" s="8" t="s">
        <v>15</v>
      </c>
    </row>
    <row r="694" spans="1:7" hidden="1" x14ac:dyDescent="0.25">
      <c r="A694" s="21">
        <v>693</v>
      </c>
      <c r="B694" s="7" t="s">
        <v>2134</v>
      </c>
      <c r="C694" s="7" t="s">
        <v>2135</v>
      </c>
      <c r="F694" t="s">
        <v>1603</v>
      </c>
      <c r="G694" s="8" t="s">
        <v>15</v>
      </c>
    </row>
    <row r="695" spans="1:7" hidden="1" x14ac:dyDescent="0.25">
      <c r="A695" s="21">
        <v>694</v>
      </c>
      <c r="B695" s="7" t="s">
        <v>2136</v>
      </c>
      <c r="C695" s="7" t="s">
        <v>2137</v>
      </c>
      <c r="F695" t="s">
        <v>1603</v>
      </c>
      <c r="G695" s="8" t="s">
        <v>15</v>
      </c>
    </row>
    <row r="696" spans="1:7" hidden="1" x14ac:dyDescent="0.25">
      <c r="A696" s="21">
        <v>695</v>
      </c>
      <c r="B696" s="7" t="s">
        <v>2138</v>
      </c>
      <c r="C696" s="7" t="s">
        <v>2139</v>
      </c>
      <c r="F696" t="s">
        <v>1603</v>
      </c>
      <c r="G696" s="8" t="s">
        <v>15</v>
      </c>
    </row>
    <row r="697" spans="1:7" hidden="1" x14ac:dyDescent="0.25">
      <c r="A697" s="21">
        <v>696</v>
      </c>
      <c r="B697" s="7" t="s">
        <v>2140</v>
      </c>
      <c r="C697" s="7" t="s">
        <v>2141</v>
      </c>
      <c r="F697" t="s">
        <v>1603</v>
      </c>
      <c r="G697" s="8" t="s">
        <v>15</v>
      </c>
    </row>
    <row r="698" spans="1:7" hidden="1" x14ac:dyDescent="0.25">
      <c r="A698" s="21">
        <v>697</v>
      </c>
      <c r="B698" s="7" t="s">
        <v>2142</v>
      </c>
      <c r="C698" s="7" t="s">
        <v>2143</v>
      </c>
      <c r="F698" t="s">
        <v>1603</v>
      </c>
      <c r="G698" s="8" t="s">
        <v>15</v>
      </c>
    </row>
    <row r="699" spans="1:7" hidden="1" x14ac:dyDescent="0.25">
      <c r="A699" s="21">
        <v>698</v>
      </c>
      <c r="B699" s="7" t="s">
        <v>2144</v>
      </c>
      <c r="C699" s="7" t="s">
        <v>2145</v>
      </c>
      <c r="F699" t="s">
        <v>1603</v>
      </c>
      <c r="G699" s="8" t="s">
        <v>15</v>
      </c>
    </row>
    <row r="700" spans="1:7" hidden="1" x14ac:dyDescent="0.25">
      <c r="A700" s="21">
        <v>699</v>
      </c>
      <c r="B700" s="7" t="s">
        <v>2146</v>
      </c>
      <c r="C700" s="7" t="s">
        <v>2147</v>
      </c>
      <c r="F700" t="s">
        <v>1603</v>
      </c>
      <c r="G700" s="8" t="s">
        <v>15</v>
      </c>
    </row>
    <row r="701" spans="1:7" hidden="1" x14ac:dyDescent="0.25">
      <c r="A701" s="21">
        <v>700</v>
      </c>
      <c r="B701" s="7" t="s">
        <v>2148</v>
      </c>
      <c r="C701" s="7" t="s">
        <v>2149</v>
      </c>
      <c r="F701" t="s">
        <v>1603</v>
      </c>
      <c r="G701" s="8" t="s">
        <v>15</v>
      </c>
    </row>
    <row r="702" spans="1:7" hidden="1" x14ac:dyDescent="0.25">
      <c r="A702" s="21">
        <v>701</v>
      </c>
      <c r="B702" s="7" t="s">
        <v>2150</v>
      </c>
      <c r="C702" s="7" t="s">
        <v>2151</v>
      </c>
      <c r="F702" t="s">
        <v>1603</v>
      </c>
      <c r="G702" s="8" t="s">
        <v>15</v>
      </c>
    </row>
    <row r="703" spans="1:7" hidden="1" x14ac:dyDescent="0.25">
      <c r="A703" s="21">
        <v>702</v>
      </c>
      <c r="B703" s="7" t="s">
        <v>2152</v>
      </c>
      <c r="C703" s="7" t="s">
        <v>2153</v>
      </c>
      <c r="F703" t="s">
        <v>1603</v>
      </c>
      <c r="G703" s="8" t="s">
        <v>15</v>
      </c>
    </row>
    <row r="704" spans="1:7" hidden="1" x14ac:dyDescent="0.25">
      <c r="A704" s="21">
        <v>703</v>
      </c>
      <c r="B704" s="7" t="s">
        <v>2154</v>
      </c>
      <c r="C704" s="7" t="s">
        <v>2155</v>
      </c>
      <c r="F704" t="s">
        <v>1603</v>
      </c>
      <c r="G704" s="8" t="s">
        <v>15</v>
      </c>
    </row>
    <row r="705" spans="1:7" hidden="1" x14ac:dyDescent="0.25">
      <c r="A705" s="21">
        <v>704</v>
      </c>
      <c r="B705" s="7" t="s">
        <v>2156</v>
      </c>
      <c r="C705" s="7" t="s">
        <v>2157</v>
      </c>
      <c r="F705" t="s">
        <v>1603</v>
      </c>
      <c r="G705" s="8" t="s">
        <v>15</v>
      </c>
    </row>
    <row r="706" spans="1:7" hidden="1" x14ac:dyDescent="0.25">
      <c r="A706" s="21">
        <v>705</v>
      </c>
      <c r="B706" s="7" t="s">
        <v>2158</v>
      </c>
      <c r="C706" s="7" t="s">
        <v>2159</v>
      </c>
      <c r="F706" t="s">
        <v>1603</v>
      </c>
      <c r="G706" s="8" t="s">
        <v>15</v>
      </c>
    </row>
    <row r="707" spans="1:7" hidden="1" x14ac:dyDescent="0.25">
      <c r="A707" s="21">
        <v>706</v>
      </c>
      <c r="B707" s="7" t="s">
        <v>2160</v>
      </c>
      <c r="C707" s="7" t="s">
        <v>2161</v>
      </c>
      <c r="F707" t="s">
        <v>1603</v>
      </c>
      <c r="G707" s="8" t="s">
        <v>15</v>
      </c>
    </row>
    <row r="708" spans="1:7" hidden="1" x14ac:dyDescent="0.25">
      <c r="A708" s="21">
        <v>707</v>
      </c>
      <c r="B708" s="7" t="s">
        <v>2162</v>
      </c>
      <c r="C708" s="7" t="s">
        <v>2163</v>
      </c>
      <c r="F708" t="s">
        <v>1603</v>
      </c>
      <c r="G708" s="8" t="s">
        <v>15</v>
      </c>
    </row>
    <row r="709" spans="1:7" hidden="1" x14ac:dyDescent="0.25">
      <c r="A709" s="21">
        <v>708</v>
      </c>
      <c r="B709" s="7" t="s">
        <v>2164</v>
      </c>
      <c r="C709" s="7" t="s">
        <v>2165</v>
      </c>
      <c r="F709" t="s">
        <v>1603</v>
      </c>
      <c r="G709" s="8" t="s">
        <v>15</v>
      </c>
    </row>
    <row r="710" spans="1:7" hidden="1" x14ac:dyDescent="0.25">
      <c r="A710" s="21">
        <v>709</v>
      </c>
      <c r="B710" s="7" t="s">
        <v>2166</v>
      </c>
      <c r="C710" s="7" t="s">
        <v>2167</v>
      </c>
      <c r="F710" t="s">
        <v>1603</v>
      </c>
      <c r="G710" s="8" t="s">
        <v>15</v>
      </c>
    </row>
    <row r="711" spans="1:7" hidden="1" x14ac:dyDescent="0.25">
      <c r="A711" s="21">
        <v>710</v>
      </c>
      <c r="B711" s="7" t="s">
        <v>2168</v>
      </c>
      <c r="C711" s="7" t="s">
        <v>2169</v>
      </c>
      <c r="F711" t="s">
        <v>1603</v>
      </c>
      <c r="G711" s="8" t="s">
        <v>15</v>
      </c>
    </row>
    <row r="712" spans="1:7" hidden="1" x14ac:dyDescent="0.25">
      <c r="A712" s="21">
        <v>711</v>
      </c>
      <c r="B712" s="7" t="s">
        <v>2170</v>
      </c>
      <c r="C712" s="7" t="s">
        <v>2171</v>
      </c>
      <c r="F712" t="s">
        <v>1603</v>
      </c>
      <c r="G712" s="8" t="s">
        <v>15</v>
      </c>
    </row>
    <row r="713" spans="1:7" hidden="1" x14ac:dyDescent="0.25">
      <c r="A713" s="21">
        <v>712</v>
      </c>
      <c r="B713" s="7" t="s">
        <v>2172</v>
      </c>
      <c r="C713" s="7" t="s">
        <v>2173</v>
      </c>
      <c r="F713" t="s">
        <v>1603</v>
      </c>
      <c r="G713" s="8" t="s">
        <v>15</v>
      </c>
    </row>
    <row r="714" spans="1:7" hidden="1" x14ac:dyDescent="0.25">
      <c r="A714" s="21">
        <v>713</v>
      </c>
      <c r="B714" s="7" t="s">
        <v>2174</v>
      </c>
      <c r="C714" s="7" t="s">
        <v>2175</v>
      </c>
      <c r="F714" t="s">
        <v>1603</v>
      </c>
      <c r="G714" s="8" t="s">
        <v>15</v>
      </c>
    </row>
    <row r="715" spans="1:7" hidden="1" x14ac:dyDescent="0.25">
      <c r="A715" s="21">
        <v>714</v>
      </c>
      <c r="B715" s="7" t="s">
        <v>2176</v>
      </c>
      <c r="C715" s="7" t="s">
        <v>2177</v>
      </c>
      <c r="F715" t="s">
        <v>1603</v>
      </c>
      <c r="G715" s="8" t="s">
        <v>15</v>
      </c>
    </row>
    <row r="716" spans="1:7" hidden="1" x14ac:dyDescent="0.25">
      <c r="A716" s="21">
        <v>715</v>
      </c>
      <c r="B716" s="7" t="s">
        <v>2178</v>
      </c>
      <c r="C716" s="7" t="s">
        <v>2179</v>
      </c>
      <c r="F716" t="s">
        <v>1603</v>
      </c>
      <c r="G716" s="8" t="s">
        <v>15</v>
      </c>
    </row>
    <row r="717" spans="1:7" hidden="1" x14ac:dyDescent="0.25">
      <c r="A717" s="21">
        <v>716</v>
      </c>
      <c r="B717" s="7" t="s">
        <v>2180</v>
      </c>
      <c r="C717" s="7" t="s">
        <v>2181</v>
      </c>
      <c r="F717" t="s">
        <v>1603</v>
      </c>
      <c r="G717" s="8" t="s">
        <v>15</v>
      </c>
    </row>
    <row r="718" spans="1:7" hidden="1" x14ac:dyDescent="0.25">
      <c r="A718" s="21">
        <v>717</v>
      </c>
      <c r="B718" s="7" t="s">
        <v>2182</v>
      </c>
      <c r="C718" s="7" t="s">
        <v>2183</v>
      </c>
      <c r="F718" t="s">
        <v>1603</v>
      </c>
      <c r="G718" s="8" t="s">
        <v>15</v>
      </c>
    </row>
    <row r="719" spans="1:7" hidden="1" x14ac:dyDescent="0.25">
      <c r="A719" s="21">
        <v>718</v>
      </c>
      <c r="B719" s="7" t="s">
        <v>2184</v>
      </c>
      <c r="C719" s="7" t="s">
        <v>2185</v>
      </c>
      <c r="F719" t="s">
        <v>1603</v>
      </c>
      <c r="G719" s="8" t="s">
        <v>15</v>
      </c>
    </row>
    <row r="720" spans="1:7" hidden="1" x14ac:dyDescent="0.25">
      <c r="A720" s="21">
        <v>719</v>
      </c>
      <c r="B720" s="7" t="s">
        <v>2186</v>
      </c>
      <c r="C720" s="7" t="s">
        <v>2187</v>
      </c>
      <c r="F720" t="s">
        <v>1603</v>
      </c>
      <c r="G720" s="8" t="s">
        <v>15</v>
      </c>
    </row>
    <row r="721" spans="1:7" hidden="1" x14ac:dyDescent="0.25">
      <c r="A721" s="21">
        <v>720</v>
      </c>
      <c r="B721" s="7" t="s">
        <v>2188</v>
      </c>
      <c r="C721" s="7" t="s">
        <v>2189</v>
      </c>
      <c r="F721" t="s">
        <v>1603</v>
      </c>
      <c r="G721" s="8" t="s">
        <v>15</v>
      </c>
    </row>
    <row r="722" spans="1:7" hidden="1" x14ac:dyDescent="0.25">
      <c r="A722" s="21">
        <v>721</v>
      </c>
      <c r="B722" s="7" t="s">
        <v>2190</v>
      </c>
      <c r="C722" s="7" t="s">
        <v>2191</v>
      </c>
      <c r="F722" t="s">
        <v>1603</v>
      </c>
      <c r="G722" s="8" t="s">
        <v>15</v>
      </c>
    </row>
    <row r="723" spans="1:7" hidden="1" x14ac:dyDescent="0.25">
      <c r="A723" s="21">
        <v>722</v>
      </c>
      <c r="B723" s="7" t="s">
        <v>2192</v>
      </c>
      <c r="C723" s="7" t="s">
        <v>2193</v>
      </c>
      <c r="F723" t="s">
        <v>1603</v>
      </c>
      <c r="G723" s="8" t="s">
        <v>15</v>
      </c>
    </row>
    <row r="724" spans="1:7" hidden="1" x14ac:dyDescent="0.25">
      <c r="A724" s="21">
        <v>723</v>
      </c>
      <c r="B724" s="7" t="s">
        <v>2194</v>
      </c>
      <c r="C724" s="7" t="s">
        <v>2195</v>
      </c>
      <c r="F724" t="s">
        <v>1603</v>
      </c>
      <c r="G724" s="8" t="s">
        <v>15</v>
      </c>
    </row>
    <row r="725" spans="1:7" hidden="1" x14ac:dyDescent="0.25">
      <c r="A725" s="21">
        <v>724</v>
      </c>
      <c r="B725" s="7" t="s">
        <v>2196</v>
      </c>
      <c r="C725" s="7" t="s">
        <v>2197</v>
      </c>
      <c r="F725" t="s">
        <v>1603</v>
      </c>
      <c r="G725" s="8" t="s">
        <v>15</v>
      </c>
    </row>
    <row r="726" spans="1:7" hidden="1" x14ac:dyDescent="0.25">
      <c r="A726" s="21">
        <v>725</v>
      </c>
      <c r="B726" s="7" t="s">
        <v>2198</v>
      </c>
      <c r="C726" s="7" t="s">
        <v>2199</v>
      </c>
      <c r="F726" t="s">
        <v>1603</v>
      </c>
      <c r="G726" s="8" t="s">
        <v>15</v>
      </c>
    </row>
    <row r="727" spans="1:7" hidden="1" x14ac:dyDescent="0.25">
      <c r="A727" s="21">
        <v>726</v>
      </c>
      <c r="B727" s="7" t="s">
        <v>2200</v>
      </c>
      <c r="C727" s="7" t="s">
        <v>2201</v>
      </c>
      <c r="F727" t="s">
        <v>1603</v>
      </c>
      <c r="G727" s="8" t="s">
        <v>15</v>
      </c>
    </row>
    <row r="728" spans="1:7" hidden="1" x14ac:dyDescent="0.25">
      <c r="A728" s="21">
        <v>727</v>
      </c>
      <c r="B728" s="7" t="s">
        <v>2202</v>
      </c>
      <c r="C728" s="7" t="s">
        <v>2203</v>
      </c>
      <c r="F728" t="s">
        <v>1603</v>
      </c>
      <c r="G728" s="8" t="s">
        <v>15</v>
      </c>
    </row>
    <row r="729" spans="1:7" hidden="1" x14ac:dyDescent="0.25">
      <c r="A729" s="21">
        <v>728</v>
      </c>
      <c r="B729" s="7" t="s">
        <v>2204</v>
      </c>
      <c r="C729" s="7" t="s">
        <v>2205</v>
      </c>
      <c r="F729" t="s">
        <v>1603</v>
      </c>
      <c r="G729" s="8" t="s">
        <v>15</v>
      </c>
    </row>
    <row r="730" spans="1:7" hidden="1" x14ac:dyDescent="0.25">
      <c r="A730" s="21">
        <v>729</v>
      </c>
      <c r="B730" s="7" t="s">
        <v>2206</v>
      </c>
      <c r="C730" s="7" t="s">
        <v>2207</v>
      </c>
      <c r="F730" t="s">
        <v>1603</v>
      </c>
      <c r="G730" s="8" t="s">
        <v>15</v>
      </c>
    </row>
    <row r="731" spans="1:7" hidden="1" x14ac:dyDescent="0.25">
      <c r="A731" s="21">
        <v>730</v>
      </c>
      <c r="B731" s="7" t="s">
        <v>2208</v>
      </c>
      <c r="C731" s="7" t="s">
        <v>2209</v>
      </c>
      <c r="F731" t="s">
        <v>1603</v>
      </c>
      <c r="G731" s="8" t="s">
        <v>15</v>
      </c>
    </row>
    <row r="732" spans="1:7" hidden="1" x14ac:dyDescent="0.25">
      <c r="A732" s="21">
        <v>731</v>
      </c>
      <c r="B732" s="7" t="s">
        <v>2210</v>
      </c>
      <c r="C732" s="7" t="s">
        <v>2211</v>
      </c>
      <c r="F732" t="s">
        <v>1603</v>
      </c>
      <c r="G732" s="8" t="s">
        <v>15</v>
      </c>
    </row>
    <row r="733" spans="1:7" hidden="1" x14ac:dyDescent="0.25">
      <c r="A733" s="21">
        <v>732</v>
      </c>
      <c r="B733" s="7" t="s">
        <v>2212</v>
      </c>
      <c r="C733" s="7" t="s">
        <v>2213</v>
      </c>
      <c r="F733" t="s">
        <v>1603</v>
      </c>
      <c r="G733" s="8" t="s">
        <v>15</v>
      </c>
    </row>
    <row r="734" spans="1:7" hidden="1" x14ac:dyDescent="0.25">
      <c r="A734" s="21">
        <v>733</v>
      </c>
      <c r="B734" s="7" t="s">
        <v>2214</v>
      </c>
      <c r="C734" s="7" t="s">
        <v>2215</v>
      </c>
      <c r="F734" t="s">
        <v>1603</v>
      </c>
      <c r="G734" s="8" t="s">
        <v>15</v>
      </c>
    </row>
    <row r="735" spans="1:7" hidden="1" x14ac:dyDescent="0.25">
      <c r="A735" s="21">
        <v>734</v>
      </c>
      <c r="B735" s="7" t="s">
        <v>2216</v>
      </c>
      <c r="C735" s="7" t="s">
        <v>2217</v>
      </c>
      <c r="F735" t="s">
        <v>1603</v>
      </c>
      <c r="G735" s="8" t="s">
        <v>15</v>
      </c>
    </row>
    <row r="736" spans="1:7" hidden="1" x14ac:dyDescent="0.25">
      <c r="A736" s="21">
        <v>735</v>
      </c>
      <c r="B736" s="7" t="s">
        <v>2218</v>
      </c>
      <c r="C736" s="7" t="s">
        <v>2219</v>
      </c>
      <c r="F736" t="s">
        <v>1603</v>
      </c>
      <c r="G736" s="8" t="s">
        <v>15</v>
      </c>
    </row>
    <row r="737" spans="1:7" hidden="1" x14ac:dyDescent="0.25">
      <c r="A737" s="21">
        <v>736</v>
      </c>
      <c r="B737" s="7" t="s">
        <v>2220</v>
      </c>
      <c r="C737" s="7" t="s">
        <v>2221</v>
      </c>
      <c r="F737" t="s">
        <v>1603</v>
      </c>
      <c r="G737" s="8" t="s">
        <v>15</v>
      </c>
    </row>
    <row r="738" spans="1:7" hidden="1" x14ac:dyDescent="0.25">
      <c r="A738" s="21">
        <v>737</v>
      </c>
      <c r="B738" s="7" t="s">
        <v>2222</v>
      </c>
      <c r="C738" s="7" t="s">
        <v>2223</v>
      </c>
      <c r="F738" t="s">
        <v>1603</v>
      </c>
      <c r="G738" s="8" t="s">
        <v>15</v>
      </c>
    </row>
    <row r="739" spans="1:7" hidden="1" x14ac:dyDescent="0.25">
      <c r="A739" s="21">
        <v>738</v>
      </c>
      <c r="B739" s="7" t="s">
        <v>2224</v>
      </c>
      <c r="C739" s="7" t="s">
        <v>2225</v>
      </c>
      <c r="F739" t="s">
        <v>1603</v>
      </c>
      <c r="G739" s="8" t="s">
        <v>15</v>
      </c>
    </row>
    <row r="740" spans="1:7" hidden="1" x14ac:dyDescent="0.25">
      <c r="A740" s="21">
        <v>739</v>
      </c>
      <c r="B740" s="7" t="s">
        <v>2226</v>
      </c>
      <c r="C740" s="7" t="s">
        <v>2227</v>
      </c>
      <c r="F740" t="s">
        <v>1603</v>
      </c>
      <c r="G740" s="8" t="s">
        <v>15</v>
      </c>
    </row>
    <row r="741" spans="1:7" hidden="1" x14ac:dyDescent="0.25">
      <c r="A741" s="21">
        <v>740</v>
      </c>
      <c r="B741" s="7" t="s">
        <v>2228</v>
      </c>
      <c r="C741" s="7" t="s">
        <v>2229</v>
      </c>
      <c r="F741" t="s">
        <v>1603</v>
      </c>
      <c r="G741" s="8" t="s">
        <v>15</v>
      </c>
    </row>
    <row r="742" spans="1:7" hidden="1" x14ac:dyDescent="0.25">
      <c r="A742" s="21">
        <v>741</v>
      </c>
      <c r="B742" s="7" t="s">
        <v>2230</v>
      </c>
      <c r="C742" s="7" t="s">
        <v>2231</v>
      </c>
      <c r="F742" t="s">
        <v>1603</v>
      </c>
      <c r="G742" s="8" t="s">
        <v>15</v>
      </c>
    </row>
    <row r="743" spans="1:7" hidden="1" x14ac:dyDescent="0.25">
      <c r="A743" s="21">
        <v>742</v>
      </c>
      <c r="B743" s="7" t="s">
        <v>2232</v>
      </c>
      <c r="C743" s="7" t="s">
        <v>2233</v>
      </c>
      <c r="F743" t="s">
        <v>1603</v>
      </c>
      <c r="G743" s="8" t="s">
        <v>15</v>
      </c>
    </row>
    <row r="744" spans="1:7" hidden="1" x14ac:dyDescent="0.25">
      <c r="A744" s="21">
        <v>743</v>
      </c>
      <c r="B744" s="7" t="s">
        <v>2234</v>
      </c>
      <c r="C744" s="7" t="s">
        <v>2235</v>
      </c>
      <c r="F744" t="s">
        <v>1603</v>
      </c>
      <c r="G744" s="8" t="s">
        <v>15</v>
      </c>
    </row>
    <row r="745" spans="1:7" hidden="1" x14ac:dyDescent="0.25">
      <c r="A745" s="21">
        <v>744</v>
      </c>
      <c r="B745" s="7" t="s">
        <v>2236</v>
      </c>
      <c r="C745" s="7" t="s">
        <v>2237</v>
      </c>
      <c r="F745" t="s">
        <v>1603</v>
      </c>
      <c r="G745" s="8" t="s">
        <v>15</v>
      </c>
    </row>
    <row r="746" spans="1:7" hidden="1" x14ac:dyDescent="0.25">
      <c r="A746" s="21">
        <v>745</v>
      </c>
      <c r="B746" s="7" t="s">
        <v>2238</v>
      </c>
      <c r="C746" s="7" t="s">
        <v>2239</v>
      </c>
      <c r="F746" t="s">
        <v>1603</v>
      </c>
      <c r="G746" s="8" t="s">
        <v>15</v>
      </c>
    </row>
    <row r="747" spans="1:7" hidden="1" x14ac:dyDescent="0.25">
      <c r="A747" s="21">
        <v>746</v>
      </c>
      <c r="B747" s="7" t="s">
        <v>2240</v>
      </c>
      <c r="C747" s="7" t="s">
        <v>2241</v>
      </c>
      <c r="F747" t="s">
        <v>1603</v>
      </c>
      <c r="G747" s="8" t="s">
        <v>15</v>
      </c>
    </row>
    <row r="748" spans="1:7" hidden="1" x14ac:dyDescent="0.25">
      <c r="A748" s="21">
        <v>747</v>
      </c>
      <c r="B748" s="7" t="s">
        <v>2242</v>
      </c>
      <c r="C748" s="7" t="s">
        <v>2243</v>
      </c>
      <c r="F748" t="s">
        <v>1603</v>
      </c>
      <c r="G748" s="8" t="s">
        <v>15</v>
      </c>
    </row>
    <row r="749" spans="1:7" hidden="1" x14ac:dyDescent="0.25">
      <c r="A749" s="21">
        <v>748</v>
      </c>
      <c r="B749" s="7" t="s">
        <v>2244</v>
      </c>
      <c r="C749" s="7" t="s">
        <v>2245</v>
      </c>
      <c r="F749" t="s">
        <v>1603</v>
      </c>
      <c r="G749" s="8" t="s">
        <v>15</v>
      </c>
    </row>
    <row r="750" spans="1:7" hidden="1" x14ac:dyDescent="0.25">
      <c r="A750" s="21">
        <v>749</v>
      </c>
      <c r="B750" s="7" t="s">
        <v>2246</v>
      </c>
      <c r="C750" s="7" t="s">
        <v>2247</v>
      </c>
      <c r="F750" t="s">
        <v>1603</v>
      </c>
      <c r="G750" s="8" t="s">
        <v>15</v>
      </c>
    </row>
    <row r="751" spans="1:7" hidden="1" x14ac:dyDescent="0.25">
      <c r="A751" s="21">
        <v>750</v>
      </c>
      <c r="B751" s="7" t="s">
        <v>2248</v>
      </c>
      <c r="C751" s="7" t="s">
        <v>2249</v>
      </c>
      <c r="F751" t="s">
        <v>1603</v>
      </c>
      <c r="G751" s="8" t="s">
        <v>15</v>
      </c>
    </row>
    <row r="752" spans="1:7" hidden="1" x14ac:dyDescent="0.25">
      <c r="A752" s="21">
        <v>751</v>
      </c>
      <c r="B752" s="7" t="s">
        <v>2250</v>
      </c>
      <c r="C752" s="7" t="s">
        <v>2251</v>
      </c>
      <c r="F752" t="s">
        <v>1603</v>
      </c>
      <c r="G752" s="8" t="s">
        <v>15</v>
      </c>
    </row>
    <row r="753" spans="1:7" hidden="1" x14ac:dyDescent="0.25">
      <c r="A753" s="21">
        <v>752</v>
      </c>
      <c r="B753" s="7" t="s">
        <v>2252</v>
      </c>
      <c r="C753" s="7" t="s">
        <v>2253</v>
      </c>
      <c r="F753" t="s">
        <v>1603</v>
      </c>
      <c r="G753" s="8" t="s">
        <v>15</v>
      </c>
    </row>
    <row r="754" spans="1:7" hidden="1" x14ac:dyDescent="0.25">
      <c r="A754" s="21">
        <v>753</v>
      </c>
      <c r="B754" s="7" t="s">
        <v>2254</v>
      </c>
      <c r="C754" s="7" t="s">
        <v>2255</v>
      </c>
      <c r="F754" t="s">
        <v>1603</v>
      </c>
      <c r="G754" s="8" t="s">
        <v>15</v>
      </c>
    </row>
    <row r="755" spans="1:7" hidden="1" x14ac:dyDescent="0.25">
      <c r="A755" s="21">
        <v>754</v>
      </c>
      <c r="B755" s="7" t="s">
        <v>2256</v>
      </c>
      <c r="C755" s="7" t="s">
        <v>2257</v>
      </c>
      <c r="F755" t="s">
        <v>1603</v>
      </c>
      <c r="G755" s="8" t="s">
        <v>15</v>
      </c>
    </row>
    <row r="756" spans="1:7" hidden="1" x14ac:dyDescent="0.25">
      <c r="A756" s="21">
        <v>755</v>
      </c>
      <c r="B756" s="7" t="s">
        <v>2258</v>
      </c>
      <c r="C756" s="7" t="s">
        <v>2259</v>
      </c>
      <c r="F756" t="s">
        <v>1603</v>
      </c>
      <c r="G756" s="8" t="s">
        <v>15</v>
      </c>
    </row>
    <row r="757" spans="1:7" hidden="1" x14ac:dyDescent="0.25">
      <c r="A757" s="21">
        <v>756</v>
      </c>
      <c r="B757" s="7" t="s">
        <v>2260</v>
      </c>
      <c r="C757" s="7" t="s">
        <v>2261</v>
      </c>
      <c r="F757" t="s">
        <v>1603</v>
      </c>
      <c r="G757" s="8" t="s">
        <v>15</v>
      </c>
    </row>
    <row r="758" spans="1:7" hidden="1" x14ac:dyDescent="0.25">
      <c r="A758" s="21">
        <v>757</v>
      </c>
      <c r="B758" s="7" t="s">
        <v>2262</v>
      </c>
      <c r="C758" s="7" t="s">
        <v>2263</v>
      </c>
      <c r="F758" t="s">
        <v>1603</v>
      </c>
      <c r="G758" s="8" t="s">
        <v>15</v>
      </c>
    </row>
    <row r="759" spans="1:7" hidden="1" x14ac:dyDescent="0.25">
      <c r="A759" s="21">
        <v>758</v>
      </c>
      <c r="B759" s="7" t="s">
        <v>2264</v>
      </c>
      <c r="C759" s="7" t="s">
        <v>2265</v>
      </c>
      <c r="F759" t="s">
        <v>1603</v>
      </c>
      <c r="G759" s="8" t="s">
        <v>15</v>
      </c>
    </row>
    <row r="760" spans="1:7" hidden="1" x14ac:dyDescent="0.25">
      <c r="A760" s="21">
        <v>759</v>
      </c>
      <c r="B760" s="7" t="s">
        <v>2266</v>
      </c>
      <c r="C760" s="7" t="s">
        <v>2267</v>
      </c>
      <c r="F760" t="s">
        <v>1603</v>
      </c>
      <c r="G760" s="8" t="s">
        <v>15</v>
      </c>
    </row>
    <row r="761" spans="1:7" hidden="1" x14ac:dyDescent="0.25">
      <c r="A761" s="21">
        <v>760</v>
      </c>
      <c r="B761" s="7" t="s">
        <v>2268</v>
      </c>
      <c r="C761" s="7" t="s">
        <v>2269</v>
      </c>
      <c r="F761" t="s">
        <v>1603</v>
      </c>
      <c r="G761" s="8" t="s">
        <v>15</v>
      </c>
    </row>
    <row r="762" spans="1:7" hidden="1" x14ac:dyDescent="0.25">
      <c r="A762" s="21">
        <v>761</v>
      </c>
      <c r="B762" s="7" t="s">
        <v>2270</v>
      </c>
      <c r="C762" s="7" t="s">
        <v>2271</v>
      </c>
      <c r="F762" t="s">
        <v>1603</v>
      </c>
      <c r="G762" s="8" t="s">
        <v>15</v>
      </c>
    </row>
    <row r="763" spans="1:7" hidden="1" x14ac:dyDescent="0.25">
      <c r="A763" s="21">
        <v>762</v>
      </c>
      <c r="B763" s="7" t="s">
        <v>2272</v>
      </c>
      <c r="C763" s="7" t="s">
        <v>2273</v>
      </c>
      <c r="F763" t="s">
        <v>1603</v>
      </c>
      <c r="G763" s="8" t="s">
        <v>15</v>
      </c>
    </row>
    <row r="764" spans="1:7" hidden="1" x14ac:dyDescent="0.25">
      <c r="A764" s="21">
        <v>763</v>
      </c>
      <c r="B764" s="7" t="s">
        <v>2274</v>
      </c>
      <c r="C764" s="7" t="s">
        <v>2275</v>
      </c>
      <c r="F764" t="s">
        <v>1603</v>
      </c>
      <c r="G764" s="8" t="s">
        <v>15</v>
      </c>
    </row>
    <row r="765" spans="1:7" hidden="1" x14ac:dyDescent="0.25">
      <c r="A765" s="21">
        <v>764</v>
      </c>
      <c r="B765" s="7" t="s">
        <v>2276</v>
      </c>
      <c r="C765" s="7" t="s">
        <v>2277</v>
      </c>
      <c r="F765" t="s">
        <v>1603</v>
      </c>
      <c r="G765" s="8" t="s">
        <v>15</v>
      </c>
    </row>
    <row r="766" spans="1:7" hidden="1" x14ac:dyDescent="0.25">
      <c r="A766" s="21">
        <v>765</v>
      </c>
      <c r="B766" s="7" t="s">
        <v>2278</v>
      </c>
      <c r="C766" s="7" t="s">
        <v>2279</v>
      </c>
      <c r="F766" t="s">
        <v>1603</v>
      </c>
      <c r="G766" s="8" t="s">
        <v>15</v>
      </c>
    </row>
    <row r="767" spans="1:7" hidden="1" x14ac:dyDescent="0.25">
      <c r="A767" s="21">
        <v>766</v>
      </c>
      <c r="B767" s="7" t="s">
        <v>2280</v>
      </c>
      <c r="C767" s="7" t="s">
        <v>2281</v>
      </c>
      <c r="F767" t="s">
        <v>1603</v>
      </c>
      <c r="G767" s="8" t="s">
        <v>15</v>
      </c>
    </row>
    <row r="768" spans="1:7" hidden="1" x14ac:dyDescent="0.25">
      <c r="A768" s="21">
        <v>767</v>
      </c>
      <c r="B768" s="7" t="s">
        <v>2282</v>
      </c>
      <c r="C768" s="7" t="s">
        <v>2283</v>
      </c>
      <c r="F768" t="s">
        <v>1603</v>
      </c>
      <c r="G768" s="8" t="s">
        <v>15</v>
      </c>
    </row>
    <row r="769" spans="1:7" hidden="1" x14ac:dyDescent="0.25">
      <c r="A769" s="21">
        <v>768</v>
      </c>
      <c r="B769" s="7" t="s">
        <v>2284</v>
      </c>
      <c r="C769" s="7" t="s">
        <v>2285</v>
      </c>
      <c r="G769" s="8" t="s">
        <v>15</v>
      </c>
    </row>
    <row r="770" spans="1:7" hidden="1" x14ac:dyDescent="0.25">
      <c r="A770" s="21">
        <v>769</v>
      </c>
      <c r="B770" s="7" t="s">
        <v>2286</v>
      </c>
      <c r="C770" s="7" t="s">
        <v>2287</v>
      </c>
      <c r="G770" s="8" t="s">
        <v>15</v>
      </c>
    </row>
    <row r="771" spans="1:7" hidden="1" x14ac:dyDescent="0.25">
      <c r="A771" s="21">
        <v>770</v>
      </c>
      <c r="B771" s="7" t="s">
        <v>2288</v>
      </c>
      <c r="C771" s="7" t="s">
        <v>2289</v>
      </c>
      <c r="G771" s="8" t="s">
        <v>15</v>
      </c>
    </row>
    <row r="772" spans="1:7" hidden="1" x14ac:dyDescent="0.25">
      <c r="A772" s="21">
        <v>771</v>
      </c>
      <c r="B772" s="7" t="s">
        <v>2290</v>
      </c>
      <c r="C772" s="7" t="s">
        <v>2291</v>
      </c>
      <c r="G772" s="8" t="s">
        <v>15</v>
      </c>
    </row>
    <row r="773" spans="1:7" hidden="1" x14ac:dyDescent="0.25">
      <c r="A773" s="21">
        <v>772</v>
      </c>
      <c r="B773" s="7" t="s">
        <v>2292</v>
      </c>
      <c r="C773" s="7" t="s">
        <v>2293</v>
      </c>
      <c r="G773" s="8" t="s">
        <v>15</v>
      </c>
    </row>
    <row r="774" spans="1:7" hidden="1" x14ac:dyDescent="0.25">
      <c r="A774" s="21">
        <v>773</v>
      </c>
      <c r="B774" s="7" t="s">
        <v>2294</v>
      </c>
      <c r="C774" s="7" t="s">
        <v>2295</v>
      </c>
      <c r="G774" s="8" t="s">
        <v>15</v>
      </c>
    </row>
    <row r="775" spans="1:7" hidden="1" x14ac:dyDescent="0.25">
      <c r="A775" s="21">
        <v>774</v>
      </c>
      <c r="B775" s="7" t="s">
        <v>2296</v>
      </c>
      <c r="C775" s="7" t="s">
        <v>2297</v>
      </c>
      <c r="G775" s="8" t="s">
        <v>15</v>
      </c>
    </row>
    <row r="776" spans="1:7" hidden="1" x14ac:dyDescent="0.25">
      <c r="A776" s="21">
        <v>775</v>
      </c>
      <c r="B776" s="7" t="s">
        <v>2298</v>
      </c>
      <c r="C776" s="7" t="s">
        <v>2299</v>
      </c>
      <c r="G776" s="8" t="s">
        <v>15</v>
      </c>
    </row>
    <row r="777" spans="1:7" hidden="1" x14ac:dyDescent="0.25">
      <c r="A777" s="21">
        <v>776</v>
      </c>
      <c r="B777" s="7" t="s">
        <v>2300</v>
      </c>
      <c r="C777" s="7" t="s">
        <v>2301</v>
      </c>
      <c r="G777" s="8" t="s">
        <v>15</v>
      </c>
    </row>
    <row r="778" spans="1:7" hidden="1" x14ac:dyDescent="0.25">
      <c r="A778" s="21">
        <v>777</v>
      </c>
      <c r="B778" s="7" t="s">
        <v>2302</v>
      </c>
      <c r="C778" s="7" t="s">
        <v>2303</v>
      </c>
      <c r="G778" s="8" t="s">
        <v>15</v>
      </c>
    </row>
    <row r="779" spans="1:7" hidden="1" x14ac:dyDescent="0.25">
      <c r="A779" s="21">
        <v>778</v>
      </c>
      <c r="B779" s="7" t="s">
        <v>2304</v>
      </c>
      <c r="C779" s="7" t="s">
        <v>2305</v>
      </c>
      <c r="G779" s="8" t="s">
        <v>15</v>
      </c>
    </row>
    <row r="780" spans="1:7" hidden="1" x14ac:dyDescent="0.25">
      <c r="A780" s="21">
        <v>779</v>
      </c>
      <c r="B780" s="7" t="s">
        <v>2306</v>
      </c>
      <c r="C780" s="7" t="s">
        <v>2307</v>
      </c>
      <c r="G780" s="8" t="s">
        <v>15</v>
      </c>
    </row>
    <row r="781" spans="1:7" hidden="1" x14ac:dyDescent="0.25">
      <c r="A781" s="21">
        <v>780</v>
      </c>
      <c r="B781" s="7" t="s">
        <v>2308</v>
      </c>
      <c r="C781" s="7" t="s">
        <v>2309</v>
      </c>
      <c r="G781" s="8" t="s">
        <v>15</v>
      </c>
    </row>
    <row r="782" spans="1:7" hidden="1" x14ac:dyDescent="0.25">
      <c r="A782" s="21">
        <v>781</v>
      </c>
      <c r="B782" s="7" t="s">
        <v>2310</v>
      </c>
      <c r="C782" s="7" t="s">
        <v>2311</v>
      </c>
      <c r="G782" s="8" t="s">
        <v>15</v>
      </c>
    </row>
    <row r="783" spans="1:7" hidden="1" x14ac:dyDescent="0.25">
      <c r="A783" s="21">
        <v>782</v>
      </c>
      <c r="B783" s="7" t="s">
        <v>2312</v>
      </c>
      <c r="C783" s="7" t="s">
        <v>2313</v>
      </c>
      <c r="G783" s="8" t="s">
        <v>15</v>
      </c>
    </row>
    <row r="784" spans="1:7" hidden="1" x14ac:dyDescent="0.25">
      <c r="A784" s="21">
        <v>783</v>
      </c>
      <c r="B784" s="7" t="s">
        <v>2314</v>
      </c>
      <c r="C784" s="7" t="s">
        <v>2315</v>
      </c>
      <c r="G784" s="8" t="s">
        <v>15</v>
      </c>
    </row>
    <row r="785" spans="1:7" hidden="1" x14ac:dyDescent="0.25">
      <c r="A785" s="21">
        <v>784</v>
      </c>
      <c r="B785" s="7" t="s">
        <v>2316</v>
      </c>
      <c r="C785" s="7" t="s">
        <v>2317</v>
      </c>
      <c r="G785" s="8" t="s">
        <v>15</v>
      </c>
    </row>
    <row r="786" spans="1:7" hidden="1" x14ac:dyDescent="0.25">
      <c r="A786" s="21">
        <v>785</v>
      </c>
      <c r="B786" s="7" t="s">
        <v>2318</v>
      </c>
      <c r="C786" s="7" t="s">
        <v>2319</v>
      </c>
      <c r="G786" s="8" t="s">
        <v>15</v>
      </c>
    </row>
    <row r="787" spans="1:7" hidden="1" x14ac:dyDescent="0.25">
      <c r="A787" s="21">
        <v>786</v>
      </c>
      <c r="B787" s="7" t="s">
        <v>2320</v>
      </c>
      <c r="C787" s="7" t="s">
        <v>2321</v>
      </c>
      <c r="G787" s="8" t="s">
        <v>15</v>
      </c>
    </row>
    <row r="788" spans="1:7" hidden="1" x14ac:dyDescent="0.25">
      <c r="A788" s="21">
        <v>787</v>
      </c>
      <c r="B788" s="7" t="s">
        <v>2322</v>
      </c>
      <c r="C788" s="7" t="s">
        <v>2323</v>
      </c>
      <c r="G788" s="8" t="s">
        <v>15</v>
      </c>
    </row>
    <row r="789" spans="1:7" hidden="1" x14ac:dyDescent="0.25">
      <c r="A789" s="21">
        <v>788</v>
      </c>
      <c r="B789" s="7" t="s">
        <v>2324</v>
      </c>
      <c r="C789" s="7" t="s">
        <v>2325</v>
      </c>
      <c r="G789" s="8" t="s">
        <v>15</v>
      </c>
    </row>
    <row r="790" spans="1:7" hidden="1" x14ac:dyDescent="0.25">
      <c r="A790" s="21">
        <v>789</v>
      </c>
      <c r="B790" s="7" t="s">
        <v>2326</v>
      </c>
      <c r="C790" s="7" t="s">
        <v>2327</v>
      </c>
      <c r="G790" s="8" t="s">
        <v>15</v>
      </c>
    </row>
    <row r="791" spans="1:7" hidden="1" x14ac:dyDescent="0.25">
      <c r="A791" s="21">
        <v>790</v>
      </c>
      <c r="B791" s="7" t="s">
        <v>2328</v>
      </c>
      <c r="C791" s="7" t="s">
        <v>2329</v>
      </c>
      <c r="G791" s="8" t="s">
        <v>15</v>
      </c>
    </row>
    <row r="792" spans="1:7" hidden="1" x14ac:dyDescent="0.25">
      <c r="A792" s="21">
        <v>791</v>
      </c>
      <c r="B792" s="7" t="s">
        <v>2330</v>
      </c>
      <c r="C792" s="7" t="s">
        <v>2331</v>
      </c>
      <c r="G792" s="8" t="s">
        <v>15</v>
      </c>
    </row>
    <row r="793" spans="1:7" hidden="1" x14ac:dyDescent="0.25">
      <c r="A793" s="21">
        <v>792</v>
      </c>
      <c r="B793" s="7" t="s">
        <v>2332</v>
      </c>
      <c r="C793" s="7" t="s">
        <v>2333</v>
      </c>
      <c r="G793" s="8" t="s">
        <v>15</v>
      </c>
    </row>
    <row r="794" spans="1:7" hidden="1" x14ac:dyDescent="0.25">
      <c r="A794" s="21">
        <v>793</v>
      </c>
      <c r="B794" s="7" t="s">
        <v>2334</v>
      </c>
      <c r="C794" s="7" t="s">
        <v>2335</v>
      </c>
      <c r="G794" s="8" t="s">
        <v>15</v>
      </c>
    </row>
    <row r="795" spans="1:7" hidden="1" x14ac:dyDescent="0.25">
      <c r="A795" s="21">
        <v>794</v>
      </c>
      <c r="B795" s="7" t="s">
        <v>2336</v>
      </c>
      <c r="C795" s="7" t="s">
        <v>2337</v>
      </c>
      <c r="G795" s="8" t="s">
        <v>15</v>
      </c>
    </row>
    <row r="796" spans="1:7" hidden="1" x14ac:dyDescent="0.25">
      <c r="A796" s="21">
        <v>795</v>
      </c>
      <c r="B796" s="7" t="s">
        <v>2338</v>
      </c>
      <c r="C796" s="7" t="s">
        <v>2339</v>
      </c>
      <c r="G796" s="8" t="s">
        <v>15</v>
      </c>
    </row>
    <row r="797" spans="1:7" hidden="1" x14ac:dyDescent="0.25">
      <c r="A797" s="21">
        <v>796</v>
      </c>
      <c r="B797" s="7" t="s">
        <v>2340</v>
      </c>
      <c r="C797" s="7" t="s">
        <v>2341</v>
      </c>
      <c r="F797" t="s">
        <v>733</v>
      </c>
      <c r="G797" s="8" t="s">
        <v>15</v>
      </c>
    </row>
    <row r="798" spans="1:7" hidden="1" x14ac:dyDescent="0.25">
      <c r="A798" s="21">
        <v>797</v>
      </c>
      <c r="B798" s="7" t="s">
        <v>2342</v>
      </c>
      <c r="C798" s="7" t="s">
        <v>2343</v>
      </c>
      <c r="G798" s="8" t="s">
        <v>15</v>
      </c>
    </row>
    <row r="799" spans="1:7" hidden="1" x14ac:dyDescent="0.25">
      <c r="A799" s="21">
        <v>798</v>
      </c>
      <c r="B799" s="7" t="s">
        <v>2344</v>
      </c>
      <c r="C799" s="7" t="s">
        <v>2345</v>
      </c>
      <c r="F799" s="8" t="s">
        <v>116</v>
      </c>
      <c r="G799" s="8" t="s">
        <v>15</v>
      </c>
    </row>
    <row r="800" spans="1:7" hidden="1" x14ac:dyDescent="0.25">
      <c r="A800" s="21">
        <v>799</v>
      </c>
      <c r="B800" s="7" t="s">
        <v>2346</v>
      </c>
      <c r="C800" s="7" t="s">
        <v>2347</v>
      </c>
      <c r="G800" s="8" t="s">
        <v>15</v>
      </c>
    </row>
    <row r="801" spans="1:8" hidden="1" x14ac:dyDescent="0.25">
      <c r="A801" s="21">
        <v>800</v>
      </c>
      <c r="B801" s="7" t="s">
        <v>2348</v>
      </c>
      <c r="C801" s="7" t="s">
        <v>2349</v>
      </c>
      <c r="G801" s="8" t="s">
        <v>15</v>
      </c>
      <c r="H801">
        <f>_xlfn.XLOOKUP(B801,Data!T:T,Data!F:F)</f>
        <v>0</v>
      </c>
    </row>
    <row r="802" spans="1:8" hidden="1" x14ac:dyDescent="0.25">
      <c r="A802" s="21">
        <v>801</v>
      </c>
      <c r="B802" s="7" t="s">
        <v>2350</v>
      </c>
      <c r="C802" s="7" t="s">
        <v>2351</v>
      </c>
      <c r="G802" s="8" t="s">
        <v>15</v>
      </c>
    </row>
    <row r="803" spans="1:8" hidden="1" x14ac:dyDescent="0.25">
      <c r="A803" s="21">
        <v>802</v>
      </c>
      <c r="B803" s="7" t="s">
        <v>2352</v>
      </c>
      <c r="C803" s="7" t="s">
        <v>2353</v>
      </c>
      <c r="G803" s="8" t="s">
        <v>15</v>
      </c>
    </row>
    <row r="804" spans="1:8" hidden="1" x14ac:dyDescent="0.25">
      <c r="A804" s="21">
        <v>803</v>
      </c>
      <c r="B804" s="7" t="s">
        <v>2354</v>
      </c>
      <c r="C804" s="7" t="s">
        <v>2355</v>
      </c>
      <c r="G804" s="8" t="s">
        <v>15</v>
      </c>
    </row>
    <row r="805" spans="1:8" hidden="1" x14ac:dyDescent="0.25">
      <c r="A805" s="21">
        <v>804</v>
      </c>
      <c r="B805" s="7" t="s">
        <v>2356</v>
      </c>
      <c r="C805" s="7" t="s">
        <v>2357</v>
      </c>
      <c r="G805" s="8" t="s">
        <v>15</v>
      </c>
    </row>
    <row r="806" spans="1:8" hidden="1" x14ac:dyDescent="0.25">
      <c r="A806" s="21">
        <v>805</v>
      </c>
      <c r="B806" s="7" t="s">
        <v>2358</v>
      </c>
      <c r="C806" s="7" t="s">
        <v>2359</v>
      </c>
      <c r="F806" t="s">
        <v>2360</v>
      </c>
      <c r="G806" s="8" t="s">
        <v>15</v>
      </c>
    </row>
    <row r="807" spans="1:8" hidden="1" x14ac:dyDescent="0.25">
      <c r="A807" s="21">
        <v>806</v>
      </c>
      <c r="B807" s="7" t="s">
        <v>2361</v>
      </c>
      <c r="C807" s="7" t="s">
        <v>2362</v>
      </c>
      <c r="F807" t="s">
        <v>2360</v>
      </c>
      <c r="G807" s="8" t="s">
        <v>15</v>
      </c>
    </row>
    <row r="808" spans="1:8" hidden="1" x14ac:dyDescent="0.25">
      <c r="A808" s="21">
        <v>807</v>
      </c>
      <c r="B808" s="7" t="s">
        <v>2363</v>
      </c>
      <c r="C808" s="7" t="s">
        <v>2364</v>
      </c>
      <c r="G808" s="8" t="s">
        <v>15</v>
      </c>
    </row>
    <row r="809" spans="1:8" hidden="1" x14ac:dyDescent="0.25">
      <c r="A809" s="21">
        <v>808</v>
      </c>
      <c r="B809" s="7" t="s">
        <v>2365</v>
      </c>
      <c r="C809" s="7" t="s">
        <v>2366</v>
      </c>
      <c r="G809" s="8" t="s">
        <v>15</v>
      </c>
      <c r="H809" t="str">
        <f>_xlfn.XLOOKUP(B809,Data!T:T,Data!F:F)</f>
        <v>Per Pack 100 Amp</v>
      </c>
    </row>
    <row r="810" spans="1:8" hidden="1" x14ac:dyDescent="0.25">
      <c r="A810" s="21">
        <v>809</v>
      </c>
      <c r="B810" s="7" t="s">
        <v>2367</v>
      </c>
      <c r="C810" s="7" t="s">
        <v>2368</v>
      </c>
      <c r="G810" s="8" t="s">
        <v>15</v>
      </c>
    </row>
    <row r="811" spans="1:8" hidden="1" x14ac:dyDescent="0.25">
      <c r="A811" s="21">
        <v>810</v>
      </c>
      <c r="B811" s="7" t="s">
        <v>2369</v>
      </c>
      <c r="C811" s="7" t="s">
        <v>2370</v>
      </c>
      <c r="G811" s="8" t="s">
        <v>15</v>
      </c>
    </row>
    <row r="812" spans="1:8" hidden="1" x14ac:dyDescent="0.25">
      <c r="A812" s="21">
        <v>811</v>
      </c>
      <c r="B812" s="7" t="s">
        <v>2371</v>
      </c>
      <c r="C812" s="7" t="s">
        <v>2372</v>
      </c>
      <c r="G812" s="8" t="s">
        <v>15</v>
      </c>
    </row>
    <row r="813" spans="1:8" hidden="1" x14ac:dyDescent="0.25">
      <c r="A813" s="21">
        <v>812</v>
      </c>
      <c r="B813" s="7" t="s">
        <v>2373</v>
      </c>
      <c r="C813" s="7" t="s">
        <v>2374</v>
      </c>
      <c r="F813" s="8" t="s">
        <v>605</v>
      </c>
      <c r="G813" s="8" t="s">
        <v>15</v>
      </c>
    </row>
    <row r="814" spans="1:8" hidden="1" x14ac:dyDescent="0.25">
      <c r="A814" s="21">
        <v>813</v>
      </c>
      <c r="B814" s="7" t="s">
        <v>2375</v>
      </c>
      <c r="C814" s="7" t="s">
        <v>2376</v>
      </c>
      <c r="F814" s="8" t="s">
        <v>605</v>
      </c>
      <c r="G814" s="8" t="s">
        <v>15</v>
      </c>
    </row>
    <row r="815" spans="1:8" hidden="1" x14ac:dyDescent="0.25">
      <c r="A815" s="21">
        <v>814</v>
      </c>
      <c r="B815" s="7" t="s">
        <v>2377</v>
      </c>
      <c r="C815" s="7" t="s">
        <v>2378</v>
      </c>
      <c r="G815" s="8" t="s">
        <v>15</v>
      </c>
    </row>
    <row r="816" spans="1:8" hidden="1" x14ac:dyDescent="0.25">
      <c r="A816" s="21">
        <v>815</v>
      </c>
      <c r="B816" s="7" t="s">
        <v>2379</v>
      </c>
      <c r="C816" s="7" t="s">
        <v>2380</v>
      </c>
      <c r="G816" s="8" t="s">
        <v>15</v>
      </c>
    </row>
    <row r="817" spans="1:7" hidden="1" x14ac:dyDescent="0.25">
      <c r="A817" s="21">
        <v>816</v>
      </c>
      <c r="B817" s="7" t="s">
        <v>2381</v>
      </c>
      <c r="C817" s="7" t="s">
        <v>2382</v>
      </c>
      <c r="G817" s="8" t="s">
        <v>15</v>
      </c>
    </row>
    <row r="818" spans="1:7" hidden="1" x14ac:dyDescent="0.25">
      <c r="A818" s="21">
        <v>817</v>
      </c>
      <c r="B818" s="7" t="s">
        <v>2383</v>
      </c>
      <c r="C818" s="7" t="s">
        <v>2384</v>
      </c>
      <c r="G818" s="8" t="s">
        <v>15</v>
      </c>
    </row>
    <row r="819" spans="1:7" hidden="1" x14ac:dyDescent="0.25">
      <c r="A819" s="21">
        <v>818</v>
      </c>
      <c r="B819" s="7" t="s">
        <v>2385</v>
      </c>
      <c r="C819" s="7" t="s">
        <v>2386</v>
      </c>
      <c r="G819" s="8" t="s">
        <v>15</v>
      </c>
    </row>
    <row r="820" spans="1:7" hidden="1" x14ac:dyDescent="0.25">
      <c r="A820" s="21">
        <v>819</v>
      </c>
      <c r="B820" s="7" t="s">
        <v>2387</v>
      </c>
      <c r="C820" s="7" t="s">
        <v>2388</v>
      </c>
      <c r="G820" s="8" t="s">
        <v>15</v>
      </c>
    </row>
    <row r="821" spans="1:7" hidden="1" x14ac:dyDescent="0.25">
      <c r="A821" s="21">
        <v>820</v>
      </c>
      <c r="B821" s="7" t="s">
        <v>2389</v>
      </c>
      <c r="C821" s="7" t="s">
        <v>2390</v>
      </c>
      <c r="G821" s="8" t="s">
        <v>15</v>
      </c>
    </row>
    <row r="822" spans="1:7" hidden="1" x14ac:dyDescent="0.25">
      <c r="A822" s="21">
        <v>821</v>
      </c>
      <c r="B822" s="7" t="s">
        <v>2391</v>
      </c>
      <c r="C822" s="7" t="s">
        <v>2392</v>
      </c>
      <c r="G822" s="8" t="s">
        <v>15</v>
      </c>
    </row>
    <row r="823" spans="1:7" hidden="1" x14ac:dyDescent="0.25">
      <c r="A823" s="21">
        <v>822</v>
      </c>
      <c r="B823" s="7" t="s">
        <v>2393</v>
      </c>
      <c r="C823" s="7" t="s">
        <v>2394</v>
      </c>
      <c r="G823" s="8" t="s">
        <v>15</v>
      </c>
    </row>
    <row r="824" spans="1:7" hidden="1" x14ac:dyDescent="0.25">
      <c r="A824" s="21">
        <v>823</v>
      </c>
      <c r="B824" s="7" t="s">
        <v>2395</v>
      </c>
      <c r="C824" s="7" t="s">
        <v>2396</v>
      </c>
      <c r="G824" s="8" t="s">
        <v>15</v>
      </c>
    </row>
    <row r="825" spans="1:7" hidden="1" x14ac:dyDescent="0.25">
      <c r="A825" s="21">
        <v>824</v>
      </c>
      <c r="B825" s="7" t="s">
        <v>2397</v>
      </c>
      <c r="C825" s="7" t="s">
        <v>2398</v>
      </c>
      <c r="G825" s="8" t="s">
        <v>15</v>
      </c>
    </row>
    <row r="826" spans="1:7" hidden="1" x14ac:dyDescent="0.25">
      <c r="A826" s="21">
        <v>825</v>
      </c>
      <c r="B826" s="7" t="s">
        <v>2399</v>
      </c>
      <c r="C826" s="7" t="s">
        <v>2400</v>
      </c>
      <c r="G826" s="8" t="s">
        <v>15</v>
      </c>
    </row>
    <row r="827" spans="1:7" hidden="1" x14ac:dyDescent="0.25">
      <c r="A827" s="21">
        <v>826</v>
      </c>
      <c r="B827" s="7" t="s">
        <v>2401</v>
      </c>
      <c r="C827" s="7" t="s">
        <v>2402</v>
      </c>
      <c r="G827" s="8" t="s">
        <v>15</v>
      </c>
    </row>
    <row r="828" spans="1:7" hidden="1" x14ac:dyDescent="0.25">
      <c r="A828" s="21">
        <v>827</v>
      </c>
      <c r="B828" s="7" t="s">
        <v>2403</v>
      </c>
      <c r="C828" s="7" t="s">
        <v>2404</v>
      </c>
      <c r="G828" s="8" t="s">
        <v>15</v>
      </c>
    </row>
    <row r="829" spans="1:7" hidden="1" x14ac:dyDescent="0.25">
      <c r="A829" s="21">
        <v>828</v>
      </c>
      <c r="B829" s="7" t="s">
        <v>2405</v>
      </c>
      <c r="C829" s="7" t="s">
        <v>2406</v>
      </c>
      <c r="G829" s="8" t="s">
        <v>15</v>
      </c>
    </row>
    <row r="830" spans="1:7" hidden="1" x14ac:dyDescent="0.25">
      <c r="A830" s="21">
        <v>829</v>
      </c>
      <c r="B830" s="7" t="s">
        <v>2407</v>
      </c>
      <c r="C830" s="7" t="s">
        <v>2408</v>
      </c>
      <c r="G830" s="8" t="s">
        <v>15</v>
      </c>
    </row>
    <row r="831" spans="1:7" hidden="1" x14ac:dyDescent="0.25">
      <c r="A831" s="21">
        <v>830</v>
      </c>
      <c r="B831" s="7" t="s">
        <v>2409</v>
      </c>
      <c r="C831" s="7" t="s">
        <v>2410</v>
      </c>
      <c r="G831" s="8" t="s">
        <v>15</v>
      </c>
    </row>
    <row r="832" spans="1:7" hidden="1" x14ac:dyDescent="0.25">
      <c r="A832" s="21">
        <v>831</v>
      </c>
      <c r="B832" s="7" t="s">
        <v>2411</v>
      </c>
      <c r="C832" s="7" t="s">
        <v>2412</v>
      </c>
      <c r="F832" t="s">
        <v>1071</v>
      </c>
      <c r="G832" s="8" t="s">
        <v>15</v>
      </c>
    </row>
    <row r="833" spans="1:7" hidden="1" x14ac:dyDescent="0.25">
      <c r="A833" s="21">
        <v>832</v>
      </c>
      <c r="B833" s="7" t="s">
        <v>2413</v>
      </c>
      <c r="C833" s="7" t="s">
        <v>2414</v>
      </c>
      <c r="G833" s="8" t="s">
        <v>15</v>
      </c>
    </row>
    <row r="834" spans="1:7" hidden="1" x14ac:dyDescent="0.25">
      <c r="A834" s="21">
        <v>833</v>
      </c>
      <c r="B834" s="7" t="s">
        <v>2415</v>
      </c>
      <c r="C834" s="7" t="s">
        <v>2416</v>
      </c>
      <c r="G834" s="8" t="s">
        <v>15</v>
      </c>
    </row>
    <row r="835" spans="1:7" hidden="1" x14ac:dyDescent="0.25">
      <c r="A835" s="21">
        <v>834</v>
      </c>
      <c r="B835" s="7" t="s">
        <v>2417</v>
      </c>
      <c r="C835" s="7" t="s">
        <v>2418</v>
      </c>
      <c r="G835" s="8" t="s">
        <v>15</v>
      </c>
    </row>
    <row r="836" spans="1:7" hidden="1" x14ac:dyDescent="0.25">
      <c r="A836" s="21">
        <v>835</v>
      </c>
      <c r="B836" s="7" t="s">
        <v>2419</v>
      </c>
      <c r="C836" s="7" t="s">
        <v>2420</v>
      </c>
      <c r="G836" s="8" t="s">
        <v>15</v>
      </c>
    </row>
    <row r="837" spans="1:7" hidden="1" x14ac:dyDescent="0.25">
      <c r="A837" s="21">
        <v>836</v>
      </c>
      <c r="B837" s="7" t="s">
        <v>2421</v>
      </c>
      <c r="C837" s="7" t="s">
        <v>2422</v>
      </c>
      <c r="G837" s="8" t="s">
        <v>15</v>
      </c>
    </row>
    <row r="838" spans="1:7" hidden="1" x14ac:dyDescent="0.25">
      <c r="A838" s="21">
        <v>837</v>
      </c>
      <c r="B838" s="7" t="s">
        <v>2423</v>
      </c>
      <c r="C838" s="7" t="s">
        <v>2424</v>
      </c>
      <c r="G838" s="8" t="s">
        <v>15</v>
      </c>
    </row>
    <row r="839" spans="1:7" hidden="1" x14ac:dyDescent="0.25">
      <c r="A839" s="21">
        <v>838</v>
      </c>
      <c r="B839" s="7" t="s">
        <v>2425</v>
      </c>
      <c r="C839" s="7" t="s">
        <v>2426</v>
      </c>
      <c r="G839" s="8" t="s">
        <v>15</v>
      </c>
    </row>
    <row r="840" spans="1:7" hidden="1" x14ac:dyDescent="0.25">
      <c r="A840" s="21">
        <v>839</v>
      </c>
      <c r="B840" s="7" t="s">
        <v>2427</v>
      </c>
      <c r="C840" s="7" t="s">
        <v>2428</v>
      </c>
      <c r="G840" s="8" t="s">
        <v>15</v>
      </c>
    </row>
    <row r="841" spans="1:7" hidden="1" x14ac:dyDescent="0.25">
      <c r="A841" s="21">
        <v>840</v>
      </c>
      <c r="B841" s="7" t="s">
        <v>2429</v>
      </c>
      <c r="C841" s="7" t="s">
        <v>2430</v>
      </c>
      <c r="G841" s="8" t="s">
        <v>15</v>
      </c>
    </row>
    <row r="842" spans="1:7" hidden="1" x14ac:dyDescent="0.25">
      <c r="A842" s="21">
        <v>841</v>
      </c>
      <c r="B842" s="7" t="s">
        <v>2431</v>
      </c>
      <c r="C842" s="7" t="s">
        <v>2432</v>
      </c>
      <c r="G842" s="8" t="s">
        <v>15</v>
      </c>
    </row>
    <row r="843" spans="1:7" hidden="1" x14ac:dyDescent="0.25">
      <c r="A843" s="21">
        <v>842</v>
      </c>
      <c r="B843" s="7" t="s">
        <v>2433</v>
      </c>
      <c r="C843" s="7" t="s">
        <v>2434</v>
      </c>
      <c r="G843" s="8" t="s">
        <v>15</v>
      </c>
    </row>
    <row r="844" spans="1:7" hidden="1" x14ac:dyDescent="0.25">
      <c r="A844" s="21">
        <v>843</v>
      </c>
      <c r="B844" s="7" t="s">
        <v>2435</v>
      </c>
      <c r="C844" s="7" t="s">
        <v>2436</v>
      </c>
      <c r="G844" s="8" t="s">
        <v>15</v>
      </c>
    </row>
    <row r="845" spans="1:7" hidden="1" x14ac:dyDescent="0.25">
      <c r="A845" s="21">
        <v>844</v>
      </c>
      <c r="B845" s="7" t="s">
        <v>2437</v>
      </c>
      <c r="C845" s="7" t="s">
        <v>2438</v>
      </c>
      <c r="G845" s="8" t="s">
        <v>15</v>
      </c>
    </row>
    <row r="846" spans="1:7" hidden="1" x14ac:dyDescent="0.25">
      <c r="A846" s="21">
        <v>845</v>
      </c>
      <c r="B846" s="7" t="s">
        <v>2439</v>
      </c>
      <c r="C846" s="7" t="s">
        <v>2440</v>
      </c>
      <c r="G846" s="8" t="s">
        <v>15</v>
      </c>
    </row>
    <row r="847" spans="1:7" hidden="1" x14ac:dyDescent="0.25">
      <c r="A847" s="21">
        <v>846</v>
      </c>
      <c r="B847" s="7" t="s">
        <v>2441</v>
      </c>
      <c r="C847" s="7" t="s">
        <v>2442</v>
      </c>
      <c r="G847" s="8" t="s">
        <v>15</v>
      </c>
    </row>
    <row r="848" spans="1:7" hidden="1" x14ac:dyDescent="0.25">
      <c r="A848" s="21">
        <v>847</v>
      </c>
      <c r="B848" s="7" t="s">
        <v>2443</v>
      </c>
      <c r="C848" s="7" t="s">
        <v>2444</v>
      </c>
      <c r="G848" s="8" t="s">
        <v>15</v>
      </c>
    </row>
    <row r="849" spans="1:7" hidden="1" x14ac:dyDescent="0.25">
      <c r="A849" s="21">
        <v>848</v>
      </c>
      <c r="B849" s="7" t="s">
        <v>2445</v>
      </c>
      <c r="C849" s="7" t="s">
        <v>2446</v>
      </c>
      <c r="G849" s="8" t="s">
        <v>15</v>
      </c>
    </row>
    <row r="850" spans="1:7" hidden="1" x14ac:dyDescent="0.25">
      <c r="A850" s="21">
        <v>849</v>
      </c>
      <c r="B850" s="7" t="s">
        <v>2447</v>
      </c>
      <c r="C850" s="7" t="s">
        <v>2448</v>
      </c>
      <c r="G850" s="8" t="s">
        <v>15</v>
      </c>
    </row>
    <row r="851" spans="1:7" hidden="1" x14ac:dyDescent="0.25">
      <c r="A851" s="21">
        <v>850</v>
      </c>
      <c r="B851" s="7" t="s">
        <v>2449</v>
      </c>
      <c r="C851" s="7" t="s">
        <v>2450</v>
      </c>
      <c r="G851" s="8" t="s">
        <v>15</v>
      </c>
    </row>
    <row r="852" spans="1:7" hidden="1" x14ac:dyDescent="0.25">
      <c r="A852" s="21">
        <v>851</v>
      </c>
      <c r="B852" s="7" t="s">
        <v>2451</v>
      </c>
      <c r="C852" s="7" t="s">
        <v>2452</v>
      </c>
      <c r="G852" s="8" t="s">
        <v>15</v>
      </c>
    </row>
    <row r="853" spans="1:7" hidden="1" x14ac:dyDescent="0.25">
      <c r="A853" s="21">
        <v>852</v>
      </c>
      <c r="B853" s="7" t="s">
        <v>2453</v>
      </c>
      <c r="C853" s="7" t="s">
        <v>2454</v>
      </c>
      <c r="G853" s="8" t="s">
        <v>15</v>
      </c>
    </row>
    <row r="854" spans="1:7" hidden="1" x14ac:dyDescent="0.25">
      <c r="A854" s="21">
        <v>853</v>
      </c>
      <c r="B854" s="7" t="s">
        <v>2455</v>
      </c>
      <c r="C854" s="7" t="s">
        <v>2456</v>
      </c>
      <c r="G854" s="8" t="s">
        <v>15</v>
      </c>
    </row>
    <row r="855" spans="1:7" hidden="1" x14ac:dyDescent="0.25">
      <c r="A855" s="21">
        <v>854</v>
      </c>
      <c r="B855" s="7" t="s">
        <v>2457</v>
      </c>
      <c r="C855" s="7" t="s">
        <v>2458</v>
      </c>
      <c r="G855" s="8" t="s">
        <v>15</v>
      </c>
    </row>
    <row r="856" spans="1:7" hidden="1" x14ac:dyDescent="0.25">
      <c r="A856" s="21">
        <v>855</v>
      </c>
      <c r="B856" s="7" t="s">
        <v>2459</v>
      </c>
      <c r="C856" s="7" t="s">
        <v>2460</v>
      </c>
      <c r="G856" s="8" t="s">
        <v>15</v>
      </c>
    </row>
    <row r="857" spans="1:7" hidden="1" x14ac:dyDescent="0.25">
      <c r="A857" s="21">
        <v>856</v>
      </c>
      <c r="B857" s="7" t="s">
        <v>2461</v>
      </c>
      <c r="C857" s="7" t="s">
        <v>2462</v>
      </c>
      <c r="G857" s="8" t="s">
        <v>15</v>
      </c>
    </row>
    <row r="858" spans="1:7" hidden="1" x14ac:dyDescent="0.25">
      <c r="A858" s="21">
        <v>857</v>
      </c>
      <c r="B858" s="7" t="s">
        <v>2463</v>
      </c>
      <c r="C858" s="7" t="s">
        <v>2464</v>
      </c>
      <c r="G858" s="8" t="s">
        <v>15</v>
      </c>
    </row>
    <row r="859" spans="1:7" hidden="1" x14ac:dyDescent="0.25">
      <c r="A859" s="21">
        <v>858</v>
      </c>
      <c r="B859" s="7" t="s">
        <v>2465</v>
      </c>
      <c r="C859" s="7" t="s">
        <v>2466</v>
      </c>
      <c r="G859" s="8" t="s">
        <v>15</v>
      </c>
    </row>
    <row r="860" spans="1:7" hidden="1" x14ac:dyDescent="0.25">
      <c r="A860" s="21">
        <v>859</v>
      </c>
      <c r="B860" s="7" t="s">
        <v>2467</v>
      </c>
      <c r="C860" s="7" t="s">
        <v>2468</v>
      </c>
      <c r="G860" s="8" t="s">
        <v>15</v>
      </c>
    </row>
    <row r="861" spans="1:7" hidden="1" x14ac:dyDescent="0.25">
      <c r="A861" s="21">
        <v>860</v>
      </c>
      <c r="B861" s="7" t="s">
        <v>2469</v>
      </c>
      <c r="C861" s="7" t="s">
        <v>2470</v>
      </c>
      <c r="G861" s="8" t="s">
        <v>15</v>
      </c>
    </row>
    <row r="862" spans="1:7" hidden="1" x14ac:dyDescent="0.25">
      <c r="A862" s="21">
        <v>861</v>
      </c>
      <c r="B862" s="7" t="s">
        <v>2471</v>
      </c>
      <c r="C862" s="7" t="s">
        <v>2472</v>
      </c>
      <c r="G862" s="8" t="s">
        <v>15</v>
      </c>
    </row>
    <row r="863" spans="1:7" hidden="1" x14ac:dyDescent="0.25">
      <c r="A863" s="21">
        <v>862</v>
      </c>
      <c r="B863" s="7" t="s">
        <v>2473</v>
      </c>
      <c r="C863" s="7" t="s">
        <v>2474</v>
      </c>
      <c r="G863" s="8" t="s">
        <v>15</v>
      </c>
    </row>
    <row r="864" spans="1:7" hidden="1" x14ac:dyDescent="0.25">
      <c r="A864" s="21">
        <v>863</v>
      </c>
      <c r="B864" s="7" t="s">
        <v>2475</v>
      </c>
      <c r="C864" s="7" t="s">
        <v>2476</v>
      </c>
      <c r="G864" s="8" t="s">
        <v>15</v>
      </c>
    </row>
    <row r="865" spans="1:7" hidden="1" x14ac:dyDescent="0.25">
      <c r="A865" s="21">
        <v>864</v>
      </c>
      <c r="B865" s="7" t="s">
        <v>2477</v>
      </c>
      <c r="C865" s="7" t="s">
        <v>2478</v>
      </c>
      <c r="G865" s="8" t="s">
        <v>15</v>
      </c>
    </row>
    <row r="866" spans="1:7" hidden="1" x14ac:dyDescent="0.25">
      <c r="A866" s="21">
        <v>865</v>
      </c>
      <c r="B866" s="7" t="s">
        <v>2479</v>
      </c>
      <c r="C866" s="7" t="s">
        <v>2480</v>
      </c>
      <c r="G866" s="8" t="s">
        <v>15</v>
      </c>
    </row>
    <row r="867" spans="1:7" hidden="1" x14ac:dyDescent="0.25">
      <c r="A867" s="21">
        <v>866</v>
      </c>
      <c r="B867" s="7" t="s">
        <v>2481</v>
      </c>
      <c r="C867" s="7" t="s">
        <v>2482</v>
      </c>
      <c r="G867" s="8" t="s">
        <v>15</v>
      </c>
    </row>
    <row r="868" spans="1:7" hidden="1" x14ac:dyDescent="0.25">
      <c r="A868" s="21">
        <v>867</v>
      </c>
      <c r="B868" s="7" t="s">
        <v>2483</v>
      </c>
      <c r="C868" s="7" t="s">
        <v>2484</v>
      </c>
      <c r="G868" s="8" t="s">
        <v>15</v>
      </c>
    </row>
    <row r="869" spans="1:7" hidden="1" x14ac:dyDescent="0.25">
      <c r="A869" s="21">
        <v>868</v>
      </c>
      <c r="B869" s="7" t="s">
        <v>2485</v>
      </c>
      <c r="C869" s="7" t="s">
        <v>2486</v>
      </c>
      <c r="G869" s="8" t="s">
        <v>15</v>
      </c>
    </row>
    <row r="870" spans="1:7" hidden="1" x14ac:dyDescent="0.25">
      <c r="A870" s="21">
        <v>869</v>
      </c>
      <c r="B870" s="7" t="s">
        <v>2487</v>
      </c>
      <c r="C870" s="7" t="s">
        <v>2488</v>
      </c>
      <c r="G870" s="8" t="s">
        <v>15</v>
      </c>
    </row>
    <row r="871" spans="1:7" hidden="1" x14ac:dyDescent="0.25">
      <c r="A871" s="21">
        <v>870</v>
      </c>
      <c r="B871" s="7" t="s">
        <v>2489</v>
      </c>
      <c r="C871" s="7" t="s">
        <v>2490</v>
      </c>
      <c r="G871" s="8" t="s">
        <v>15</v>
      </c>
    </row>
    <row r="872" spans="1:7" hidden="1" x14ac:dyDescent="0.25">
      <c r="A872" s="21">
        <v>871</v>
      </c>
      <c r="B872" s="7" t="s">
        <v>2491</v>
      </c>
      <c r="C872" s="7" t="s">
        <v>2492</v>
      </c>
      <c r="G872" s="8" t="s">
        <v>15</v>
      </c>
    </row>
    <row r="873" spans="1:7" hidden="1" x14ac:dyDescent="0.25">
      <c r="A873" s="21">
        <v>872</v>
      </c>
      <c r="B873" s="7" t="s">
        <v>2493</v>
      </c>
      <c r="C873" s="7" t="s">
        <v>2494</v>
      </c>
      <c r="G873" s="8" t="s">
        <v>15</v>
      </c>
    </row>
    <row r="874" spans="1:7" hidden="1" x14ac:dyDescent="0.25">
      <c r="A874" s="21">
        <v>873</v>
      </c>
      <c r="B874" s="7" t="s">
        <v>2495</v>
      </c>
      <c r="C874" s="7" t="s">
        <v>2496</v>
      </c>
      <c r="G874" s="8" t="s">
        <v>15</v>
      </c>
    </row>
    <row r="875" spans="1:7" hidden="1" x14ac:dyDescent="0.25">
      <c r="A875" s="21">
        <v>874</v>
      </c>
      <c r="B875" s="7" t="s">
        <v>2497</v>
      </c>
      <c r="C875" s="7" t="s">
        <v>2498</v>
      </c>
      <c r="G875" s="8" t="s">
        <v>15</v>
      </c>
    </row>
    <row r="876" spans="1:7" hidden="1" x14ac:dyDescent="0.25">
      <c r="A876" s="21">
        <v>875</v>
      </c>
      <c r="B876" s="7" t="s">
        <v>2499</v>
      </c>
      <c r="C876" s="7" t="s">
        <v>2500</v>
      </c>
      <c r="G876" s="8" t="s">
        <v>15</v>
      </c>
    </row>
    <row r="877" spans="1:7" hidden="1" x14ac:dyDescent="0.25">
      <c r="A877" s="21">
        <v>876</v>
      </c>
      <c r="B877" s="7" t="s">
        <v>2501</v>
      </c>
      <c r="C877" s="7" t="s">
        <v>2502</v>
      </c>
      <c r="G877" s="8" t="s">
        <v>15</v>
      </c>
    </row>
    <row r="878" spans="1:7" hidden="1" x14ac:dyDescent="0.25">
      <c r="A878" s="21">
        <v>877</v>
      </c>
      <c r="B878" s="7" t="s">
        <v>2503</v>
      </c>
      <c r="C878" s="7" t="s">
        <v>2504</v>
      </c>
      <c r="G878" s="8" t="s">
        <v>15</v>
      </c>
    </row>
    <row r="879" spans="1:7" hidden="1" x14ac:dyDescent="0.25">
      <c r="A879" s="21">
        <v>878</v>
      </c>
      <c r="B879" s="7" t="s">
        <v>2505</v>
      </c>
      <c r="C879" s="7" t="s">
        <v>2506</v>
      </c>
      <c r="G879" s="8" t="s">
        <v>15</v>
      </c>
    </row>
    <row r="880" spans="1:7" hidden="1" x14ac:dyDescent="0.25">
      <c r="A880" s="21">
        <v>879</v>
      </c>
      <c r="B880" s="7" t="s">
        <v>2507</v>
      </c>
      <c r="C880" s="7" t="s">
        <v>2508</v>
      </c>
      <c r="G880" s="8" t="s">
        <v>15</v>
      </c>
    </row>
    <row r="881" spans="1:7" hidden="1" x14ac:dyDescent="0.25">
      <c r="A881" s="21">
        <v>880</v>
      </c>
      <c r="B881" s="7" t="s">
        <v>2509</v>
      </c>
      <c r="C881" s="7" t="s">
        <v>2510</v>
      </c>
      <c r="G881" s="8" t="s">
        <v>15</v>
      </c>
    </row>
    <row r="882" spans="1:7" hidden="1" x14ac:dyDescent="0.25">
      <c r="A882" s="21">
        <v>881</v>
      </c>
      <c r="B882" s="7" t="s">
        <v>2511</v>
      </c>
      <c r="C882" s="7" t="s">
        <v>2512</v>
      </c>
      <c r="G882" s="8" t="s">
        <v>15</v>
      </c>
    </row>
    <row r="883" spans="1:7" hidden="1" x14ac:dyDescent="0.25">
      <c r="A883" s="21">
        <v>882</v>
      </c>
      <c r="B883" s="7" t="s">
        <v>2513</v>
      </c>
      <c r="C883" s="7" t="s">
        <v>2514</v>
      </c>
      <c r="G883" s="8" t="s">
        <v>15</v>
      </c>
    </row>
    <row r="884" spans="1:7" hidden="1" x14ac:dyDescent="0.25">
      <c r="A884" s="21">
        <v>883</v>
      </c>
      <c r="B884" s="7" t="s">
        <v>2515</v>
      </c>
      <c r="C884" s="7" t="s">
        <v>2516</v>
      </c>
      <c r="G884" s="8" t="s">
        <v>15</v>
      </c>
    </row>
    <row r="885" spans="1:7" hidden="1" x14ac:dyDescent="0.25">
      <c r="A885" s="21">
        <v>884</v>
      </c>
      <c r="B885" s="7" t="s">
        <v>2517</v>
      </c>
      <c r="C885" s="7" t="s">
        <v>2518</v>
      </c>
      <c r="G885" s="8" t="s">
        <v>15</v>
      </c>
    </row>
    <row r="886" spans="1:7" hidden="1" x14ac:dyDescent="0.25">
      <c r="A886" s="21">
        <v>885</v>
      </c>
      <c r="B886" s="7" t="s">
        <v>2519</v>
      </c>
      <c r="C886" s="7" t="s">
        <v>2520</v>
      </c>
      <c r="G886" s="8" t="s">
        <v>15</v>
      </c>
    </row>
    <row r="887" spans="1:7" hidden="1" x14ac:dyDescent="0.25">
      <c r="A887" s="21">
        <v>886</v>
      </c>
      <c r="B887" s="7" t="s">
        <v>2521</v>
      </c>
      <c r="C887" s="7" t="s">
        <v>2522</v>
      </c>
      <c r="G887" s="8" t="s">
        <v>15</v>
      </c>
    </row>
    <row r="888" spans="1:7" hidden="1" x14ac:dyDescent="0.25">
      <c r="A888" s="21">
        <v>887</v>
      </c>
      <c r="B888" s="7" t="s">
        <v>2523</v>
      </c>
      <c r="C888" s="7" t="s">
        <v>2524</v>
      </c>
      <c r="G888" s="8" t="s">
        <v>15</v>
      </c>
    </row>
    <row r="889" spans="1:7" hidden="1" x14ac:dyDescent="0.25">
      <c r="A889" s="21">
        <v>888</v>
      </c>
      <c r="B889" s="7" t="s">
        <v>2525</v>
      </c>
      <c r="C889" s="7" t="s">
        <v>2526</v>
      </c>
      <c r="G889" s="8" t="s">
        <v>15</v>
      </c>
    </row>
    <row r="890" spans="1:7" hidden="1" x14ac:dyDescent="0.25">
      <c r="A890" s="21">
        <v>889</v>
      </c>
      <c r="B890" s="7" t="s">
        <v>2527</v>
      </c>
      <c r="C890" s="7" t="s">
        <v>2528</v>
      </c>
      <c r="G890" s="8" t="s">
        <v>15</v>
      </c>
    </row>
    <row r="891" spans="1:7" hidden="1" x14ac:dyDescent="0.25">
      <c r="A891" s="21">
        <v>890</v>
      </c>
      <c r="B891" s="7" t="s">
        <v>2529</v>
      </c>
      <c r="C891" s="7" t="s">
        <v>2530</v>
      </c>
      <c r="G891" s="8" t="s">
        <v>15</v>
      </c>
    </row>
    <row r="892" spans="1:7" hidden="1" x14ac:dyDescent="0.25">
      <c r="A892" s="21">
        <v>891</v>
      </c>
      <c r="B892" s="7" t="s">
        <v>2531</v>
      </c>
      <c r="C892" s="7" t="s">
        <v>2532</v>
      </c>
      <c r="G892" s="8" t="s">
        <v>15</v>
      </c>
    </row>
    <row r="893" spans="1:7" hidden="1" x14ac:dyDescent="0.25">
      <c r="A893" s="21">
        <v>892</v>
      </c>
      <c r="B893" s="7" t="s">
        <v>2533</v>
      </c>
      <c r="C893" s="7" t="s">
        <v>2534</v>
      </c>
      <c r="G893" s="8" t="s">
        <v>15</v>
      </c>
    </row>
    <row r="894" spans="1:7" hidden="1" x14ac:dyDescent="0.25">
      <c r="A894" s="21">
        <v>893</v>
      </c>
      <c r="B894" s="7" t="s">
        <v>2535</v>
      </c>
      <c r="C894" s="7" t="s">
        <v>2536</v>
      </c>
      <c r="G894" s="8" t="s">
        <v>15</v>
      </c>
    </row>
    <row r="895" spans="1:7" hidden="1" x14ac:dyDescent="0.25">
      <c r="A895" s="21">
        <v>894</v>
      </c>
      <c r="B895" s="7" t="s">
        <v>2537</v>
      </c>
      <c r="C895" s="7" t="s">
        <v>2538</v>
      </c>
      <c r="G895" s="8" t="s">
        <v>15</v>
      </c>
    </row>
    <row r="896" spans="1:7" hidden="1" x14ac:dyDescent="0.25">
      <c r="A896" s="21">
        <v>895</v>
      </c>
      <c r="B896" s="7" t="s">
        <v>2539</v>
      </c>
      <c r="C896" s="7" t="s">
        <v>2540</v>
      </c>
      <c r="G896" s="8" t="s">
        <v>15</v>
      </c>
    </row>
    <row r="897" spans="1:7" hidden="1" x14ac:dyDescent="0.25">
      <c r="A897" s="21">
        <v>896</v>
      </c>
      <c r="B897" s="7" t="s">
        <v>2541</v>
      </c>
      <c r="C897" s="7" t="s">
        <v>2542</v>
      </c>
      <c r="G897" s="8" t="s">
        <v>15</v>
      </c>
    </row>
    <row r="898" spans="1:7" hidden="1" x14ac:dyDescent="0.25">
      <c r="A898" s="21">
        <v>897</v>
      </c>
      <c r="B898" s="7" t="s">
        <v>2543</v>
      </c>
      <c r="C898" s="7" t="s">
        <v>2544</v>
      </c>
      <c r="G898" s="8" t="s">
        <v>15</v>
      </c>
    </row>
    <row r="899" spans="1:7" hidden="1" x14ac:dyDescent="0.25">
      <c r="A899" s="21">
        <v>898</v>
      </c>
      <c r="B899" s="7" t="s">
        <v>2545</v>
      </c>
      <c r="C899" s="7" t="s">
        <v>2546</v>
      </c>
      <c r="G899" s="8" t="s">
        <v>15</v>
      </c>
    </row>
    <row r="900" spans="1:7" hidden="1" x14ac:dyDescent="0.25">
      <c r="A900" s="21">
        <v>899</v>
      </c>
      <c r="B900" s="7" t="s">
        <v>2547</v>
      </c>
      <c r="C900" s="7" t="s">
        <v>2548</v>
      </c>
      <c r="G900" s="8" t="s">
        <v>15</v>
      </c>
    </row>
    <row r="901" spans="1:7" hidden="1" x14ac:dyDescent="0.25">
      <c r="A901" s="21">
        <v>900</v>
      </c>
      <c r="B901" s="7" t="s">
        <v>2549</v>
      </c>
      <c r="C901" s="7" t="s">
        <v>2550</v>
      </c>
      <c r="G901" s="8" t="s">
        <v>15</v>
      </c>
    </row>
    <row r="902" spans="1:7" hidden="1" x14ac:dyDescent="0.25">
      <c r="A902" s="21">
        <v>901</v>
      </c>
      <c r="B902" s="7" t="s">
        <v>2551</v>
      </c>
      <c r="C902" s="7" t="s">
        <v>2552</v>
      </c>
      <c r="G902" s="8" t="s">
        <v>15</v>
      </c>
    </row>
    <row r="903" spans="1:7" hidden="1" x14ac:dyDescent="0.25">
      <c r="A903" s="21">
        <v>902</v>
      </c>
      <c r="B903" s="7" t="s">
        <v>2553</v>
      </c>
      <c r="C903" s="7" t="s">
        <v>2554</v>
      </c>
      <c r="G903" s="8" t="s">
        <v>15</v>
      </c>
    </row>
    <row r="904" spans="1:7" hidden="1" x14ac:dyDescent="0.25">
      <c r="A904" s="21">
        <v>903</v>
      </c>
      <c r="B904" s="7" t="s">
        <v>2555</v>
      </c>
      <c r="C904" s="7" t="s">
        <v>2556</v>
      </c>
      <c r="G904" s="8" t="s">
        <v>15</v>
      </c>
    </row>
    <row r="905" spans="1:7" hidden="1" x14ac:dyDescent="0.25">
      <c r="A905" s="21">
        <v>904</v>
      </c>
      <c r="B905" s="7" t="s">
        <v>2557</v>
      </c>
      <c r="C905" s="7" t="s">
        <v>2558</v>
      </c>
      <c r="G905" s="8" t="s">
        <v>15</v>
      </c>
    </row>
    <row r="906" spans="1:7" hidden="1" x14ac:dyDescent="0.25">
      <c r="A906" s="21">
        <v>905</v>
      </c>
      <c r="B906" s="7" t="s">
        <v>2559</v>
      </c>
      <c r="C906" s="7" t="s">
        <v>2560</v>
      </c>
      <c r="G906" s="8" t="s">
        <v>15</v>
      </c>
    </row>
    <row r="907" spans="1:7" hidden="1" x14ac:dyDescent="0.25">
      <c r="A907" s="21">
        <v>906</v>
      </c>
      <c r="B907" s="7" t="s">
        <v>2561</v>
      </c>
      <c r="C907" s="7" t="s">
        <v>2562</v>
      </c>
      <c r="G907" s="8" t="s">
        <v>15</v>
      </c>
    </row>
    <row r="908" spans="1:7" hidden="1" x14ac:dyDescent="0.25">
      <c r="A908" s="21">
        <v>907</v>
      </c>
      <c r="B908" s="7" t="s">
        <v>2563</v>
      </c>
      <c r="C908" s="7" t="s">
        <v>2564</v>
      </c>
      <c r="G908" s="8" t="s">
        <v>15</v>
      </c>
    </row>
    <row r="909" spans="1:7" hidden="1" x14ac:dyDescent="0.25">
      <c r="A909" s="21">
        <v>908</v>
      </c>
      <c r="B909" s="7" t="s">
        <v>2565</v>
      </c>
      <c r="C909" s="7" t="s">
        <v>2566</v>
      </c>
      <c r="G909" s="8" t="s">
        <v>15</v>
      </c>
    </row>
    <row r="910" spans="1:7" hidden="1" x14ac:dyDescent="0.25">
      <c r="A910" s="21">
        <v>909</v>
      </c>
      <c r="B910" s="7" t="s">
        <v>2567</v>
      </c>
      <c r="C910" s="7" t="s">
        <v>2568</v>
      </c>
      <c r="G910" s="8" t="s">
        <v>15</v>
      </c>
    </row>
    <row r="911" spans="1:7" hidden="1" x14ac:dyDescent="0.25">
      <c r="A911" s="21">
        <v>910</v>
      </c>
      <c r="B911" s="7" t="s">
        <v>2569</v>
      </c>
      <c r="C911" s="7" t="s">
        <v>2570</v>
      </c>
      <c r="G911" s="8" t="s">
        <v>15</v>
      </c>
    </row>
    <row r="912" spans="1:7" hidden="1" x14ac:dyDescent="0.25">
      <c r="A912" s="21">
        <v>911</v>
      </c>
      <c r="B912" s="7" t="s">
        <v>2571</v>
      </c>
      <c r="C912" s="7" t="s">
        <v>2572</v>
      </c>
      <c r="G912" s="8" t="s">
        <v>15</v>
      </c>
    </row>
    <row r="913" spans="1:7" hidden="1" x14ac:dyDescent="0.25">
      <c r="A913" s="21">
        <v>912</v>
      </c>
      <c r="B913" s="7" t="s">
        <v>2573</v>
      </c>
      <c r="C913" s="7" t="s">
        <v>2574</v>
      </c>
      <c r="G913" s="8" t="s">
        <v>15</v>
      </c>
    </row>
    <row r="914" spans="1:7" hidden="1" x14ac:dyDescent="0.25">
      <c r="A914" s="21">
        <v>913</v>
      </c>
      <c r="B914" s="7" t="s">
        <v>2575</v>
      </c>
      <c r="C914" s="7" t="s">
        <v>2576</v>
      </c>
      <c r="G914" s="8" t="s">
        <v>15</v>
      </c>
    </row>
    <row r="915" spans="1:7" hidden="1" x14ac:dyDescent="0.25">
      <c r="A915" s="21">
        <v>914</v>
      </c>
      <c r="B915" s="7" t="s">
        <v>2577</v>
      </c>
      <c r="C915" s="7" t="s">
        <v>2578</v>
      </c>
      <c r="G915" s="8" t="s">
        <v>15</v>
      </c>
    </row>
    <row r="916" spans="1:7" hidden="1" x14ac:dyDescent="0.25">
      <c r="A916" s="21">
        <v>915</v>
      </c>
      <c r="B916" s="7" t="s">
        <v>2579</v>
      </c>
      <c r="C916" s="7" t="s">
        <v>2580</v>
      </c>
      <c r="G916" s="8" t="s">
        <v>15</v>
      </c>
    </row>
    <row r="917" spans="1:7" hidden="1" x14ac:dyDescent="0.25">
      <c r="A917" s="21">
        <v>916</v>
      </c>
      <c r="B917" s="7" t="s">
        <v>2581</v>
      </c>
      <c r="C917" s="7" t="s">
        <v>2582</v>
      </c>
      <c r="G917" s="8" t="s">
        <v>15</v>
      </c>
    </row>
    <row r="918" spans="1:7" hidden="1" x14ac:dyDescent="0.25">
      <c r="A918" s="21">
        <v>917</v>
      </c>
      <c r="B918" s="7" t="s">
        <v>2583</v>
      </c>
      <c r="C918" s="7" t="s">
        <v>2584</v>
      </c>
      <c r="G918" s="8" t="s">
        <v>15</v>
      </c>
    </row>
    <row r="919" spans="1:7" hidden="1" x14ac:dyDescent="0.25">
      <c r="A919" s="21">
        <v>918</v>
      </c>
      <c r="B919" s="7" t="s">
        <v>2585</v>
      </c>
      <c r="C919" s="7" t="s">
        <v>2586</v>
      </c>
      <c r="G919" s="8" t="s">
        <v>15</v>
      </c>
    </row>
    <row r="920" spans="1:7" hidden="1" x14ac:dyDescent="0.25">
      <c r="A920" s="21">
        <v>919</v>
      </c>
      <c r="B920" s="7" t="s">
        <v>2587</v>
      </c>
      <c r="C920" s="7" t="s">
        <v>2588</v>
      </c>
      <c r="G920" s="8" t="s">
        <v>15</v>
      </c>
    </row>
    <row r="921" spans="1:7" hidden="1" x14ac:dyDescent="0.25">
      <c r="A921" s="21">
        <v>920</v>
      </c>
      <c r="B921" s="7" t="s">
        <v>2589</v>
      </c>
      <c r="C921" s="7" t="s">
        <v>2590</v>
      </c>
      <c r="G921" s="8" t="s">
        <v>15</v>
      </c>
    </row>
    <row r="922" spans="1:7" hidden="1" x14ac:dyDescent="0.25">
      <c r="A922" s="21">
        <v>921</v>
      </c>
      <c r="B922" s="7" t="s">
        <v>2591</v>
      </c>
      <c r="C922" s="7" t="s">
        <v>2592</v>
      </c>
      <c r="G922" s="8" t="s">
        <v>15</v>
      </c>
    </row>
    <row r="923" spans="1:7" hidden="1" x14ac:dyDescent="0.25">
      <c r="A923" s="21">
        <v>922</v>
      </c>
      <c r="B923" s="7" t="s">
        <v>2593</v>
      </c>
      <c r="C923" s="7" t="s">
        <v>2594</v>
      </c>
      <c r="G923" s="8" t="s">
        <v>15</v>
      </c>
    </row>
    <row r="924" spans="1:7" hidden="1" x14ac:dyDescent="0.25">
      <c r="A924" s="21">
        <v>923</v>
      </c>
      <c r="B924" s="7" t="s">
        <v>2595</v>
      </c>
      <c r="C924" s="7" t="s">
        <v>2596</v>
      </c>
      <c r="G924" s="8" t="s">
        <v>15</v>
      </c>
    </row>
    <row r="925" spans="1:7" hidden="1" x14ac:dyDescent="0.25">
      <c r="A925" s="21">
        <v>924</v>
      </c>
      <c r="B925" s="7" t="s">
        <v>2597</v>
      </c>
      <c r="C925" s="7" t="s">
        <v>2598</v>
      </c>
      <c r="G925" s="8" t="s">
        <v>15</v>
      </c>
    </row>
    <row r="926" spans="1:7" hidden="1" x14ac:dyDescent="0.25">
      <c r="A926" s="21">
        <v>925</v>
      </c>
      <c r="B926" s="7" t="s">
        <v>2599</v>
      </c>
      <c r="C926" s="7" t="s">
        <v>2600</v>
      </c>
      <c r="G926" s="8" t="s">
        <v>15</v>
      </c>
    </row>
    <row r="927" spans="1:7" hidden="1" x14ac:dyDescent="0.25">
      <c r="A927" s="21">
        <v>926</v>
      </c>
      <c r="B927" s="7" t="s">
        <v>2601</v>
      </c>
      <c r="C927" s="7" t="s">
        <v>2602</v>
      </c>
      <c r="G927" s="8" t="s">
        <v>15</v>
      </c>
    </row>
    <row r="928" spans="1:7" hidden="1" x14ac:dyDescent="0.25">
      <c r="A928" s="21">
        <v>927</v>
      </c>
      <c r="B928" s="7" t="s">
        <v>2603</v>
      </c>
      <c r="C928" s="7" t="s">
        <v>2604</v>
      </c>
      <c r="G928" s="8" t="s">
        <v>15</v>
      </c>
    </row>
    <row r="929" spans="1:7" hidden="1" x14ac:dyDescent="0.25">
      <c r="A929" s="21">
        <v>928</v>
      </c>
      <c r="B929" s="7" t="s">
        <v>2605</v>
      </c>
      <c r="C929" s="7" t="s">
        <v>2606</v>
      </c>
      <c r="G929" s="8" t="s">
        <v>15</v>
      </c>
    </row>
    <row r="930" spans="1:7" hidden="1" x14ac:dyDescent="0.25">
      <c r="A930" s="21">
        <v>929</v>
      </c>
      <c r="B930" s="7" t="s">
        <v>2607</v>
      </c>
      <c r="C930" s="7" t="s">
        <v>2608</v>
      </c>
      <c r="G930" s="8" t="s">
        <v>15</v>
      </c>
    </row>
    <row r="931" spans="1:7" hidden="1" x14ac:dyDescent="0.25">
      <c r="A931" s="21">
        <v>930</v>
      </c>
      <c r="B931" s="7" t="s">
        <v>2609</v>
      </c>
      <c r="C931" s="7" t="s">
        <v>2610</v>
      </c>
      <c r="G931" s="8" t="s">
        <v>15</v>
      </c>
    </row>
    <row r="932" spans="1:7" hidden="1" x14ac:dyDescent="0.25">
      <c r="A932" s="21">
        <v>931</v>
      </c>
      <c r="B932" s="7" t="s">
        <v>2611</v>
      </c>
      <c r="C932" s="7" t="s">
        <v>2612</v>
      </c>
      <c r="G932" s="8" t="s">
        <v>15</v>
      </c>
    </row>
    <row r="933" spans="1:7" hidden="1" x14ac:dyDescent="0.25">
      <c r="A933" s="21">
        <v>932</v>
      </c>
      <c r="B933" s="7" t="s">
        <v>2613</v>
      </c>
      <c r="C933" s="7" t="s">
        <v>2614</v>
      </c>
      <c r="G933" s="8" t="s">
        <v>15</v>
      </c>
    </row>
    <row r="934" spans="1:7" hidden="1" x14ac:dyDescent="0.25">
      <c r="A934" s="21">
        <v>933</v>
      </c>
      <c r="B934" s="7" t="s">
        <v>2615</v>
      </c>
      <c r="C934" s="7" t="s">
        <v>2616</v>
      </c>
      <c r="G934" s="8" t="s">
        <v>15</v>
      </c>
    </row>
    <row r="935" spans="1:7" hidden="1" x14ac:dyDescent="0.25">
      <c r="A935" s="21">
        <v>934</v>
      </c>
      <c r="B935" s="7" t="s">
        <v>2617</v>
      </c>
      <c r="C935" s="7" t="s">
        <v>2618</v>
      </c>
      <c r="G935" s="8" t="s">
        <v>15</v>
      </c>
    </row>
    <row r="936" spans="1:7" hidden="1" x14ac:dyDescent="0.25">
      <c r="A936" s="21">
        <v>935</v>
      </c>
      <c r="B936" s="7" t="s">
        <v>2619</v>
      </c>
      <c r="C936" s="7" t="s">
        <v>2620</v>
      </c>
      <c r="G936" s="8" t="s">
        <v>15</v>
      </c>
    </row>
    <row r="937" spans="1:7" hidden="1" x14ac:dyDescent="0.25">
      <c r="A937" s="21">
        <v>936</v>
      </c>
      <c r="B937" s="7" t="s">
        <v>2621</v>
      </c>
      <c r="C937" s="7" t="s">
        <v>2622</v>
      </c>
      <c r="G937" s="8" t="s">
        <v>15</v>
      </c>
    </row>
    <row r="938" spans="1:7" hidden="1" x14ac:dyDescent="0.25">
      <c r="A938" s="21">
        <v>937</v>
      </c>
      <c r="B938" s="7" t="s">
        <v>2623</v>
      </c>
      <c r="C938" s="7" t="s">
        <v>2624</v>
      </c>
      <c r="G938" s="8" t="s">
        <v>15</v>
      </c>
    </row>
    <row r="939" spans="1:7" hidden="1" x14ac:dyDescent="0.25">
      <c r="A939" s="21">
        <v>938</v>
      </c>
      <c r="B939" s="7" t="s">
        <v>2625</v>
      </c>
      <c r="C939" s="7" t="s">
        <v>2626</v>
      </c>
      <c r="G939" s="8" t="s">
        <v>15</v>
      </c>
    </row>
    <row r="940" spans="1:7" hidden="1" x14ac:dyDescent="0.25">
      <c r="A940" s="21">
        <v>939</v>
      </c>
      <c r="B940" s="7" t="s">
        <v>2627</v>
      </c>
      <c r="C940" s="7" t="s">
        <v>2628</v>
      </c>
      <c r="G940" s="8" t="s">
        <v>15</v>
      </c>
    </row>
    <row r="941" spans="1:7" hidden="1" x14ac:dyDescent="0.25">
      <c r="A941" s="21">
        <v>940</v>
      </c>
      <c r="B941" s="7" t="s">
        <v>2629</v>
      </c>
      <c r="C941" s="7" t="s">
        <v>2630</v>
      </c>
      <c r="G941" s="8" t="s">
        <v>15</v>
      </c>
    </row>
    <row r="942" spans="1:7" hidden="1" x14ac:dyDescent="0.25">
      <c r="A942" s="21">
        <v>941</v>
      </c>
      <c r="B942" s="7" t="s">
        <v>2631</v>
      </c>
      <c r="C942" s="7" t="s">
        <v>2632</v>
      </c>
      <c r="G942" s="8" t="s">
        <v>15</v>
      </c>
    </row>
    <row r="943" spans="1:7" hidden="1" x14ac:dyDescent="0.25">
      <c r="A943" s="21">
        <v>942</v>
      </c>
      <c r="B943" s="7" t="s">
        <v>2633</v>
      </c>
      <c r="C943" s="7" t="s">
        <v>2634</v>
      </c>
      <c r="G943" s="8" t="s">
        <v>15</v>
      </c>
    </row>
    <row r="944" spans="1:7" hidden="1" x14ac:dyDescent="0.25">
      <c r="A944" s="21">
        <v>943</v>
      </c>
      <c r="B944" s="7" t="s">
        <v>2635</v>
      </c>
      <c r="C944" s="7" t="s">
        <v>2636</v>
      </c>
      <c r="G944" s="8" t="s">
        <v>15</v>
      </c>
    </row>
    <row r="945" spans="1:7" hidden="1" x14ac:dyDescent="0.25">
      <c r="A945" s="21">
        <v>944</v>
      </c>
      <c r="B945" s="7" t="s">
        <v>2637</v>
      </c>
      <c r="C945" s="7" t="s">
        <v>2638</v>
      </c>
      <c r="G945" s="8" t="s">
        <v>15</v>
      </c>
    </row>
    <row r="946" spans="1:7" hidden="1" x14ac:dyDescent="0.25">
      <c r="A946" s="21">
        <v>945</v>
      </c>
      <c r="B946" s="7" t="s">
        <v>2639</v>
      </c>
      <c r="C946" s="7" t="s">
        <v>2640</v>
      </c>
      <c r="G946" s="8" t="s">
        <v>15</v>
      </c>
    </row>
    <row r="947" spans="1:7" hidden="1" x14ac:dyDescent="0.25">
      <c r="A947" s="21">
        <v>946</v>
      </c>
      <c r="B947" s="7" t="s">
        <v>2641</v>
      </c>
      <c r="C947" s="7" t="s">
        <v>2642</v>
      </c>
      <c r="G947" s="8" t="s">
        <v>15</v>
      </c>
    </row>
    <row r="948" spans="1:7" hidden="1" x14ac:dyDescent="0.25">
      <c r="A948" s="21">
        <v>947</v>
      </c>
      <c r="B948" s="7" t="s">
        <v>2643</v>
      </c>
      <c r="C948" s="7" t="s">
        <v>2644</v>
      </c>
      <c r="G948" s="8" t="s">
        <v>15</v>
      </c>
    </row>
    <row r="949" spans="1:7" hidden="1" x14ac:dyDescent="0.25">
      <c r="A949" s="21">
        <v>948</v>
      </c>
      <c r="B949" s="7" t="s">
        <v>2645</v>
      </c>
      <c r="C949" s="7" t="s">
        <v>2646</v>
      </c>
      <c r="G949" s="8" t="s">
        <v>15</v>
      </c>
    </row>
    <row r="950" spans="1:7" hidden="1" x14ac:dyDescent="0.25">
      <c r="A950" s="21">
        <v>949</v>
      </c>
      <c r="B950" s="7" t="s">
        <v>2647</v>
      </c>
      <c r="C950" s="7" t="s">
        <v>2648</v>
      </c>
      <c r="G950" s="8" t="s">
        <v>15</v>
      </c>
    </row>
    <row r="951" spans="1:7" hidden="1" x14ac:dyDescent="0.25">
      <c r="A951" s="21">
        <v>950</v>
      </c>
      <c r="B951" s="7" t="s">
        <v>2649</v>
      </c>
      <c r="C951" s="7" t="s">
        <v>2650</v>
      </c>
      <c r="G951" s="8" t="s">
        <v>15</v>
      </c>
    </row>
    <row r="952" spans="1:7" hidden="1" x14ac:dyDescent="0.25">
      <c r="A952" s="21">
        <v>951</v>
      </c>
      <c r="B952" s="7" t="s">
        <v>2651</v>
      </c>
      <c r="C952" s="7" t="s">
        <v>2652</v>
      </c>
      <c r="G952" s="8" t="s">
        <v>15</v>
      </c>
    </row>
    <row r="953" spans="1:7" hidden="1" x14ac:dyDescent="0.25">
      <c r="A953" s="21">
        <v>952</v>
      </c>
      <c r="B953" s="7" t="s">
        <v>2653</v>
      </c>
      <c r="C953" s="7" t="s">
        <v>2654</v>
      </c>
      <c r="G953" s="8" t="s">
        <v>15</v>
      </c>
    </row>
    <row r="954" spans="1:7" hidden="1" x14ac:dyDescent="0.25">
      <c r="A954" s="21">
        <v>953</v>
      </c>
      <c r="B954" s="7" t="s">
        <v>2655</v>
      </c>
      <c r="C954" s="7" t="s">
        <v>2656</v>
      </c>
      <c r="G954" s="8" t="s">
        <v>15</v>
      </c>
    </row>
    <row r="955" spans="1:7" hidden="1" x14ac:dyDescent="0.25">
      <c r="A955" s="21">
        <v>954</v>
      </c>
      <c r="B955" s="7" t="s">
        <v>2657</v>
      </c>
      <c r="C955" s="7" t="s">
        <v>2658</v>
      </c>
      <c r="G955" s="8" t="s">
        <v>15</v>
      </c>
    </row>
    <row r="956" spans="1:7" hidden="1" x14ac:dyDescent="0.25">
      <c r="A956" s="21">
        <v>955</v>
      </c>
      <c r="B956" s="7" t="s">
        <v>2659</v>
      </c>
      <c r="C956" s="7" t="s">
        <v>2660</v>
      </c>
      <c r="G956" s="8" t="s">
        <v>15</v>
      </c>
    </row>
    <row r="957" spans="1:7" hidden="1" x14ac:dyDescent="0.25">
      <c r="A957" s="21">
        <v>956</v>
      </c>
      <c r="B957" s="7" t="s">
        <v>2661</v>
      </c>
      <c r="C957" s="7" t="s">
        <v>2662</v>
      </c>
      <c r="G957" s="8" t="s">
        <v>15</v>
      </c>
    </row>
    <row r="958" spans="1:7" hidden="1" x14ac:dyDescent="0.25">
      <c r="A958" s="21">
        <v>957</v>
      </c>
      <c r="B958" s="7" t="s">
        <v>2663</v>
      </c>
      <c r="C958" s="7" t="s">
        <v>2664</v>
      </c>
      <c r="G958" s="8" t="s">
        <v>15</v>
      </c>
    </row>
    <row r="959" spans="1:7" hidden="1" x14ac:dyDescent="0.25">
      <c r="A959" s="21">
        <v>958</v>
      </c>
      <c r="B959" s="7" t="s">
        <v>2665</v>
      </c>
      <c r="C959" s="7" t="s">
        <v>2666</v>
      </c>
      <c r="G959" s="8" t="s">
        <v>15</v>
      </c>
    </row>
    <row r="960" spans="1:7" hidden="1" x14ac:dyDescent="0.25">
      <c r="A960" s="21">
        <v>959</v>
      </c>
      <c r="B960" s="7" t="s">
        <v>2667</v>
      </c>
      <c r="C960" s="7" t="s">
        <v>2668</v>
      </c>
      <c r="G960" s="8" t="s">
        <v>15</v>
      </c>
    </row>
    <row r="961" spans="1:7" hidden="1" x14ac:dyDescent="0.25">
      <c r="A961" s="21">
        <v>960</v>
      </c>
      <c r="B961" s="7" t="s">
        <v>2669</v>
      </c>
      <c r="C961" s="7" t="s">
        <v>2670</v>
      </c>
      <c r="G961" s="8" t="s">
        <v>15</v>
      </c>
    </row>
    <row r="962" spans="1:7" hidden="1" x14ac:dyDescent="0.25">
      <c r="A962" s="21">
        <v>961</v>
      </c>
      <c r="B962" s="7" t="s">
        <v>2671</v>
      </c>
      <c r="C962" s="7" t="s">
        <v>2672</v>
      </c>
      <c r="G962" s="8" t="s">
        <v>15</v>
      </c>
    </row>
    <row r="963" spans="1:7" hidden="1" x14ac:dyDescent="0.25">
      <c r="A963" s="21">
        <v>962</v>
      </c>
      <c r="B963" s="7" t="s">
        <v>2673</v>
      </c>
      <c r="C963" s="7" t="s">
        <v>2674</v>
      </c>
      <c r="G963" s="8" t="s">
        <v>15</v>
      </c>
    </row>
    <row r="964" spans="1:7" hidden="1" x14ac:dyDescent="0.25">
      <c r="A964" s="21">
        <v>963</v>
      </c>
      <c r="B964" s="7" t="s">
        <v>2675</v>
      </c>
      <c r="C964" s="7" t="s">
        <v>2676</v>
      </c>
      <c r="G964" s="8" t="s">
        <v>15</v>
      </c>
    </row>
    <row r="965" spans="1:7" hidden="1" x14ac:dyDescent="0.25">
      <c r="A965" s="21">
        <v>964</v>
      </c>
      <c r="B965" s="7" t="s">
        <v>2677</v>
      </c>
      <c r="C965" s="7" t="s">
        <v>2678</v>
      </c>
      <c r="G965" s="8" t="s">
        <v>15</v>
      </c>
    </row>
    <row r="966" spans="1:7" hidden="1" x14ac:dyDescent="0.25">
      <c r="A966" s="21">
        <v>965</v>
      </c>
      <c r="B966" s="7" t="s">
        <v>2679</v>
      </c>
      <c r="C966" s="7" t="s">
        <v>2680</v>
      </c>
      <c r="G966" s="8" t="s">
        <v>15</v>
      </c>
    </row>
    <row r="967" spans="1:7" hidden="1" x14ac:dyDescent="0.25">
      <c r="A967" s="21">
        <v>966</v>
      </c>
      <c r="B967" s="7" t="s">
        <v>2681</v>
      </c>
      <c r="C967" s="7" t="s">
        <v>2682</v>
      </c>
      <c r="G967" s="8" t="s">
        <v>15</v>
      </c>
    </row>
    <row r="968" spans="1:7" hidden="1" x14ac:dyDescent="0.25">
      <c r="A968" s="21">
        <v>967</v>
      </c>
      <c r="B968" s="7" t="s">
        <v>2683</v>
      </c>
      <c r="C968" s="7" t="s">
        <v>2684</v>
      </c>
      <c r="G968" s="8" t="s">
        <v>15</v>
      </c>
    </row>
    <row r="969" spans="1:7" hidden="1" x14ac:dyDescent="0.25">
      <c r="A969" s="21">
        <v>968</v>
      </c>
      <c r="B969" s="7" t="s">
        <v>2685</v>
      </c>
      <c r="C969" s="7" t="s">
        <v>2686</v>
      </c>
      <c r="G969" s="8" t="s">
        <v>15</v>
      </c>
    </row>
    <row r="970" spans="1:7" hidden="1" x14ac:dyDescent="0.25">
      <c r="A970" s="21">
        <v>969</v>
      </c>
      <c r="B970" s="7" t="s">
        <v>2687</v>
      </c>
      <c r="C970" s="7" t="s">
        <v>2688</v>
      </c>
      <c r="G970" s="8" t="s">
        <v>15</v>
      </c>
    </row>
    <row r="971" spans="1:7" hidden="1" x14ac:dyDescent="0.25">
      <c r="A971" s="21">
        <v>970</v>
      </c>
      <c r="B971" s="7" t="s">
        <v>2689</v>
      </c>
      <c r="C971" s="7" t="s">
        <v>2690</v>
      </c>
      <c r="G971" s="8" t="s">
        <v>15</v>
      </c>
    </row>
    <row r="972" spans="1:7" hidden="1" x14ac:dyDescent="0.25">
      <c r="A972" s="21">
        <v>971</v>
      </c>
      <c r="B972" s="7" t="s">
        <v>2691</v>
      </c>
      <c r="C972" s="7" t="s">
        <v>2692</v>
      </c>
      <c r="G972" s="8" t="s">
        <v>15</v>
      </c>
    </row>
    <row r="973" spans="1:7" hidden="1" x14ac:dyDescent="0.25">
      <c r="A973" s="21">
        <v>972</v>
      </c>
      <c r="B973" s="7" t="s">
        <v>2693</v>
      </c>
      <c r="C973" s="7" t="s">
        <v>2694</v>
      </c>
      <c r="G973" s="8" t="s">
        <v>15</v>
      </c>
    </row>
    <row r="974" spans="1:7" hidden="1" x14ac:dyDescent="0.25">
      <c r="A974" s="21">
        <v>973</v>
      </c>
      <c r="B974" s="7" t="s">
        <v>2695</v>
      </c>
      <c r="C974" s="7" t="s">
        <v>2696</v>
      </c>
      <c r="G974" s="8" t="s">
        <v>15</v>
      </c>
    </row>
    <row r="975" spans="1:7" hidden="1" x14ac:dyDescent="0.25">
      <c r="A975" s="21">
        <v>974</v>
      </c>
      <c r="B975" s="7" t="s">
        <v>2697</v>
      </c>
      <c r="C975" s="7" t="s">
        <v>2698</v>
      </c>
      <c r="G975" s="8" t="s">
        <v>15</v>
      </c>
    </row>
    <row r="976" spans="1:7" hidden="1" x14ac:dyDescent="0.25">
      <c r="A976" s="21">
        <v>975</v>
      </c>
      <c r="B976" s="7" t="s">
        <v>2699</v>
      </c>
      <c r="C976" s="7" t="s">
        <v>2700</v>
      </c>
      <c r="G976" s="8" t="s">
        <v>15</v>
      </c>
    </row>
    <row r="977" spans="1:7" hidden="1" x14ac:dyDescent="0.25">
      <c r="A977" s="21">
        <v>976</v>
      </c>
      <c r="B977" s="7" t="s">
        <v>2701</v>
      </c>
      <c r="C977" s="7" t="s">
        <v>2702</v>
      </c>
      <c r="G977" s="8" t="s">
        <v>15</v>
      </c>
    </row>
    <row r="978" spans="1:7" hidden="1" x14ac:dyDescent="0.25">
      <c r="A978" s="21">
        <v>977</v>
      </c>
      <c r="B978" s="7" t="s">
        <v>2703</v>
      </c>
      <c r="C978" s="7" t="s">
        <v>2704</v>
      </c>
      <c r="G978" s="8" t="s">
        <v>15</v>
      </c>
    </row>
    <row r="979" spans="1:7" hidden="1" x14ac:dyDescent="0.25">
      <c r="A979" s="21">
        <v>978</v>
      </c>
      <c r="B979" s="7" t="s">
        <v>2705</v>
      </c>
      <c r="C979" s="7" t="s">
        <v>2706</v>
      </c>
      <c r="G979" s="8" t="s">
        <v>15</v>
      </c>
    </row>
    <row r="980" spans="1:7" hidden="1" x14ac:dyDescent="0.25">
      <c r="A980" s="21">
        <v>979</v>
      </c>
      <c r="B980" s="7" t="s">
        <v>2707</v>
      </c>
      <c r="C980" s="7" t="s">
        <v>2708</v>
      </c>
      <c r="G980" s="8" t="s">
        <v>15</v>
      </c>
    </row>
    <row r="981" spans="1:7" hidden="1" x14ac:dyDescent="0.25">
      <c r="A981" s="21">
        <v>980</v>
      </c>
      <c r="B981" s="7" t="s">
        <v>2709</v>
      </c>
      <c r="C981" s="7" t="s">
        <v>2710</v>
      </c>
      <c r="G981" s="8" t="s">
        <v>15</v>
      </c>
    </row>
    <row r="982" spans="1:7" hidden="1" x14ac:dyDescent="0.25">
      <c r="A982" s="21">
        <v>981</v>
      </c>
      <c r="B982" s="7" t="s">
        <v>2711</v>
      </c>
      <c r="C982" s="7" t="s">
        <v>2712</v>
      </c>
      <c r="G982" s="8" t="s">
        <v>15</v>
      </c>
    </row>
    <row r="983" spans="1:7" hidden="1" x14ac:dyDescent="0.25">
      <c r="A983" s="21">
        <v>982</v>
      </c>
      <c r="B983" s="7" t="s">
        <v>2713</v>
      </c>
      <c r="C983" s="7" t="s">
        <v>2714</v>
      </c>
      <c r="G983" s="8" t="s">
        <v>15</v>
      </c>
    </row>
    <row r="984" spans="1:7" hidden="1" x14ac:dyDescent="0.25">
      <c r="A984" s="21">
        <v>983</v>
      </c>
      <c r="B984" s="7" t="s">
        <v>2715</v>
      </c>
      <c r="C984" s="7" t="s">
        <v>2716</v>
      </c>
      <c r="G984" s="8" t="s">
        <v>15</v>
      </c>
    </row>
    <row r="985" spans="1:7" hidden="1" x14ac:dyDescent="0.25">
      <c r="A985" s="21">
        <v>984</v>
      </c>
      <c r="B985" s="7" t="s">
        <v>2717</v>
      </c>
      <c r="C985" s="7" t="s">
        <v>2718</v>
      </c>
      <c r="G985" s="8" t="s">
        <v>15</v>
      </c>
    </row>
    <row r="986" spans="1:7" hidden="1" x14ac:dyDescent="0.25">
      <c r="A986" s="21">
        <v>985</v>
      </c>
      <c r="B986" s="7" t="s">
        <v>2719</v>
      </c>
      <c r="C986" s="7" t="s">
        <v>2720</v>
      </c>
      <c r="G986" s="8" t="s">
        <v>15</v>
      </c>
    </row>
    <row r="987" spans="1:7" hidden="1" x14ac:dyDescent="0.25">
      <c r="A987" s="21">
        <v>986</v>
      </c>
      <c r="B987" s="7" t="s">
        <v>2721</v>
      </c>
      <c r="C987" s="7" t="s">
        <v>2722</v>
      </c>
      <c r="G987" s="8" t="s">
        <v>15</v>
      </c>
    </row>
    <row r="988" spans="1:7" hidden="1" x14ac:dyDescent="0.25">
      <c r="A988" s="21">
        <v>987</v>
      </c>
      <c r="B988" s="7" t="s">
        <v>2723</v>
      </c>
      <c r="C988" s="7" t="s">
        <v>2724</v>
      </c>
      <c r="G988" s="8" t="s">
        <v>15</v>
      </c>
    </row>
    <row r="989" spans="1:7" hidden="1" x14ac:dyDescent="0.25">
      <c r="A989" s="21">
        <v>988</v>
      </c>
      <c r="B989" s="7" t="s">
        <v>2725</v>
      </c>
      <c r="C989" s="7" t="s">
        <v>2726</v>
      </c>
      <c r="G989" s="8" t="s">
        <v>15</v>
      </c>
    </row>
    <row r="990" spans="1:7" hidden="1" x14ac:dyDescent="0.25">
      <c r="A990" s="21">
        <v>989</v>
      </c>
      <c r="B990" s="7" t="s">
        <v>2727</v>
      </c>
      <c r="C990" s="7" t="s">
        <v>2728</v>
      </c>
      <c r="G990" s="8" t="s">
        <v>15</v>
      </c>
    </row>
    <row r="991" spans="1:7" hidden="1" x14ac:dyDescent="0.25">
      <c r="A991" s="21">
        <v>990</v>
      </c>
      <c r="B991" s="7" t="s">
        <v>2729</v>
      </c>
      <c r="C991" s="7" t="s">
        <v>2730</v>
      </c>
      <c r="G991" s="8" t="s">
        <v>15</v>
      </c>
    </row>
    <row r="992" spans="1:7" hidden="1" x14ac:dyDescent="0.25">
      <c r="A992" s="21">
        <v>991</v>
      </c>
      <c r="B992" s="7" t="s">
        <v>2731</v>
      </c>
      <c r="C992" s="7" t="s">
        <v>2732</v>
      </c>
      <c r="G992" s="8" t="s">
        <v>15</v>
      </c>
    </row>
    <row r="993" spans="1:7" hidden="1" x14ac:dyDescent="0.25">
      <c r="A993" s="21">
        <v>992</v>
      </c>
      <c r="B993" s="7" t="s">
        <v>2733</v>
      </c>
      <c r="C993" s="7" t="s">
        <v>2734</v>
      </c>
      <c r="G993" s="8" t="s">
        <v>15</v>
      </c>
    </row>
    <row r="994" spans="1:7" hidden="1" x14ac:dyDescent="0.25">
      <c r="A994" s="21">
        <v>993</v>
      </c>
      <c r="B994" s="7" t="s">
        <v>2735</v>
      </c>
      <c r="C994" s="7" t="s">
        <v>2736</v>
      </c>
      <c r="G994" s="8" t="s">
        <v>15</v>
      </c>
    </row>
    <row r="995" spans="1:7" hidden="1" x14ac:dyDescent="0.25">
      <c r="A995" s="21">
        <v>994</v>
      </c>
      <c r="B995" s="7" t="s">
        <v>2737</v>
      </c>
      <c r="C995" s="7" t="s">
        <v>2738</v>
      </c>
      <c r="G995" s="8" t="s">
        <v>15</v>
      </c>
    </row>
    <row r="996" spans="1:7" hidden="1" x14ac:dyDescent="0.25">
      <c r="A996" s="21">
        <v>995</v>
      </c>
      <c r="B996" s="7" t="s">
        <v>2739</v>
      </c>
      <c r="C996" s="7" t="s">
        <v>2740</v>
      </c>
      <c r="G996" s="8" t="s">
        <v>15</v>
      </c>
    </row>
    <row r="997" spans="1:7" hidden="1" x14ac:dyDescent="0.25">
      <c r="A997" s="21">
        <v>996</v>
      </c>
      <c r="B997" s="7" t="s">
        <v>2741</v>
      </c>
      <c r="C997" s="7" t="s">
        <v>2742</v>
      </c>
      <c r="G997" s="8" t="s">
        <v>15</v>
      </c>
    </row>
    <row r="998" spans="1:7" hidden="1" x14ac:dyDescent="0.25">
      <c r="A998" s="21">
        <v>997</v>
      </c>
      <c r="B998" s="7" t="s">
        <v>2743</v>
      </c>
      <c r="C998" s="7" t="s">
        <v>2744</v>
      </c>
      <c r="G998" s="8" t="s">
        <v>15</v>
      </c>
    </row>
    <row r="999" spans="1:7" hidden="1" x14ac:dyDescent="0.25">
      <c r="A999" s="21">
        <v>998</v>
      </c>
      <c r="B999" s="7" t="s">
        <v>2745</v>
      </c>
      <c r="C999" s="7" t="s">
        <v>2746</v>
      </c>
      <c r="G999" s="8" t="s">
        <v>15</v>
      </c>
    </row>
    <row r="1000" spans="1:7" hidden="1" x14ac:dyDescent="0.25">
      <c r="A1000" s="21">
        <v>999</v>
      </c>
      <c r="B1000" s="7" t="s">
        <v>2747</v>
      </c>
      <c r="C1000" s="7" t="s">
        <v>2748</v>
      </c>
      <c r="G1000" s="8" t="s">
        <v>15</v>
      </c>
    </row>
    <row r="1001" spans="1:7" hidden="1" x14ac:dyDescent="0.25">
      <c r="A1001" s="21">
        <v>1000</v>
      </c>
      <c r="B1001" s="7" t="s">
        <v>2749</v>
      </c>
      <c r="C1001" s="7" t="s">
        <v>2750</v>
      </c>
      <c r="G1001" s="8" t="s">
        <v>15</v>
      </c>
    </row>
    <row r="1002" spans="1:7" hidden="1" x14ac:dyDescent="0.25">
      <c r="A1002" s="21">
        <v>1001</v>
      </c>
      <c r="B1002" s="7" t="s">
        <v>2751</v>
      </c>
      <c r="C1002" s="7" t="s">
        <v>2752</v>
      </c>
      <c r="G1002" s="8" t="s">
        <v>15</v>
      </c>
    </row>
    <row r="1003" spans="1:7" hidden="1" x14ac:dyDescent="0.25">
      <c r="A1003" s="21">
        <v>1002</v>
      </c>
      <c r="B1003" s="7" t="s">
        <v>2753</v>
      </c>
      <c r="C1003" s="7" t="s">
        <v>2754</v>
      </c>
      <c r="G1003" s="8" t="s">
        <v>15</v>
      </c>
    </row>
    <row r="1004" spans="1:7" hidden="1" x14ac:dyDescent="0.25">
      <c r="A1004" s="21">
        <v>1003</v>
      </c>
      <c r="B1004" s="7" t="s">
        <v>2755</v>
      </c>
      <c r="C1004" s="7" t="s">
        <v>2756</v>
      </c>
      <c r="G1004" s="8" t="s">
        <v>15</v>
      </c>
    </row>
    <row r="1005" spans="1:7" hidden="1" x14ac:dyDescent="0.25">
      <c r="A1005" s="21">
        <v>1004</v>
      </c>
      <c r="B1005" s="7" t="s">
        <v>2757</v>
      </c>
      <c r="C1005" s="7" t="s">
        <v>2758</v>
      </c>
      <c r="G1005" s="8" t="s">
        <v>15</v>
      </c>
    </row>
    <row r="1006" spans="1:7" hidden="1" x14ac:dyDescent="0.25">
      <c r="A1006" s="21">
        <v>1005</v>
      </c>
      <c r="B1006" s="7" t="s">
        <v>2759</v>
      </c>
      <c r="C1006" s="7" t="s">
        <v>2760</v>
      </c>
      <c r="G1006" s="8" t="s">
        <v>15</v>
      </c>
    </row>
    <row r="1007" spans="1:7" hidden="1" x14ac:dyDescent="0.25">
      <c r="A1007" s="21">
        <v>1006</v>
      </c>
      <c r="B1007" s="7" t="s">
        <v>2761</v>
      </c>
      <c r="C1007" s="7" t="s">
        <v>2762</v>
      </c>
      <c r="G1007" s="8" t="s">
        <v>15</v>
      </c>
    </row>
    <row r="1008" spans="1:7" hidden="1" x14ac:dyDescent="0.25">
      <c r="A1008" s="21">
        <v>1007</v>
      </c>
      <c r="B1008" s="7" t="s">
        <v>2763</v>
      </c>
      <c r="C1008" s="7" t="s">
        <v>2764</v>
      </c>
      <c r="G1008" s="8" t="s">
        <v>15</v>
      </c>
    </row>
    <row r="1009" spans="1:7" hidden="1" x14ac:dyDescent="0.25">
      <c r="A1009" s="21">
        <v>1008</v>
      </c>
      <c r="B1009" s="7" t="s">
        <v>2765</v>
      </c>
      <c r="C1009" s="7" t="s">
        <v>2766</v>
      </c>
      <c r="G1009" s="8" t="s">
        <v>15</v>
      </c>
    </row>
    <row r="1010" spans="1:7" hidden="1" x14ac:dyDescent="0.25">
      <c r="A1010" s="21">
        <v>1009</v>
      </c>
      <c r="B1010" s="7" t="s">
        <v>2767</v>
      </c>
      <c r="C1010" s="7" t="s">
        <v>2768</v>
      </c>
      <c r="G1010" s="8" t="s">
        <v>15</v>
      </c>
    </row>
    <row r="1011" spans="1:7" hidden="1" x14ac:dyDescent="0.25">
      <c r="A1011" s="21">
        <v>1010</v>
      </c>
      <c r="B1011" s="7" t="s">
        <v>2769</v>
      </c>
      <c r="C1011" s="7" t="s">
        <v>2770</v>
      </c>
      <c r="G1011" s="8" t="s">
        <v>15</v>
      </c>
    </row>
    <row r="1012" spans="1:7" hidden="1" x14ac:dyDescent="0.25">
      <c r="A1012" s="21">
        <v>1011</v>
      </c>
      <c r="B1012" s="7" t="s">
        <v>2771</v>
      </c>
      <c r="C1012" s="7" t="s">
        <v>2772</v>
      </c>
      <c r="G1012" s="8" t="s">
        <v>15</v>
      </c>
    </row>
    <row r="1013" spans="1:7" hidden="1" x14ac:dyDescent="0.25">
      <c r="A1013" s="21">
        <v>1012</v>
      </c>
      <c r="B1013" s="7" t="s">
        <v>2773</v>
      </c>
      <c r="C1013" s="7" t="s">
        <v>2774</v>
      </c>
      <c r="G1013" s="8" t="s">
        <v>15</v>
      </c>
    </row>
    <row r="1014" spans="1:7" hidden="1" x14ac:dyDescent="0.25">
      <c r="A1014" s="21">
        <v>1013</v>
      </c>
      <c r="B1014" s="7" t="s">
        <v>2775</v>
      </c>
      <c r="C1014" s="7" t="s">
        <v>2776</v>
      </c>
      <c r="G1014" s="8" t="s">
        <v>15</v>
      </c>
    </row>
    <row r="1015" spans="1:7" hidden="1" x14ac:dyDescent="0.25">
      <c r="A1015" s="21">
        <v>1014</v>
      </c>
      <c r="B1015" s="7" t="s">
        <v>2777</v>
      </c>
      <c r="C1015" s="7" t="s">
        <v>2778</v>
      </c>
      <c r="F1015" t="s">
        <v>1603</v>
      </c>
      <c r="G1015" s="8" t="s">
        <v>15</v>
      </c>
    </row>
    <row r="1016" spans="1:7" hidden="1" x14ac:dyDescent="0.25">
      <c r="A1016" s="21">
        <v>1015</v>
      </c>
      <c r="B1016" s="7" t="s">
        <v>2779</v>
      </c>
      <c r="C1016" s="7" t="s">
        <v>2780</v>
      </c>
      <c r="F1016" t="s">
        <v>1603</v>
      </c>
      <c r="G1016" s="8" t="s">
        <v>15</v>
      </c>
    </row>
    <row r="1017" spans="1:7" hidden="1" x14ac:dyDescent="0.25">
      <c r="A1017" s="21">
        <v>1016</v>
      </c>
      <c r="B1017" s="7" t="s">
        <v>2781</v>
      </c>
      <c r="C1017" s="7" t="s">
        <v>2782</v>
      </c>
      <c r="F1017" t="s">
        <v>1603</v>
      </c>
      <c r="G1017" s="8" t="s">
        <v>15</v>
      </c>
    </row>
    <row r="1018" spans="1:7" hidden="1" x14ac:dyDescent="0.25">
      <c r="A1018" s="21">
        <v>1017</v>
      </c>
      <c r="B1018" s="7" t="s">
        <v>2783</v>
      </c>
      <c r="C1018" s="7" t="s">
        <v>2784</v>
      </c>
      <c r="F1018" t="s">
        <v>1603</v>
      </c>
      <c r="G1018" s="8" t="s">
        <v>15</v>
      </c>
    </row>
    <row r="1019" spans="1:7" hidden="1" x14ac:dyDescent="0.25">
      <c r="A1019" s="21">
        <v>1018</v>
      </c>
      <c r="B1019" s="7" t="s">
        <v>2785</v>
      </c>
      <c r="C1019" s="7" t="s">
        <v>2786</v>
      </c>
      <c r="F1019" t="s">
        <v>1603</v>
      </c>
      <c r="G1019" s="8" t="s">
        <v>15</v>
      </c>
    </row>
    <row r="1020" spans="1:7" hidden="1" x14ac:dyDescent="0.25">
      <c r="A1020" s="21">
        <v>1019</v>
      </c>
      <c r="B1020" s="7" t="s">
        <v>2787</v>
      </c>
      <c r="C1020" s="7" t="s">
        <v>2788</v>
      </c>
      <c r="F1020" t="s">
        <v>1603</v>
      </c>
      <c r="G1020" s="8" t="s">
        <v>15</v>
      </c>
    </row>
    <row r="1021" spans="1:7" hidden="1" x14ac:dyDescent="0.25">
      <c r="A1021" s="21">
        <v>1020</v>
      </c>
      <c r="B1021" s="7" t="s">
        <v>2789</v>
      </c>
      <c r="C1021" s="7" t="s">
        <v>2790</v>
      </c>
      <c r="F1021" t="s">
        <v>1603</v>
      </c>
      <c r="G1021" s="8" t="s">
        <v>15</v>
      </c>
    </row>
    <row r="1022" spans="1:7" hidden="1" x14ac:dyDescent="0.25">
      <c r="A1022" s="21">
        <v>1021</v>
      </c>
      <c r="B1022" s="7" t="s">
        <v>2791</v>
      </c>
      <c r="C1022" s="7" t="s">
        <v>2792</v>
      </c>
      <c r="F1022" t="s">
        <v>1603</v>
      </c>
      <c r="G1022" s="8" t="s">
        <v>15</v>
      </c>
    </row>
    <row r="1023" spans="1:7" hidden="1" x14ac:dyDescent="0.25">
      <c r="A1023" s="21">
        <v>1022</v>
      </c>
      <c r="B1023" s="7" t="s">
        <v>2793</v>
      </c>
      <c r="C1023" s="7" t="s">
        <v>2794</v>
      </c>
      <c r="F1023" t="s">
        <v>1603</v>
      </c>
      <c r="G1023" s="8" t="s">
        <v>15</v>
      </c>
    </row>
    <row r="1024" spans="1:7" hidden="1" x14ac:dyDescent="0.25">
      <c r="A1024" s="21">
        <v>1023</v>
      </c>
      <c r="B1024" s="7" t="s">
        <v>2795</v>
      </c>
      <c r="C1024" s="7" t="s">
        <v>2796</v>
      </c>
      <c r="F1024" t="s">
        <v>1603</v>
      </c>
      <c r="G1024" s="8" t="s">
        <v>15</v>
      </c>
    </row>
    <row r="1025" spans="1:7" hidden="1" x14ac:dyDescent="0.25">
      <c r="A1025" s="21">
        <v>1024</v>
      </c>
      <c r="B1025" s="7" t="s">
        <v>2797</v>
      </c>
      <c r="C1025" s="7" t="s">
        <v>2798</v>
      </c>
      <c r="F1025" t="s">
        <v>1603</v>
      </c>
      <c r="G1025" s="8" t="s">
        <v>15</v>
      </c>
    </row>
    <row r="1026" spans="1:7" hidden="1" x14ac:dyDescent="0.25">
      <c r="A1026" s="21">
        <v>1025</v>
      </c>
      <c r="B1026" s="7" t="s">
        <v>2799</v>
      </c>
      <c r="C1026" s="7" t="s">
        <v>2800</v>
      </c>
      <c r="F1026" t="s">
        <v>1603</v>
      </c>
      <c r="G1026" s="8" t="s">
        <v>15</v>
      </c>
    </row>
    <row r="1027" spans="1:7" hidden="1" x14ac:dyDescent="0.25">
      <c r="A1027" s="21">
        <v>1026</v>
      </c>
      <c r="B1027" s="7" t="s">
        <v>2801</v>
      </c>
      <c r="C1027" s="7" t="s">
        <v>2802</v>
      </c>
      <c r="F1027" t="s">
        <v>1603</v>
      </c>
      <c r="G1027" s="8" t="s">
        <v>15</v>
      </c>
    </row>
    <row r="1028" spans="1:7" hidden="1" x14ac:dyDescent="0.25">
      <c r="A1028" s="21">
        <v>1027</v>
      </c>
      <c r="B1028" s="7" t="s">
        <v>2803</v>
      </c>
      <c r="C1028" s="7" t="s">
        <v>2804</v>
      </c>
      <c r="F1028" t="s">
        <v>1603</v>
      </c>
      <c r="G1028" s="8" t="s">
        <v>15</v>
      </c>
    </row>
    <row r="1029" spans="1:7" hidden="1" x14ac:dyDescent="0.25">
      <c r="A1029" s="21">
        <v>1028</v>
      </c>
      <c r="B1029" s="7" t="s">
        <v>2805</v>
      </c>
      <c r="C1029" s="7" t="s">
        <v>2806</v>
      </c>
      <c r="F1029" t="s">
        <v>1603</v>
      </c>
      <c r="G1029" s="8" t="s">
        <v>15</v>
      </c>
    </row>
    <row r="1030" spans="1:7" hidden="1" x14ac:dyDescent="0.25">
      <c r="A1030" s="21">
        <v>1029</v>
      </c>
      <c r="B1030" s="7" t="s">
        <v>2807</v>
      </c>
      <c r="C1030" s="7" t="s">
        <v>2808</v>
      </c>
      <c r="G1030" s="8" t="s">
        <v>15</v>
      </c>
    </row>
    <row r="1031" spans="1:7" hidden="1" x14ac:dyDescent="0.25">
      <c r="A1031" s="21">
        <v>1030</v>
      </c>
      <c r="B1031" s="7" t="s">
        <v>2809</v>
      </c>
      <c r="C1031" s="7" t="s">
        <v>2810</v>
      </c>
      <c r="G1031" s="8" t="s">
        <v>15</v>
      </c>
    </row>
    <row r="1032" spans="1:7" hidden="1" x14ac:dyDescent="0.25">
      <c r="A1032" s="21">
        <v>1031</v>
      </c>
      <c r="B1032" s="7" t="s">
        <v>2811</v>
      </c>
      <c r="C1032" s="7" t="s">
        <v>2812</v>
      </c>
      <c r="G1032" s="8" t="s">
        <v>15</v>
      </c>
    </row>
    <row r="1033" spans="1:7" hidden="1" x14ac:dyDescent="0.25">
      <c r="A1033" s="21">
        <v>1032</v>
      </c>
      <c r="B1033" s="7" t="s">
        <v>2813</v>
      </c>
      <c r="C1033" s="7" t="s">
        <v>2814</v>
      </c>
      <c r="G1033" s="8" t="s">
        <v>15</v>
      </c>
    </row>
    <row r="1034" spans="1:7" hidden="1" x14ac:dyDescent="0.25">
      <c r="A1034" s="21">
        <v>1033</v>
      </c>
      <c r="B1034" s="7" t="s">
        <v>2815</v>
      </c>
      <c r="C1034" s="7" t="s">
        <v>2816</v>
      </c>
      <c r="G1034" s="8" t="s">
        <v>15</v>
      </c>
    </row>
    <row r="1035" spans="1:7" hidden="1" x14ac:dyDescent="0.25">
      <c r="A1035" s="21">
        <v>1034</v>
      </c>
      <c r="B1035" s="7" t="s">
        <v>2817</v>
      </c>
      <c r="C1035" s="7" t="s">
        <v>2818</v>
      </c>
      <c r="G1035" s="8" t="s">
        <v>15</v>
      </c>
    </row>
    <row r="1036" spans="1:7" hidden="1" x14ac:dyDescent="0.25">
      <c r="A1036" s="21">
        <v>1035</v>
      </c>
      <c r="B1036" s="7" t="s">
        <v>2819</v>
      </c>
      <c r="C1036" s="7" t="s">
        <v>2820</v>
      </c>
      <c r="G1036" s="8" t="s">
        <v>15</v>
      </c>
    </row>
    <row r="1037" spans="1:7" hidden="1" x14ac:dyDescent="0.25">
      <c r="A1037" s="21">
        <v>1036</v>
      </c>
      <c r="B1037" s="7" t="s">
        <v>2821</v>
      </c>
      <c r="C1037" s="7" t="s">
        <v>2822</v>
      </c>
      <c r="G1037" s="8" t="s">
        <v>15</v>
      </c>
    </row>
    <row r="1038" spans="1:7" hidden="1" x14ac:dyDescent="0.25">
      <c r="A1038" s="21">
        <v>1037</v>
      </c>
      <c r="B1038" s="7" t="s">
        <v>2823</v>
      </c>
      <c r="C1038" s="7" t="s">
        <v>2824</v>
      </c>
      <c r="G1038" s="8" t="s">
        <v>15</v>
      </c>
    </row>
    <row r="1039" spans="1:7" hidden="1" x14ac:dyDescent="0.25">
      <c r="A1039" s="21">
        <v>1038</v>
      </c>
      <c r="B1039" s="7" t="s">
        <v>2825</v>
      </c>
      <c r="C1039" s="7" t="s">
        <v>2826</v>
      </c>
      <c r="G1039" s="8" t="s">
        <v>15</v>
      </c>
    </row>
    <row r="1040" spans="1:7" hidden="1" x14ac:dyDescent="0.25">
      <c r="A1040" s="21">
        <v>1039</v>
      </c>
      <c r="B1040" s="7" t="s">
        <v>2827</v>
      </c>
      <c r="C1040" s="7" t="s">
        <v>2828</v>
      </c>
      <c r="G1040" s="8" t="s">
        <v>15</v>
      </c>
    </row>
    <row r="1041" spans="1:7" hidden="1" x14ac:dyDescent="0.25">
      <c r="A1041" s="21">
        <v>1040</v>
      </c>
      <c r="B1041" s="7" t="s">
        <v>2829</v>
      </c>
      <c r="C1041" s="7" t="s">
        <v>2830</v>
      </c>
      <c r="G1041" s="8" t="s">
        <v>15</v>
      </c>
    </row>
    <row r="1042" spans="1:7" hidden="1" x14ac:dyDescent="0.25">
      <c r="A1042" s="21">
        <v>1041</v>
      </c>
      <c r="B1042" s="7" t="s">
        <v>2831</v>
      </c>
      <c r="C1042" s="7" t="s">
        <v>2832</v>
      </c>
      <c r="G1042" s="8" t="s">
        <v>15</v>
      </c>
    </row>
    <row r="1043" spans="1:7" hidden="1" x14ac:dyDescent="0.25">
      <c r="A1043" s="21">
        <v>1042</v>
      </c>
      <c r="B1043" s="7" t="s">
        <v>2833</v>
      </c>
      <c r="C1043" s="7" t="s">
        <v>2834</v>
      </c>
      <c r="G1043" s="8" t="s">
        <v>15</v>
      </c>
    </row>
    <row r="1044" spans="1:7" hidden="1" x14ac:dyDescent="0.25">
      <c r="A1044" s="21">
        <v>1043</v>
      </c>
      <c r="B1044" s="7" t="s">
        <v>2835</v>
      </c>
      <c r="C1044" s="7" t="s">
        <v>2836</v>
      </c>
      <c r="G1044" s="8" t="s">
        <v>15</v>
      </c>
    </row>
    <row r="1045" spans="1:7" hidden="1" x14ac:dyDescent="0.25">
      <c r="A1045" s="21">
        <v>1044</v>
      </c>
      <c r="B1045" s="7" t="s">
        <v>2837</v>
      </c>
      <c r="C1045" s="7" t="s">
        <v>2838</v>
      </c>
      <c r="G1045" s="8" t="s">
        <v>15</v>
      </c>
    </row>
    <row r="1046" spans="1:7" hidden="1" x14ac:dyDescent="0.25">
      <c r="A1046" s="21">
        <v>1045</v>
      </c>
      <c r="B1046" s="7" t="s">
        <v>2839</v>
      </c>
      <c r="C1046" s="7" t="s">
        <v>2840</v>
      </c>
      <c r="G1046" s="8" t="s">
        <v>15</v>
      </c>
    </row>
    <row r="1047" spans="1:7" hidden="1" x14ac:dyDescent="0.25">
      <c r="A1047" s="21">
        <v>1046</v>
      </c>
      <c r="B1047" s="7" t="s">
        <v>2841</v>
      </c>
      <c r="C1047" s="7" t="s">
        <v>2842</v>
      </c>
      <c r="G1047" s="8" t="s">
        <v>15</v>
      </c>
    </row>
    <row r="1048" spans="1:7" hidden="1" x14ac:dyDescent="0.25">
      <c r="A1048" s="21">
        <v>1047</v>
      </c>
      <c r="B1048" s="7" t="s">
        <v>2843</v>
      </c>
      <c r="C1048" s="7" t="s">
        <v>2844</v>
      </c>
      <c r="G1048" s="8" t="s">
        <v>15</v>
      </c>
    </row>
    <row r="1049" spans="1:7" hidden="1" x14ac:dyDescent="0.25">
      <c r="A1049" s="21">
        <v>1048</v>
      </c>
      <c r="B1049" s="7" t="s">
        <v>2845</v>
      </c>
      <c r="C1049" s="7" t="s">
        <v>2846</v>
      </c>
      <c r="G1049" s="8" t="s">
        <v>15</v>
      </c>
    </row>
    <row r="1050" spans="1:7" hidden="1" x14ac:dyDescent="0.25">
      <c r="A1050" s="21">
        <v>1049</v>
      </c>
      <c r="B1050" s="7" t="s">
        <v>2847</v>
      </c>
      <c r="C1050" s="7" t="s">
        <v>2848</v>
      </c>
      <c r="G1050" s="8" t="s">
        <v>15</v>
      </c>
    </row>
    <row r="1051" spans="1:7" hidden="1" x14ac:dyDescent="0.25">
      <c r="A1051" s="21">
        <v>1050</v>
      </c>
      <c r="B1051" s="7" t="s">
        <v>2849</v>
      </c>
      <c r="C1051" s="7" t="s">
        <v>2850</v>
      </c>
      <c r="G1051" s="8" t="s">
        <v>15</v>
      </c>
    </row>
    <row r="1052" spans="1:7" hidden="1" x14ac:dyDescent="0.25">
      <c r="A1052" s="21">
        <v>1051</v>
      </c>
      <c r="B1052" s="7" t="s">
        <v>2851</v>
      </c>
      <c r="C1052" s="7" t="s">
        <v>2852</v>
      </c>
      <c r="G1052" s="8" t="s">
        <v>15</v>
      </c>
    </row>
    <row r="1053" spans="1:7" hidden="1" x14ac:dyDescent="0.25">
      <c r="A1053" s="21">
        <v>1052</v>
      </c>
      <c r="B1053" s="7" t="s">
        <v>2853</v>
      </c>
      <c r="C1053" s="7" t="s">
        <v>2854</v>
      </c>
      <c r="G1053" s="8" t="s">
        <v>15</v>
      </c>
    </row>
    <row r="1054" spans="1:7" hidden="1" x14ac:dyDescent="0.25">
      <c r="A1054" s="21">
        <v>1053</v>
      </c>
      <c r="B1054" s="7" t="s">
        <v>2855</v>
      </c>
      <c r="C1054" s="7" t="s">
        <v>2856</v>
      </c>
      <c r="G1054" s="8" t="s">
        <v>15</v>
      </c>
    </row>
    <row r="1055" spans="1:7" hidden="1" x14ac:dyDescent="0.25">
      <c r="A1055" s="21">
        <v>1054</v>
      </c>
      <c r="B1055" s="7" t="s">
        <v>2857</v>
      </c>
      <c r="C1055" s="7" t="s">
        <v>2858</v>
      </c>
      <c r="G1055" s="8" t="s">
        <v>15</v>
      </c>
    </row>
    <row r="1056" spans="1:7" hidden="1" x14ac:dyDescent="0.25">
      <c r="A1056" s="21">
        <v>1055</v>
      </c>
      <c r="B1056" s="7" t="s">
        <v>2859</v>
      </c>
      <c r="C1056" s="7" t="s">
        <v>2860</v>
      </c>
      <c r="G1056" s="8" t="s">
        <v>15</v>
      </c>
    </row>
    <row r="1057" spans="1:7" hidden="1" x14ac:dyDescent="0.25">
      <c r="A1057" s="21">
        <v>1056</v>
      </c>
      <c r="B1057" s="7" t="s">
        <v>2861</v>
      </c>
      <c r="C1057" s="7" t="s">
        <v>2862</v>
      </c>
      <c r="G1057" s="8" t="s">
        <v>15</v>
      </c>
    </row>
    <row r="1058" spans="1:7" hidden="1" x14ac:dyDescent="0.25">
      <c r="A1058" s="21">
        <v>1057</v>
      </c>
      <c r="B1058" s="7" t="s">
        <v>2863</v>
      </c>
      <c r="C1058" s="7" t="s">
        <v>2864</v>
      </c>
      <c r="G1058" s="8" t="s">
        <v>15</v>
      </c>
    </row>
    <row r="1059" spans="1:7" hidden="1" x14ac:dyDescent="0.25">
      <c r="A1059" s="21">
        <v>1058</v>
      </c>
      <c r="B1059" s="7" t="s">
        <v>2865</v>
      </c>
      <c r="C1059" s="7" t="s">
        <v>2866</v>
      </c>
      <c r="G1059" s="8" t="s">
        <v>15</v>
      </c>
    </row>
    <row r="1060" spans="1:7" hidden="1" x14ac:dyDescent="0.25">
      <c r="A1060" s="21">
        <v>1059</v>
      </c>
      <c r="B1060" s="7" t="s">
        <v>2867</v>
      </c>
      <c r="C1060" s="7" t="s">
        <v>2868</v>
      </c>
      <c r="G1060" s="8" t="s">
        <v>15</v>
      </c>
    </row>
    <row r="1061" spans="1:7" hidden="1" x14ac:dyDescent="0.25">
      <c r="A1061" s="21">
        <v>1060</v>
      </c>
      <c r="B1061" s="7" t="s">
        <v>2869</v>
      </c>
      <c r="C1061" s="7" t="s">
        <v>2870</v>
      </c>
      <c r="G1061" s="8" t="s">
        <v>15</v>
      </c>
    </row>
    <row r="1062" spans="1:7" hidden="1" x14ac:dyDescent="0.25">
      <c r="A1062" s="21">
        <v>1061</v>
      </c>
      <c r="B1062" s="7" t="s">
        <v>2871</v>
      </c>
      <c r="C1062" s="7" t="s">
        <v>2872</v>
      </c>
      <c r="G1062" s="8" t="s">
        <v>15</v>
      </c>
    </row>
    <row r="1063" spans="1:7" hidden="1" x14ac:dyDescent="0.25">
      <c r="A1063" s="21">
        <v>1062</v>
      </c>
      <c r="B1063" s="7" t="s">
        <v>2873</v>
      </c>
      <c r="C1063" s="7" t="s">
        <v>2874</v>
      </c>
      <c r="G1063" s="8" t="s">
        <v>15</v>
      </c>
    </row>
    <row r="1064" spans="1:7" hidden="1" x14ac:dyDescent="0.25">
      <c r="A1064" s="21">
        <v>1063</v>
      </c>
      <c r="B1064" s="7" t="s">
        <v>2875</v>
      </c>
      <c r="C1064" s="7" t="s">
        <v>2876</v>
      </c>
      <c r="G1064" s="8" t="s">
        <v>15</v>
      </c>
    </row>
    <row r="1065" spans="1:7" hidden="1" x14ac:dyDescent="0.25">
      <c r="A1065" s="21">
        <v>1064</v>
      </c>
      <c r="B1065" s="7" t="s">
        <v>2877</v>
      </c>
      <c r="C1065" s="7" t="s">
        <v>2878</v>
      </c>
      <c r="G1065" s="8" t="s">
        <v>15</v>
      </c>
    </row>
    <row r="1066" spans="1:7" hidden="1" x14ac:dyDescent="0.25">
      <c r="A1066" s="21">
        <v>1065</v>
      </c>
      <c r="B1066" s="7" t="s">
        <v>2879</v>
      </c>
      <c r="C1066" s="7" t="s">
        <v>2880</v>
      </c>
      <c r="F1066" t="s">
        <v>1603</v>
      </c>
      <c r="G1066" s="8" t="s">
        <v>15</v>
      </c>
    </row>
    <row r="1067" spans="1:7" hidden="1" x14ac:dyDescent="0.25">
      <c r="A1067" s="21">
        <v>1066</v>
      </c>
      <c r="B1067" s="7" t="s">
        <v>2881</v>
      </c>
      <c r="C1067" s="7" t="s">
        <v>2882</v>
      </c>
      <c r="F1067" t="s">
        <v>1603</v>
      </c>
      <c r="G1067" s="8" t="s">
        <v>15</v>
      </c>
    </row>
    <row r="1068" spans="1:7" hidden="1" x14ac:dyDescent="0.25">
      <c r="A1068" s="21">
        <v>1067</v>
      </c>
      <c r="B1068" s="7" t="s">
        <v>2883</v>
      </c>
      <c r="C1068" s="7" t="s">
        <v>2884</v>
      </c>
      <c r="F1068" t="s">
        <v>1603</v>
      </c>
      <c r="G1068" s="8" t="s">
        <v>15</v>
      </c>
    </row>
    <row r="1069" spans="1:7" hidden="1" x14ac:dyDescent="0.25">
      <c r="A1069" s="21">
        <v>1068</v>
      </c>
      <c r="B1069" s="7" t="s">
        <v>2885</v>
      </c>
      <c r="C1069" s="7" t="s">
        <v>2886</v>
      </c>
      <c r="F1069" t="s">
        <v>1603</v>
      </c>
      <c r="G1069" s="8" t="s">
        <v>15</v>
      </c>
    </row>
    <row r="1070" spans="1:7" hidden="1" x14ac:dyDescent="0.25">
      <c r="A1070" s="21">
        <v>1069</v>
      </c>
      <c r="B1070" s="7" t="s">
        <v>2887</v>
      </c>
      <c r="C1070" s="7" t="s">
        <v>2888</v>
      </c>
      <c r="F1070" t="s">
        <v>1603</v>
      </c>
      <c r="G1070" s="8" t="s">
        <v>15</v>
      </c>
    </row>
    <row r="1071" spans="1:7" hidden="1" x14ac:dyDescent="0.25">
      <c r="A1071" s="21">
        <v>1070</v>
      </c>
      <c r="B1071" s="7" t="s">
        <v>2889</v>
      </c>
      <c r="C1071" s="7" t="s">
        <v>2890</v>
      </c>
      <c r="F1071" t="s">
        <v>1603</v>
      </c>
      <c r="G1071" s="8" t="s">
        <v>15</v>
      </c>
    </row>
    <row r="1072" spans="1:7" hidden="1" x14ac:dyDescent="0.25">
      <c r="A1072" s="21">
        <v>1071</v>
      </c>
      <c r="B1072" s="7" t="s">
        <v>2891</v>
      </c>
      <c r="C1072" s="7" t="s">
        <v>2892</v>
      </c>
      <c r="F1072" t="s">
        <v>1603</v>
      </c>
      <c r="G1072" s="8" t="s">
        <v>15</v>
      </c>
    </row>
    <row r="1073" spans="1:7" hidden="1" x14ac:dyDescent="0.25">
      <c r="A1073" s="21">
        <v>1072</v>
      </c>
      <c r="B1073" s="7" t="s">
        <v>2893</v>
      </c>
      <c r="C1073" s="7" t="s">
        <v>2894</v>
      </c>
      <c r="F1073" t="s">
        <v>1603</v>
      </c>
      <c r="G1073" s="8" t="s">
        <v>15</v>
      </c>
    </row>
    <row r="1074" spans="1:7" hidden="1" x14ac:dyDescent="0.25">
      <c r="A1074" s="21">
        <v>1073</v>
      </c>
      <c r="B1074" s="7" t="s">
        <v>2895</v>
      </c>
      <c r="C1074" s="7" t="s">
        <v>2896</v>
      </c>
      <c r="F1074" t="s">
        <v>1603</v>
      </c>
      <c r="G1074" s="8" t="s">
        <v>15</v>
      </c>
    </row>
    <row r="1075" spans="1:7" hidden="1" x14ac:dyDescent="0.25">
      <c r="A1075" s="21">
        <v>1074</v>
      </c>
      <c r="B1075" s="7" t="s">
        <v>2897</v>
      </c>
      <c r="C1075" s="7" t="s">
        <v>2898</v>
      </c>
      <c r="F1075" t="s">
        <v>1603</v>
      </c>
      <c r="G1075" s="8" t="s">
        <v>15</v>
      </c>
    </row>
    <row r="1076" spans="1:7" hidden="1" x14ac:dyDescent="0.25">
      <c r="A1076" s="21">
        <v>1075</v>
      </c>
      <c r="B1076" s="7" t="s">
        <v>2899</v>
      </c>
      <c r="C1076" s="7" t="s">
        <v>2900</v>
      </c>
      <c r="F1076" t="s">
        <v>1603</v>
      </c>
      <c r="G1076" s="8" t="s">
        <v>15</v>
      </c>
    </row>
    <row r="1077" spans="1:7" hidden="1" x14ac:dyDescent="0.25">
      <c r="A1077" s="21">
        <v>1076</v>
      </c>
      <c r="B1077" s="7" t="s">
        <v>2901</v>
      </c>
      <c r="C1077" s="7" t="s">
        <v>2902</v>
      </c>
      <c r="F1077" t="s">
        <v>1603</v>
      </c>
      <c r="G1077" s="8" t="s">
        <v>15</v>
      </c>
    </row>
    <row r="1078" spans="1:7" hidden="1" x14ac:dyDescent="0.25">
      <c r="A1078" s="21">
        <v>1077</v>
      </c>
      <c r="B1078" s="7" t="s">
        <v>2903</v>
      </c>
      <c r="C1078" s="7" t="s">
        <v>2904</v>
      </c>
      <c r="G1078" s="8" t="s">
        <v>15</v>
      </c>
    </row>
    <row r="1079" spans="1:7" hidden="1" x14ac:dyDescent="0.25">
      <c r="A1079" s="21">
        <v>1078</v>
      </c>
      <c r="B1079" s="7" t="s">
        <v>2905</v>
      </c>
      <c r="C1079" s="7" t="s">
        <v>2906</v>
      </c>
      <c r="G1079" s="8" t="s">
        <v>15</v>
      </c>
    </row>
    <row r="1080" spans="1:7" hidden="1" x14ac:dyDescent="0.25">
      <c r="A1080" s="21">
        <v>1079</v>
      </c>
      <c r="B1080" s="7" t="s">
        <v>2907</v>
      </c>
      <c r="C1080" s="7" t="s">
        <v>2908</v>
      </c>
      <c r="G1080" s="8" t="s">
        <v>15</v>
      </c>
    </row>
    <row r="1081" spans="1:7" hidden="1" x14ac:dyDescent="0.25">
      <c r="A1081" s="21">
        <v>1080</v>
      </c>
      <c r="B1081" s="7" t="s">
        <v>2909</v>
      </c>
      <c r="C1081" s="7" t="s">
        <v>2910</v>
      </c>
      <c r="G1081" s="8" t="s">
        <v>15</v>
      </c>
    </row>
    <row r="1082" spans="1:7" hidden="1" x14ac:dyDescent="0.25">
      <c r="A1082" s="21">
        <v>1081</v>
      </c>
      <c r="B1082" s="7" t="s">
        <v>2911</v>
      </c>
      <c r="C1082" s="7" t="s">
        <v>2912</v>
      </c>
      <c r="G1082" s="8" t="s">
        <v>15</v>
      </c>
    </row>
    <row r="1083" spans="1:7" hidden="1" x14ac:dyDescent="0.25">
      <c r="A1083" s="21">
        <v>1082</v>
      </c>
      <c r="B1083" s="7" t="s">
        <v>2913</v>
      </c>
      <c r="C1083" s="7" t="s">
        <v>2914</v>
      </c>
      <c r="G1083" s="8" t="s">
        <v>15</v>
      </c>
    </row>
    <row r="1084" spans="1:7" hidden="1" x14ac:dyDescent="0.25">
      <c r="A1084" s="21">
        <v>1083</v>
      </c>
      <c r="B1084" s="7" t="s">
        <v>2915</v>
      </c>
      <c r="C1084" s="7" t="s">
        <v>2916</v>
      </c>
      <c r="G1084" s="8" t="s">
        <v>15</v>
      </c>
    </row>
    <row r="1085" spans="1:7" hidden="1" x14ac:dyDescent="0.25">
      <c r="A1085" s="21">
        <v>1084</v>
      </c>
      <c r="B1085" s="7" t="s">
        <v>2917</v>
      </c>
      <c r="C1085" s="7" t="s">
        <v>2918</v>
      </c>
      <c r="G1085" s="8" t="s">
        <v>15</v>
      </c>
    </row>
    <row r="1086" spans="1:7" hidden="1" x14ac:dyDescent="0.25">
      <c r="A1086" s="21">
        <v>1085</v>
      </c>
      <c r="B1086" s="7" t="s">
        <v>2919</v>
      </c>
      <c r="C1086" s="7" t="s">
        <v>2920</v>
      </c>
      <c r="G1086" s="8" t="s">
        <v>15</v>
      </c>
    </row>
    <row r="1087" spans="1:7" hidden="1" x14ac:dyDescent="0.25">
      <c r="A1087" s="21">
        <v>1086</v>
      </c>
      <c r="B1087" s="7" t="s">
        <v>2921</v>
      </c>
      <c r="C1087" s="7" t="s">
        <v>2922</v>
      </c>
      <c r="G1087" s="8" t="s">
        <v>15</v>
      </c>
    </row>
    <row r="1088" spans="1:7" hidden="1" x14ac:dyDescent="0.25">
      <c r="A1088" s="21">
        <v>1087</v>
      </c>
      <c r="B1088" s="7" t="s">
        <v>2923</v>
      </c>
      <c r="C1088" s="7" t="s">
        <v>2924</v>
      </c>
      <c r="G1088" s="8" t="s">
        <v>15</v>
      </c>
    </row>
    <row r="1089" spans="1:7" hidden="1" x14ac:dyDescent="0.25">
      <c r="A1089" s="21">
        <v>1088</v>
      </c>
      <c r="B1089" s="7" t="s">
        <v>2925</v>
      </c>
      <c r="C1089" s="7" t="s">
        <v>2926</v>
      </c>
      <c r="G1089" s="8" t="s">
        <v>15</v>
      </c>
    </row>
    <row r="1090" spans="1:7" hidden="1" x14ac:dyDescent="0.25">
      <c r="A1090" s="21">
        <v>1089</v>
      </c>
      <c r="B1090" s="7" t="s">
        <v>2927</v>
      </c>
      <c r="C1090" s="7" t="s">
        <v>2928</v>
      </c>
      <c r="G1090" s="8" t="s">
        <v>15</v>
      </c>
    </row>
    <row r="1091" spans="1:7" hidden="1" x14ac:dyDescent="0.25">
      <c r="A1091" s="21">
        <v>1090</v>
      </c>
      <c r="B1091" s="7" t="s">
        <v>2929</v>
      </c>
      <c r="C1091" s="7" t="s">
        <v>2930</v>
      </c>
      <c r="G1091" s="8" t="s">
        <v>15</v>
      </c>
    </row>
    <row r="1092" spans="1:7" hidden="1" x14ac:dyDescent="0.25">
      <c r="A1092" s="21">
        <v>1091</v>
      </c>
      <c r="B1092" s="7" t="s">
        <v>2931</v>
      </c>
      <c r="C1092" s="7" t="s">
        <v>2932</v>
      </c>
      <c r="G1092" s="8" t="s">
        <v>15</v>
      </c>
    </row>
    <row r="1093" spans="1:7" hidden="1" x14ac:dyDescent="0.25">
      <c r="A1093" s="21">
        <v>1092</v>
      </c>
      <c r="B1093" s="7" t="s">
        <v>2933</v>
      </c>
      <c r="C1093" s="7" t="s">
        <v>2934</v>
      </c>
      <c r="G1093" s="8" t="s">
        <v>15</v>
      </c>
    </row>
    <row r="1094" spans="1:7" hidden="1" x14ac:dyDescent="0.25">
      <c r="A1094" s="21">
        <v>1093</v>
      </c>
      <c r="B1094" s="7" t="s">
        <v>2935</v>
      </c>
      <c r="C1094" s="7" t="s">
        <v>2936</v>
      </c>
      <c r="G1094" s="8" t="s">
        <v>15</v>
      </c>
    </row>
    <row r="1095" spans="1:7" hidden="1" x14ac:dyDescent="0.25">
      <c r="A1095" s="21">
        <v>1094</v>
      </c>
      <c r="B1095" s="7" t="s">
        <v>2937</v>
      </c>
      <c r="C1095" s="7" t="s">
        <v>2938</v>
      </c>
      <c r="G1095" s="8" t="s">
        <v>15</v>
      </c>
    </row>
    <row r="1096" spans="1:7" hidden="1" x14ac:dyDescent="0.25">
      <c r="A1096" s="21">
        <v>1095</v>
      </c>
      <c r="B1096" s="7" t="s">
        <v>2939</v>
      </c>
      <c r="C1096" s="7" t="s">
        <v>2940</v>
      </c>
      <c r="G1096" s="8" t="s">
        <v>15</v>
      </c>
    </row>
    <row r="1097" spans="1:7" hidden="1" x14ac:dyDescent="0.25">
      <c r="A1097" s="21">
        <v>1096</v>
      </c>
      <c r="B1097" s="7" t="s">
        <v>2941</v>
      </c>
      <c r="C1097" s="7" t="s">
        <v>2942</v>
      </c>
      <c r="G1097" s="8" t="s">
        <v>15</v>
      </c>
    </row>
    <row r="1098" spans="1:7" hidden="1" x14ac:dyDescent="0.25">
      <c r="A1098" s="21">
        <v>1097</v>
      </c>
      <c r="B1098" s="7" t="s">
        <v>2943</v>
      </c>
      <c r="C1098" s="7" t="s">
        <v>2944</v>
      </c>
      <c r="G1098" s="8" t="s">
        <v>15</v>
      </c>
    </row>
    <row r="1099" spans="1:7" hidden="1" x14ac:dyDescent="0.25">
      <c r="A1099" s="21">
        <v>1098</v>
      </c>
      <c r="B1099" s="7" t="s">
        <v>2945</v>
      </c>
      <c r="C1099" s="7" t="s">
        <v>2946</v>
      </c>
      <c r="G1099" s="8" t="s">
        <v>15</v>
      </c>
    </row>
    <row r="1100" spans="1:7" hidden="1" x14ac:dyDescent="0.25">
      <c r="A1100" s="21">
        <v>1099</v>
      </c>
      <c r="B1100" s="7" t="s">
        <v>2947</v>
      </c>
      <c r="C1100" s="7" t="s">
        <v>2948</v>
      </c>
      <c r="G1100" s="8" t="s">
        <v>15</v>
      </c>
    </row>
    <row r="1101" spans="1:7" hidden="1" x14ac:dyDescent="0.25">
      <c r="A1101" s="21">
        <v>1100</v>
      </c>
      <c r="B1101" s="7" t="s">
        <v>2949</v>
      </c>
      <c r="C1101" s="7" t="s">
        <v>2950</v>
      </c>
      <c r="G1101" s="8" t="s">
        <v>15</v>
      </c>
    </row>
    <row r="1102" spans="1:7" hidden="1" x14ac:dyDescent="0.25">
      <c r="A1102" s="21">
        <v>1101</v>
      </c>
      <c r="B1102" s="7" t="s">
        <v>2951</v>
      </c>
      <c r="C1102" s="7" t="s">
        <v>2952</v>
      </c>
      <c r="G1102" s="8" t="s">
        <v>15</v>
      </c>
    </row>
    <row r="1103" spans="1:7" hidden="1" x14ac:dyDescent="0.25">
      <c r="A1103" s="21">
        <v>1102</v>
      </c>
      <c r="B1103" s="7" t="s">
        <v>2953</v>
      </c>
      <c r="C1103" s="7" t="s">
        <v>2954</v>
      </c>
      <c r="G1103" s="8" t="s">
        <v>15</v>
      </c>
    </row>
    <row r="1104" spans="1:7" hidden="1" x14ac:dyDescent="0.25">
      <c r="A1104" s="21">
        <v>1103</v>
      </c>
      <c r="B1104" s="7" t="s">
        <v>2955</v>
      </c>
      <c r="C1104" s="7" t="s">
        <v>2956</v>
      </c>
      <c r="G1104" s="8" t="s">
        <v>15</v>
      </c>
    </row>
    <row r="1105" spans="1:7" hidden="1" x14ac:dyDescent="0.25">
      <c r="A1105" s="21">
        <v>1104</v>
      </c>
      <c r="B1105" s="7" t="s">
        <v>2957</v>
      </c>
      <c r="C1105" s="7" t="s">
        <v>2958</v>
      </c>
      <c r="G1105" s="8" t="s">
        <v>15</v>
      </c>
    </row>
    <row r="1106" spans="1:7" hidden="1" x14ac:dyDescent="0.25">
      <c r="A1106" s="21">
        <v>1105</v>
      </c>
      <c r="B1106" s="7" t="s">
        <v>2959</v>
      </c>
      <c r="C1106" s="7" t="s">
        <v>2960</v>
      </c>
      <c r="G1106" s="8" t="s">
        <v>15</v>
      </c>
    </row>
    <row r="1107" spans="1:7" hidden="1" x14ac:dyDescent="0.25">
      <c r="A1107" s="21">
        <v>1106</v>
      </c>
      <c r="B1107" s="7" t="s">
        <v>2961</v>
      </c>
      <c r="C1107" s="7" t="s">
        <v>2962</v>
      </c>
      <c r="G1107" s="8" t="s">
        <v>15</v>
      </c>
    </row>
    <row r="1108" spans="1:7" hidden="1" x14ac:dyDescent="0.25">
      <c r="A1108" s="21">
        <v>1107</v>
      </c>
      <c r="B1108" s="7" t="s">
        <v>2963</v>
      </c>
      <c r="C1108" s="7" t="s">
        <v>2964</v>
      </c>
      <c r="G1108" s="8" t="s">
        <v>15</v>
      </c>
    </row>
    <row r="1109" spans="1:7" hidden="1" x14ac:dyDescent="0.25">
      <c r="A1109" s="21">
        <v>1108</v>
      </c>
      <c r="B1109" s="7" t="s">
        <v>2965</v>
      </c>
      <c r="C1109" s="7" t="s">
        <v>2966</v>
      </c>
      <c r="G1109" s="8" t="s">
        <v>15</v>
      </c>
    </row>
    <row r="1110" spans="1:7" hidden="1" x14ac:dyDescent="0.25">
      <c r="A1110" s="21">
        <v>1109</v>
      </c>
      <c r="B1110" s="7" t="s">
        <v>2967</v>
      </c>
      <c r="C1110" s="7" t="s">
        <v>2968</v>
      </c>
      <c r="G1110" s="8" t="s">
        <v>15</v>
      </c>
    </row>
    <row r="1111" spans="1:7" hidden="1" x14ac:dyDescent="0.25">
      <c r="A1111" s="21">
        <v>1110</v>
      </c>
      <c r="B1111" s="7" t="s">
        <v>2969</v>
      </c>
      <c r="C1111" s="7" t="s">
        <v>2970</v>
      </c>
      <c r="G1111" s="8" t="s">
        <v>15</v>
      </c>
    </row>
    <row r="1112" spans="1:7" hidden="1" x14ac:dyDescent="0.25">
      <c r="A1112" s="21">
        <v>1111</v>
      </c>
      <c r="B1112" s="7" t="s">
        <v>2971</v>
      </c>
      <c r="C1112" s="7" t="s">
        <v>2972</v>
      </c>
      <c r="G1112" s="8" t="s">
        <v>15</v>
      </c>
    </row>
    <row r="1113" spans="1:7" hidden="1" x14ac:dyDescent="0.25">
      <c r="A1113" s="21">
        <v>1112</v>
      </c>
      <c r="B1113" s="7" t="s">
        <v>2973</v>
      </c>
      <c r="C1113" s="7" t="s">
        <v>2974</v>
      </c>
      <c r="G1113" s="8" t="s">
        <v>15</v>
      </c>
    </row>
    <row r="1114" spans="1:7" hidden="1" x14ac:dyDescent="0.25">
      <c r="A1114" s="21">
        <v>1113</v>
      </c>
      <c r="B1114" s="7" t="s">
        <v>2975</v>
      </c>
      <c r="C1114" s="7" t="s">
        <v>2976</v>
      </c>
      <c r="G1114" s="8" t="s">
        <v>15</v>
      </c>
    </row>
    <row r="1115" spans="1:7" hidden="1" x14ac:dyDescent="0.25">
      <c r="A1115" s="21">
        <v>1114</v>
      </c>
      <c r="B1115" s="7" t="s">
        <v>2977</v>
      </c>
      <c r="C1115" s="7" t="s">
        <v>2978</v>
      </c>
      <c r="G1115" s="8" t="s">
        <v>15</v>
      </c>
    </row>
    <row r="1116" spans="1:7" hidden="1" x14ac:dyDescent="0.25">
      <c r="A1116" s="21">
        <v>1115</v>
      </c>
      <c r="B1116" s="7" t="s">
        <v>2979</v>
      </c>
      <c r="C1116" s="7" t="s">
        <v>2980</v>
      </c>
      <c r="G1116" s="8" t="s">
        <v>15</v>
      </c>
    </row>
    <row r="1117" spans="1:7" hidden="1" x14ac:dyDescent="0.25">
      <c r="A1117" s="21">
        <v>1116</v>
      </c>
      <c r="B1117" s="7" t="s">
        <v>2981</v>
      </c>
      <c r="C1117" s="7" t="s">
        <v>2982</v>
      </c>
      <c r="G1117" s="8" t="s">
        <v>15</v>
      </c>
    </row>
    <row r="1118" spans="1:7" hidden="1" x14ac:dyDescent="0.25">
      <c r="A1118" s="21">
        <v>1117</v>
      </c>
      <c r="B1118" s="7" t="s">
        <v>2983</v>
      </c>
      <c r="C1118" s="7" t="s">
        <v>2984</v>
      </c>
      <c r="G1118" s="8" t="s">
        <v>15</v>
      </c>
    </row>
    <row r="1119" spans="1:7" hidden="1" x14ac:dyDescent="0.25">
      <c r="A1119" s="21">
        <v>1118</v>
      </c>
      <c r="B1119" s="7" t="s">
        <v>2985</v>
      </c>
      <c r="C1119" s="7" t="s">
        <v>2986</v>
      </c>
      <c r="G1119" s="8" t="s">
        <v>15</v>
      </c>
    </row>
    <row r="1120" spans="1:7" hidden="1" x14ac:dyDescent="0.25">
      <c r="A1120" s="21">
        <v>1119</v>
      </c>
      <c r="B1120" s="7" t="s">
        <v>2987</v>
      </c>
      <c r="C1120" s="7" t="s">
        <v>2988</v>
      </c>
      <c r="G1120" s="8" t="s">
        <v>15</v>
      </c>
    </row>
    <row r="1121" spans="1:7" hidden="1" x14ac:dyDescent="0.25">
      <c r="A1121" s="21">
        <v>1120</v>
      </c>
      <c r="B1121" s="7" t="s">
        <v>2989</v>
      </c>
      <c r="C1121" s="7" t="s">
        <v>2990</v>
      </c>
      <c r="G1121" s="8" t="s">
        <v>15</v>
      </c>
    </row>
    <row r="1122" spans="1:7" hidden="1" x14ac:dyDescent="0.25">
      <c r="A1122" s="21">
        <v>1121</v>
      </c>
      <c r="B1122" s="7" t="s">
        <v>2991</v>
      </c>
      <c r="C1122" s="7" t="s">
        <v>2992</v>
      </c>
      <c r="G1122" s="8" t="s">
        <v>15</v>
      </c>
    </row>
    <row r="1123" spans="1:7" hidden="1" x14ac:dyDescent="0.25">
      <c r="A1123" s="21">
        <v>1122</v>
      </c>
      <c r="B1123" s="7" t="s">
        <v>2993</v>
      </c>
      <c r="C1123" s="7" t="s">
        <v>2994</v>
      </c>
      <c r="G1123" s="8" t="s">
        <v>15</v>
      </c>
    </row>
    <row r="1124" spans="1:7" hidden="1" x14ac:dyDescent="0.25">
      <c r="A1124" s="21">
        <v>1123</v>
      </c>
      <c r="B1124" s="7" t="s">
        <v>2995</v>
      </c>
      <c r="C1124" s="7" t="s">
        <v>2996</v>
      </c>
      <c r="G1124" s="8" t="s">
        <v>15</v>
      </c>
    </row>
    <row r="1125" spans="1:7" hidden="1" x14ac:dyDescent="0.25">
      <c r="A1125" s="21">
        <v>1124</v>
      </c>
      <c r="B1125" s="7" t="s">
        <v>2997</v>
      </c>
      <c r="C1125" s="7" t="s">
        <v>2998</v>
      </c>
      <c r="G1125" s="8" t="s">
        <v>15</v>
      </c>
    </row>
    <row r="1126" spans="1:7" hidden="1" x14ac:dyDescent="0.25">
      <c r="A1126" s="21">
        <v>1125</v>
      </c>
      <c r="B1126" s="7" t="s">
        <v>2999</v>
      </c>
      <c r="C1126" s="7" t="s">
        <v>3000</v>
      </c>
      <c r="G1126" s="8" t="s">
        <v>15</v>
      </c>
    </row>
    <row r="1127" spans="1:7" hidden="1" x14ac:dyDescent="0.25">
      <c r="A1127" s="21">
        <v>1126</v>
      </c>
      <c r="B1127" s="7" t="s">
        <v>3001</v>
      </c>
      <c r="C1127" s="7" t="s">
        <v>3002</v>
      </c>
      <c r="G1127" s="8" t="s">
        <v>15</v>
      </c>
    </row>
    <row r="1128" spans="1:7" hidden="1" x14ac:dyDescent="0.25">
      <c r="A1128" s="21">
        <v>1127</v>
      </c>
      <c r="B1128" s="7" t="s">
        <v>3003</v>
      </c>
      <c r="C1128" s="7" t="s">
        <v>3004</v>
      </c>
      <c r="G1128" s="8" t="s">
        <v>15</v>
      </c>
    </row>
    <row r="1129" spans="1:7" hidden="1" x14ac:dyDescent="0.25">
      <c r="A1129" s="21">
        <v>1128</v>
      </c>
      <c r="B1129" s="7" t="s">
        <v>3005</v>
      </c>
      <c r="C1129" s="7" t="s">
        <v>3006</v>
      </c>
      <c r="G1129" s="8" t="s">
        <v>15</v>
      </c>
    </row>
    <row r="1130" spans="1:7" hidden="1" x14ac:dyDescent="0.25">
      <c r="A1130" s="21">
        <v>1129</v>
      </c>
      <c r="B1130" s="7" t="s">
        <v>3007</v>
      </c>
      <c r="C1130" s="7" t="s">
        <v>3008</v>
      </c>
      <c r="G1130" s="8" t="s">
        <v>15</v>
      </c>
    </row>
    <row r="1131" spans="1:7" hidden="1" x14ac:dyDescent="0.25">
      <c r="A1131" s="21">
        <v>1130</v>
      </c>
      <c r="B1131" s="7" t="s">
        <v>3009</v>
      </c>
      <c r="C1131" s="7" t="s">
        <v>3010</v>
      </c>
      <c r="G1131" s="8" t="s">
        <v>15</v>
      </c>
    </row>
    <row r="1132" spans="1:7" hidden="1" x14ac:dyDescent="0.25">
      <c r="A1132" s="21">
        <v>1131</v>
      </c>
      <c r="B1132" s="7" t="s">
        <v>3011</v>
      </c>
      <c r="C1132" s="7" t="s">
        <v>3012</v>
      </c>
      <c r="G1132" s="8" t="s">
        <v>15</v>
      </c>
    </row>
    <row r="1133" spans="1:7" hidden="1" x14ac:dyDescent="0.25">
      <c r="A1133" s="21">
        <v>1132</v>
      </c>
      <c r="B1133" s="7" t="s">
        <v>3013</v>
      </c>
      <c r="C1133" s="7" t="s">
        <v>3014</v>
      </c>
      <c r="G1133" s="8" t="s">
        <v>15</v>
      </c>
    </row>
    <row r="1134" spans="1:7" hidden="1" x14ac:dyDescent="0.25">
      <c r="A1134" s="21">
        <v>1133</v>
      </c>
      <c r="B1134" s="7" t="s">
        <v>3015</v>
      </c>
      <c r="C1134" s="7" t="s">
        <v>3016</v>
      </c>
      <c r="G1134" s="8" t="s">
        <v>15</v>
      </c>
    </row>
    <row r="1135" spans="1:7" hidden="1" x14ac:dyDescent="0.25">
      <c r="A1135" s="21">
        <v>1134</v>
      </c>
      <c r="B1135" s="7" t="s">
        <v>3017</v>
      </c>
      <c r="C1135" s="7" t="s">
        <v>3018</v>
      </c>
      <c r="G1135" s="8" t="s">
        <v>15</v>
      </c>
    </row>
    <row r="1136" spans="1:7" hidden="1" x14ac:dyDescent="0.25">
      <c r="A1136" s="21">
        <v>1135</v>
      </c>
      <c r="B1136" s="7" t="s">
        <v>3019</v>
      </c>
      <c r="C1136" s="7" t="s">
        <v>3020</v>
      </c>
      <c r="G1136" s="8" t="s">
        <v>15</v>
      </c>
    </row>
    <row r="1137" spans="1:7" hidden="1" x14ac:dyDescent="0.25">
      <c r="A1137" s="21">
        <v>1136</v>
      </c>
      <c r="B1137" s="7" t="s">
        <v>3021</v>
      </c>
      <c r="C1137" s="7" t="s">
        <v>3022</v>
      </c>
      <c r="G1137" s="8" t="s">
        <v>15</v>
      </c>
    </row>
    <row r="1138" spans="1:7" hidden="1" x14ac:dyDescent="0.25">
      <c r="A1138" s="21">
        <v>1137</v>
      </c>
      <c r="B1138" s="7" t="s">
        <v>3023</v>
      </c>
      <c r="C1138" s="7" t="s">
        <v>3024</v>
      </c>
      <c r="G1138" s="8" t="s">
        <v>15</v>
      </c>
    </row>
    <row r="1139" spans="1:7" hidden="1" x14ac:dyDescent="0.25">
      <c r="A1139" s="21">
        <v>1138</v>
      </c>
      <c r="B1139" s="7" t="s">
        <v>3025</v>
      </c>
      <c r="C1139" s="7" t="s">
        <v>3026</v>
      </c>
      <c r="G1139" s="8" t="s">
        <v>15</v>
      </c>
    </row>
    <row r="1140" spans="1:7" hidden="1" x14ac:dyDescent="0.25">
      <c r="A1140" s="21">
        <v>1139</v>
      </c>
      <c r="B1140" s="7" t="s">
        <v>3027</v>
      </c>
      <c r="C1140" s="7" t="s">
        <v>3028</v>
      </c>
      <c r="G1140" s="8" t="s">
        <v>15</v>
      </c>
    </row>
    <row r="1141" spans="1:7" hidden="1" x14ac:dyDescent="0.25">
      <c r="A1141" s="21">
        <v>1140</v>
      </c>
      <c r="B1141" s="7" t="s">
        <v>3029</v>
      </c>
      <c r="C1141" s="7" t="s">
        <v>3030</v>
      </c>
      <c r="G1141" s="8" t="s">
        <v>15</v>
      </c>
    </row>
    <row r="1142" spans="1:7" hidden="1" x14ac:dyDescent="0.25">
      <c r="A1142" s="21">
        <v>1141</v>
      </c>
      <c r="B1142" s="7" t="s">
        <v>3031</v>
      </c>
      <c r="C1142" s="7" t="s">
        <v>3032</v>
      </c>
      <c r="G1142" s="8" t="s">
        <v>15</v>
      </c>
    </row>
    <row r="1143" spans="1:7" hidden="1" x14ac:dyDescent="0.25">
      <c r="A1143" s="21">
        <v>1142</v>
      </c>
      <c r="B1143" s="7" t="s">
        <v>3033</v>
      </c>
      <c r="C1143" s="7" t="s">
        <v>3034</v>
      </c>
      <c r="G1143" s="8" t="s">
        <v>15</v>
      </c>
    </row>
    <row r="1144" spans="1:7" hidden="1" x14ac:dyDescent="0.25">
      <c r="A1144" s="21">
        <v>1143</v>
      </c>
      <c r="B1144" s="7" t="s">
        <v>3035</v>
      </c>
      <c r="C1144" s="7" t="s">
        <v>3036</v>
      </c>
      <c r="G1144" s="8" t="s">
        <v>15</v>
      </c>
    </row>
    <row r="1145" spans="1:7" hidden="1" x14ac:dyDescent="0.25">
      <c r="A1145" s="21">
        <v>1144</v>
      </c>
      <c r="B1145" s="7" t="s">
        <v>3037</v>
      </c>
      <c r="C1145" s="7" t="s">
        <v>3038</v>
      </c>
      <c r="G1145" s="8" t="s">
        <v>15</v>
      </c>
    </row>
    <row r="1146" spans="1:7" hidden="1" x14ac:dyDescent="0.25">
      <c r="A1146" s="21">
        <v>1145</v>
      </c>
      <c r="B1146" s="7" t="s">
        <v>3039</v>
      </c>
      <c r="C1146" s="7" t="s">
        <v>3040</v>
      </c>
      <c r="G1146" s="8" t="s">
        <v>15</v>
      </c>
    </row>
    <row r="1147" spans="1:7" hidden="1" x14ac:dyDescent="0.25">
      <c r="A1147" s="21">
        <v>1146</v>
      </c>
      <c r="B1147" s="7" t="s">
        <v>3041</v>
      </c>
      <c r="C1147" s="7" t="s">
        <v>3042</v>
      </c>
      <c r="G1147" s="8" t="s">
        <v>15</v>
      </c>
    </row>
    <row r="1148" spans="1:7" hidden="1" x14ac:dyDescent="0.25">
      <c r="A1148" s="21">
        <v>1147</v>
      </c>
      <c r="B1148" s="7" t="s">
        <v>3043</v>
      </c>
      <c r="C1148" s="7" t="s">
        <v>3044</v>
      </c>
      <c r="G1148" s="8" t="s">
        <v>15</v>
      </c>
    </row>
    <row r="1149" spans="1:7" hidden="1" x14ac:dyDescent="0.25">
      <c r="A1149" s="21">
        <v>1148</v>
      </c>
      <c r="B1149" s="7" t="s">
        <v>3045</v>
      </c>
      <c r="C1149" s="7" t="s">
        <v>3046</v>
      </c>
      <c r="G1149" s="8" t="s">
        <v>15</v>
      </c>
    </row>
    <row r="1150" spans="1:7" hidden="1" x14ac:dyDescent="0.25">
      <c r="A1150" s="21">
        <v>1149</v>
      </c>
      <c r="B1150" s="7" t="s">
        <v>3047</v>
      </c>
      <c r="C1150" s="7" t="s">
        <v>3048</v>
      </c>
      <c r="G1150" s="8" t="s">
        <v>15</v>
      </c>
    </row>
    <row r="1151" spans="1:7" hidden="1" x14ac:dyDescent="0.25">
      <c r="A1151" s="21">
        <v>1150</v>
      </c>
      <c r="B1151" s="7" t="s">
        <v>3049</v>
      </c>
      <c r="C1151" s="7" t="s">
        <v>3050</v>
      </c>
      <c r="G1151" s="8" t="s">
        <v>15</v>
      </c>
    </row>
    <row r="1152" spans="1:7" hidden="1" x14ac:dyDescent="0.25">
      <c r="A1152" s="21">
        <v>1151</v>
      </c>
      <c r="B1152" s="7" t="s">
        <v>3051</v>
      </c>
      <c r="C1152" s="7" t="s">
        <v>3052</v>
      </c>
      <c r="G1152" s="8" t="s">
        <v>15</v>
      </c>
    </row>
    <row r="1153" spans="1:7" hidden="1" x14ac:dyDescent="0.25">
      <c r="A1153" s="21">
        <v>1152</v>
      </c>
      <c r="B1153" s="7" t="s">
        <v>3053</v>
      </c>
      <c r="C1153" s="7" t="s">
        <v>3054</v>
      </c>
      <c r="G1153" s="8" t="s">
        <v>15</v>
      </c>
    </row>
    <row r="1154" spans="1:7" hidden="1" x14ac:dyDescent="0.25">
      <c r="A1154" s="21">
        <v>1153</v>
      </c>
      <c r="B1154" s="7" t="s">
        <v>3055</v>
      </c>
      <c r="C1154" s="7" t="s">
        <v>3056</v>
      </c>
      <c r="G1154" s="8" t="s">
        <v>15</v>
      </c>
    </row>
    <row r="1155" spans="1:7" hidden="1" x14ac:dyDescent="0.25">
      <c r="A1155" s="21">
        <v>1154</v>
      </c>
      <c r="B1155" s="7" t="s">
        <v>3057</v>
      </c>
      <c r="C1155" s="7" t="s">
        <v>3058</v>
      </c>
      <c r="G1155" s="8" t="s">
        <v>15</v>
      </c>
    </row>
    <row r="1156" spans="1:7" hidden="1" x14ac:dyDescent="0.25">
      <c r="A1156" s="21">
        <v>1155</v>
      </c>
      <c r="B1156" s="7" t="s">
        <v>3059</v>
      </c>
      <c r="C1156" s="7" t="s">
        <v>3060</v>
      </c>
      <c r="G1156" s="8" t="s">
        <v>15</v>
      </c>
    </row>
    <row r="1157" spans="1:7" hidden="1" x14ac:dyDescent="0.25">
      <c r="A1157" s="21">
        <v>1156</v>
      </c>
      <c r="B1157" s="7" t="s">
        <v>3061</v>
      </c>
      <c r="C1157" s="7" t="s">
        <v>3062</v>
      </c>
      <c r="G1157" s="8" t="s">
        <v>15</v>
      </c>
    </row>
    <row r="1158" spans="1:7" hidden="1" x14ac:dyDescent="0.25">
      <c r="A1158" s="21">
        <v>1157</v>
      </c>
      <c r="B1158" s="7" t="s">
        <v>3063</v>
      </c>
      <c r="C1158" s="7" t="s">
        <v>3064</v>
      </c>
      <c r="G1158" s="8" t="s">
        <v>15</v>
      </c>
    </row>
    <row r="1159" spans="1:7" hidden="1" x14ac:dyDescent="0.25">
      <c r="A1159" s="21">
        <v>1158</v>
      </c>
      <c r="B1159" s="7" t="s">
        <v>3065</v>
      </c>
      <c r="C1159" s="7" t="s">
        <v>3066</v>
      </c>
      <c r="G1159" s="8" t="s">
        <v>15</v>
      </c>
    </row>
    <row r="1160" spans="1:7" hidden="1" x14ac:dyDescent="0.25">
      <c r="A1160" s="21">
        <v>1159</v>
      </c>
      <c r="B1160" s="7" t="s">
        <v>3067</v>
      </c>
      <c r="C1160" s="7" t="s">
        <v>3068</v>
      </c>
      <c r="G1160" s="8" t="s">
        <v>15</v>
      </c>
    </row>
    <row r="1161" spans="1:7" hidden="1" x14ac:dyDescent="0.25">
      <c r="A1161" s="21">
        <v>1160</v>
      </c>
      <c r="B1161" s="7" t="s">
        <v>3069</v>
      </c>
      <c r="C1161" s="7" t="s">
        <v>3070</v>
      </c>
      <c r="G1161" s="8" t="s">
        <v>15</v>
      </c>
    </row>
    <row r="1162" spans="1:7" hidden="1" x14ac:dyDescent="0.25">
      <c r="A1162" s="21">
        <v>1161</v>
      </c>
      <c r="B1162" s="7" t="s">
        <v>3071</v>
      </c>
      <c r="C1162" s="7" t="s">
        <v>3072</v>
      </c>
      <c r="G1162" s="8" t="s">
        <v>15</v>
      </c>
    </row>
    <row r="1163" spans="1:7" hidden="1" x14ac:dyDescent="0.25">
      <c r="A1163" s="21">
        <v>1162</v>
      </c>
      <c r="B1163" s="7" t="s">
        <v>3073</v>
      </c>
      <c r="C1163" s="7" t="s">
        <v>3074</v>
      </c>
      <c r="G1163" s="8" t="s">
        <v>15</v>
      </c>
    </row>
    <row r="1164" spans="1:7" hidden="1" x14ac:dyDescent="0.25">
      <c r="A1164" s="21">
        <v>1163</v>
      </c>
      <c r="B1164" s="7" t="s">
        <v>3075</v>
      </c>
      <c r="C1164" s="7" t="s">
        <v>3076</v>
      </c>
      <c r="G1164" s="8" t="s">
        <v>15</v>
      </c>
    </row>
    <row r="1165" spans="1:7" hidden="1" x14ac:dyDescent="0.25">
      <c r="A1165" s="21">
        <v>1164</v>
      </c>
      <c r="B1165" s="7" t="s">
        <v>3077</v>
      </c>
      <c r="C1165" s="7" t="s">
        <v>3078</v>
      </c>
      <c r="G1165" s="8" t="s">
        <v>15</v>
      </c>
    </row>
    <row r="1166" spans="1:7" hidden="1" x14ac:dyDescent="0.25">
      <c r="A1166" s="21">
        <v>1165</v>
      </c>
      <c r="B1166" s="7" t="s">
        <v>3079</v>
      </c>
      <c r="C1166" s="7" t="s">
        <v>3080</v>
      </c>
      <c r="G1166" s="8" t="s">
        <v>15</v>
      </c>
    </row>
    <row r="1167" spans="1:7" hidden="1" x14ac:dyDescent="0.25">
      <c r="A1167" s="21">
        <v>1166</v>
      </c>
      <c r="B1167" s="7" t="s">
        <v>3081</v>
      </c>
      <c r="C1167" s="7" t="s">
        <v>3082</v>
      </c>
      <c r="G1167" s="8" t="s">
        <v>15</v>
      </c>
    </row>
    <row r="1168" spans="1:7" hidden="1" x14ac:dyDescent="0.25">
      <c r="A1168" s="21">
        <v>1167</v>
      </c>
      <c r="B1168" s="7" t="s">
        <v>3083</v>
      </c>
      <c r="C1168" s="7" t="s">
        <v>3084</v>
      </c>
      <c r="G1168" s="8" t="s">
        <v>15</v>
      </c>
    </row>
    <row r="1169" spans="1:7" hidden="1" x14ac:dyDescent="0.25">
      <c r="A1169" s="21">
        <v>1168</v>
      </c>
      <c r="B1169" s="7" t="s">
        <v>3085</v>
      </c>
      <c r="C1169" s="7" t="s">
        <v>3086</v>
      </c>
      <c r="G1169" s="8" t="s">
        <v>15</v>
      </c>
    </row>
    <row r="1170" spans="1:7" hidden="1" x14ac:dyDescent="0.25">
      <c r="A1170" s="21">
        <v>1169</v>
      </c>
      <c r="B1170" s="7" t="s">
        <v>3087</v>
      </c>
      <c r="C1170" s="7" t="s">
        <v>3088</v>
      </c>
      <c r="G1170" s="8" t="s">
        <v>15</v>
      </c>
    </row>
    <row r="1171" spans="1:7" hidden="1" x14ac:dyDescent="0.25">
      <c r="A1171" s="21">
        <v>1170</v>
      </c>
      <c r="B1171" s="7" t="s">
        <v>3089</v>
      </c>
      <c r="C1171" s="7" t="s">
        <v>3090</v>
      </c>
      <c r="G1171" s="8" t="s">
        <v>15</v>
      </c>
    </row>
    <row r="1172" spans="1:7" hidden="1" x14ac:dyDescent="0.25">
      <c r="A1172" s="21">
        <v>1171</v>
      </c>
      <c r="B1172" s="7" t="s">
        <v>3091</v>
      </c>
      <c r="C1172" s="7" t="s">
        <v>3092</v>
      </c>
      <c r="G1172" s="8" t="s">
        <v>15</v>
      </c>
    </row>
    <row r="1173" spans="1:7" hidden="1" x14ac:dyDescent="0.25">
      <c r="A1173" s="21">
        <v>1172</v>
      </c>
      <c r="B1173" s="7" t="s">
        <v>3093</v>
      </c>
      <c r="C1173" s="7" t="s">
        <v>3094</v>
      </c>
      <c r="G1173" s="8" t="s">
        <v>15</v>
      </c>
    </row>
    <row r="1174" spans="1:7" hidden="1" x14ac:dyDescent="0.25">
      <c r="A1174" s="21">
        <v>1173</v>
      </c>
      <c r="B1174" s="7" t="s">
        <v>3095</v>
      </c>
      <c r="C1174" s="7" t="s">
        <v>3096</v>
      </c>
      <c r="G1174" s="8" t="s">
        <v>15</v>
      </c>
    </row>
    <row r="1175" spans="1:7" hidden="1" x14ac:dyDescent="0.25">
      <c r="A1175" s="21">
        <v>1174</v>
      </c>
      <c r="B1175" s="7" t="s">
        <v>3097</v>
      </c>
      <c r="C1175" s="7" t="s">
        <v>3098</v>
      </c>
      <c r="G1175" s="8" t="s">
        <v>15</v>
      </c>
    </row>
    <row r="1176" spans="1:7" hidden="1" x14ac:dyDescent="0.25">
      <c r="A1176" s="21">
        <v>1175</v>
      </c>
      <c r="B1176" s="7" t="s">
        <v>3099</v>
      </c>
      <c r="C1176" s="7" t="s">
        <v>3100</v>
      </c>
      <c r="G1176" s="8" t="s">
        <v>15</v>
      </c>
    </row>
    <row r="1177" spans="1:7" hidden="1" x14ac:dyDescent="0.25">
      <c r="A1177" s="21">
        <v>1176</v>
      </c>
      <c r="B1177" s="7" t="s">
        <v>3101</v>
      </c>
      <c r="C1177" s="7" t="s">
        <v>3102</v>
      </c>
      <c r="G1177" s="8" t="s">
        <v>15</v>
      </c>
    </row>
    <row r="1178" spans="1:7" hidden="1" x14ac:dyDescent="0.25">
      <c r="A1178" s="21">
        <v>1177</v>
      </c>
      <c r="B1178" s="7" t="s">
        <v>3103</v>
      </c>
      <c r="C1178" s="7" t="s">
        <v>3104</v>
      </c>
      <c r="G1178" s="8" t="s">
        <v>15</v>
      </c>
    </row>
    <row r="1179" spans="1:7" hidden="1" x14ac:dyDescent="0.25">
      <c r="A1179" s="21">
        <v>1178</v>
      </c>
      <c r="B1179" s="7" t="s">
        <v>3105</v>
      </c>
      <c r="C1179" s="7" t="s">
        <v>3106</v>
      </c>
      <c r="G1179" s="8" t="s">
        <v>15</v>
      </c>
    </row>
    <row r="1180" spans="1:7" hidden="1" x14ac:dyDescent="0.25">
      <c r="A1180" s="21">
        <v>1179</v>
      </c>
      <c r="B1180" s="7" t="s">
        <v>3107</v>
      </c>
      <c r="C1180" s="7" t="s">
        <v>3108</v>
      </c>
      <c r="G1180" s="8" t="s">
        <v>15</v>
      </c>
    </row>
    <row r="1181" spans="1:7" hidden="1" x14ac:dyDescent="0.25">
      <c r="A1181" s="21">
        <v>1180</v>
      </c>
      <c r="B1181" s="7" t="s">
        <v>3109</v>
      </c>
      <c r="C1181" s="7" t="s">
        <v>3110</v>
      </c>
      <c r="G1181" s="8" t="s">
        <v>15</v>
      </c>
    </row>
    <row r="1182" spans="1:7" hidden="1" x14ac:dyDescent="0.25">
      <c r="A1182" s="21">
        <v>1181</v>
      </c>
      <c r="B1182" s="7" t="s">
        <v>3111</v>
      </c>
      <c r="C1182" s="7" t="s">
        <v>3112</v>
      </c>
      <c r="G1182" s="8" t="s">
        <v>15</v>
      </c>
    </row>
    <row r="1183" spans="1:7" hidden="1" x14ac:dyDescent="0.25">
      <c r="A1183" s="21">
        <v>1182</v>
      </c>
      <c r="B1183" s="7" t="s">
        <v>3113</v>
      </c>
      <c r="C1183" s="7" t="s">
        <v>3114</v>
      </c>
      <c r="G1183" s="8" t="s">
        <v>15</v>
      </c>
    </row>
    <row r="1184" spans="1:7" hidden="1" x14ac:dyDescent="0.25">
      <c r="A1184" s="21">
        <v>1183</v>
      </c>
      <c r="B1184" s="7" t="s">
        <v>3115</v>
      </c>
      <c r="C1184" s="7" t="s">
        <v>3116</v>
      </c>
      <c r="G1184" s="8" t="s">
        <v>15</v>
      </c>
    </row>
    <row r="1185" spans="1:7" hidden="1" x14ac:dyDescent="0.25">
      <c r="A1185" s="21">
        <v>1184</v>
      </c>
      <c r="B1185" s="7" t="s">
        <v>3117</v>
      </c>
      <c r="C1185" s="7" t="s">
        <v>3118</v>
      </c>
      <c r="G1185" s="8" t="s">
        <v>15</v>
      </c>
    </row>
    <row r="1186" spans="1:7" hidden="1" x14ac:dyDescent="0.25">
      <c r="A1186" s="21">
        <v>1185</v>
      </c>
      <c r="B1186" s="7" t="s">
        <v>3119</v>
      </c>
      <c r="C1186" s="7" t="s">
        <v>3120</v>
      </c>
      <c r="G1186" s="8" t="s">
        <v>15</v>
      </c>
    </row>
    <row r="1187" spans="1:7" hidden="1" x14ac:dyDescent="0.25">
      <c r="A1187" s="21">
        <v>1186</v>
      </c>
      <c r="B1187" s="7" t="s">
        <v>3121</v>
      </c>
      <c r="C1187" s="7" t="s">
        <v>3122</v>
      </c>
      <c r="G1187" s="8" t="s">
        <v>15</v>
      </c>
    </row>
    <row r="1188" spans="1:7" hidden="1" x14ac:dyDescent="0.25">
      <c r="A1188" s="21">
        <v>1187</v>
      </c>
      <c r="B1188" s="7" t="s">
        <v>3123</v>
      </c>
      <c r="C1188" s="7" t="s">
        <v>3124</v>
      </c>
      <c r="G1188" s="8" t="s">
        <v>15</v>
      </c>
    </row>
    <row r="1189" spans="1:7" hidden="1" x14ac:dyDescent="0.25">
      <c r="A1189" s="21">
        <v>1188</v>
      </c>
      <c r="B1189" s="7" t="s">
        <v>3125</v>
      </c>
      <c r="C1189" s="7" t="s">
        <v>3126</v>
      </c>
      <c r="G1189" s="8" t="s">
        <v>15</v>
      </c>
    </row>
    <row r="1190" spans="1:7" hidden="1" x14ac:dyDescent="0.25">
      <c r="A1190" s="21">
        <v>1189</v>
      </c>
      <c r="B1190" s="7" t="s">
        <v>3127</v>
      </c>
      <c r="C1190" s="7" t="s">
        <v>3128</v>
      </c>
      <c r="G1190" s="8" t="s">
        <v>15</v>
      </c>
    </row>
    <row r="1191" spans="1:7" hidden="1" x14ac:dyDescent="0.25">
      <c r="A1191" s="21">
        <v>1190</v>
      </c>
      <c r="B1191" s="7" t="s">
        <v>3129</v>
      </c>
      <c r="C1191" s="7" t="s">
        <v>3130</v>
      </c>
      <c r="G1191" s="8" t="s">
        <v>15</v>
      </c>
    </row>
    <row r="1192" spans="1:7" hidden="1" x14ac:dyDescent="0.25">
      <c r="A1192" s="21">
        <v>1191</v>
      </c>
      <c r="B1192" s="7" t="s">
        <v>3131</v>
      </c>
      <c r="C1192" s="7" t="s">
        <v>3132</v>
      </c>
      <c r="G1192" s="8" t="s">
        <v>15</v>
      </c>
    </row>
    <row r="1193" spans="1:7" hidden="1" x14ac:dyDescent="0.25">
      <c r="A1193" s="21">
        <v>1192</v>
      </c>
      <c r="B1193" s="7" t="s">
        <v>3133</v>
      </c>
      <c r="C1193" s="7" t="s">
        <v>3134</v>
      </c>
      <c r="G1193" s="8" t="s">
        <v>15</v>
      </c>
    </row>
    <row r="1194" spans="1:7" hidden="1" x14ac:dyDescent="0.25">
      <c r="A1194" s="21">
        <v>1193</v>
      </c>
      <c r="B1194" s="7" t="s">
        <v>3135</v>
      </c>
      <c r="C1194" s="7" t="s">
        <v>3136</v>
      </c>
      <c r="G1194" s="8" t="s">
        <v>15</v>
      </c>
    </row>
    <row r="1195" spans="1:7" hidden="1" x14ac:dyDescent="0.25">
      <c r="A1195" s="21">
        <v>1194</v>
      </c>
      <c r="B1195" s="7" t="s">
        <v>3137</v>
      </c>
      <c r="C1195" s="7" t="s">
        <v>3138</v>
      </c>
      <c r="G1195" s="8" t="s">
        <v>15</v>
      </c>
    </row>
    <row r="1196" spans="1:7" hidden="1" x14ac:dyDescent="0.25">
      <c r="A1196" s="21">
        <v>1195</v>
      </c>
      <c r="B1196" s="7" t="s">
        <v>3139</v>
      </c>
      <c r="C1196" s="7" t="s">
        <v>3140</v>
      </c>
      <c r="G1196" s="8" t="s">
        <v>15</v>
      </c>
    </row>
    <row r="1197" spans="1:7" hidden="1" x14ac:dyDescent="0.25">
      <c r="A1197" s="21">
        <v>1196</v>
      </c>
      <c r="B1197" s="7" t="s">
        <v>3141</v>
      </c>
      <c r="C1197" s="7" t="s">
        <v>3142</v>
      </c>
      <c r="G1197" s="8" t="s">
        <v>15</v>
      </c>
    </row>
    <row r="1198" spans="1:7" hidden="1" x14ac:dyDescent="0.25">
      <c r="A1198" s="21">
        <v>1197</v>
      </c>
      <c r="B1198" s="7" t="s">
        <v>3143</v>
      </c>
      <c r="C1198" s="7" t="s">
        <v>3144</v>
      </c>
      <c r="G1198" s="8" t="s">
        <v>15</v>
      </c>
    </row>
    <row r="1199" spans="1:7" hidden="1" x14ac:dyDescent="0.25">
      <c r="A1199" s="21">
        <v>1198</v>
      </c>
      <c r="B1199" s="7" t="s">
        <v>3145</v>
      </c>
      <c r="C1199" s="7" t="s">
        <v>3146</v>
      </c>
      <c r="G1199" s="8" t="s">
        <v>15</v>
      </c>
    </row>
    <row r="1200" spans="1:7" hidden="1" x14ac:dyDescent="0.25">
      <c r="A1200" s="21">
        <v>1199</v>
      </c>
      <c r="B1200" s="7" t="s">
        <v>3147</v>
      </c>
      <c r="C1200" s="7" t="s">
        <v>3148</v>
      </c>
      <c r="G1200" s="8" t="s">
        <v>15</v>
      </c>
    </row>
    <row r="1201" spans="1:7" hidden="1" x14ac:dyDescent="0.25">
      <c r="A1201" s="21">
        <v>1200</v>
      </c>
      <c r="B1201" s="7" t="s">
        <v>3149</v>
      </c>
      <c r="C1201" s="7" t="s">
        <v>3150</v>
      </c>
      <c r="G1201" s="8" t="s">
        <v>15</v>
      </c>
    </row>
    <row r="1202" spans="1:7" hidden="1" x14ac:dyDescent="0.25">
      <c r="A1202" s="21">
        <v>1201</v>
      </c>
      <c r="B1202" s="7" t="s">
        <v>3151</v>
      </c>
      <c r="C1202" s="7" t="s">
        <v>3152</v>
      </c>
      <c r="G1202" s="8" t="s">
        <v>15</v>
      </c>
    </row>
    <row r="1203" spans="1:7" hidden="1" x14ac:dyDescent="0.25">
      <c r="A1203" s="21">
        <v>1202</v>
      </c>
      <c r="B1203" s="7" t="s">
        <v>3153</v>
      </c>
      <c r="C1203" s="7" t="s">
        <v>3154</v>
      </c>
      <c r="G1203" s="8" t="s">
        <v>15</v>
      </c>
    </row>
    <row r="1204" spans="1:7" hidden="1" x14ac:dyDescent="0.25">
      <c r="A1204" s="21">
        <v>1203</v>
      </c>
      <c r="B1204" s="7" t="s">
        <v>3155</v>
      </c>
      <c r="C1204" s="7" t="s">
        <v>3156</v>
      </c>
      <c r="G1204" s="8" t="s">
        <v>15</v>
      </c>
    </row>
    <row r="1205" spans="1:7" hidden="1" x14ac:dyDescent="0.25">
      <c r="A1205" s="21">
        <v>1204</v>
      </c>
      <c r="B1205" s="7" t="s">
        <v>3157</v>
      </c>
      <c r="C1205" s="7" t="s">
        <v>3158</v>
      </c>
      <c r="G1205" s="8" t="s">
        <v>15</v>
      </c>
    </row>
    <row r="1206" spans="1:7" hidden="1" x14ac:dyDescent="0.25">
      <c r="A1206" s="21">
        <v>1205</v>
      </c>
      <c r="B1206" s="7" t="s">
        <v>3159</v>
      </c>
      <c r="C1206" s="7" t="s">
        <v>3160</v>
      </c>
      <c r="G1206" s="8" t="s">
        <v>15</v>
      </c>
    </row>
    <row r="1207" spans="1:7" hidden="1" x14ac:dyDescent="0.25">
      <c r="A1207" s="21">
        <v>1206</v>
      </c>
      <c r="B1207" s="7" t="s">
        <v>3161</v>
      </c>
      <c r="C1207" s="7" t="s">
        <v>3162</v>
      </c>
      <c r="G1207" s="8" t="s">
        <v>15</v>
      </c>
    </row>
    <row r="1208" spans="1:7" hidden="1" x14ac:dyDescent="0.25">
      <c r="A1208" s="21">
        <v>1207</v>
      </c>
      <c r="B1208" s="7" t="s">
        <v>3163</v>
      </c>
      <c r="C1208" s="7" t="s">
        <v>3164</v>
      </c>
      <c r="G1208" s="8" t="s">
        <v>15</v>
      </c>
    </row>
    <row r="1209" spans="1:7" hidden="1" x14ac:dyDescent="0.25">
      <c r="A1209" s="21">
        <v>1208</v>
      </c>
      <c r="B1209" s="7" t="s">
        <v>3165</v>
      </c>
      <c r="C1209" s="7" t="s">
        <v>3166</v>
      </c>
      <c r="G1209" s="8" t="s">
        <v>15</v>
      </c>
    </row>
    <row r="1210" spans="1:7" hidden="1" x14ac:dyDescent="0.25">
      <c r="A1210" s="21">
        <v>1209</v>
      </c>
      <c r="B1210" s="7" t="s">
        <v>3167</v>
      </c>
      <c r="C1210" s="7" t="s">
        <v>3168</v>
      </c>
      <c r="G1210" s="8" t="s">
        <v>15</v>
      </c>
    </row>
    <row r="1211" spans="1:7" hidden="1" x14ac:dyDescent="0.25">
      <c r="A1211" s="21">
        <v>1210</v>
      </c>
      <c r="B1211" s="7" t="s">
        <v>3169</v>
      </c>
      <c r="C1211" s="7" t="s">
        <v>3170</v>
      </c>
      <c r="G1211" s="8" t="s">
        <v>15</v>
      </c>
    </row>
    <row r="1212" spans="1:7" hidden="1" x14ac:dyDescent="0.25">
      <c r="A1212" s="21">
        <v>1211</v>
      </c>
      <c r="B1212" s="7" t="s">
        <v>3171</v>
      </c>
      <c r="C1212" s="7" t="s">
        <v>3172</v>
      </c>
      <c r="G1212" s="8" t="s">
        <v>15</v>
      </c>
    </row>
    <row r="1213" spans="1:7" hidden="1" x14ac:dyDescent="0.25">
      <c r="A1213" s="21">
        <v>1212</v>
      </c>
      <c r="B1213" s="7" t="s">
        <v>3173</v>
      </c>
      <c r="C1213" s="7" t="s">
        <v>3174</v>
      </c>
      <c r="G1213" s="8" t="s">
        <v>15</v>
      </c>
    </row>
    <row r="1214" spans="1:7" hidden="1" x14ac:dyDescent="0.25">
      <c r="A1214" s="21">
        <v>1213</v>
      </c>
      <c r="B1214" s="7" t="s">
        <v>3175</v>
      </c>
      <c r="C1214" s="7" t="s">
        <v>3176</v>
      </c>
      <c r="G1214" s="8" t="s">
        <v>15</v>
      </c>
    </row>
    <row r="1215" spans="1:7" hidden="1" x14ac:dyDescent="0.25">
      <c r="A1215" s="21">
        <v>1214</v>
      </c>
      <c r="B1215" s="7" t="s">
        <v>3177</v>
      </c>
      <c r="C1215" s="7" t="s">
        <v>3178</v>
      </c>
      <c r="G1215" s="8" t="s">
        <v>15</v>
      </c>
    </row>
    <row r="1216" spans="1:7" hidden="1" x14ac:dyDescent="0.25">
      <c r="A1216" s="21">
        <v>1215</v>
      </c>
      <c r="B1216" s="7" t="s">
        <v>3179</v>
      </c>
      <c r="C1216" s="7" t="s">
        <v>3180</v>
      </c>
      <c r="G1216" s="8" t="s">
        <v>15</v>
      </c>
    </row>
    <row r="1217" spans="1:7" hidden="1" x14ac:dyDescent="0.25">
      <c r="A1217" s="21">
        <v>1216</v>
      </c>
      <c r="B1217" s="7" t="s">
        <v>3181</v>
      </c>
      <c r="C1217" s="7" t="s">
        <v>3182</v>
      </c>
      <c r="G1217" s="8" t="s">
        <v>15</v>
      </c>
    </row>
    <row r="1218" spans="1:7" hidden="1" x14ac:dyDescent="0.25">
      <c r="A1218" s="21">
        <v>1217</v>
      </c>
      <c r="B1218" s="7" t="s">
        <v>3183</v>
      </c>
      <c r="C1218" s="7" t="s">
        <v>3184</v>
      </c>
      <c r="G1218" s="8" t="s">
        <v>15</v>
      </c>
    </row>
    <row r="1219" spans="1:7" hidden="1" x14ac:dyDescent="0.25">
      <c r="A1219" s="21">
        <v>1218</v>
      </c>
      <c r="B1219" s="7" t="s">
        <v>3185</v>
      </c>
      <c r="C1219" s="7" t="s">
        <v>3186</v>
      </c>
      <c r="G1219" s="8" t="s">
        <v>15</v>
      </c>
    </row>
    <row r="1220" spans="1:7" hidden="1" x14ac:dyDescent="0.25">
      <c r="A1220" s="21">
        <v>1219</v>
      </c>
      <c r="B1220" s="7" t="s">
        <v>3187</v>
      </c>
      <c r="C1220" s="7" t="s">
        <v>3188</v>
      </c>
      <c r="G1220" s="8" t="s">
        <v>15</v>
      </c>
    </row>
    <row r="1221" spans="1:7" hidden="1" x14ac:dyDescent="0.25">
      <c r="A1221" s="21">
        <v>1220</v>
      </c>
      <c r="B1221" s="7" t="s">
        <v>3189</v>
      </c>
      <c r="C1221" s="7" t="s">
        <v>3190</v>
      </c>
      <c r="G1221" s="8" t="s">
        <v>15</v>
      </c>
    </row>
    <row r="1222" spans="1:7" hidden="1" x14ac:dyDescent="0.25">
      <c r="A1222" s="21">
        <v>1221</v>
      </c>
      <c r="B1222" s="7" t="s">
        <v>3191</v>
      </c>
      <c r="C1222" s="7" t="s">
        <v>3192</v>
      </c>
      <c r="G1222" s="8" t="s">
        <v>15</v>
      </c>
    </row>
    <row r="1223" spans="1:7" hidden="1" x14ac:dyDescent="0.25">
      <c r="A1223" s="21">
        <v>1222</v>
      </c>
      <c r="B1223" s="7" t="s">
        <v>3193</v>
      </c>
      <c r="C1223" s="7" t="s">
        <v>3194</v>
      </c>
      <c r="G1223" s="8" t="s">
        <v>15</v>
      </c>
    </row>
    <row r="1224" spans="1:7" hidden="1" x14ac:dyDescent="0.25">
      <c r="A1224" s="21">
        <v>1223</v>
      </c>
      <c r="B1224" s="7" t="s">
        <v>3195</v>
      </c>
      <c r="C1224" s="7" t="s">
        <v>3196</v>
      </c>
      <c r="G1224" s="8" t="s">
        <v>15</v>
      </c>
    </row>
    <row r="1225" spans="1:7" hidden="1" x14ac:dyDescent="0.25">
      <c r="A1225" s="21">
        <v>1224</v>
      </c>
      <c r="B1225" s="7" t="s">
        <v>3197</v>
      </c>
      <c r="C1225" s="7" t="s">
        <v>3198</v>
      </c>
      <c r="G1225" s="8" t="s">
        <v>15</v>
      </c>
    </row>
    <row r="1226" spans="1:7" hidden="1" x14ac:dyDescent="0.25">
      <c r="A1226" s="21">
        <v>1225</v>
      </c>
      <c r="B1226" s="7" t="s">
        <v>3199</v>
      </c>
      <c r="C1226" s="7" t="s">
        <v>3200</v>
      </c>
      <c r="G1226" s="8" t="s">
        <v>15</v>
      </c>
    </row>
    <row r="1227" spans="1:7" hidden="1" x14ac:dyDescent="0.25">
      <c r="A1227" s="21">
        <v>1226</v>
      </c>
      <c r="B1227" s="7" t="s">
        <v>3201</v>
      </c>
      <c r="C1227" s="7" t="s">
        <v>3202</v>
      </c>
      <c r="G1227" s="8" t="s">
        <v>15</v>
      </c>
    </row>
    <row r="1228" spans="1:7" hidden="1" x14ac:dyDescent="0.25">
      <c r="A1228" s="21">
        <v>1227</v>
      </c>
      <c r="B1228" s="7" t="s">
        <v>3203</v>
      </c>
      <c r="C1228" s="7" t="s">
        <v>3204</v>
      </c>
      <c r="G1228" s="8" t="s">
        <v>15</v>
      </c>
    </row>
    <row r="1229" spans="1:7" hidden="1" x14ac:dyDescent="0.25">
      <c r="A1229" s="21">
        <v>1228</v>
      </c>
      <c r="B1229" s="7" t="s">
        <v>3205</v>
      </c>
      <c r="C1229" s="7" t="s">
        <v>3206</v>
      </c>
      <c r="G1229" s="8" t="s">
        <v>15</v>
      </c>
    </row>
    <row r="1230" spans="1:7" hidden="1" x14ac:dyDescent="0.25">
      <c r="A1230" s="21">
        <v>1229</v>
      </c>
      <c r="B1230" s="7" t="s">
        <v>3207</v>
      </c>
      <c r="C1230" s="7" t="s">
        <v>3208</v>
      </c>
      <c r="G1230" s="8" t="s">
        <v>15</v>
      </c>
    </row>
    <row r="1231" spans="1:7" hidden="1" x14ac:dyDescent="0.25">
      <c r="A1231" s="21">
        <v>1230</v>
      </c>
      <c r="B1231" s="7" t="s">
        <v>3209</v>
      </c>
      <c r="C1231" s="7" t="s">
        <v>3210</v>
      </c>
      <c r="G1231" s="8" t="s">
        <v>15</v>
      </c>
    </row>
    <row r="1232" spans="1:7" hidden="1" x14ac:dyDescent="0.25">
      <c r="A1232" s="21">
        <v>1231</v>
      </c>
      <c r="B1232" s="7" t="s">
        <v>3211</v>
      </c>
      <c r="C1232" s="7" t="s">
        <v>3212</v>
      </c>
      <c r="G1232" s="8" t="s">
        <v>15</v>
      </c>
    </row>
    <row r="1233" spans="1:7" hidden="1" x14ac:dyDescent="0.25">
      <c r="A1233" s="21">
        <v>1232</v>
      </c>
      <c r="B1233" s="7" t="s">
        <v>3213</v>
      </c>
      <c r="C1233" s="7" t="s">
        <v>3214</v>
      </c>
      <c r="G1233" s="8" t="s">
        <v>15</v>
      </c>
    </row>
    <row r="1234" spans="1:7" hidden="1" x14ac:dyDescent="0.25">
      <c r="A1234" s="21">
        <v>1233</v>
      </c>
      <c r="B1234" s="7" t="s">
        <v>3215</v>
      </c>
      <c r="C1234" s="7" t="s">
        <v>3216</v>
      </c>
      <c r="G1234" s="8" t="s">
        <v>15</v>
      </c>
    </row>
    <row r="1235" spans="1:7" hidden="1" x14ac:dyDescent="0.25">
      <c r="A1235" s="21">
        <v>1234</v>
      </c>
      <c r="B1235" s="7" t="s">
        <v>3217</v>
      </c>
      <c r="C1235" s="7" t="s">
        <v>3218</v>
      </c>
      <c r="G1235" s="8" t="s">
        <v>15</v>
      </c>
    </row>
    <row r="1236" spans="1:7" hidden="1" x14ac:dyDescent="0.25">
      <c r="A1236" s="21">
        <v>1235</v>
      </c>
      <c r="B1236" s="7" t="s">
        <v>3219</v>
      </c>
      <c r="C1236" s="7" t="s">
        <v>3220</v>
      </c>
      <c r="G1236" s="8" t="s">
        <v>15</v>
      </c>
    </row>
    <row r="1237" spans="1:7" hidden="1" x14ac:dyDescent="0.25">
      <c r="A1237" s="21">
        <v>1236</v>
      </c>
      <c r="B1237" s="7" t="s">
        <v>3221</v>
      </c>
      <c r="C1237" s="7" t="s">
        <v>3222</v>
      </c>
      <c r="G1237" s="8" t="s">
        <v>15</v>
      </c>
    </row>
    <row r="1238" spans="1:7" hidden="1" x14ac:dyDescent="0.25">
      <c r="A1238" s="21">
        <v>1237</v>
      </c>
      <c r="B1238" s="7" t="s">
        <v>3223</v>
      </c>
      <c r="C1238" s="7" t="s">
        <v>3224</v>
      </c>
      <c r="G1238" s="8" t="s">
        <v>15</v>
      </c>
    </row>
    <row r="1239" spans="1:7" hidden="1" x14ac:dyDescent="0.25">
      <c r="A1239" s="21">
        <v>1238</v>
      </c>
      <c r="B1239" s="7" t="s">
        <v>3225</v>
      </c>
      <c r="C1239" s="7" t="s">
        <v>3226</v>
      </c>
      <c r="G1239" s="8" t="s">
        <v>15</v>
      </c>
    </row>
    <row r="1240" spans="1:7" hidden="1" x14ac:dyDescent="0.25">
      <c r="A1240" s="21">
        <v>1239</v>
      </c>
      <c r="B1240" s="7" t="s">
        <v>3227</v>
      </c>
      <c r="C1240" s="7" t="s">
        <v>3228</v>
      </c>
      <c r="G1240" s="8" t="s">
        <v>15</v>
      </c>
    </row>
    <row r="1241" spans="1:7" hidden="1" x14ac:dyDescent="0.25">
      <c r="A1241" s="21">
        <v>1240</v>
      </c>
      <c r="B1241" s="7" t="s">
        <v>3229</v>
      </c>
      <c r="C1241" s="7" t="s">
        <v>3230</v>
      </c>
      <c r="G1241" s="8" t="s">
        <v>15</v>
      </c>
    </row>
    <row r="1242" spans="1:7" hidden="1" x14ac:dyDescent="0.25">
      <c r="A1242" s="21">
        <v>1241</v>
      </c>
      <c r="B1242" s="7" t="s">
        <v>3231</v>
      </c>
      <c r="C1242" s="7" t="s">
        <v>3232</v>
      </c>
      <c r="G1242" s="8" t="s">
        <v>15</v>
      </c>
    </row>
    <row r="1243" spans="1:7" hidden="1" x14ac:dyDescent="0.25">
      <c r="A1243" s="21">
        <v>1242</v>
      </c>
      <c r="B1243" s="7" t="s">
        <v>3233</v>
      </c>
      <c r="C1243" s="7" t="s">
        <v>3234</v>
      </c>
      <c r="G1243" s="8" t="s">
        <v>15</v>
      </c>
    </row>
    <row r="1244" spans="1:7" hidden="1" x14ac:dyDescent="0.25">
      <c r="A1244" s="21">
        <v>1243</v>
      </c>
      <c r="B1244" s="7" t="s">
        <v>3235</v>
      </c>
      <c r="C1244" s="7" t="s">
        <v>3236</v>
      </c>
      <c r="G1244" s="8" t="s">
        <v>15</v>
      </c>
    </row>
    <row r="1245" spans="1:7" hidden="1" x14ac:dyDescent="0.25">
      <c r="A1245" s="21">
        <v>1244</v>
      </c>
      <c r="B1245" s="7" t="s">
        <v>3237</v>
      </c>
      <c r="C1245" s="7" t="s">
        <v>3238</v>
      </c>
      <c r="G1245" s="8" t="s">
        <v>15</v>
      </c>
    </row>
    <row r="1246" spans="1:7" hidden="1" x14ac:dyDescent="0.25">
      <c r="A1246" s="21">
        <v>1245</v>
      </c>
      <c r="B1246" s="7" t="s">
        <v>3239</v>
      </c>
      <c r="C1246" s="7" t="s">
        <v>3240</v>
      </c>
      <c r="G1246" s="8" t="s">
        <v>15</v>
      </c>
    </row>
    <row r="1247" spans="1:7" hidden="1" x14ac:dyDescent="0.25">
      <c r="A1247" s="21">
        <v>1246</v>
      </c>
      <c r="B1247" s="7" t="s">
        <v>3241</v>
      </c>
      <c r="C1247" s="7" t="s">
        <v>3242</v>
      </c>
      <c r="G1247" s="8" t="s">
        <v>15</v>
      </c>
    </row>
    <row r="1248" spans="1:7" hidden="1" x14ac:dyDescent="0.25">
      <c r="A1248" s="21">
        <v>1247</v>
      </c>
      <c r="B1248" s="7" t="s">
        <v>3243</v>
      </c>
      <c r="C1248" s="7" t="s">
        <v>3244</v>
      </c>
      <c r="G1248" s="8" t="s">
        <v>15</v>
      </c>
    </row>
    <row r="1249" spans="1:7" hidden="1" x14ac:dyDescent="0.25">
      <c r="A1249" s="21">
        <v>1248</v>
      </c>
      <c r="B1249" s="7" t="s">
        <v>3245</v>
      </c>
      <c r="C1249" s="7" t="s">
        <v>3246</v>
      </c>
      <c r="G1249" s="8" t="s">
        <v>15</v>
      </c>
    </row>
    <row r="1250" spans="1:7" hidden="1" x14ac:dyDescent="0.25">
      <c r="A1250" s="21">
        <v>1249</v>
      </c>
      <c r="B1250" s="7" t="s">
        <v>3247</v>
      </c>
      <c r="C1250" s="7" t="s">
        <v>3248</v>
      </c>
      <c r="G1250" s="8" t="s">
        <v>15</v>
      </c>
    </row>
    <row r="1251" spans="1:7" hidden="1" x14ac:dyDescent="0.25">
      <c r="A1251" s="21">
        <v>1250</v>
      </c>
      <c r="B1251" s="7" t="s">
        <v>3249</v>
      </c>
      <c r="C1251" s="7" t="s">
        <v>3250</v>
      </c>
      <c r="G1251" s="8" t="s">
        <v>15</v>
      </c>
    </row>
    <row r="1252" spans="1:7" hidden="1" x14ac:dyDescent="0.25">
      <c r="A1252" s="21">
        <v>1251</v>
      </c>
      <c r="B1252" s="7" t="s">
        <v>3251</v>
      </c>
      <c r="C1252" s="7" t="s">
        <v>3252</v>
      </c>
      <c r="G1252" s="8" t="s">
        <v>15</v>
      </c>
    </row>
    <row r="1253" spans="1:7" hidden="1" x14ac:dyDescent="0.25">
      <c r="A1253" s="21">
        <v>1252</v>
      </c>
      <c r="B1253" s="7" t="s">
        <v>3253</v>
      </c>
      <c r="C1253" s="7" t="s">
        <v>3254</v>
      </c>
      <c r="G1253" s="8" t="s">
        <v>15</v>
      </c>
    </row>
    <row r="1254" spans="1:7" hidden="1" x14ac:dyDescent="0.25">
      <c r="A1254" s="21">
        <v>1253</v>
      </c>
      <c r="B1254" s="7" t="s">
        <v>3255</v>
      </c>
      <c r="C1254" s="7" t="s">
        <v>3256</v>
      </c>
      <c r="G1254" s="8" t="s">
        <v>15</v>
      </c>
    </row>
    <row r="1255" spans="1:7" hidden="1" x14ac:dyDescent="0.25">
      <c r="A1255" s="21">
        <v>1254</v>
      </c>
      <c r="B1255" s="7" t="s">
        <v>3257</v>
      </c>
      <c r="C1255" s="7" t="s">
        <v>3258</v>
      </c>
      <c r="G1255" s="8" t="s">
        <v>15</v>
      </c>
    </row>
    <row r="1256" spans="1:7" hidden="1" x14ac:dyDescent="0.25">
      <c r="A1256" s="21">
        <v>1255</v>
      </c>
      <c r="B1256" s="7" t="s">
        <v>3259</v>
      </c>
      <c r="C1256" s="7" t="s">
        <v>3260</v>
      </c>
      <c r="G1256" s="8" t="s">
        <v>15</v>
      </c>
    </row>
    <row r="1257" spans="1:7" hidden="1" x14ac:dyDescent="0.25">
      <c r="A1257" s="21">
        <v>1256</v>
      </c>
      <c r="B1257" s="7" t="s">
        <v>3261</v>
      </c>
      <c r="C1257" s="7" t="s">
        <v>3262</v>
      </c>
      <c r="G1257" s="8" t="s">
        <v>15</v>
      </c>
    </row>
    <row r="1258" spans="1:7" hidden="1" x14ac:dyDescent="0.25">
      <c r="A1258" s="21">
        <v>1257</v>
      </c>
      <c r="B1258" s="7" t="s">
        <v>3263</v>
      </c>
      <c r="C1258" s="7" t="s">
        <v>3264</v>
      </c>
      <c r="G1258" s="8" t="s">
        <v>15</v>
      </c>
    </row>
    <row r="1259" spans="1:7" hidden="1" x14ac:dyDescent="0.25">
      <c r="A1259" s="21">
        <v>1258</v>
      </c>
      <c r="B1259" s="7" t="s">
        <v>3265</v>
      </c>
      <c r="C1259" s="7" t="s">
        <v>3266</v>
      </c>
      <c r="G1259" s="8" t="s">
        <v>15</v>
      </c>
    </row>
    <row r="1260" spans="1:7" hidden="1" x14ac:dyDescent="0.25">
      <c r="A1260" s="21">
        <v>1259</v>
      </c>
      <c r="B1260" s="7" t="s">
        <v>3267</v>
      </c>
      <c r="C1260" s="7" t="s">
        <v>3268</v>
      </c>
      <c r="G1260" s="8" t="s">
        <v>15</v>
      </c>
    </row>
    <row r="1261" spans="1:7" hidden="1" x14ac:dyDescent="0.25">
      <c r="A1261" s="21">
        <v>1260</v>
      </c>
      <c r="B1261" s="7" t="s">
        <v>3269</v>
      </c>
      <c r="C1261" s="7" t="s">
        <v>3270</v>
      </c>
      <c r="G1261" s="8" t="s">
        <v>15</v>
      </c>
    </row>
    <row r="1262" spans="1:7" hidden="1" x14ac:dyDescent="0.25">
      <c r="A1262" s="21">
        <v>1261</v>
      </c>
      <c r="B1262" s="7" t="s">
        <v>3271</v>
      </c>
      <c r="C1262" s="7" t="s">
        <v>3272</v>
      </c>
      <c r="G1262" s="8" t="s">
        <v>15</v>
      </c>
    </row>
    <row r="1263" spans="1:7" hidden="1" x14ac:dyDescent="0.25">
      <c r="A1263" s="21">
        <v>1262</v>
      </c>
      <c r="B1263" s="7" t="s">
        <v>3273</v>
      </c>
      <c r="C1263" s="7" t="s">
        <v>3274</v>
      </c>
      <c r="G1263" s="8" t="s">
        <v>15</v>
      </c>
    </row>
    <row r="1264" spans="1:7" hidden="1" x14ac:dyDescent="0.25">
      <c r="A1264" s="21">
        <v>1263</v>
      </c>
      <c r="B1264" s="7" t="s">
        <v>3275</v>
      </c>
      <c r="C1264" s="7" t="s">
        <v>3276</v>
      </c>
      <c r="G1264" s="8" t="s">
        <v>15</v>
      </c>
    </row>
    <row r="1265" spans="1:7" hidden="1" x14ac:dyDescent="0.25">
      <c r="A1265" s="21">
        <v>1264</v>
      </c>
      <c r="B1265" s="7" t="s">
        <v>3277</v>
      </c>
      <c r="C1265" s="7" t="s">
        <v>3278</v>
      </c>
      <c r="G1265" s="8" t="s">
        <v>15</v>
      </c>
    </row>
    <row r="1266" spans="1:7" hidden="1" x14ac:dyDescent="0.25">
      <c r="A1266" s="21">
        <v>1265</v>
      </c>
      <c r="B1266" s="7" t="s">
        <v>3279</v>
      </c>
      <c r="C1266" s="7" t="s">
        <v>3280</v>
      </c>
      <c r="G1266" s="8" t="s">
        <v>15</v>
      </c>
    </row>
    <row r="1267" spans="1:7" hidden="1" x14ac:dyDescent="0.25">
      <c r="A1267" s="21">
        <v>1266</v>
      </c>
      <c r="B1267" s="7" t="s">
        <v>3281</v>
      </c>
      <c r="C1267" s="7" t="s">
        <v>3282</v>
      </c>
      <c r="G1267" s="8" t="s">
        <v>15</v>
      </c>
    </row>
    <row r="1268" spans="1:7" hidden="1" x14ac:dyDescent="0.25">
      <c r="A1268" s="21">
        <v>1267</v>
      </c>
      <c r="B1268" s="7" t="s">
        <v>3283</v>
      </c>
      <c r="C1268" s="7" t="s">
        <v>3284</v>
      </c>
      <c r="G1268" s="8" t="s">
        <v>15</v>
      </c>
    </row>
    <row r="1269" spans="1:7" hidden="1" x14ac:dyDescent="0.25">
      <c r="A1269" s="21">
        <v>1268</v>
      </c>
      <c r="B1269" s="7" t="s">
        <v>3285</v>
      </c>
      <c r="C1269" s="7" t="s">
        <v>3286</v>
      </c>
      <c r="G1269" s="8" t="s">
        <v>15</v>
      </c>
    </row>
    <row r="1270" spans="1:7" hidden="1" x14ac:dyDescent="0.25">
      <c r="A1270" s="21">
        <v>1269</v>
      </c>
      <c r="B1270" s="7" t="s">
        <v>3287</v>
      </c>
      <c r="C1270" s="7" t="s">
        <v>3288</v>
      </c>
      <c r="G1270" s="8" t="s">
        <v>15</v>
      </c>
    </row>
    <row r="1271" spans="1:7" hidden="1" x14ac:dyDescent="0.25">
      <c r="A1271" s="21">
        <v>1270</v>
      </c>
      <c r="B1271" s="7" t="s">
        <v>3289</v>
      </c>
      <c r="C1271" s="7" t="s">
        <v>3290</v>
      </c>
      <c r="G1271" s="8" t="s">
        <v>15</v>
      </c>
    </row>
    <row r="1272" spans="1:7" hidden="1" x14ac:dyDescent="0.25">
      <c r="A1272" s="21">
        <v>1271</v>
      </c>
      <c r="B1272" s="7" t="s">
        <v>3291</v>
      </c>
      <c r="C1272" s="7" t="s">
        <v>3292</v>
      </c>
      <c r="G1272" s="8" t="s">
        <v>15</v>
      </c>
    </row>
    <row r="1273" spans="1:7" hidden="1" x14ac:dyDescent="0.25">
      <c r="A1273" s="21">
        <v>1272</v>
      </c>
      <c r="B1273" s="7" t="s">
        <v>3293</v>
      </c>
      <c r="C1273" s="7" t="s">
        <v>3294</v>
      </c>
      <c r="G1273" s="8" t="s">
        <v>15</v>
      </c>
    </row>
    <row r="1274" spans="1:7" hidden="1" x14ac:dyDescent="0.25">
      <c r="A1274" s="21">
        <v>1273</v>
      </c>
      <c r="B1274" s="7" t="s">
        <v>3295</v>
      </c>
      <c r="C1274" s="7" t="s">
        <v>3296</v>
      </c>
      <c r="G1274" s="8" t="s">
        <v>15</v>
      </c>
    </row>
    <row r="1275" spans="1:7" hidden="1" x14ac:dyDescent="0.25">
      <c r="A1275" s="21">
        <v>1274</v>
      </c>
      <c r="B1275" s="7" t="s">
        <v>3297</v>
      </c>
      <c r="C1275" s="7" t="s">
        <v>3298</v>
      </c>
      <c r="G1275" s="8" t="s">
        <v>15</v>
      </c>
    </row>
    <row r="1276" spans="1:7" hidden="1" x14ac:dyDescent="0.25">
      <c r="A1276" s="21">
        <v>1275</v>
      </c>
      <c r="B1276" s="7" t="s">
        <v>3299</v>
      </c>
      <c r="C1276" s="7" t="s">
        <v>3300</v>
      </c>
      <c r="G1276" s="8" t="s">
        <v>15</v>
      </c>
    </row>
    <row r="1277" spans="1:7" hidden="1" x14ac:dyDescent="0.25">
      <c r="A1277" s="21">
        <v>1276</v>
      </c>
      <c r="B1277" s="7" t="s">
        <v>3301</v>
      </c>
      <c r="C1277" s="7" t="s">
        <v>3302</v>
      </c>
      <c r="F1277" s="8" t="s">
        <v>3303</v>
      </c>
      <c r="G1277" s="8" t="s">
        <v>15</v>
      </c>
    </row>
    <row r="1278" spans="1:7" hidden="1" x14ac:dyDescent="0.25">
      <c r="A1278" s="21">
        <v>1277</v>
      </c>
      <c r="B1278" s="7" t="s">
        <v>3304</v>
      </c>
      <c r="C1278" s="7" t="s">
        <v>3305</v>
      </c>
      <c r="F1278" t="s">
        <v>3306</v>
      </c>
      <c r="G1278" s="8" t="s">
        <v>15</v>
      </c>
    </row>
    <row r="1279" spans="1:7" hidden="1" x14ac:dyDescent="0.25">
      <c r="A1279" s="21">
        <v>1278</v>
      </c>
      <c r="B1279" s="7" t="s">
        <v>3307</v>
      </c>
      <c r="C1279" s="7" t="s">
        <v>3308</v>
      </c>
      <c r="G1279" s="8" t="s">
        <v>15</v>
      </c>
    </row>
    <row r="1280" spans="1:7" hidden="1" x14ac:dyDescent="0.25">
      <c r="A1280" s="21">
        <v>1279</v>
      </c>
      <c r="B1280" s="7" t="s">
        <v>3309</v>
      </c>
      <c r="C1280" s="7" t="s">
        <v>3310</v>
      </c>
      <c r="G1280" s="8" t="s">
        <v>15</v>
      </c>
    </row>
    <row r="1281" spans="1:7" hidden="1" x14ac:dyDescent="0.25">
      <c r="A1281" s="21">
        <v>1280</v>
      </c>
      <c r="B1281" s="7" t="s">
        <v>3311</v>
      </c>
      <c r="C1281" s="7" t="s">
        <v>3312</v>
      </c>
      <c r="G1281" s="8" t="s">
        <v>15</v>
      </c>
    </row>
    <row r="1282" spans="1:7" hidden="1" x14ac:dyDescent="0.25">
      <c r="A1282" s="21">
        <v>1281</v>
      </c>
      <c r="B1282" s="7" t="s">
        <v>3313</v>
      </c>
      <c r="C1282" s="7" t="s">
        <v>3314</v>
      </c>
      <c r="G1282" s="8" t="s">
        <v>15</v>
      </c>
    </row>
    <row r="1283" spans="1:7" hidden="1" x14ac:dyDescent="0.25">
      <c r="A1283" s="21">
        <v>1282</v>
      </c>
      <c r="B1283" s="7" t="s">
        <v>3315</v>
      </c>
      <c r="C1283" s="7" t="s">
        <v>3316</v>
      </c>
      <c r="G1283" s="8" t="s">
        <v>15</v>
      </c>
    </row>
    <row r="1284" spans="1:7" hidden="1" x14ac:dyDescent="0.25">
      <c r="A1284" s="21">
        <v>1283</v>
      </c>
      <c r="B1284" s="7" t="s">
        <v>3317</v>
      </c>
      <c r="C1284" s="7" t="s">
        <v>3318</v>
      </c>
      <c r="G1284" s="8" t="s">
        <v>15</v>
      </c>
    </row>
    <row r="1285" spans="1:7" hidden="1" x14ac:dyDescent="0.25">
      <c r="A1285" s="21">
        <v>1284</v>
      </c>
      <c r="B1285" s="7" t="s">
        <v>3319</v>
      </c>
      <c r="C1285" s="7" t="s">
        <v>3320</v>
      </c>
      <c r="G1285" s="8" t="s">
        <v>15</v>
      </c>
    </row>
    <row r="1286" spans="1:7" hidden="1" x14ac:dyDescent="0.25">
      <c r="A1286" s="21">
        <v>1285</v>
      </c>
      <c r="B1286" s="7" t="s">
        <v>3321</v>
      </c>
      <c r="C1286" s="7" t="s">
        <v>3322</v>
      </c>
      <c r="G1286" s="8" t="s">
        <v>15</v>
      </c>
    </row>
    <row r="1287" spans="1:7" hidden="1" x14ac:dyDescent="0.25">
      <c r="A1287" s="21">
        <v>1286</v>
      </c>
      <c r="B1287" s="7" t="s">
        <v>3323</v>
      </c>
      <c r="C1287" s="7" t="s">
        <v>3324</v>
      </c>
      <c r="G1287" s="8" t="s">
        <v>15</v>
      </c>
    </row>
    <row r="1288" spans="1:7" hidden="1" x14ac:dyDescent="0.25">
      <c r="A1288" s="21">
        <v>1287</v>
      </c>
      <c r="B1288" s="7" t="s">
        <v>3325</v>
      </c>
      <c r="C1288" s="7" t="s">
        <v>3326</v>
      </c>
      <c r="G1288" s="8" t="s">
        <v>15</v>
      </c>
    </row>
    <row r="1289" spans="1:7" hidden="1" x14ac:dyDescent="0.25">
      <c r="A1289" s="21">
        <v>1288</v>
      </c>
      <c r="B1289" s="7" t="s">
        <v>3327</v>
      </c>
      <c r="C1289" s="7" t="s">
        <v>3328</v>
      </c>
      <c r="G1289" s="8" t="s">
        <v>15</v>
      </c>
    </row>
    <row r="1290" spans="1:7" hidden="1" x14ac:dyDescent="0.25">
      <c r="A1290" s="21">
        <v>1289</v>
      </c>
      <c r="B1290" s="7" t="s">
        <v>3329</v>
      </c>
      <c r="C1290" s="7" t="s">
        <v>3330</v>
      </c>
      <c r="G1290" s="8" t="s">
        <v>15</v>
      </c>
    </row>
    <row r="1291" spans="1:7" hidden="1" x14ac:dyDescent="0.25">
      <c r="A1291" s="21">
        <v>1290</v>
      </c>
      <c r="B1291" s="7" t="s">
        <v>3331</v>
      </c>
      <c r="C1291" s="7" t="s">
        <v>3332</v>
      </c>
      <c r="G1291" s="8" t="s">
        <v>15</v>
      </c>
    </row>
    <row r="1292" spans="1:7" hidden="1" x14ac:dyDescent="0.25">
      <c r="A1292" s="21">
        <v>1291</v>
      </c>
      <c r="B1292" s="7" t="s">
        <v>3333</v>
      </c>
      <c r="C1292" s="7" t="s">
        <v>3334</v>
      </c>
      <c r="G1292" s="8" t="s">
        <v>15</v>
      </c>
    </row>
    <row r="1293" spans="1:7" hidden="1" x14ac:dyDescent="0.25">
      <c r="A1293" s="21">
        <v>1292</v>
      </c>
      <c r="B1293" s="7" t="s">
        <v>3335</v>
      </c>
      <c r="C1293" s="7" t="s">
        <v>3336</v>
      </c>
      <c r="G1293" s="8" t="s">
        <v>15</v>
      </c>
    </row>
    <row r="1294" spans="1:7" hidden="1" x14ac:dyDescent="0.25">
      <c r="A1294" s="21">
        <v>1293</v>
      </c>
      <c r="B1294" s="7" t="s">
        <v>3337</v>
      </c>
      <c r="C1294" s="7" t="s">
        <v>3338</v>
      </c>
      <c r="G1294" s="8" t="s">
        <v>15</v>
      </c>
    </row>
    <row r="1295" spans="1:7" hidden="1" x14ac:dyDescent="0.25">
      <c r="A1295" s="21">
        <v>1294</v>
      </c>
      <c r="B1295" s="7" t="s">
        <v>3339</v>
      </c>
      <c r="C1295" s="7" t="s">
        <v>3340</v>
      </c>
      <c r="G1295" s="8" t="s">
        <v>15</v>
      </c>
    </row>
    <row r="1296" spans="1:7" hidden="1" x14ac:dyDescent="0.25">
      <c r="A1296" s="21">
        <v>1295</v>
      </c>
      <c r="B1296" s="7" t="s">
        <v>3341</v>
      </c>
      <c r="C1296" s="7" t="s">
        <v>3342</v>
      </c>
      <c r="G1296" s="8" t="s">
        <v>15</v>
      </c>
    </row>
    <row r="1297" spans="1:7" hidden="1" x14ac:dyDescent="0.25">
      <c r="A1297" s="21">
        <v>1296</v>
      </c>
      <c r="B1297" s="7" t="s">
        <v>3343</v>
      </c>
      <c r="C1297" s="7" t="s">
        <v>3344</v>
      </c>
      <c r="F1297" t="s">
        <v>1522</v>
      </c>
      <c r="G1297" s="8" t="s">
        <v>15</v>
      </c>
    </row>
    <row r="1298" spans="1:7" hidden="1" x14ac:dyDescent="0.25">
      <c r="A1298" s="21">
        <v>1297</v>
      </c>
      <c r="B1298" s="7" t="s">
        <v>3345</v>
      </c>
      <c r="C1298" s="7" t="s">
        <v>3346</v>
      </c>
      <c r="F1298" t="s">
        <v>1522</v>
      </c>
      <c r="G1298" s="8" t="s">
        <v>15</v>
      </c>
    </row>
    <row r="1299" spans="1:7" hidden="1" x14ac:dyDescent="0.25">
      <c r="A1299" s="21">
        <v>1298</v>
      </c>
      <c r="B1299" s="7" t="s">
        <v>3347</v>
      </c>
      <c r="C1299" s="7" t="s">
        <v>3348</v>
      </c>
      <c r="F1299" t="s">
        <v>1522</v>
      </c>
      <c r="G1299" s="8" t="s">
        <v>15</v>
      </c>
    </row>
    <row r="1300" spans="1:7" hidden="1" x14ac:dyDescent="0.25">
      <c r="A1300" s="21">
        <v>1299</v>
      </c>
      <c r="B1300" s="7" t="s">
        <v>3349</v>
      </c>
      <c r="C1300" s="7" t="s">
        <v>3350</v>
      </c>
      <c r="G1300" s="8" t="s">
        <v>15</v>
      </c>
    </row>
    <row r="1301" spans="1:7" hidden="1" x14ac:dyDescent="0.25">
      <c r="A1301" s="21">
        <v>1300</v>
      </c>
      <c r="B1301" s="7" t="s">
        <v>3351</v>
      </c>
      <c r="C1301" s="7" t="s">
        <v>3352</v>
      </c>
      <c r="G1301" s="8" t="s">
        <v>15</v>
      </c>
    </row>
    <row r="1302" spans="1:7" hidden="1" x14ac:dyDescent="0.25">
      <c r="A1302" s="21">
        <v>1301</v>
      </c>
      <c r="B1302" s="7" t="s">
        <v>3353</v>
      </c>
      <c r="C1302" s="7" t="s">
        <v>3354</v>
      </c>
      <c r="G1302" s="8" t="s">
        <v>15</v>
      </c>
    </row>
    <row r="1303" spans="1:7" hidden="1" x14ac:dyDescent="0.25">
      <c r="A1303" s="21">
        <v>1302</v>
      </c>
      <c r="B1303" s="7" t="s">
        <v>3355</v>
      </c>
      <c r="C1303" s="7" t="s">
        <v>3356</v>
      </c>
      <c r="G1303" s="8" t="s">
        <v>15</v>
      </c>
    </row>
    <row r="1304" spans="1:7" hidden="1" x14ac:dyDescent="0.25">
      <c r="A1304" s="21">
        <v>1303</v>
      </c>
      <c r="B1304" s="7" t="s">
        <v>3357</v>
      </c>
      <c r="C1304" s="7" t="s">
        <v>3358</v>
      </c>
      <c r="G1304" s="8" t="s">
        <v>15</v>
      </c>
    </row>
    <row r="1305" spans="1:7" hidden="1" x14ac:dyDescent="0.25">
      <c r="A1305" s="21">
        <v>1304</v>
      </c>
      <c r="B1305" s="7" t="s">
        <v>3359</v>
      </c>
      <c r="C1305" s="7" t="s">
        <v>3360</v>
      </c>
      <c r="G1305" s="8" t="s">
        <v>15</v>
      </c>
    </row>
    <row r="1306" spans="1:7" hidden="1" x14ac:dyDescent="0.25">
      <c r="A1306" s="21">
        <v>1305</v>
      </c>
      <c r="B1306" s="7" t="s">
        <v>3361</v>
      </c>
      <c r="C1306" s="7" t="s">
        <v>3362</v>
      </c>
      <c r="G1306" s="8" t="s">
        <v>15</v>
      </c>
    </row>
    <row r="1307" spans="1:7" hidden="1" x14ac:dyDescent="0.25">
      <c r="A1307" s="21">
        <v>1306</v>
      </c>
      <c r="B1307" s="7" t="s">
        <v>3363</v>
      </c>
      <c r="C1307" s="7" t="s">
        <v>3364</v>
      </c>
      <c r="G1307" s="8" t="s">
        <v>15</v>
      </c>
    </row>
    <row r="1308" spans="1:7" hidden="1" x14ac:dyDescent="0.25">
      <c r="A1308" s="21">
        <v>1307</v>
      </c>
      <c r="B1308" s="7" t="s">
        <v>3365</v>
      </c>
      <c r="C1308" s="7" t="s">
        <v>3366</v>
      </c>
      <c r="G1308" s="8" t="s">
        <v>15</v>
      </c>
    </row>
    <row r="1309" spans="1:7" hidden="1" x14ac:dyDescent="0.25">
      <c r="A1309" s="21">
        <v>1308</v>
      </c>
      <c r="B1309" s="7" t="s">
        <v>3367</v>
      </c>
      <c r="C1309" s="7" t="s">
        <v>3368</v>
      </c>
      <c r="G1309" s="8" t="s">
        <v>15</v>
      </c>
    </row>
    <row r="1310" spans="1:7" hidden="1" x14ac:dyDescent="0.25">
      <c r="A1310" s="21">
        <v>1309</v>
      </c>
      <c r="B1310" s="7" t="s">
        <v>3369</v>
      </c>
      <c r="C1310" s="7" t="s">
        <v>3370</v>
      </c>
      <c r="G1310" s="8" t="s">
        <v>15</v>
      </c>
    </row>
    <row r="1311" spans="1:7" hidden="1" x14ac:dyDescent="0.25">
      <c r="A1311" s="21">
        <v>1310</v>
      </c>
      <c r="B1311" s="7" t="s">
        <v>3371</v>
      </c>
      <c r="C1311" s="7" t="s">
        <v>3372</v>
      </c>
      <c r="G1311" s="8" t="s">
        <v>15</v>
      </c>
    </row>
    <row r="1312" spans="1:7" hidden="1" x14ac:dyDescent="0.25">
      <c r="A1312" s="21">
        <v>1311</v>
      </c>
      <c r="B1312" s="7" t="s">
        <v>3373</v>
      </c>
      <c r="C1312" s="7" t="s">
        <v>3374</v>
      </c>
      <c r="G1312" s="8" t="s">
        <v>15</v>
      </c>
    </row>
    <row r="1313" spans="1:7" hidden="1" x14ac:dyDescent="0.25">
      <c r="A1313" s="21">
        <v>1312</v>
      </c>
      <c r="B1313" s="7" t="s">
        <v>3375</v>
      </c>
      <c r="C1313" s="7" t="s">
        <v>3376</v>
      </c>
      <c r="G1313" s="8" t="s">
        <v>15</v>
      </c>
    </row>
    <row r="1314" spans="1:7" hidden="1" x14ac:dyDescent="0.25">
      <c r="A1314" s="21">
        <v>1313</v>
      </c>
      <c r="B1314" s="7" t="s">
        <v>3377</v>
      </c>
      <c r="C1314" s="7" t="s">
        <v>3378</v>
      </c>
      <c r="G1314" s="8" t="s">
        <v>15</v>
      </c>
    </row>
    <row r="1315" spans="1:7" hidden="1" x14ac:dyDescent="0.25">
      <c r="A1315" s="21">
        <v>1314</v>
      </c>
      <c r="B1315" s="7" t="s">
        <v>3379</v>
      </c>
      <c r="C1315" s="7" t="s">
        <v>3380</v>
      </c>
      <c r="G1315" s="8" t="s">
        <v>15</v>
      </c>
    </row>
    <row r="1316" spans="1:7" hidden="1" x14ac:dyDescent="0.25">
      <c r="A1316" s="21">
        <v>1315</v>
      </c>
      <c r="B1316" s="7" t="s">
        <v>3381</v>
      </c>
      <c r="C1316" s="7" t="s">
        <v>3382</v>
      </c>
      <c r="G1316" s="8" t="s">
        <v>15</v>
      </c>
    </row>
    <row r="1317" spans="1:7" hidden="1" x14ac:dyDescent="0.25">
      <c r="A1317" s="21">
        <v>1316</v>
      </c>
      <c r="B1317" s="7" t="s">
        <v>3383</v>
      </c>
      <c r="C1317" s="7" t="s">
        <v>3384</v>
      </c>
      <c r="G1317" s="8" t="s">
        <v>15</v>
      </c>
    </row>
    <row r="1318" spans="1:7" hidden="1" x14ac:dyDescent="0.25">
      <c r="A1318" s="21">
        <v>1317</v>
      </c>
      <c r="B1318" s="7" t="s">
        <v>3385</v>
      </c>
      <c r="C1318" s="7" t="s">
        <v>3386</v>
      </c>
      <c r="G1318" s="8" t="s">
        <v>15</v>
      </c>
    </row>
    <row r="1319" spans="1:7" hidden="1" x14ac:dyDescent="0.25">
      <c r="A1319" s="21">
        <v>1318</v>
      </c>
      <c r="B1319" s="7" t="s">
        <v>3387</v>
      </c>
      <c r="C1319" s="7" t="s">
        <v>3388</v>
      </c>
      <c r="G1319" s="8" t="s">
        <v>15</v>
      </c>
    </row>
    <row r="1320" spans="1:7" hidden="1" x14ac:dyDescent="0.25">
      <c r="A1320" s="21">
        <v>1319</v>
      </c>
      <c r="B1320" s="7" t="s">
        <v>3389</v>
      </c>
      <c r="C1320" s="7" t="s">
        <v>3390</v>
      </c>
      <c r="G1320" s="8" t="s">
        <v>15</v>
      </c>
    </row>
    <row r="1321" spans="1:7" hidden="1" x14ac:dyDescent="0.25">
      <c r="A1321" s="21">
        <v>1320</v>
      </c>
      <c r="B1321" s="7" t="s">
        <v>3391</v>
      </c>
      <c r="C1321" s="7" t="s">
        <v>3392</v>
      </c>
      <c r="G1321" s="8" t="s">
        <v>15</v>
      </c>
    </row>
    <row r="1322" spans="1:7" hidden="1" x14ac:dyDescent="0.25">
      <c r="A1322" s="21">
        <v>1321</v>
      </c>
      <c r="B1322" s="7" t="s">
        <v>3393</v>
      </c>
      <c r="C1322" s="7" t="s">
        <v>3394</v>
      </c>
      <c r="G1322" s="8" t="s">
        <v>15</v>
      </c>
    </row>
    <row r="1323" spans="1:7" hidden="1" x14ac:dyDescent="0.25">
      <c r="A1323" s="21">
        <v>1322</v>
      </c>
      <c r="B1323" s="7" t="s">
        <v>3395</v>
      </c>
      <c r="C1323" s="7" t="s">
        <v>3396</v>
      </c>
      <c r="G1323" s="8" t="s">
        <v>15</v>
      </c>
    </row>
    <row r="1324" spans="1:7" hidden="1" x14ac:dyDescent="0.25">
      <c r="A1324" s="21">
        <v>1323</v>
      </c>
      <c r="B1324" s="7" t="s">
        <v>3397</v>
      </c>
      <c r="C1324" s="7" t="s">
        <v>3398</v>
      </c>
      <c r="G1324" s="8" t="s">
        <v>15</v>
      </c>
    </row>
    <row r="1325" spans="1:7" hidden="1" x14ac:dyDescent="0.25">
      <c r="A1325" s="21">
        <v>1324</v>
      </c>
      <c r="B1325" s="7" t="s">
        <v>3399</v>
      </c>
      <c r="C1325" s="7" t="s">
        <v>3400</v>
      </c>
      <c r="G1325" s="8" t="s">
        <v>15</v>
      </c>
    </row>
    <row r="1326" spans="1:7" hidden="1" x14ac:dyDescent="0.25">
      <c r="A1326" s="21">
        <v>1325</v>
      </c>
      <c r="B1326" s="7" t="s">
        <v>3401</v>
      </c>
      <c r="C1326" s="7" t="s">
        <v>3402</v>
      </c>
      <c r="G1326" s="8" t="s">
        <v>15</v>
      </c>
    </row>
    <row r="1327" spans="1:7" hidden="1" x14ac:dyDescent="0.25">
      <c r="A1327" s="21">
        <v>1326</v>
      </c>
      <c r="B1327" s="7" t="s">
        <v>3403</v>
      </c>
      <c r="C1327" s="7" t="s">
        <v>3404</v>
      </c>
      <c r="G1327" s="8" t="s">
        <v>15</v>
      </c>
    </row>
    <row r="1328" spans="1:7" hidden="1" x14ac:dyDescent="0.25">
      <c r="A1328" s="21">
        <v>1327</v>
      </c>
      <c r="B1328" s="7" t="s">
        <v>3405</v>
      </c>
      <c r="C1328" s="7" t="s">
        <v>3406</v>
      </c>
      <c r="G1328" s="8" t="s">
        <v>15</v>
      </c>
    </row>
    <row r="1329" spans="1:8" hidden="1" x14ac:dyDescent="0.25">
      <c r="A1329" s="21">
        <v>1328</v>
      </c>
      <c r="B1329" s="7" t="s">
        <v>3407</v>
      </c>
      <c r="C1329" s="7" t="s">
        <v>3408</v>
      </c>
      <c r="G1329" s="8" t="s">
        <v>15</v>
      </c>
    </row>
    <row r="1330" spans="1:8" hidden="1" x14ac:dyDescent="0.25">
      <c r="A1330" s="21">
        <v>1329</v>
      </c>
      <c r="B1330" s="7" t="s">
        <v>3409</v>
      </c>
      <c r="C1330" s="7" t="s">
        <v>3410</v>
      </c>
      <c r="G1330" s="8" t="s">
        <v>15</v>
      </c>
    </row>
    <row r="1331" spans="1:8" hidden="1" x14ac:dyDescent="0.25">
      <c r="A1331" s="21">
        <v>1330</v>
      </c>
      <c r="B1331" s="7" t="s">
        <v>3411</v>
      </c>
      <c r="C1331" s="7" t="s">
        <v>3412</v>
      </c>
      <c r="G1331" s="8" t="s">
        <v>15</v>
      </c>
      <c r="H1331">
        <f>_xlfn.XLOOKUP(B1331,Data!T:T,Data!F:F)</f>
        <v>0</v>
      </c>
    </row>
    <row r="1332" spans="1:8" hidden="1" x14ac:dyDescent="0.25">
      <c r="A1332" s="21">
        <v>1331</v>
      </c>
      <c r="B1332" s="7" t="s">
        <v>3413</v>
      </c>
      <c r="C1332" s="7" t="s">
        <v>3414</v>
      </c>
      <c r="G1332" s="8" t="s">
        <v>15</v>
      </c>
    </row>
    <row r="1333" spans="1:8" hidden="1" x14ac:dyDescent="0.25">
      <c r="A1333" s="21">
        <v>1332</v>
      </c>
      <c r="B1333" s="7" t="s">
        <v>3415</v>
      </c>
      <c r="C1333" s="7" t="s">
        <v>3416</v>
      </c>
      <c r="G1333" s="8" t="s">
        <v>15</v>
      </c>
    </row>
    <row r="1334" spans="1:8" hidden="1" x14ac:dyDescent="0.25">
      <c r="A1334" s="21">
        <v>1333</v>
      </c>
      <c r="B1334" s="7" t="s">
        <v>3417</v>
      </c>
      <c r="C1334" s="7" t="s">
        <v>3418</v>
      </c>
      <c r="G1334" s="8" t="s">
        <v>15</v>
      </c>
    </row>
    <row r="1335" spans="1:8" hidden="1" x14ac:dyDescent="0.25">
      <c r="A1335" s="21">
        <v>1334</v>
      </c>
      <c r="B1335" s="7" t="s">
        <v>3419</v>
      </c>
      <c r="C1335" s="7" t="s">
        <v>3420</v>
      </c>
      <c r="G1335" s="8" t="s">
        <v>15</v>
      </c>
    </row>
    <row r="1336" spans="1:8" hidden="1" x14ac:dyDescent="0.25">
      <c r="A1336" s="21">
        <v>1335</v>
      </c>
      <c r="B1336" s="7" t="s">
        <v>3421</v>
      </c>
      <c r="C1336" s="7" t="s">
        <v>3422</v>
      </c>
      <c r="G1336" s="8" t="s">
        <v>15</v>
      </c>
    </row>
    <row r="1337" spans="1:8" hidden="1" x14ac:dyDescent="0.25">
      <c r="A1337" s="21">
        <v>1336</v>
      </c>
      <c r="B1337" s="7" t="s">
        <v>3423</v>
      </c>
      <c r="C1337" s="7" t="s">
        <v>3424</v>
      </c>
      <c r="G1337" s="8" t="s">
        <v>15</v>
      </c>
    </row>
    <row r="1338" spans="1:8" hidden="1" x14ac:dyDescent="0.25">
      <c r="A1338" s="21">
        <v>1337</v>
      </c>
      <c r="B1338" s="7" t="s">
        <v>3425</v>
      </c>
      <c r="C1338" s="7" t="s">
        <v>3426</v>
      </c>
      <c r="G1338" s="8" t="s">
        <v>15</v>
      </c>
    </row>
    <row r="1339" spans="1:8" hidden="1" x14ac:dyDescent="0.25">
      <c r="A1339" s="21">
        <v>1338</v>
      </c>
      <c r="B1339" s="7" t="s">
        <v>3427</v>
      </c>
      <c r="C1339" s="7" t="s">
        <v>3428</v>
      </c>
      <c r="G1339" s="8" t="s">
        <v>15</v>
      </c>
    </row>
    <row r="1340" spans="1:8" hidden="1" x14ac:dyDescent="0.25">
      <c r="A1340" s="21">
        <v>1339</v>
      </c>
      <c r="B1340" s="7" t="s">
        <v>3429</v>
      </c>
      <c r="C1340" s="7" t="s">
        <v>3430</v>
      </c>
      <c r="G1340" s="8" t="s">
        <v>15</v>
      </c>
    </row>
    <row r="1341" spans="1:8" hidden="1" x14ac:dyDescent="0.25">
      <c r="A1341" s="21">
        <v>1340</v>
      </c>
      <c r="B1341" s="7" t="s">
        <v>3431</v>
      </c>
      <c r="C1341" s="7" t="s">
        <v>3432</v>
      </c>
      <c r="G1341" s="8" t="s">
        <v>15</v>
      </c>
    </row>
    <row r="1342" spans="1:8" hidden="1" x14ac:dyDescent="0.25">
      <c r="A1342" s="21">
        <v>1341</v>
      </c>
      <c r="B1342" s="7" t="s">
        <v>3433</v>
      </c>
      <c r="C1342" s="7" t="s">
        <v>3434</v>
      </c>
      <c r="G1342" s="8" t="s">
        <v>15</v>
      </c>
    </row>
    <row r="1343" spans="1:8" hidden="1" x14ac:dyDescent="0.25">
      <c r="A1343" s="21">
        <v>1342</v>
      </c>
      <c r="B1343" s="7" t="s">
        <v>3435</v>
      </c>
      <c r="C1343" s="7" t="s">
        <v>3436</v>
      </c>
      <c r="G1343" s="8" t="s">
        <v>15</v>
      </c>
    </row>
    <row r="1344" spans="1:8" hidden="1" x14ac:dyDescent="0.25">
      <c r="A1344" s="21">
        <v>1343</v>
      </c>
      <c r="B1344" s="7" t="s">
        <v>3437</v>
      </c>
      <c r="C1344" s="7" t="s">
        <v>3438</v>
      </c>
      <c r="G1344" s="8" t="s">
        <v>15</v>
      </c>
    </row>
    <row r="1345" spans="1:7" hidden="1" x14ac:dyDescent="0.25">
      <c r="A1345" s="21">
        <v>1344</v>
      </c>
      <c r="B1345" s="7" t="s">
        <v>3439</v>
      </c>
      <c r="C1345" s="7" t="s">
        <v>3440</v>
      </c>
      <c r="G1345" s="8" t="s">
        <v>15</v>
      </c>
    </row>
    <row r="1346" spans="1:7" hidden="1" x14ac:dyDescent="0.25">
      <c r="A1346" s="21">
        <v>1345</v>
      </c>
      <c r="B1346" s="7" t="s">
        <v>3441</v>
      </c>
      <c r="C1346" s="7" t="s">
        <v>3442</v>
      </c>
      <c r="F1346" t="s">
        <v>2023</v>
      </c>
      <c r="G1346" s="8" t="s">
        <v>15</v>
      </c>
    </row>
    <row r="1347" spans="1:7" hidden="1" x14ac:dyDescent="0.25">
      <c r="A1347" s="21">
        <v>1346</v>
      </c>
      <c r="B1347" s="7" t="s">
        <v>3443</v>
      </c>
      <c r="C1347" s="7" t="s">
        <v>3444</v>
      </c>
      <c r="G1347" s="8" t="s">
        <v>15</v>
      </c>
    </row>
    <row r="1348" spans="1:7" hidden="1" x14ac:dyDescent="0.25">
      <c r="A1348" s="21">
        <v>1347</v>
      </c>
      <c r="B1348" s="7" t="s">
        <v>3445</v>
      </c>
      <c r="C1348" s="7" t="s">
        <v>3446</v>
      </c>
      <c r="G1348" s="8" t="s">
        <v>15</v>
      </c>
    </row>
    <row r="1349" spans="1:7" hidden="1" x14ac:dyDescent="0.25">
      <c r="A1349" s="21">
        <v>1348</v>
      </c>
      <c r="B1349" s="7" t="s">
        <v>3447</v>
      </c>
      <c r="C1349" s="7" t="s">
        <v>3448</v>
      </c>
      <c r="G1349" s="8" t="s">
        <v>15</v>
      </c>
    </row>
    <row r="1350" spans="1:7" hidden="1" x14ac:dyDescent="0.25">
      <c r="A1350" s="21">
        <v>1349</v>
      </c>
      <c r="B1350" s="7" t="s">
        <v>3449</v>
      </c>
      <c r="C1350" s="7" t="s">
        <v>3450</v>
      </c>
      <c r="G1350" s="8" t="s">
        <v>15</v>
      </c>
    </row>
    <row r="1351" spans="1:7" hidden="1" x14ac:dyDescent="0.25">
      <c r="A1351" s="21">
        <v>1350</v>
      </c>
      <c r="B1351" s="7" t="s">
        <v>3451</v>
      </c>
      <c r="C1351" s="7" t="s">
        <v>3452</v>
      </c>
      <c r="G1351" s="8" t="s">
        <v>15</v>
      </c>
    </row>
    <row r="1352" spans="1:7" hidden="1" x14ac:dyDescent="0.25">
      <c r="A1352" s="21">
        <v>1351</v>
      </c>
      <c r="B1352" s="7" t="s">
        <v>3453</v>
      </c>
      <c r="C1352" s="7" t="s">
        <v>3454</v>
      </c>
      <c r="G1352" s="8" t="s">
        <v>15</v>
      </c>
    </row>
    <row r="1353" spans="1:7" hidden="1" x14ac:dyDescent="0.25">
      <c r="A1353" s="21">
        <v>1352</v>
      </c>
      <c r="B1353" s="7" t="s">
        <v>3455</v>
      </c>
      <c r="C1353" s="7" t="s">
        <v>3456</v>
      </c>
      <c r="G1353" s="8" t="s">
        <v>15</v>
      </c>
    </row>
    <row r="1354" spans="1:7" hidden="1" x14ac:dyDescent="0.25">
      <c r="A1354" s="21">
        <v>1353</v>
      </c>
      <c r="B1354" s="7" t="s">
        <v>3457</v>
      </c>
      <c r="C1354" s="7" t="s">
        <v>3458</v>
      </c>
      <c r="G1354" s="8" t="s">
        <v>15</v>
      </c>
    </row>
    <row r="1355" spans="1:7" hidden="1" x14ac:dyDescent="0.25">
      <c r="A1355" s="21">
        <v>1354</v>
      </c>
      <c r="B1355" s="7" t="s">
        <v>3459</v>
      </c>
      <c r="C1355" s="7" t="s">
        <v>3460</v>
      </c>
      <c r="G1355" s="8" t="s">
        <v>15</v>
      </c>
    </row>
    <row r="1356" spans="1:7" hidden="1" x14ac:dyDescent="0.25">
      <c r="A1356" s="21">
        <v>1355</v>
      </c>
      <c r="B1356" s="7" t="s">
        <v>3461</v>
      </c>
      <c r="C1356" s="7" t="s">
        <v>3462</v>
      </c>
      <c r="G1356" s="8" t="s">
        <v>15</v>
      </c>
    </row>
    <row r="1357" spans="1:7" hidden="1" x14ac:dyDescent="0.25">
      <c r="A1357" s="21">
        <v>1356</v>
      </c>
      <c r="B1357" s="7" t="s">
        <v>3463</v>
      </c>
      <c r="C1357" s="7" t="s">
        <v>3464</v>
      </c>
      <c r="F1357" t="s">
        <v>1603</v>
      </c>
      <c r="G1357" s="8" t="s">
        <v>15</v>
      </c>
    </row>
    <row r="1358" spans="1:7" hidden="1" x14ac:dyDescent="0.25">
      <c r="A1358" s="21">
        <v>1357</v>
      </c>
      <c r="B1358" s="7" t="s">
        <v>3465</v>
      </c>
      <c r="C1358" s="7" t="s">
        <v>3466</v>
      </c>
      <c r="F1358" t="s">
        <v>1603</v>
      </c>
      <c r="G1358" s="8" t="s">
        <v>15</v>
      </c>
    </row>
    <row r="1359" spans="1:7" hidden="1" x14ac:dyDescent="0.25">
      <c r="A1359" s="21">
        <v>1358</v>
      </c>
      <c r="B1359" s="7" t="s">
        <v>3467</v>
      </c>
      <c r="C1359" s="7" t="s">
        <v>3468</v>
      </c>
      <c r="F1359" t="s">
        <v>1603</v>
      </c>
      <c r="G1359" s="8" t="s">
        <v>15</v>
      </c>
    </row>
    <row r="1360" spans="1:7" hidden="1" x14ac:dyDescent="0.25">
      <c r="A1360" s="21">
        <v>1359</v>
      </c>
      <c r="B1360" s="7" t="s">
        <v>3469</v>
      </c>
      <c r="C1360" s="7" t="s">
        <v>3470</v>
      </c>
      <c r="F1360" t="s">
        <v>1603</v>
      </c>
      <c r="G1360" s="8" t="s">
        <v>15</v>
      </c>
    </row>
    <row r="1361" spans="1:7" hidden="1" x14ac:dyDescent="0.25">
      <c r="A1361" s="21">
        <v>1360</v>
      </c>
      <c r="B1361" s="7" t="s">
        <v>3471</v>
      </c>
      <c r="C1361" s="7" t="s">
        <v>3472</v>
      </c>
      <c r="F1361" t="s">
        <v>1603</v>
      </c>
      <c r="G1361" s="8" t="s">
        <v>15</v>
      </c>
    </row>
    <row r="1362" spans="1:7" hidden="1" x14ac:dyDescent="0.25">
      <c r="A1362" s="21">
        <v>1361</v>
      </c>
      <c r="B1362" s="7" t="s">
        <v>3473</v>
      </c>
      <c r="C1362" s="7" t="s">
        <v>3474</v>
      </c>
      <c r="F1362" t="s">
        <v>1603</v>
      </c>
      <c r="G1362" s="8" t="s">
        <v>15</v>
      </c>
    </row>
    <row r="1363" spans="1:7" hidden="1" x14ac:dyDescent="0.25">
      <c r="A1363" s="21">
        <v>1362</v>
      </c>
      <c r="B1363" s="7" t="s">
        <v>3475</v>
      </c>
      <c r="C1363" s="7" t="s">
        <v>3476</v>
      </c>
      <c r="F1363" t="s">
        <v>1603</v>
      </c>
      <c r="G1363" s="8" t="s">
        <v>15</v>
      </c>
    </row>
    <row r="1364" spans="1:7" hidden="1" x14ac:dyDescent="0.25">
      <c r="A1364" s="21">
        <v>1363</v>
      </c>
      <c r="B1364" s="7" t="s">
        <v>3477</v>
      </c>
      <c r="C1364" s="7" t="s">
        <v>3478</v>
      </c>
      <c r="F1364" t="s">
        <v>1603</v>
      </c>
      <c r="G1364" s="8" t="s">
        <v>15</v>
      </c>
    </row>
    <row r="1365" spans="1:7" hidden="1" x14ac:dyDescent="0.25">
      <c r="A1365" s="21">
        <v>1364</v>
      </c>
      <c r="B1365" s="7" t="s">
        <v>3479</v>
      </c>
      <c r="C1365" s="7" t="s">
        <v>3480</v>
      </c>
      <c r="F1365" t="s">
        <v>1603</v>
      </c>
      <c r="G1365" s="8" t="s">
        <v>15</v>
      </c>
    </row>
    <row r="1366" spans="1:7" hidden="1" x14ac:dyDescent="0.25">
      <c r="A1366" s="21">
        <v>1365</v>
      </c>
      <c r="B1366" s="7" t="s">
        <v>3481</v>
      </c>
      <c r="C1366" s="7" t="s">
        <v>3482</v>
      </c>
      <c r="F1366" t="s">
        <v>1603</v>
      </c>
      <c r="G1366" s="8" t="s">
        <v>15</v>
      </c>
    </row>
    <row r="1367" spans="1:7" hidden="1" x14ac:dyDescent="0.25">
      <c r="A1367" s="21">
        <v>1366</v>
      </c>
      <c r="B1367" s="7" t="s">
        <v>3483</v>
      </c>
      <c r="C1367" s="7" t="s">
        <v>3484</v>
      </c>
      <c r="F1367" t="s">
        <v>1603</v>
      </c>
      <c r="G1367" s="8" t="s">
        <v>15</v>
      </c>
    </row>
    <row r="1368" spans="1:7" hidden="1" x14ac:dyDescent="0.25">
      <c r="A1368" s="21">
        <v>1367</v>
      </c>
      <c r="B1368" s="7" t="s">
        <v>3485</v>
      </c>
      <c r="C1368" s="7" t="s">
        <v>3486</v>
      </c>
      <c r="F1368" t="s">
        <v>1603</v>
      </c>
      <c r="G1368" s="8" t="s">
        <v>15</v>
      </c>
    </row>
    <row r="1369" spans="1:7" hidden="1" x14ac:dyDescent="0.25">
      <c r="A1369" s="21">
        <v>1368</v>
      </c>
      <c r="B1369" s="7" t="s">
        <v>3487</v>
      </c>
      <c r="C1369" s="7" t="s">
        <v>3488</v>
      </c>
      <c r="F1369" t="s">
        <v>1603</v>
      </c>
      <c r="G1369" s="8" t="s">
        <v>15</v>
      </c>
    </row>
    <row r="1370" spans="1:7" hidden="1" x14ac:dyDescent="0.25">
      <c r="A1370" s="21">
        <v>1369</v>
      </c>
      <c r="B1370" s="7" t="s">
        <v>3489</v>
      </c>
      <c r="C1370" s="7" t="s">
        <v>3490</v>
      </c>
      <c r="F1370" t="s">
        <v>1603</v>
      </c>
      <c r="G1370" s="8" t="s">
        <v>15</v>
      </c>
    </row>
    <row r="1371" spans="1:7" hidden="1" x14ac:dyDescent="0.25">
      <c r="A1371" s="21">
        <v>1370</v>
      </c>
      <c r="B1371" s="7" t="s">
        <v>3491</v>
      </c>
      <c r="C1371" s="7" t="s">
        <v>3492</v>
      </c>
      <c r="F1371" t="s">
        <v>1603</v>
      </c>
      <c r="G1371" s="8" t="s">
        <v>15</v>
      </c>
    </row>
    <row r="1372" spans="1:7" hidden="1" x14ac:dyDescent="0.25">
      <c r="A1372" s="21">
        <v>1371</v>
      </c>
      <c r="B1372" s="7" t="s">
        <v>3493</v>
      </c>
      <c r="C1372" s="7" t="s">
        <v>3494</v>
      </c>
      <c r="F1372" t="s">
        <v>1603</v>
      </c>
      <c r="G1372" s="8" t="s">
        <v>15</v>
      </c>
    </row>
    <row r="1373" spans="1:7" hidden="1" x14ac:dyDescent="0.25">
      <c r="A1373" s="21">
        <v>1372</v>
      </c>
      <c r="B1373" s="7" t="s">
        <v>3495</v>
      </c>
      <c r="C1373" s="7" t="s">
        <v>3496</v>
      </c>
      <c r="F1373" t="s">
        <v>1603</v>
      </c>
      <c r="G1373" s="8" t="s">
        <v>15</v>
      </c>
    </row>
    <row r="1374" spans="1:7" hidden="1" x14ac:dyDescent="0.25">
      <c r="A1374" s="21">
        <v>1373</v>
      </c>
      <c r="B1374" s="7" t="s">
        <v>3497</v>
      </c>
      <c r="C1374" s="7" t="s">
        <v>3498</v>
      </c>
      <c r="F1374" t="s">
        <v>1603</v>
      </c>
      <c r="G1374" s="8" t="s">
        <v>15</v>
      </c>
    </row>
    <row r="1375" spans="1:7" hidden="1" x14ac:dyDescent="0.25">
      <c r="A1375" s="21">
        <v>1374</v>
      </c>
      <c r="B1375" s="7" t="s">
        <v>3499</v>
      </c>
      <c r="C1375" s="7" t="s">
        <v>3500</v>
      </c>
      <c r="F1375" t="s">
        <v>1603</v>
      </c>
      <c r="G1375" s="8" t="s">
        <v>15</v>
      </c>
    </row>
    <row r="1376" spans="1:7" hidden="1" x14ac:dyDescent="0.25">
      <c r="A1376" s="21">
        <v>1375</v>
      </c>
      <c r="B1376" s="7" t="s">
        <v>3501</v>
      </c>
      <c r="C1376" s="7" t="s">
        <v>3502</v>
      </c>
      <c r="F1376" t="s">
        <v>1603</v>
      </c>
      <c r="G1376" s="8" t="s">
        <v>15</v>
      </c>
    </row>
    <row r="1377" spans="1:7" hidden="1" x14ac:dyDescent="0.25">
      <c r="A1377" s="21">
        <v>1376</v>
      </c>
      <c r="B1377" s="7" t="s">
        <v>3503</v>
      </c>
      <c r="C1377" s="7" t="s">
        <v>3504</v>
      </c>
      <c r="F1377" t="s">
        <v>1603</v>
      </c>
      <c r="G1377" s="8" t="s">
        <v>15</v>
      </c>
    </row>
    <row r="1378" spans="1:7" hidden="1" x14ac:dyDescent="0.25">
      <c r="A1378" s="21">
        <v>1377</v>
      </c>
      <c r="B1378" s="7" t="s">
        <v>3505</v>
      </c>
      <c r="C1378" s="7" t="s">
        <v>3506</v>
      </c>
      <c r="F1378" t="s">
        <v>1603</v>
      </c>
      <c r="G1378" s="8" t="s">
        <v>15</v>
      </c>
    </row>
    <row r="1379" spans="1:7" hidden="1" x14ac:dyDescent="0.25">
      <c r="A1379" s="21">
        <v>1378</v>
      </c>
      <c r="B1379" s="7" t="s">
        <v>3507</v>
      </c>
      <c r="C1379" s="7" t="s">
        <v>3508</v>
      </c>
      <c r="F1379" t="s">
        <v>1603</v>
      </c>
      <c r="G1379" s="8" t="s">
        <v>15</v>
      </c>
    </row>
    <row r="1380" spans="1:7" hidden="1" x14ac:dyDescent="0.25">
      <c r="A1380" s="21">
        <v>1379</v>
      </c>
      <c r="B1380" s="7" t="s">
        <v>3509</v>
      </c>
      <c r="C1380" s="7" t="s">
        <v>3510</v>
      </c>
      <c r="F1380" t="s">
        <v>1603</v>
      </c>
      <c r="G1380" s="8" t="s">
        <v>15</v>
      </c>
    </row>
    <row r="1381" spans="1:7" hidden="1" x14ac:dyDescent="0.25">
      <c r="A1381" s="21">
        <v>1380</v>
      </c>
      <c r="B1381" s="7" t="s">
        <v>3511</v>
      </c>
      <c r="C1381" s="7" t="s">
        <v>3512</v>
      </c>
      <c r="F1381" t="s">
        <v>1603</v>
      </c>
      <c r="G1381" s="8" t="s">
        <v>15</v>
      </c>
    </row>
    <row r="1382" spans="1:7" hidden="1" x14ac:dyDescent="0.25">
      <c r="A1382" s="21">
        <v>1381</v>
      </c>
      <c r="B1382" s="7" t="s">
        <v>3513</v>
      </c>
      <c r="C1382" s="7" t="s">
        <v>3514</v>
      </c>
      <c r="F1382" t="s">
        <v>1603</v>
      </c>
      <c r="G1382" s="8" t="s">
        <v>15</v>
      </c>
    </row>
    <row r="1383" spans="1:7" hidden="1" x14ac:dyDescent="0.25">
      <c r="A1383" s="21">
        <v>1382</v>
      </c>
      <c r="B1383" s="7" t="s">
        <v>3515</v>
      </c>
      <c r="C1383" s="7" t="s">
        <v>3516</v>
      </c>
      <c r="F1383" t="s">
        <v>1603</v>
      </c>
      <c r="G1383" s="8" t="s">
        <v>15</v>
      </c>
    </row>
    <row r="1384" spans="1:7" hidden="1" x14ac:dyDescent="0.25">
      <c r="A1384" s="21">
        <v>1383</v>
      </c>
      <c r="B1384" s="7" t="s">
        <v>3517</v>
      </c>
      <c r="C1384" s="7" t="s">
        <v>3518</v>
      </c>
      <c r="F1384" t="s">
        <v>1603</v>
      </c>
      <c r="G1384" s="8" t="s">
        <v>15</v>
      </c>
    </row>
    <row r="1385" spans="1:7" hidden="1" x14ac:dyDescent="0.25">
      <c r="A1385" s="21">
        <v>1384</v>
      </c>
      <c r="B1385" s="7" t="s">
        <v>3519</v>
      </c>
      <c r="C1385" s="7" t="s">
        <v>3520</v>
      </c>
      <c r="F1385" t="s">
        <v>1603</v>
      </c>
      <c r="G1385" s="8" t="s">
        <v>15</v>
      </c>
    </row>
    <row r="1386" spans="1:7" hidden="1" x14ac:dyDescent="0.25">
      <c r="A1386" s="21">
        <v>1385</v>
      </c>
      <c r="B1386" s="7" t="s">
        <v>3521</v>
      </c>
      <c r="C1386" s="7" t="s">
        <v>3522</v>
      </c>
      <c r="F1386" t="s">
        <v>1603</v>
      </c>
      <c r="G1386" s="8" t="s">
        <v>15</v>
      </c>
    </row>
    <row r="1387" spans="1:7" hidden="1" x14ac:dyDescent="0.25">
      <c r="A1387" s="21">
        <v>1386</v>
      </c>
      <c r="B1387" s="7" t="s">
        <v>3523</v>
      </c>
      <c r="C1387" s="7" t="s">
        <v>3524</v>
      </c>
      <c r="F1387" t="s">
        <v>1603</v>
      </c>
      <c r="G1387" s="8" t="s">
        <v>15</v>
      </c>
    </row>
    <row r="1388" spans="1:7" hidden="1" x14ac:dyDescent="0.25">
      <c r="A1388" s="21">
        <v>1387</v>
      </c>
      <c r="B1388" s="7" t="s">
        <v>3525</v>
      </c>
      <c r="C1388" s="7" t="s">
        <v>3526</v>
      </c>
      <c r="F1388" t="s">
        <v>1603</v>
      </c>
      <c r="G1388" s="8" t="s">
        <v>15</v>
      </c>
    </row>
    <row r="1389" spans="1:7" hidden="1" x14ac:dyDescent="0.25">
      <c r="A1389" s="21">
        <v>1388</v>
      </c>
      <c r="B1389" s="7" t="s">
        <v>3527</v>
      </c>
      <c r="C1389" s="7" t="s">
        <v>3528</v>
      </c>
      <c r="F1389" t="s">
        <v>1603</v>
      </c>
      <c r="G1389" s="8" t="s">
        <v>15</v>
      </c>
    </row>
    <row r="1390" spans="1:7" hidden="1" x14ac:dyDescent="0.25">
      <c r="A1390" s="21">
        <v>1389</v>
      </c>
      <c r="B1390" s="7" t="s">
        <v>3529</v>
      </c>
      <c r="C1390" s="7" t="s">
        <v>3530</v>
      </c>
      <c r="F1390" t="s">
        <v>1603</v>
      </c>
      <c r="G1390" s="8" t="s">
        <v>15</v>
      </c>
    </row>
    <row r="1391" spans="1:7" hidden="1" x14ac:dyDescent="0.25">
      <c r="A1391" s="21">
        <v>1390</v>
      </c>
      <c r="B1391" s="7" t="s">
        <v>3531</v>
      </c>
      <c r="C1391" s="7" t="s">
        <v>3532</v>
      </c>
      <c r="F1391" t="s">
        <v>1603</v>
      </c>
      <c r="G1391" s="8" t="s">
        <v>15</v>
      </c>
    </row>
    <row r="1392" spans="1:7" hidden="1" x14ac:dyDescent="0.25">
      <c r="A1392" s="21">
        <v>1391</v>
      </c>
      <c r="B1392" s="7" t="s">
        <v>3533</v>
      </c>
      <c r="C1392" s="7" t="s">
        <v>3534</v>
      </c>
      <c r="F1392" t="s">
        <v>1603</v>
      </c>
      <c r="G1392" s="8" t="s">
        <v>15</v>
      </c>
    </row>
    <row r="1393" spans="1:7" hidden="1" x14ac:dyDescent="0.25">
      <c r="A1393" s="21">
        <v>1392</v>
      </c>
      <c r="B1393" s="7" t="s">
        <v>3535</v>
      </c>
      <c r="C1393" s="7" t="s">
        <v>3536</v>
      </c>
      <c r="F1393" t="s">
        <v>1603</v>
      </c>
      <c r="G1393" s="8" t="s">
        <v>15</v>
      </c>
    </row>
    <row r="1394" spans="1:7" hidden="1" x14ac:dyDescent="0.25">
      <c r="A1394" s="21">
        <v>1393</v>
      </c>
      <c r="B1394" s="7" t="s">
        <v>3537</v>
      </c>
      <c r="C1394" s="7" t="s">
        <v>3538</v>
      </c>
      <c r="F1394" t="s">
        <v>1603</v>
      </c>
      <c r="G1394" s="8" t="s">
        <v>15</v>
      </c>
    </row>
    <row r="1395" spans="1:7" hidden="1" x14ac:dyDescent="0.25">
      <c r="A1395" s="21">
        <v>1394</v>
      </c>
      <c r="B1395" s="7" t="s">
        <v>3539</v>
      </c>
      <c r="C1395" s="7" t="s">
        <v>3540</v>
      </c>
      <c r="F1395" t="s">
        <v>1603</v>
      </c>
      <c r="G1395" s="8" t="s">
        <v>15</v>
      </c>
    </row>
    <row r="1396" spans="1:7" hidden="1" x14ac:dyDescent="0.25">
      <c r="A1396" s="21">
        <v>1395</v>
      </c>
      <c r="B1396" s="7" t="s">
        <v>3541</v>
      </c>
      <c r="C1396" s="7" t="s">
        <v>3542</v>
      </c>
      <c r="F1396" t="s">
        <v>1603</v>
      </c>
      <c r="G1396" s="8" t="s">
        <v>15</v>
      </c>
    </row>
    <row r="1397" spans="1:7" hidden="1" x14ac:dyDescent="0.25">
      <c r="A1397" s="21">
        <v>1396</v>
      </c>
      <c r="B1397" s="7" t="s">
        <v>3543</v>
      </c>
      <c r="C1397" s="7" t="s">
        <v>3544</v>
      </c>
      <c r="F1397" t="s">
        <v>1603</v>
      </c>
      <c r="G1397" s="8" t="s">
        <v>15</v>
      </c>
    </row>
    <row r="1398" spans="1:7" hidden="1" x14ac:dyDescent="0.25">
      <c r="A1398" s="21">
        <v>1397</v>
      </c>
      <c r="B1398" s="7" t="s">
        <v>3545</v>
      </c>
      <c r="C1398" s="7" t="s">
        <v>3546</v>
      </c>
      <c r="F1398" t="s">
        <v>1603</v>
      </c>
      <c r="G1398" s="8" t="s">
        <v>15</v>
      </c>
    </row>
    <row r="1399" spans="1:7" hidden="1" x14ac:dyDescent="0.25">
      <c r="A1399" s="21">
        <v>1398</v>
      </c>
      <c r="B1399" s="7" t="s">
        <v>3547</v>
      </c>
      <c r="C1399" s="7" t="s">
        <v>3548</v>
      </c>
      <c r="F1399" t="s">
        <v>1603</v>
      </c>
      <c r="G1399" s="8" t="s">
        <v>15</v>
      </c>
    </row>
    <row r="1400" spans="1:7" hidden="1" x14ac:dyDescent="0.25">
      <c r="A1400" s="21">
        <v>1399</v>
      </c>
      <c r="B1400" s="7" t="s">
        <v>3549</v>
      </c>
      <c r="C1400" s="7" t="s">
        <v>3550</v>
      </c>
      <c r="F1400" t="s">
        <v>1603</v>
      </c>
      <c r="G1400" s="8" t="s">
        <v>15</v>
      </c>
    </row>
    <row r="1401" spans="1:7" hidden="1" x14ac:dyDescent="0.25">
      <c r="A1401" s="21">
        <v>1400</v>
      </c>
      <c r="B1401" s="7" t="s">
        <v>3551</v>
      </c>
      <c r="C1401" s="7" t="s">
        <v>3552</v>
      </c>
      <c r="F1401" t="s">
        <v>1603</v>
      </c>
      <c r="G1401" s="8" t="s">
        <v>15</v>
      </c>
    </row>
    <row r="1402" spans="1:7" hidden="1" x14ac:dyDescent="0.25">
      <c r="A1402" s="21">
        <v>1401</v>
      </c>
      <c r="B1402" s="7" t="s">
        <v>3553</v>
      </c>
      <c r="C1402" s="7" t="s">
        <v>3554</v>
      </c>
      <c r="F1402" t="s">
        <v>1603</v>
      </c>
      <c r="G1402" s="8" t="s">
        <v>15</v>
      </c>
    </row>
    <row r="1403" spans="1:7" hidden="1" x14ac:dyDescent="0.25">
      <c r="A1403" s="21">
        <v>1402</v>
      </c>
      <c r="B1403" s="7" t="s">
        <v>3555</v>
      </c>
      <c r="C1403" s="7" t="s">
        <v>3556</v>
      </c>
      <c r="F1403" t="s">
        <v>1603</v>
      </c>
      <c r="G1403" s="8" t="s">
        <v>15</v>
      </c>
    </row>
    <row r="1404" spans="1:7" hidden="1" x14ac:dyDescent="0.25">
      <c r="A1404" s="21">
        <v>1403</v>
      </c>
      <c r="B1404" s="7" t="s">
        <v>3557</v>
      </c>
      <c r="C1404" s="7" t="s">
        <v>3558</v>
      </c>
      <c r="F1404" t="s">
        <v>1603</v>
      </c>
      <c r="G1404" s="8" t="s">
        <v>15</v>
      </c>
    </row>
    <row r="1405" spans="1:7" hidden="1" x14ac:dyDescent="0.25">
      <c r="A1405" s="21">
        <v>1404</v>
      </c>
      <c r="B1405" s="7" t="s">
        <v>3559</v>
      </c>
      <c r="C1405" s="7" t="s">
        <v>3560</v>
      </c>
      <c r="F1405" t="s">
        <v>1603</v>
      </c>
      <c r="G1405" s="8" t="s">
        <v>15</v>
      </c>
    </row>
    <row r="1406" spans="1:7" hidden="1" x14ac:dyDescent="0.25">
      <c r="A1406" s="21">
        <v>1405</v>
      </c>
      <c r="B1406" s="7" t="s">
        <v>3561</v>
      </c>
      <c r="C1406" s="7" t="s">
        <v>3562</v>
      </c>
      <c r="F1406" t="s">
        <v>1603</v>
      </c>
      <c r="G1406" s="8" t="s">
        <v>15</v>
      </c>
    </row>
    <row r="1407" spans="1:7" hidden="1" x14ac:dyDescent="0.25">
      <c r="A1407" s="21">
        <v>1406</v>
      </c>
      <c r="B1407" s="7" t="s">
        <v>3563</v>
      </c>
      <c r="C1407" s="7" t="s">
        <v>3564</v>
      </c>
      <c r="F1407" t="s">
        <v>1603</v>
      </c>
      <c r="G1407" s="8" t="s">
        <v>15</v>
      </c>
    </row>
    <row r="1408" spans="1:7" hidden="1" x14ac:dyDescent="0.25">
      <c r="A1408" s="21">
        <v>1407</v>
      </c>
      <c r="B1408" s="7" t="s">
        <v>3565</v>
      </c>
      <c r="C1408" s="7" t="s">
        <v>3566</v>
      </c>
      <c r="F1408" t="s">
        <v>1603</v>
      </c>
      <c r="G1408" s="8" t="s">
        <v>15</v>
      </c>
    </row>
    <row r="1409" spans="1:7" hidden="1" x14ac:dyDescent="0.25">
      <c r="A1409" s="21">
        <v>1408</v>
      </c>
      <c r="B1409" s="7" t="s">
        <v>3567</v>
      </c>
      <c r="C1409" s="7" t="s">
        <v>3568</v>
      </c>
      <c r="F1409" t="s">
        <v>1603</v>
      </c>
      <c r="G1409" s="8" t="s">
        <v>15</v>
      </c>
    </row>
    <row r="1410" spans="1:7" hidden="1" x14ac:dyDescent="0.25">
      <c r="A1410" s="21">
        <v>1409</v>
      </c>
      <c r="B1410" s="7" t="s">
        <v>3569</v>
      </c>
      <c r="C1410" s="7" t="s">
        <v>3570</v>
      </c>
      <c r="F1410" t="s">
        <v>1603</v>
      </c>
      <c r="G1410" s="8" t="s">
        <v>15</v>
      </c>
    </row>
    <row r="1411" spans="1:7" hidden="1" x14ac:dyDescent="0.25">
      <c r="A1411" s="21">
        <v>1410</v>
      </c>
      <c r="B1411" s="7" t="s">
        <v>3571</v>
      </c>
      <c r="C1411" s="7" t="s">
        <v>3572</v>
      </c>
      <c r="F1411" t="s">
        <v>1603</v>
      </c>
      <c r="G1411" s="8" t="s">
        <v>15</v>
      </c>
    </row>
    <row r="1412" spans="1:7" hidden="1" x14ac:dyDescent="0.25">
      <c r="A1412" s="21">
        <v>1411</v>
      </c>
      <c r="B1412" s="7" t="s">
        <v>3573</v>
      </c>
      <c r="C1412" s="7" t="s">
        <v>3574</v>
      </c>
      <c r="F1412" t="s">
        <v>1603</v>
      </c>
      <c r="G1412" s="8" t="s">
        <v>15</v>
      </c>
    </row>
    <row r="1413" spans="1:7" hidden="1" x14ac:dyDescent="0.25">
      <c r="A1413" s="21">
        <v>1412</v>
      </c>
      <c r="B1413" s="7" t="s">
        <v>3575</v>
      </c>
      <c r="C1413" s="7" t="s">
        <v>3576</v>
      </c>
      <c r="F1413" t="s">
        <v>1603</v>
      </c>
      <c r="G1413" s="8" t="s">
        <v>15</v>
      </c>
    </row>
    <row r="1414" spans="1:7" hidden="1" x14ac:dyDescent="0.25">
      <c r="A1414" s="21">
        <v>1413</v>
      </c>
      <c r="B1414" s="7" t="s">
        <v>3577</v>
      </c>
      <c r="C1414" s="7" t="s">
        <v>3578</v>
      </c>
      <c r="F1414" t="s">
        <v>1603</v>
      </c>
      <c r="G1414" s="8" t="s">
        <v>15</v>
      </c>
    </row>
    <row r="1415" spans="1:7" hidden="1" x14ac:dyDescent="0.25">
      <c r="A1415" s="21">
        <v>1414</v>
      </c>
      <c r="B1415" s="7" t="s">
        <v>3579</v>
      </c>
      <c r="C1415" s="7" t="s">
        <v>3580</v>
      </c>
      <c r="F1415" t="s">
        <v>1603</v>
      </c>
      <c r="G1415" s="8" t="s">
        <v>15</v>
      </c>
    </row>
    <row r="1416" spans="1:7" hidden="1" x14ac:dyDescent="0.25">
      <c r="A1416" s="21">
        <v>1415</v>
      </c>
      <c r="B1416" s="7" t="s">
        <v>3581</v>
      </c>
      <c r="C1416" s="7" t="s">
        <v>3582</v>
      </c>
      <c r="F1416" t="s">
        <v>1603</v>
      </c>
      <c r="G1416" s="8" t="s">
        <v>15</v>
      </c>
    </row>
    <row r="1417" spans="1:7" hidden="1" x14ac:dyDescent="0.25">
      <c r="A1417" s="21">
        <v>1416</v>
      </c>
      <c r="B1417" s="7" t="s">
        <v>3583</v>
      </c>
      <c r="C1417" s="7" t="s">
        <v>3584</v>
      </c>
      <c r="F1417" t="s">
        <v>1603</v>
      </c>
      <c r="G1417" s="8" t="s">
        <v>15</v>
      </c>
    </row>
    <row r="1418" spans="1:7" hidden="1" x14ac:dyDescent="0.25">
      <c r="A1418" s="21">
        <v>1417</v>
      </c>
      <c r="B1418" s="7" t="s">
        <v>3585</v>
      </c>
      <c r="C1418" s="7" t="s">
        <v>3586</v>
      </c>
      <c r="F1418" t="s">
        <v>1603</v>
      </c>
      <c r="G1418" s="8" t="s">
        <v>15</v>
      </c>
    </row>
    <row r="1419" spans="1:7" hidden="1" x14ac:dyDescent="0.25">
      <c r="A1419" s="21">
        <v>1418</v>
      </c>
      <c r="B1419" s="7" t="s">
        <v>3587</v>
      </c>
      <c r="C1419" s="7" t="s">
        <v>3588</v>
      </c>
      <c r="F1419" t="s">
        <v>1603</v>
      </c>
      <c r="G1419" s="8" t="s">
        <v>15</v>
      </c>
    </row>
    <row r="1420" spans="1:7" hidden="1" x14ac:dyDescent="0.25">
      <c r="A1420" s="21">
        <v>1419</v>
      </c>
      <c r="B1420" s="7" t="s">
        <v>3589</v>
      </c>
      <c r="C1420" s="7" t="s">
        <v>3590</v>
      </c>
      <c r="F1420" t="s">
        <v>1603</v>
      </c>
      <c r="G1420" s="8" t="s">
        <v>15</v>
      </c>
    </row>
    <row r="1421" spans="1:7" hidden="1" x14ac:dyDescent="0.25">
      <c r="A1421" s="21">
        <v>1420</v>
      </c>
      <c r="B1421" s="7" t="s">
        <v>3591</v>
      </c>
      <c r="C1421" s="7" t="s">
        <v>3592</v>
      </c>
      <c r="F1421" t="s">
        <v>1603</v>
      </c>
      <c r="G1421" s="8" t="s">
        <v>15</v>
      </c>
    </row>
    <row r="1422" spans="1:7" hidden="1" x14ac:dyDescent="0.25">
      <c r="A1422" s="21">
        <v>1421</v>
      </c>
      <c r="B1422" s="7" t="s">
        <v>3593</v>
      </c>
      <c r="C1422" s="7" t="s">
        <v>3594</v>
      </c>
      <c r="F1422" t="s">
        <v>1603</v>
      </c>
      <c r="G1422" s="8" t="s">
        <v>15</v>
      </c>
    </row>
    <row r="1423" spans="1:7" hidden="1" x14ac:dyDescent="0.25">
      <c r="A1423" s="21">
        <v>1422</v>
      </c>
      <c r="B1423" s="7" t="s">
        <v>3595</v>
      </c>
      <c r="C1423" s="7" t="s">
        <v>3596</v>
      </c>
      <c r="F1423" t="s">
        <v>1603</v>
      </c>
      <c r="G1423" s="8" t="s">
        <v>15</v>
      </c>
    </row>
    <row r="1424" spans="1:7" hidden="1" x14ac:dyDescent="0.25">
      <c r="A1424" s="21">
        <v>1423</v>
      </c>
      <c r="B1424" s="7" t="s">
        <v>3597</v>
      </c>
      <c r="C1424" s="7" t="s">
        <v>3598</v>
      </c>
      <c r="F1424" t="s">
        <v>1603</v>
      </c>
      <c r="G1424" s="8" t="s">
        <v>15</v>
      </c>
    </row>
    <row r="1425" spans="1:7" hidden="1" x14ac:dyDescent="0.25">
      <c r="A1425" s="21">
        <v>1424</v>
      </c>
      <c r="B1425" s="7" t="s">
        <v>3599</v>
      </c>
      <c r="C1425" s="7" t="s">
        <v>3600</v>
      </c>
      <c r="F1425" t="s">
        <v>1603</v>
      </c>
      <c r="G1425" s="8" t="s">
        <v>15</v>
      </c>
    </row>
    <row r="1426" spans="1:7" hidden="1" x14ac:dyDescent="0.25">
      <c r="A1426" s="21">
        <v>1425</v>
      </c>
      <c r="B1426" s="7" t="s">
        <v>3601</v>
      </c>
      <c r="C1426" s="7" t="s">
        <v>3602</v>
      </c>
      <c r="F1426" t="s">
        <v>1603</v>
      </c>
      <c r="G1426" s="8" t="s">
        <v>15</v>
      </c>
    </row>
    <row r="1427" spans="1:7" hidden="1" x14ac:dyDescent="0.25">
      <c r="A1427" s="21">
        <v>1426</v>
      </c>
      <c r="B1427" s="7" t="s">
        <v>3603</v>
      </c>
      <c r="C1427" s="7" t="s">
        <v>3604</v>
      </c>
      <c r="F1427" t="s">
        <v>1603</v>
      </c>
      <c r="G1427" s="8" t="s">
        <v>15</v>
      </c>
    </row>
    <row r="1428" spans="1:7" hidden="1" x14ac:dyDescent="0.25">
      <c r="A1428" s="21">
        <v>1427</v>
      </c>
      <c r="B1428" s="7" t="s">
        <v>3605</v>
      </c>
      <c r="C1428" s="7" t="s">
        <v>3606</v>
      </c>
      <c r="F1428" t="s">
        <v>1603</v>
      </c>
      <c r="G1428" s="8" t="s">
        <v>15</v>
      </c>
    </row>
    <row r="1429" spans="1:7" hidden="1" x14ac:dyDescent="0.25">
      <c r="A1429" s="21">
        <v>1428</v>
      </c>
      <c r="B1429" s="7" t="s">
        <v>3607</v>
      </c>
      <c r="C1429" s="7" t="s">
        <v>3608</v>
      </c>
      <c r="F1429" t="s">
        <v>1603</v>
      </c>
      <c r="G1429" s="8" t="s">
        <v>15</v>
      </c>
    </row>
    <row r="1430" spans="1:7" hidden="1" x14ac:dyDescent="0.25">
      <c r="A1430" s="21">
        <v>1429</v>
      </c>
      <c r="B1430" s="7" t="s">
        <v>3609</v>
      </c>
      <c r="C1430" s="7" t="s">
        <v>3610</v>
      </c>
      <c r="F1430" t="s">
        <v>1603</v>
      </c>
      <c r="G1430" s="8" t="s">
        <v>15</v>
      </c>
    </row>
    <row r="1431" spans="1:7" hidden="1" x14ac:dyDescent="0.25">
      <c r="A1431" s="21">
        <v>1430</v>
      </c>
      <c r="B1431" s="7" t="s">
        <v>3611</v>
      </c>
      <c r="C1431" s="7" t="s">
        <v>3612</v>
      </c>
      <c r="F1431" t="s">
        <v>1603</v>
      </c>
      <c r="G1431" s="8" t="s">
        <v>15</v>
      </c>
    </row>
    <row r="1432" spans="1:7" hidden="1" x14ac:dyDescent="0.25">
      <c r="A1432" s="21">
        <v>1431</v>
      </c>
      <c r="B1432" s="7" t="s">
        <v>3613</v>
      </c>
      <c r="C1432" s="7" t="s">
        <v>3614</v>
      </c>
      <c r="F1432" t="s">
        <v>1603</v>
      </c>
      <c r="G1432" s="8" t="s">
        <v>15</v>
      </c>
    </row>
    <row r="1433" spans="1:7" hidden="1" x14ac:dyDescent="0.25">
      <c r="A1433" s="21">
        <v>1432</v>
      </c>
      <c r="B1433" s="7" t="s">
        <v>3615</v>
      </c>
      <c r="C1433" s="7" t="s">
        <v>3616</v>
      </c>
      <c r="F1433" t="s">
        <v>1603</v>
      </c>
      <c r="G1433" s="8" t="s">
        <v>15</v>
      </c>
    </row>
    <row r="1434" spans="1:7" hidden="1" x14ac:dyDescent="0.25">
      <c r="A1434" s="21">
        <v>1433</v>
      </c>
      <c r="B1434" s="7" t="s">
        <v>3617</v>
      </c>
      <c r="C1434" s="7" t="s">
        <v>3618</v>
      </c>
      <c r="F1434" t="s">
        <v>1603</v>
      </c>
      <c r="G1434" s="8" t="s">
        <v>15</v>
      </c>
    </row>
    <row r="1435" spans="1:7" hidden="1" x14ac:dyDescent="0.25">
      <c r="A1435" s="21">
        <v>1434</v>
      </c>
      <c r="B1435" s="7" t="s">
        <v>3619</v>
      </c>
      <c r="C1435" s="7" t="s">
        <v>3620</v>
      </c>
      <c r="F1435" t="s">
        <v>1603</v>
      </c>
      <c r="G1435" s="8" t="s">
        <v>15</v>
      </c>
    </row>
    <row r="1436" spans="1:7" hidden="1" x14ac:dyDescent="0.25">
      <c r="A1436" s="21">
        <v>1435</v>
      </c>
      <c r="B1436" s="7" t="s">
        <v>3621</v>
      </c>
      <c r="C1436" s="7" t="s">
        <v>3622</v>
      </c>
      <c r="F1436" t="s">
        <v>1603</v>
      </c>
      <c r="G1436" s="8" t="s">
        <v>15</v>
      </c>
    </row>
    <row r="1437" spans="1:7" hidden="1" x14ac:dyDescent="0.25">
      <c r="A1437" s="21">
        <v>1436</v>
      </c>
      <c r="B1437" s="7" t="s">
        <v>3623</v>
      </c>
      <c r="C1437" s="7" t="s">
        <v>3624</v>
      </c>
      <c r="F1437" t="s">
        <v>1603</v>
      </c>
      <c r="G1437" s="8" t="s">
        <v>15</v>
      </c>
    </row>
    <row r="1438" spans="1:7" hidden="1" x14ac:dyDescent="0.25">
      <c r="A1438" s="21">
        <v>1437</v>
      </c>
      <c r="B1438" s="7" t="s">
        <v>3625</v>
      </c>
      <c r="C1438" s="7" t="s">
        <v>3626</v>
      </c>
      <c r="F1438" t="s">
        <v>1603</v>
      </c>
      <c r="G1438" s="8" t="s">
        <v>15</v>
      </c>
    </row>
    <row r="1439" spans="1:7" hidden="1" x14ac:dyDescent="0.25">
      <c r="A1439" s="21">
        <v>1438</v>
      </c>
      <c r="B1439" s="7" t="s">
        <v>3627</v>
      </c>
      <c r="C1439" s="7" t="s">
        <v>3628</v>
      </c>
      <c r="G1439" s="8" t="s">
        <v>15</v>
      </c>
    </row>
    <row r="1440" spans="1:7" hidden="1" x14ac:dyDescent="0.25">
      <c r="A1440" s="21">
        <v>1439</v>
      </c>
      <c r="B1440" s="7" t="s">
        <v>3629</v>
      </c>
      <c r="C1440" s="7" t="s">
        <v>3630</v>
      </c>
      <c r="F1440" t="s">
        <v>1960</v>
      </c>
      <c r="G1440" s="8" t="s">
        <v>15</v>
      </c>
    </row>
    <row r="1441" spans="1:7" hidden="1" x14ac:dyDescent="0.25">
      <c r="A1441" s="21">
        <v>1440</v>
      </c>
      <c r="B1441" s="7" t="s">
        <v>3631</v>
      </c>
      <c r="C1441" s="7" t="s">
        <v>3632</v>
      </c>
      <c r="F1441" t="s">
        <v>3633</v>
      </c>
      <c r="G1441" s="8" t="s">
        <v>15</v>
      </c>
    </row>
    <row r="1442" spans="1:7" hidden="1" x14ac:dyDescent="0.25">
      <c r="A1442" s="21">
        <v>1441</v>
      </c>
      <c r="B1442" s="7" t="s">
        <v>3634</v>
      </c>
      <c r="C1442" s="7" t="s">
        <v>3635</v>
      </c>
      <c r="F1442" t="s">
        <v>3633</v>
      </c>
      <c r="G1442" s="8" t="s">
        <v>15</v>
      </c>
    </row>
    <row r="1443" spans="1:7" hidden="1" x14ac:dyDescent="0.25">
      <c r="A1443" s="21">
        <v>1442</v>
      </c>
      <c r="B1443" s="7" t="s">
        <v>3636</v>
      </c>
      <c r="C1443" s="7" t="s">
        <v>3637</v>
      </c>
      <c r="G1443" s="8" t="s">
        <v>15</v>
      </c>
    </row>
    <row r="1444" spans="1:7" hidden="1" x14ac:dyDescent="0.25">
      <c r="A1444" s="21">
        <v>1443</v>
      </c>
      <c r="B1444" s="7" t="s">
        <v>3638</v>
      </c>
      <c r="C1444" s="7" t="s">
        <v>3639</v>
      </c>
      <c r="G1444" s="8" t="s">
        <v>15</v>
      </c>
    </row>
    <row r="1445" spans="1:7" hidden="1" x14ac:dyDescent="0.25">
      <c r="A1445" s="21">
        <v>1444</v>
      </c>
      <c r="B1445" s="7" t="s">
        <v>3640</v>
      </c>
      <c r="C1445" s="7" t="s">
        <v>3641</v>
      </c>
      <c r="G1445" s="8" t="s">
        <v>15</v>
      </c>
    </row>
    <row r="1446" spans="1:7" hidden="1" x14ac:dyDescent="0.25">
      <c r="A1446" s="21">
        <v>1445</v>
      </c>
      <c r="B1446" s="7" t="s">
        <v>3642</v>
      </c>
      <c r="C1446" s="7" t="s">
        <v>3643</v>
      </c>
      <c r="G1446" s="8" t="s">
        <v>15</v>
      </c>
    </row>
    <row r="1447" spans="1:7" hidden="1" x14ac:dyDescent="0.25">
      <c r="A1447" s="21">
        <v>1446</v>
      </c>
      <c r="B1447" s="7" t="s">
        <v>3644</v>
      </c>
      <c r="C1447" s="7" t="s">
        <v>3645</v>
      </c>
      <c r="G1447" s="8" t="s">
        <v>15</v>
      </c>
    </row>
    <row r="1448" spans="1:7" hidden="1" x14ac:dyDescent="0.25">
      <c r="A1448" s="21">
        <v>1447</v>
      </c>
      <c r="B1448" s="7" t="s">
        <v>3646</v>
      </c>
      <c r="C1448" s="7" t="s">
        <v>3647</v>
      </c>
      <c r="G1448" s="8" t="s">
        <v>15</v>
      </c>
    </row>
    <row r="1449" spans="1:7" hidden="1" x14ac:dyDescent="0.25">
      <c r="A1449" s="21">
        <v>1448</v>
      </c>
      <c r="B1449" s="7" t="s">
        <v>3648</v>
      </c>
      <c r="C1449" s="7" t="s">
        <v>3649</v>
      </c>
      <c r="G1449" s="8" t="s">
        <v>15</v>
      </c>
    </row>
    <row r="1450" spans="1:7" hidden="1" x14ac:dyDescent="0.25">
      <c r="A1450" s="21">
        <v>1449</v>
      </c>
      <c r="B1450" s="7" t="s">
        <v>3650</v>
      </c>
      <c r="C1450" s="7" t="s">
        <v>3651</v>
      </c>
      <c r="G1450" s="8" t="s">
        <v>15</v>
      </c>
    </row>
    <row r="1451" spans="1:7" hidden="1" x14ac:dyDescent="0.25">
      <c r="A1451" s="21">
        <v>1450</v>
      </c>
      <c r="B1451" s="7" t="s">
        <v>3652</v>
      </c>
      <c r="C1451" s="7" t="s">
        <v>3653</v>
      </c>
      <c r="G1451" s="8" t="s">
        <v>15</v>
      </c>
    </row>
    <row r="1452" spans="1:7" hidden="1" x14ac:dyDescent="0.25">
      <c r="A1452" s="21">
        <v>1451</v>
      </c>
      <c r="B1452" s="7" t="s">
        <v>3654</v>
      </c>
      <c r="C1452" s="7" t="s">
        <v>3655</v>
      </c>
      <c r="G1452" s="8" t="s">
        <v>15</v>
      </c>
    </row>
    <row r="1453" spans="1:7" hidden="1" x14ac:dyDescent="0.25">
      <c r="A1453" s="21">
        <v>1452</v>
      </c>
      <c r="B1453" s="7" t="s">
        <v>3656</v>
      </c>
      <c r="C1453" s="7" t="s">
        <v>3657</v>
      </c>
      <c r="G1453" s="8" t="s">
        <v>15</v>
      </c>
    </row>
    <row r="1454" spans="1:7" hidden="1" x14ac:dyDescent="0.25">
      <c r="A1454" s="21">
        <v>1453</v>
      </c>
      <c r="B1454" s="7" t="s">
        <v>3658</v>
      </c>
      <c r="C1454" s="7" t="s">
        <v>3659</v>
      </c>
      <c r="G1454" s="8" t="s">
        <v>15</v>
      </c>
    </row>
    <row r="1455" spans="1:7" hidden="1" x14ac:dyDescent="0.25">
      <c r="A1455" s="21">
        <v>1454</v>
      </c>
      <c r="B1455" s="7" t="s">
        <v>3660</v>
      </c>
      <c r="C1455" s="7" t="s">
        <v>3661</v>
      </c>
      <c r="G1455" s="8" t="s">
        <v>15</v>
      </c>
    </row>
    <row r="1456" spans="1:7" hidden="1" x14ac:dyDescent="0.25">
      <c r="A1456" s="21">
        <v>1455</v>
      </c>
      <c r="B1456" s="7" t="s">
        <v>3662</v>
      </c>
      <c r="C1456" s="7" t="s">
        <v>3663</v>
      </c>
      <c r="G1456" s="8" t="s">
        <v>15</v>
      </c>
    </row>
    <row r="1457" spans="1:7" hidden="1" x14ac:dyDescent="0.25">
      <c r="A1457" s="21">
        <v>1456</v>
      </c>
      <c r="B1457" s="7" t="s">
        <v>3664</v>
      </c>
      <c r="C1457" s="7" t="s">
        <v>3665</v>
      </c>
      <c r="G1457" s="8" t="s">
        <v>15</v>
      </c>
    </row>
    <row r="1458" spans="1:7" hidden="1" x14ac:dyDescent="0.25">
      <c r="A1458" s="21">
        <v>1457</v>
      </c>
      <c r="B1458" s="7" t="s">
        <v>3666</v>
      </c>
      <c r="C1458" s="7" t="s">
        <v>3667</v>
      </c>
      <c r="G1458" s="8" t="s">
        <v>15</v>
      </c>
    </row>
    <row r="1459" spans="1:7" hidden="1" x14ac:dyDescent="0.25">
      <c r="A1459" s="21">
        <v>1458</v>
      </c>
      <c r="B1459" s="7" t="s">
        <v>3668</v>
      </c>
      <c r="C1459" s="7" t="s">
        <v>3669</v>
      </c>
      <c r="G1459" s="8" t="s">
        <v>15</v>
      </c>
    </row>
    <row r="1460" spans="1:7" hidden="1" x14ac:dyDescent="0.25">
      <c r="A1460" s="21">
        <v>1459</v>
      </c>
      <c r="B1460" s="7" t="s">
        <v>3670</v>
      </c>
      <c r="C1460" s="7" t="s">
        <v>3671</v>
      </c>
      <c r="G1460" s="8" t="s">
        <v>15</v>
      </c>
    </row>
    <row r="1461" spans="1:7" hidden="1" x14ac:dyDescent="0.25">
      <c r="A1461" s="21">
        <v>1460</v>
      </c>
      <c r="B1461" s="7" t="s">
        <v>3672</v>
      </c>
      <c r="C1461" s="7" t="s">
        <v>3673</v>
      </c>
      <c r="G1461" s="8" t="s">
        <v>15</v>
      </c>
    </row>
    <row r="1462" spans="1:7" hidden="1" x14ac:dyDescent="0.25">
      <c r="A1462" s="21">
        <v>1461</v>
      </c>
      <c r="B1462" s="7" t="s">
        <v>3674</v>
      </c>
      <c r="C1462" s="7" t="s">
        <v>3675</v>
      </c>
      <c r="G1462" s="8" t="s">
        <v>15</v>
      </c>
    </row>
    <row r="1463" spans="1:7" hidden="1" x14ac:dyDescent="0.25">
      <c r="A1463" s="21">
        <v>1462</v>
      </c>
      <c r="B1463" s="7" t="s">
        <v>3676</v>
      </c>
      <c r="C1463" s="7" t="s">
        <v>3677</v>
      </c>
      <c r="G1463" s="8" t="s">
        <v>15</v>
      </c>
    </row>
    <row r="1464" spans="1:7" hidden="1" x14ac:dyDescent="0.25">
      <c r="A1464" s="21">
        <v>1463</v>
      </c>
      <c r="B1464" s="7" t="s">
        <v>3678</v>
      </c>
      <c r="C1464" s="7" t="s">
        <v>3679</v>
      </c>
      <c r="G1464" s="8" t="s">
        <v>15</v>
      </c>
    </row>
    <row r="1465" spans="1:7" hidden="1" x14ac:dyDescent="0.25">
      <c r="A1465" s="21">
        <v>1464</v>
      </c>
      <c r="B1465" s="7" t="s">
        <v>3680</v>
      </c>
      <c r="C1465" s="7" t="s">
        <v>3681</v>
      </c>
      <c r="G1465" s="8" t="s">
        <v>15</v>
      </c>
    </row>
    <row r="1466" spans="1:7" hidden="1" x14ac:dyDescent="0.25">
      <c r="A1466" s="21">
        <v>1465</v>
      </c>
      <c r="B1466" s="7" t="s">
        <v>3682</v>
      </c>
      <c r="C1466" s="7" t="s">
        <v>3683</v>
      </c>
      <c r="G1466" s="8" t="s">
        <v>15</v>
      </c>
    </row>
    <row r="1467" spans="1:7" hidden="1" x14ac:dyDescent="0.25">
      <c r="A1467" s="21">
        <v>1466</v>
      </c>
      <c r="B1467" s="7" t="s">
        <v>3684</v>
      </c>
      <c r="C1467" s="7" t="s">
        <v>3685</v>
      </c>
      <c r="G1467" s="8" t="s">
        <v>15</v>
      </c>
    </row>
    <row r="1468" spans="1:7" hidden="1" x14ac:dyDescent="0.25">
      <c r="A1468" s="21">
        <v>1467</v>
      </c>
      <c r="B1468" s="7" t="s">
        <v>3686</v>
      </c>
      <c r="C1468" s="7" t="s">
        <v>3687</v>
      </c>
      <c r="G1468" s="8" t="s">
        <v>15</v>
      </c>
    </row>
    <row r="1469" spans="1:7" hidden="1" x14ac:dyDescent="0.25">
      <c r="A1469" s="21">
        <v>1468</v>
      </c>
      <c r="B1469" s="7" t="s">
        <v>3688</v>
      </c>
      <c r="C1469" s="7" t="s">
        <v>3689</v>
      </c>
      <c r="G1469" s="8" t="s">
        <v>15</v>
      </c>
    </row>
    <row r="1470" spans="1:7" hidden="1" x14ac:dyDescent="0.25">
      <c r="A1470" s="21">
        <v>1469</v>
      </c>
      <c r="B1470" s="7" t="s">
        <v>3690</v>
      </c>
      <c r="C1470" s="7" t="s">
        <v>3691</v>
      </c>
      <c r="G1470" s="8" t="s">
        <v>15</v>
      </c>
    </row>
    <row r="1471" spans="1:7" hidden="1" x14ac:dyDescent="0.25">
      <c r="A1471" s="21">
        <v>1470</v>
      </c>
      <c r="B1471" s="7" t="s">
        <v>3692</v>
      </c>
      <c r="C1471" s="7" t="s">
        <v>3693</v>
      </c>
      <c r="G1471" s="8" t="s">
        <v>15</v>
      </c>
    </row>
    <row r="1472" spans="1:7" hidden="1" x14ac:dyDescent="0.25">
      <c r="A1472" s="21">
        <v>1471</v>
      </c>
      <c r="B1472" s="7" t="s">
        <v>3694</v>
      </c>
      <c r="C1472" s="7" t="s">
        <v>3695</v>
      </c>
      <c r="G1472" s="8" t="s">
        <v>15</v>
      </c>
    </row>
    <row r="1473" spans="1:8" hidden="1" x14ac:dyDescent="0.25">
      <c r="A1473" s="21">
        <v>1472</v>
      </c>
      <c r="B1473" s="7" t="s">
        <v>3696</v>
      </c>
      <c r="C1473" s="7" t="s">
        <v>3697</v>
      </c>
      <c r="G1473" s="8" t="s">
        <v>15</v>
      </c>
    </row>
    <row r="1474" spans="1:8" hidden="1" x14ac:dyDescent="0.25">
      <c r="A1474" s="21">
        <v>1473</v>
      </c>
      <c r="B1474" s="7" t="s">
        <v>3698</v>
      </c>
      <c r="C1474" s="7" t="s">
        <v>3699</v>
      </c>
      <c r="G1474" s="8" t="s">
        <v>15</v>
      </c>
    </row>
    <row r="1475" spans="1:8" hidden="1" x14ac:dyDescent="0.25">
      <c r="A1475" s="21">
        <v>1474</v>
      </c>
      <c r="B1475" s="7" t="s">
        <v>3700</v>
      </c>
      <c r="C1475" s="7" t="s">
        <v>3701</v>
      </c>
      <c r="G1475" s="8" t="s">
        <v>15</v>
      </c>
    </row>
    <row r="1476" spans="1:8" hidden="1" x14ac:dyDescent="0.25">
      <c r="A1476" s="21">
        <v>1475</v>
      </c>
      <c r="B1476" s="7" t="s">
        <v>3702</v>
      </c>
      <c r="C1476" s="7" t="s">
        <v>3703</v>
      </c>
      <c r="F1476" t="s">
        <v>2360</v>
      </c>
      <c r="G1476" s="8" t="s">
        <v>15</v>
      </c>
    </row>
    <row r="1477" spans="1:8" hidden="1" x14ac:dyDescent="0.25">
      <c r="A1477" s="21">
        <v>1476</v>
      </c>
      <c r="B1477" s="7" t="s">
        <v>3704</v>
      </c>
      <c r="C1477" s="7" t="s">
        <v>3705</v>
      </c>
      <c r="G1477" s="8" t="s">
        <v>15</v>
      </c>
    </row>
    <row r="1478" spans="1:8" hidden="1" x14ac:dyDescent="0.25">
      <c r="A1478" s="21">
        <v>1477</v>
      </c>
      <c r="B1478" s="7" t="s">
        <v>3706</v>
      </c>
      <c r="C1478" s="7" t="s">
        <v>3707</v>
      </c>
      <c r="G1478" s="8" t="s">
        <v>15</v>
      </c>
    </row>
    <row r="1479" spans="1:8" hidden="1" x14ac:dyDescent="0.25">
      <c r="A1479" s="21">
        <v>1478</v>
      </c>
      <c r="B1479" s="7" t="s">
        <v>3708</v>
      </c>
      <c r="C1479" s="7" t="s">
        <v>3709</v>
      </c>
      <c r="G1479" s="8" t="s">
        <v>15</v>
      </c>
    </row>
    <row r="1480" spans="1:8" hidden="1" x14ac:dyDescent="0.25">
      <c r="A1480" s="21">
        <v>1479</v>
      </c>
      <c r="B1480" s="7" t="s">
        <v>3710</v>
      </c>
      <c r="C1480" s="7" t="s">
        <v>3711</v>
      </c>
      <c r="G1480" s="8" t="s">
        <v>15</v>
      </c>
    </row>
    <row r="1481" spans="1:8" hidden="1" x14ac:dyDescent="0.25">
      <c r="A1481" s="21">
        <v>1480</v>
      </c>
      <c r="B1481" s="7" t="s">
        <v>3712</v>
      </c>
      <c r="C1481" s="7" t="s">
        <v>3713</v>
      </c>
      <c r="G1481" s="8" t="s">
        <v>15</v>
      </c>
    </row>
    <row r="1482" spans="1:8" hidden="1" x14ac:dyDescent="0.25">
      <c r="A1482" s="21">
        <v>1481</v>
      </c>
      <c r="B1482" s="7" t="s">
        <v>3714</v>
      </c>
      <c r="C1482" s="7" t="s">
        <v>3715</v>
      </c>
      <c r="G1482" s="8" t="s">
        <v>15</v>
      </c>
      <c r="H1482" t="str">
        <f>_xlfn.XLOOKUP(B1482,Data!T:T,Data!F:F)</f>
        <v>Per Pack 100 Amp</v>
      </c>
    </row>
    <row r="1483" spans="1:8" hidden="1" x14ac:dyDescent="0.25">
      <c r="A1483" s="21">
        <v>1482</v>
      </c>
      <c r="B1483" s="7" t="s">
        <v>3716</v>
      </c>
      <c r="C1483" s="7" t="s">
        <v>3717</v>
      </c>
      <c r="G1483" s="8" t="s">
        <v>15</v>
      </c>
    </row>
    <row r="1484" spans="1:8" hidden="1" x14ac:dyDescent="0.25">
      <c r="A1484" s="21">
        <v>1483</v>
      </c>
      <c r="B1484" s="7" t="s">
        <v>3718</v>
      </c>
      <c r="C1484" s="7" t="s">
        <v>3719</v>
      </c>
      <c r="G1484" s="8" t="s">
        <v>15</v>
      </c>
    </row>
    <row r="1485" spans="1:8" hidden="1" x14ac:dyDescent="0.25">
      <c r="A1485" s="21">
        <v>1484</v>
      </c>
      <c r="B1485" s="7" t="s">
        <v>3720</v>
      </c>
      <c r="C1485" s="7" t="s">
        <v>3721</v>
      </c>
      <c r="G1485" s="8" t="s">
        <v>15</v>
      </c>
    </row>
    <row r="1486" spans="1:8" hidden="1" x14ac:dyDescent="0.25">
      <c r="A1486" s="21">
        <v>1485</v>
      </c>
      <c r="B1486" s="7" t="s">
        <v>3722</v>
      </c>
      <c r="C1486" s="7" t="s">
        <v>3723</v>
      </c>
      <c r="G1486" s="8" t="s">
        <v>15</v>
      </c>
    </row>
    <row r="1487" spans="1:8" hidden="1" x14ac:dyDescent="0.25">
      <c r="A1487" s="21">
        <v>1486</v>
      </c>
      <c r="B1487" s="7" t="s">
        <v>3724</v>
      </c>
      <c r="C1487" s="7" t="s">
        <v>3725</v>
      </c>
      <c r="G1487" s="8" t="s">
        <v>15</v>
      </c>
    </row>
    <row r="1488" spans="1:8" hidden="1" x14ac:dyDescent="0.25">
      <c r="A1488" s="21">
        <v>1487</v>
      </c>
      <c r="B1488" s="7" t="s">
        <v>3726</v>
      </c>
      <c r="C1488" s="7" t="s">
        <v>3727</v>
      </c>
      <c r="G1488" s="8" t="s">
        <v>15</v>
      </c>
    </row>
    <row r="1489" spans="1:7" hidden="1" x14ac:dyDescent="0.25">
      <c r="A1489" s="21">
        <v>1488</v>
      </c>
      <c r="B1489" s="7" t="s">
        <v>3728</v>
      </c>
      <c r="C1489" s="7" t="s">
        <v>3729</v>
      </c>
      <c r="G1489" s="8" t="s">
        <v>15</v>
      </c>
    </row>
    <row r="1490" spans="1:7" hidden="1" x14ac:dyDescent="0.25">
      <c r="A1490" s="21">
        <v>1489</v>
      </c>
      <c r="B1490" s="7" t="s">
        <v>3730</v>
      </c>
      <c r="C1490" s="7" t="s">
        <v>3731</v>
      </c>
      <c r="G1490" s="8" t="s">
        <v>15</v>
      </c>
    </row>
    <row r="1491" spans="1:7" hidden="1" x14ac:dyDescent="0.25">
      <c r="A1491" s="21">
        <v>1490</v>
      </c>
      <c r="B1491" s="7" t="s">
        <v>3732</v>
      </c>
      <c r="C1491" s="7" t="s">
        <v>3733</v>
      </c>
      <c r="G1491" s="8" t="s">
        <v>15</v>
      </c>
    </row>
    <row r="1492" spans="1:7" hidden="1" x14ac:dyDescent="0.25">
      <c r="A1492" s="21">
        <v>1491</v>
      </c>
      <c r="B1492" s="7" t="s">
        <v>3734</v>
      </c>
      <c r="C1492" s="7" t="s">
        <v>3735</v>
      </c>
      <c r="G1492" s="8" t="s">
        <v>15</v>
      </c>
    </row>
    <row r="1493" spans="1:7" hidden="1" x14ac:dyDescent="0.25">
      <c r="A1493" s="21">
        <v>1492</v>
      </c>
      <c r="B1493" s="7" t="s">
        <v>3736</v>
      </c>
      <c r="C1493" s="7" t="s">
        <v>3737</v>
      </c>
      <c r="G1493" s="8" t="s">
        <v>15</v>
      </c>
    </row>
    <row r="1494" spans="1:7" hidden="1" x14ac:dyDescent="0.25">
      <c r="A1494" s="21">
        <v>1493</v>
      </c>
      <c r="B1494" s="7" t="s">
        <v>3738</v>
      </c>
      <c r="C1494" s="7" t="s">
        <v>3739</v>
      </c>
      <c r="G1494" s="8" t="s">
        <v>15</v>
      </c>
    </row>
    <row r="1495" spans="1:7" hidden="1" x14ac:dyDescent="0.25">
      <c r="A1495" s="21">
        <v>1494</v>
      </c>
      <c r="B1495" s="7" t="s">
        <v>3740</v>
      </c>
      <c r="C1495" s="7" t="s">
        <v>3741</v>
      </c>
      <c r="G1495" s="8" t="s">
        <v>15</v>
      </c>
    </row>
    <row r="1496" spans="1:7" hidden="1" x14ac:dyDescent="0.25">
      <c r="A1496" s="21">
        <v>1495</v>
      </c>
      <c r="B1496" s="7" t="s">
        <v>3742</v>
      </c>
      <c r="C1496" s="7" t="s">
        <v>3743</v>
      </c>
      <c r="G1496" s="8" t="s">
        <v>15</v>
      </c>
    </row>
    <row r="1497" spans="1:7" hidden="1" x14ac:dyDescent="0.25">
      <c r="A1497" s="21">
        <v>1496</v>
      </c>
      <c r="B1497" s="7" t="s">
        <v>3744</v>
      </c>
      <c r="C1497" s="7" t="s">
        <v>3745</v>
      </c>
      <c r="G1497" s="8" t="s">
        <v>15</v>
      </c>
    </row>
    <row r="1498" spans="1:7" hidden="1" x14ac:dyDescent="0.25">
      <c r="A1498" s="21">
        <v>1497</v>
      </c>
      <c r="B1498" s="7" t="s">
        <v>3746</v>
      </c>
      <c r="C1498" s="7" t="s">
        <v>3747</v>
      </c>
      <c r="G1498" s="8" t="s">
        <v>15</v>
      </c>
    </row>
    <row r="1499" spans="1:7" hidden="1" x14ac:dyDescent="0.25">
      <c r="A1499" s="21">
        <v>1498</v>
      </c>
      <c r="B1499" s="7" t="s">
        <v>3748</v>
      </c>
      <c r="C1499" s="7" t="s">
        <v>3749</v>
      </c>
      <c r="G1499" s="8" t="s">
        <v>15</v>
      </c>
    </row>
    <row r="1500" spans="1:7" hidden="1" x14ac:dyDescent="0.25">
      <c r="A1500" s="21">
        <v>1499</v>
      </c>
      <c r="B1500" s="7" t="s">
        <v>3750</v>
      </c>
      <c r="C1500" s="7" t="s">
        <v>3751</v>
      </c>
      <c r="G1500" s="8" t="s">
        <v>15</v>
      </c>
    </row>
    <row r="1501" spans="1:7" hidden="1" x14ac:dyDescent="0.25">
      <c r="A1501" s="21">
        <v>1500</v>
      </c>
      <c r="B1501" s="7" t="s">
        <v>3752</v>
      </c>
      <c r="C1501" s="7" t="s">
        <v>3753</v>
      </c>
      <c r="G1501" s="8" t="s">
        <v>15</v>
      </c>
    </row>
    <row r="1502" spans="1:7" hidden="1" x14ac:dyDescent="0.25">
      <c r="A1502" s="21">
        <v>1501</v>
      </c>
      <c r="B1502" s="7" t="s">
        <v>3754</v>
      </c>
      <c r="C1502" s="7" t="s">
        <v>3755</v>
      </c>
      <c r="G1502" s="8" t="s">
        <v>15</v>
      </c>
    </row>
    <row r="1503" spans="1:7" hidden="1" x14ac:dyDescent="0.25">
      <c r="A1503" s="21">
        <v>1502</v>
      </c>
      <c r="B1503" s="7" t="s">
        <v>3756</v>
      </c>
      <c r="C1503" s="7" t="s">
        <v>3757</v>
      </c>
      <c r="G1503" s="8" t="s">
        <v>15</v>
      </c>
    </row>
    <row r="1504" spans="1:7" hidden="1" x14ac:dyDescent="0.25">
      <c r="A1504" s="21">
        <v>1503</v>
      </c>
      <c r="B1504" s="7" t="s">
        <v>3758</v>
      </c>
      <c r="C1504" s="7" t="s">
        <v>3759</v>
      </c>
      <c r="G1504" s="8" t="s">
        <v>15</v>
      </c>
    </row>
    <row r="1505" spans="1:7" hidden="1" x14ac:dyDescent="0.25">
      <c r="A1505" s="21">
        <v>1504</v>
      </c>
      <c r="B1505" s="7" t="s">
        <v>3760</v>
      </c>
      <c r="C1505" s="7" t="s">
        <v>3761</v>
      </c>
      <c r="G1505" s="8" t="s">
        <v>15</v>
      </c>
    </row>
    <row r="1506" spans="1:7" hidden="1" x14ac:dyDescent="0.25">
      <c r="A1506" s="21">
        <v>1505</v>
      </c>
      <c r="B1506" s="7" t="s">
        <v>3762</v>
      </c>
      <c r="C1506" s="7" t="s">
        <v>3763</v>
      </c>
      <c r="G1506" s="8" t="s">
        <v>15</v>
      </c>
    </row>
    <row r="1507" spans="1:7" hidden="1" x14ac:dyDescent="0.25">
      <c r="A1507" s="21">
        <v>1506</v>
      </c>
      <c r="B1507" s="7" t="s">
        <v>3764</v>
      </c>
      <c r="C1507" s="7" t="s">
        <v>3765</v>
      </c>
      <c r="G1507" s="8" t="s">
        <v>15</v>
      </c>
    </row>
    <row r="1508" spans="1:7" hidden="1" x14ac:dyDescent="0.25">
      <c r="A1508" s="21">
        <v>1507</v>
      </c>
      <c r="B1508" s="7" t="s">
        <v>3766</v>
      </c>
      <c r="C1508" s="7" t="s">
        <v>3767</v>
      </c>
      <c r="G1508" s="8" t="s">
        <v>15</v>
      </c>
    </row>
    <row r="1509" spans="1:7" hidden="1" x14ac:dyDescent="0.25">
      <c r="A1509" s="21">
        <v>1508</v>
      </c>
      <c r="B1509" s="7" t="s">
        <v>3768</v>
      </c>
      <c r="C1509" s="7" t="s">
        <v>3769</v>
      </c>
      <c r="G1509" s="8" t="s">
        <v>15</v>
      </c>
    </row>
    <row r="1510" spans="1:7" hidden="1" x14ac:dyDescent="0.25">
      <c r="A1510" s="21">
        <v>1509</v>
      </c>
      <c r="B1510" s="7" t="s">
        <v>3770</v>
      </c>
      <c r="C1510" s="7" t="s">
        <v>3771</v>
      </c>
      <c r="G1510" s="8" t="s">
        <v>15</v>
      </c>
    </row>
    <row r="1511" spans="1:7" hidden="1" x14ac:dyDescent="0.25">
      <c r="A1511" s="21">
        <v>1510</v>
      </c>
      <c r="B1511" s="7" t="s">
        <v>3772</v>
      </c>
      <c r="C1511" s="7" t="s">
        <v>3773</v>
      </c>
      <c r="G1511" s="8" t="s">
        <v>15</v>
      </c>
    </row>
    <row r="1512" spans="1:7" hidden="1" x14ac:dyDescent="0.25">
      <c r="A1512" s="21">
        <v>1511</v>
      </c>
      <c r="B1512" s="7" t="s">
        <v>3774</v>
      </c>
      <c r="C1512" s="7" t="s">
        <v>3775</v>
      </c>
      <c r="G1512" s="8" t="s">
        <v>15</v>
      </c>
    </row>
    <row r="1513" spans="1:7" hidden="1" x14ac:dyDescent="0.25">
      <c r="A1513" s="21">
        <v>1512</v>
      </c>
      <c r="B1513" s="7" t="s">
        <v>3776</v>
      </c>
      <c r="C1513" s="7" t="s">
        <v>3777</v>
      </c>
      <c r="G1513" s="8" t="s">
        <v>15</v>
      </c>
    </row>
    <row r="1514" spans="1:7" hidden="1" x14ac:dyDescent="0.25">
      <c r="A1514" s="21">
        <v>1513</v>
      </c>
      <c r="B1514" s="7" t="s">
        <v>3778</v>
      </c>
      <c r="C1514" s="7" t="s">
        <v>3779</v>
      </c>
      <c r="G1514" s="8" t="s">
        <v>15</v>
      </c>
    </row>
    <row r="1515" spans="1:7" hidden="1" x14ac:dyDescent="0.25">
      <c r="A1515" s="21">
        <v>1514</v>
      </c>
      <c r="B1515" s="7" t="s">
        <v>3780</v>
      </c>
      <c r="C1515" s="7" t="s">
        <v>3781</v>
      </c>
      <c r="G1515" s="8" t="s">
        <v>15</v>
      </c>
    </row>
    <row r="1516" spans="1:7" hidden="1" x14ac:dyDescent="0.25">
      <c r="A1516" s="21">
        <v>1515</v>
      </c>
      <c r="B1516" s="7" t="s">
        <v>3782</v>
      </c>
      <c r="C1516" s="7" t="s">
        <v>3783</v>
      </c>
      <c r="G1516" s="8" t="s">
        <v>15</v>
      </c>
    </row>
    <row r="1517" spans="1:7" hidden="1" x14ac:dyDescent="0.25">
      <c r="A1517" s="21">
        <v>1516</v>
      </c>
      <c r="B1517" s="7" t="s">
        <v>3784</v>
      </c>
      <c r="C1517" s="7" t="s">
        <v>3785</v>
      </c>
      <c r="F1517" s="8" t="s">
        <v>3303</v>
      </c>
      <c r="G1517" s="8" t="s">
        <v>15</v>
      </c>
    </row>
    <row r="1518" spans="1:7" hidden="1" x14ac:dyDescent="0.25">
      <c r="A1518" s="21">
        <v>1517</v>
      </c>
      <c r="B1518" s="7" t="s">
        <v>3786</v>
      </c>
      <c r="C1518" s="7" t="s">
        <v>3787</v>
      </c>
      <c r="G1518" s="8" t="s">
        <v>15</v>
      </c>
    </row>
    <row r="1519" spans="1:7" hidden="1" x14ac:dyDescent="0.25">
      <c r="A1519" s="21">
        <v>1518</v>
      </c>
      <c r="B1519" s="7" t="s">
        <v>3788</v>
      </c>
      <c r="C1519" s="7" t="s">
        <v>3789</v>
      </c>
      <c r="F1519" t="s">
        <v>3306</v>
      </c>
      <c r="G1519" s="8" t="s">
        <v>15</v>
      </c>
    </row>
    <row r="1520" spans="1:7" hidden="1" x14ac:dyDescent="0.25">
      <c r="A1520" s="21">
        <v>1519</v>
      </c>
      <c r="B1520" s="7" t="s">
        <v>3790</v>
      </c>
      <c r="C1520" s="7" t="s">
        <v>3791</v>
      </c>
      <c r="G1520" s="8" t="s">
        <v>15</v>
      </c>
    </row>
    <row r="1521" spans="1:7" hidden="1" x14ac:dyDescent="0.25">
      <c r="A1521" s="21">
        <v>1520</v>
      </c>
      <c r="B1521" s="7" t="s">
        <v>3792</v>
      </c>
      <c r="C1521" s="7" t="s">
        <v>3793</v>
      </c>
      <c r="G1521" s="8" t="s">
        <v>15</v>
      </c>
    </row>
    <row r="1522" spans="1:7" hidden="1" x14ac:dyDescent="0.25">
      <c r="A1522" s="21">
        <v>1521</v>
      </c>
      <c r="B1522" s="7" t="s">
        <v>3794</v>
      </c>
      <c r="C1522" s="7" t="s">
        <v>3795</v>
      </c>
      <c r="G1522" s="8" t="s">
        <v>15</v>
      </c>
    </row>
    <row r="1523" spans="1:7" hidden="1" x14ac:dyDescent="0.25">
      <c r="A1523" s="21">
        <v>1522</v>
      </c>
      <c r="B1523" s="7" t="s">
        <v>3796</v>
      </c>
      <c r="C1523" s="7" t="s">
        <v>3797</v>
      </c>
      <c r="G1523" s="8" t="s">
        <v>15</v>
      </c>
    </row>
    <row r="1524" spans="1:7" hidden="1" x14ac:dyDescent="0.25">
      <c r="A1524" s="21">
        <v>1523</v>
      </c>
      <c r="B1524" s="7" t="s">
        <v>3798</v>
      </c>
      <c r="C1524" s="7" t="s">
        <v>3799</v>
      </c>
      <c r="G1524" s="8" t="s">
        <v>15</v>
      </c>
    </row>
    <row r="1525" spans="1:7" hidden="1" x14ac:dyDescent="0.25">
      <c r="A1525" s="21">
        <v>1524</v>
      </c>
      <c r="B1525" s="7" t="s">
        <v>3800</v>
      </c>
      <c r="C1525" s="7" t="s">
        <v>3801</v>
      </c>
      <c r="G1525" s="8" t="s">
        <v>15</v>
      </c>
    </row>
    <row r="1526" spans="1:7" hidden="1" x14ac:dyDescent="0.25">
      <c r="A1526" s="21">
        <v>1525</v>
      </c>
      <c r="B1526" s="7" t="s">
        <v>3802</v>
      </c>
      <c r="C1526" s="7" t="s">
        <v>3803</v>
      </c>
      <c r="G1526" s="8" t="s">
        <v>15</v>
      </c>
    </row>
    <row r="1527" spans="1:7" hidden="1" x14ac:dyDescent="0.25">
      <c r="A1527" s="21">
        <v>1526</v>
      </c>
      <c r="B1527" s="7" t="s">
        <v>3804</v>
      </c>
      <c r="C1527" s="7" t="s">
        <v>3805</v>
      </c>
      <c r="G1527" s="8" t="s">
        <v>15</v>
      </c>
    </row>
    <row r="1528" spans="1:7" hidden="1" x14ac:dyDescent="0.25">
      <c r="A1528" s="21">
        <v>1527</v>
      </c>
      <c r="B1528" s="7" t="s">
        <v>3806</v>
      </c>
      <c r="C1528" s="7" t="s">
        <v>3807</v>
      </c>
      <c r="G1528" s="8" t="s">
        <v>15</v>
      </c>
    </row>
    <row r="1529" spans="1:7" hidden="1" x14ac:dyDescent="0.25">
      <c r="A1529" s="21">
        <v>1528</v>
      </c>
      <c r="B1529" s="7" t="s">
        <v>3808</v>
      </c>
      <c r="C1529" s="7" t="s">
        <v>3809</v>
      </c>
      <c r="G1529" s="8" t="s">
        <v>15</v>
      </c>
    </row>
    <row r="1530" spans="1:7" hidden="1" x14ac:dyDescent="0.25">
      <c r="A1530" s="21">
        <v>1529</v>
      </c>
      <c r="B1530" s="7" t="s">
        <v>3810</v>
      </c>
      <c r="C1530" s="7" t="s">
        <v>3811</v>
      </c>
      <c r="G1530" s="8" t="s">
        <v>15</v>
      </c>
    </row>
    <row r="1531" spans="1:7" hidden="1" x14ac:dyDescent="0.25">
      <c r="A1531" s="21">
        <v>1530</v>
      </c>
      <c r="B1531" s="7" t="s">
        <v>3812</v>
      </c>
      <c r="C1531" s="7" t="s">
        <v>3813</v>
      </c>
      <c r="G1531" s="8" t="s">
        <v>15</v>
      </c>
    </row>
    <row r="1532" spans="1:7" hidden="1" x14ac:dyDescent="0.25">
      <c r="A1532" s="21">
        <v>1531</v>
      </c>
      <c r="B1532" s="7" t="s">
        <v>3814</v>
      </c>
      <c r="C1532" s="7" t="s">
        <v>3815</v>
      </c>
      <c r="G1532" s="8" t="s">
        <v>15</v>
      </c>
    </row>
    <row r="1533" spans="1:7" hidden="1" x14ac:dyDescent="0.25">
      <c r="A1533" s="21">
        <v>1532</v>
      </c>
      <c r="B1533" s="7" t="s">
        <v>3816</v>
      </c>
      <c r="C1533" s="7" t="s">
        <v>3817</v>
      </c>
      <c r="G1533" s="8" t="s">
        <v>15</v>
      </c>
    </row>
    <row r="1534" spans="1:7" hidden="1" x14ac:dyDescent="0.25">
      <c r="A1534" s="21">
        <v>1533</v>
      </c>
      <c r="B1534" s="7" t="s">
        <v>3818</v>
      </c>
      <c r="C1534" s="7" t="s">
        <v>3819</v>
      </c>
      <c r="G1534" s="8" t="s">
        <v>15</v>
      </c>
    </row>
    <row r="1535" spans="1:7" hidden="1" x14ac:dyDescent="0.25">
      <c r="A1535" s="21">
        <v>1534</v>
      </c>
      <c r="B1535" s="7" t="s">
        <v>3820</v>
      </c>
      <c r="C1535" s="7" t="s">
        <v>3821</v>
      </c>
      <c r="G1535" s="8" t="s">
        <v>15</v>
      </c>
    </row>
    <row r="1536" spans="1:7" hidden="1" x14ac:dyDescent="0.25">
      <c r="A1536" s="21">
        <v>1535</v>
      </c>
      <c r="B1536" s="7" t="s">
        <v>3822</v>
      </c>
      <c r="C1536" s="7" t="s">
        <v>3823</v>
      </c>
      <c r="G1536" s="8" t="s">
        <v>15</v>
      </c>
    </row>
    <row r="1537" spans="1:7" hidden="1" x14ac:dyDescent="0.25">
      <c r="A1537" s="21">
        <v>1536</v>
      </c>
      <c r="B1537" s="7" t="s">
        <v>3824</v>
      </c>
      <c r="C1537" s="7" t="s">
        <v>3825</v>
      </c>
      <c r="G1537" s="8" t="s">
        <v>15</v>
      </c>
    </row>
    <row r="1538" spans="1:7" hidden="1" x14ac:dyDescent="0.25">
      <c r="A1538" s="21">
        <v>1537</v>
      </c>
      <c r="B1538" s="7" t="s">
        <v>3826</v>
      </c>
      <c r="C1538" s="7" t="s">
        <v>3827</v>
      </c>
      <c r="G1538" s="8" t="s">
        <v>15</v>
      </c>
    </row>
    <row r="1539" spans="1:7" hidden="1" x14ac:dyDescent="0.25">
      <c r="A1539" s="21">
        <v>1538</v>
      </c>
      <c r="B1539" s="7" t="s">
        <v>3828</v>
      </c>
      <c r="C1539" s="7" t="s">
        <v>3829</v>
      </c>
      <c r="G1539" s="8" t="s">
        <v>15</v>
      </c>
    </row>
    <row r="1540" spans="1:7" hidden="1" x14ac:dyDescent="0.25">
      <c r="A1540" s="21">
        <v>1539</v>
      </c>
      <c r="B1540" s="7" t="s">
        <v>3830</v>
      </c>
      <c r="C1540" s="7" t="s">
        <v>3831</v>
      </c>
      <c r="G1540" s="8" t="s">
        <v>15</v>
      </c>
    </row>
    <row r="1541" spans="1:7" hidden="1" x14ac:dyDescent="0.25">
      <c r="A1541" s="21">
        <v>1540</v>
      </c>
      <c r="B1541" s="7" t="s">
        <v>3832</v>
      </c>
      <c r="C1541" s="7" t="s">
        <v>3833</v>
      </c>
      <c r="G1541" s="8" t="s">
        <v>15</v>
      </c>
    </row>
    <row r="1542" spans="1:7" hidden="1" x14ac:dyDescent="0.25">
      <c r="A1542" s="21">
        <v>1541</v>
      </c>
      <c r="B1542" s="7" t="s">
        <v>3834</v>
      </c>
      <c r="C1542" s="7" t="s">
        <v>3835</v>
      </c>
      <c r="G1542" s="8" t="s">
        <v>15</v>
      </c>
    </row>
    <row r="1543" spans="1:7" hidden="1" x14ac:dyDescent="0.25">
      <c r="A1543" s="21">
        <v>1542</v>
      </c>
      <c r="B1543" s="7" t="s">
        <v>3836</v>
      </c>
      <c r="C1543" s="7" t="s">
        <v>3837</v>
      </c>
      <c r="G1543" s="8" t="s">
        <v>15</v>
      </c>
    </row>
    <row r="1544" spans="1:7" hidden="1" x14ac:dyDescent="0.25">
      <c r="A1544" s="21">
        <v>1543</v>
      </c>
      <c r="B1544" s="7" t="s">
        <v>3838</v>
      </c>
      <c r="C1544" s="7" t="s">
        <v>3839</v>
      </c>
      <c r="G1544" s="8" t="s">
        <v>15</v>
      </c>
    </row>
    <row r="1545" spans="1:7" hidden="1" x14ac:dyDescent="0.25">
      <c r="A1545" s="21">
        <v>1544</v>
      </c>
      <c r="B1545" s="7" t="s">
        <v>3840</v>
      </c>
      <c r="C1545" s="7" t="s">
        <v>3841</v>
      </c>
      <c r="G1545" s="8" t="s">
        <v>15</v>
      </c>
    </row>
    <row r="1546" spans="1:7" hidden="1" x14ac:dyDescent="0.25">
      <c r="A1546" s="21">
        <v>1545</v>
      </c>
      <c r="B1546" s="7" t="s">
        <v>3842</v>
      </c>
      <c r="C1546" s="7" t="s">
        <v>3843</v>
      </c>
      <c r="G1546" s="8" t="s">
        <v>15</v>
      </c>
    </row>
    <row r="1547" spans="1:7" hidden="1" x14ac:dyDescent="0.25">
      <c r="A1547" s="21">
        <v>1546</v>
      </c>
      <c r="B1547" s="7" t="s">
        <v>3844</v>
      </c>
      <c r="C1547" s="7" t="s">
        <v>3845</v>
      </c>
      <c r="G1547" s="8" t="s">
        <v>15</v>
      </c>
    </row>
    <row r="1548" spans="1:7" hidden="1" x14ac:dyDescent="0.25">
      <c r="A1548" s="21">
        <v>1547</v>
      </c>
      <c r="B1548" s="7" t="s">
        <v>3846</v>
      </c>
      <c r="C1548" s="7" t="s">
        <v>3847</v>
      </c>
      <c r="G1548" s="8" t="s">
        <v>15</v>
      </c>
    </row>
    <row r="1549" spans="1:7" hidden="1" x14ac:dyDescent="0.25">
      <c r="A1549" s="21">
        <v>1548</v>
      </c>
      <c r="B1549" s="7" t="s">
        <v>3848</v>
      </c>
      <c r="C1549" s="7" t="s">
        <v>3849</v>
      </c>
      <c r="G1549" s="8" t="s">
        <v>15</v>
      </c>
    </row>
    <row r="1550" spans="1:7" hidden="1" x14ac:dyDescent="0.25">
      <c r="A1550" s="21">
        <v>1549</v>
      </c>
      <c r="B1550" s="7" t="s">
        <v>3850</v>
      </c>
      <c r="C1550" s="7" t="s">
        <v>3851</v>
      </c>
      <c r="G1550" s="8" t="s">
        <v>15</v>
      </c>
    </row>
    <row r="1551" spans="1:7" hidden="1" x14ac:dyDescent="0.25">
      <c r="A1551" s="21">
        <v>1550</v>
      </c>
      <c r="B1551" s="7" t="s">
        <v>3852</v>
      </c>
      <c r="C1551" s="7" t="s">
        <v>3853</v>
      </c>
      <c r="G1551" s="8" t="s">
        <v>15</v>
      </c>
    </row>
    <row r="1552" spans="1:7" hidden="1" x14ac:dyDescent="0.25">
      <c r="A1552" s="21">
        <v>1551</v>
      </c>
      <c r="B1552" s="7" t="s">
        <v>3854</v>
      </c>
      <c r="C1552" s="7" t="s">
        <v>3855</v>
      </c>
      <c r="G1552" s="8" t="s">
        <v>15</v>
      </c>
    </row>
    <row r="1553" spans="1:7" hidden="1" x14ac:dyDescent="0.25">
      <c r="A1553" s="21">
        <v>1552</v>
      </c>
      <c r="B1553" s="7" t="s">
        <v>3856</v>
      </c>
      <c r="C1553" s="7" t="s">
        <v>3857</v>
      </c>
      <c r="G1553" s="8" t="s">
        <v>15</v>
      </c>
    </row>
    <row r="1554" spans="1:7" hidden="1" x14ac:dyDescent="0.25">
      <c r="A1554" s="21">
        <v>1553</v>
      </c>
      <c r="B1554" s="7" t="s">
        <v>3858</v>
      </c>
      <c r="C1554" s="7" t="s">
        <v>3859</v>
      </c>
      <c r="G1554" s="8" t="s">
        <v>15</v>
      </c>
    </row>
    <row r="1555" spans="1:7" hidden="1" x14ac:dyDescent="0.25">
      <c r="A1555" s="21">
        <v>1554</v>
      </c>
      <c r="B1555" s="7" t="s">
        <v>3860</v>
      </c>
      <c r="C1555" s="7" t="s">
        <v>3861</v>
      </c>
      <c r="G1555" s="8" t="s">
        <v>15</v>
      </c>
    </row>
    <row r="1556" spans="1:7" hidden="1" x14ac:dyDescent="0.25">
      <c r="A1556" s="21">
        <v>1555</v>
      </c>
      <c r="B1556" s="7" t="s">
        <v>3862</v>
      </c>
      <c r="C1556" s="7" t="s">
        <v>3863</v>
      </c>
      <c r="G1556" s="8" t="s">
        <v>15</v>
      </c>
    </row>
    <row r="1557" spans="1:7" hidden="1" x14ac:dyDescent="0.25">
      <c r="A1557" s="21">
        <v>1556</v>
      </c>
      <c r="B1557" s="7" t="s">
        <v>3864</v>
      </c>
      <c r="C1557" s="7" t="s">
        <v>3865</v>
      </c>
      <c r="F1557" t="s">
        <v>1603</v>
      </c>
      <c r="G1557" s="8" t="s">
        <v>15</v>
      </c>
    </row>
    <row r="1558" spans="1:7" hidden="1" x14ac:dyDescent="0.25">
      <c r="A1558" s="21">
        <v>1557</v>
      </c>
      <c r="B1558" s="7" t="s">
        <v>3866</v>
      </c>
      <c r="C1558" s="7" t="s">
        <v>3867</v>
      </c>
      <c r="F1558" t="s">
        <v>1603</v>
      </c>
      <c r="G1558" s="8" t="s">
        <v>15</v>
      </c>
    </row>
    <row r="1559" spans="1:7" hidden="1" x14ac:dyDescent="0.25">
      <c r="A1559" s="21">
        <v>1558</v>
      </c>
      <c r="B1559" s="7" t="s">
        <v>3868</v>
      </c>
      <c r="C1559" s="7" t="s">
        <v>3869</v>
      </c>
      <c r="F1559" t="s">
        <v>1603</v>
      </c>
      <c r="G1559" s="8" t="s">
        <v>15</v>
      </c>
    </row>
    <row r="1560" spans="1:7" hidden="1" x14ac:dyDescent="0.25">
      <c r="A1560" s="21">
        <v>1559</v>
      </c>
      <c r="B1560" s="7" t="s">
        <v>3870</v>
      </c>
      <c r="C1560" s="7" t="s">
        <v>3871</v>
      </c>
      <c r="F1560" t="s">
        <v>1603</v>
      </c>
      <c r="G1560" s="8" t="s">
        <v>15</v>
      </c>
    </row>
    <row r="1561" spans="1:7" hidden="1" x14ac:dyDescent="0.25">
      <c r="A1561" s="21">
        <v>1560</v>
      </c>
      <c r="B1561" s="7" t="s">
        <v>3872</v>
      </c>
      <c r="C1561" s="7" t="s">
        <v>3873</v>
      </c>
      <c r="F1561" t="s">
        <v>1603</v>
      </c>
      <c r="G1561" s="8" t="s">
        <v>15</v>
      </c>
    </row>
    <row r="1562" spans="1:7" hidden="1" x14ac:dyDescent="0.25">
      <c r="A1562" s="21">
        <v>1561</v>
      </c>
      <c r="B1562" s="7" t="s">
        <v>3874</v>
      </c>
      <c r="C1562" s="7" t="s">
        <v>3875</v>
      </c>
      <c r="F1562" t="s">
        <v>1603</v>
      </c>
      <c r="G1562" s="8" t="s">
        <v>15</v>
      </c>
    </row>
    <row r="1563" spans="1:7" hidden="1" x14ac:dyDescent="0.25">
      <c r="A1563" s="21">
        <v>1562</v>
      </c>
      <c r="B1563" s="7" t="s">
        <v>3876</v>
      </c>
      <c r="C1563" s="7" t="s">
        <v>3877</v>
      </c>
      <c r="F1563" t="s">
        <v>1603</v>
      </c>
      <c r="G1563" s="8" t="s">
        <v>15</v>
      </c>
    </row>
    <row r="1564" spans="1:7" hidden="1" x14ac:dyDescent="0.25">
      <c r="A1564" s="21">
        <v>1563</v>
      </c>
      <c r="B1564" s="7" t="s">
        <v>3878</v>
      </c>
      <c r="C1564" s="7" t="s">
        <v>3879</v>
      </c>
      <c r="F1564" t="s">
        <v>1603</v>
      </c>
      <c r="G1564" s="8" t="s">
        <v>15</v>
      </c>
    </row>
    <row r="1565" spans="1:7" hidden="1" x14ac:dyDescent="0.25">
      <c r="A1565" s="21">
        <v>1564</v>
      </c>
      <c r="B1565" s="7" t="s">
        <v>3880</v>
      </c>
      <c r="C1565" s="7" t="s">
        <v>3881</v>
      </c>
      <c r="F1565" t="s">
        <v>1603</v>
      </c>
      <c r="G1565" s="8" t="s">
        <v>15</v>
      </c>
    </row>
    <row r="1566" spans="1:7" hidden="1" x14ac:dyDescent="0.25">
      <c r="A1566" s="21">
        <v>1565</v>
      </c>
      <c r="B1566" s="7" t="s">
        <v>3882</v>
      </c>
      <c r="C1566" s="7" t="s">
        <v>3883</v>
      </c>
      <c r="F1566" t="s">
        <v>1603</v>
      </c>
      <c r="G1566" s="8" t="s">
        <v>15</v>
      </c>
    </row>
    <row r="1567" spans="1:7" hidden="1" x14ac:dyDescent="0.25">
      <c r="A1567" s="21">
        <v>1566</v>
      </c>
      <c r="B1567" s="7" t="s">
        <v>3884</v>
      </c>
      <c r="C1567" s="7" t="s">
        <v>3885</v>
      </c>
      <c r="F1567" t="s">
        <v>1603</v>
      </c>
      <c r="G1567" s="8" t="s">
        <v>15</v>
      </c>
    </row>
    <row r="1568" spans="1:7" hidden="1" x14ac:dyDescent="0.25">
      <c r="A1568" s="21">
        <v>1567</v>
      </c>
      <c r="B1568" s="7" t="s">
        <v>3886</v>
      </c>
      <c r="C1568" s="7" t="s">
        <v>3887</v>
      </c>
      <c r="F1568" t="s">
        <v>1603</v>
      </c>
      <c r="G1568" s="8" t="s">
        <v>15</v>
      </c>
    </row>
    <row r="1569" spans="1:7" hidden="1" x14ac:dyDescent="0.25">
      <c r="A1569" s="21">
        <v>1568</v>
      </c>
      <c r="B1569" s="7" t="s">
        <v>3888</v>
      </c>
      <c r="C1569" s="7" t="s">
        <v>3889</v>
      </c>
      <c r="F1569" t="s">
        <v>1603</v>
      </c>
      <c r="G1569" s="8" t="s">
        <v>15</v>
      </c>
    </row>
    <row r="1570" spans="1:7" hidden="1" x14ac:dyDescent="0.25">
      <c r="A1570" s="21">
        <v>1569</v>
      </c>
      <c r="B1570" s="7" t="s">
        <v>3890</v>
      </c>
      <c r="C1570" s="7" t="s">
        <v>3891</v>
      </c>
      <c r="F1570" t="s">
        <v>1603</v>
      </c>
      <c r="G1570" s="8" t="s">
        <v>15</v>
      </c>
    </row>
    <row r="1571" spans="1:7" hidden="1" x14ac:dyDescent="0.25">
      <c r="A1571" s="21">
        <v>1570</v>
      </c>
      <c r="B1571" s="7" t="s">
        <v>3892</v>
      </c>
      <c r="C1571" s="7" t="s">
        <v>3893</v>
      </c>
      <c r="F1571" t="s">
        <v>1603</v>
      </c>
      <c r="G1571" s="8" t="s">
        <v>15</v>
      </c>
    </row>
    <row r="1572" spans="1:7" hidden="1" x14ac:dyDescent="0.25">
      <c r="A1572" s="21">
        <v>1571</v>
      </c>
      <c r="B1572" s="7" t="s">
        <v>3894</v>
      </c>
      <c r="C1572" s="7" t="s">
        <v>3895</v>
      </c>
      <c r="F1572" t="s">
        <v>1603</v>
      </c>
      <c r="G1572" s="8" t="s">
        <v>15</v>
      </c>
    </row>
    <row r="1573" spans="1:7" hidden="1" x14ac:dyDescent="0.25">
      <c r="A1573" s="21">
        <v>1572</v>
      </c>
      <c r="B1573" s="7" t="s">
        <v>3896</v>
      </c>
      <c r="C1573" s="7" t="s">
        <v>3897</v>
      </c>
      <c r="F1573" t="s">
        <v>1603</v>
      </c>
      <c r="G1573" s="8" t="s">
        <v>15</v>
      </c>
    </row>
    <row r="1574" spans="1:7" hidden="1" x14ac:dyDescent="0.25">
      <c r="A1574" s="21">
        <v>1573</v>
      </c>
      <c r="B1574" s="7" t="s">
        <v>3898</v>
      </c>
      <c r="C1574" s="7" t="s">
        <v>3899</v>
      </c>
      <c r="F1574" t="s">
        <v>1603</v>
      </c>
      <c r="G1574" s="8" t="s">
        <v>15</v>
      </c>
    </row>
    <row r="1575" spans="1:7" hidden="1" x14ac:dyDescent="0.25">
      <c r="A1575" s="21">
        <v>1574</v>
      </c>
      <c r="B1575" s="7" t="s">
        <v>3900</v>
      </c>
      <c r="C1575" s="7" t="s">
        <v>3901</v>
      </c>
      <c r="F1575" t="s">
        <v>1603</v>
      </c>
      <c r="G1575" s="8" t="s">
        <v>15</v>
      </c>
    </row>
    <row r="1576" spans="1:7" hidden="1" x14ac:dyDescent="0.25">
      <c r="A1576" s="21">
        <v>1575</v>
      </c>
      <c r="B1576" s="7" t="s">
        <v>3902</v>
      </c>
      <c r="C1576" s="7" t="s">
        <v>3903</v>
      </c>
      <c r="F1576" t="s">
        <v>1603</v>
      </c>
      <c r="G1576" s="8" t="s">
        <v>15</v>
      </c>
    </row>
    <row r="1577" spans="1:7" hidden="1" x14ac:dyDescent="0.25">
      <c r="A1577" s="21">
        <v>1576</v>
      </c>
      <c r="B1577" s="7" t="s">
        <v>3904</v>
      </c>
      <c r="C1577" s="7" t="s">
        <v>3905</v>
      </c>
      <c r="F1577" t="s">
        <v>1603</v>
      </c>
      <c r="G1577" s="8" t="s">
        <v>15</v>
      </c>
    </row>
    <row r="1578" spans="1:7" hidden="1" x14ac:dyDescent="0.25">
      <c r="A1578" s="21">
        <v>1577</v>
      </c>
      <c r="B1578" s="7" t="s">
        <v>3906</v>
      </c>
      <c r="C1578" s="7" t="s">
        <v>3907</v>
      </c>
      <c r="F1578" t="s">
        <v>1603</v>
      </c>
      <c r="G1578" s="8" t="s">
        <v>15</v>
      </c>
    </row>
    <row r="1579" spans="1:7" hidden="1" x14ac:dyDescent="0.25">
      <c r="A1579" s="21">
        <v>1578</v>
      </c>
      <c r="B1579" s="7" t="s">
        <v>3908</v>
      </c>
      <c r="C1579" s="7" t="s">
        <v>3909</v>
      </c>
      <c r="F1579" t="s">
        <v>1603</v>
      </c>
      <c r="G1579" s="8" t="s">
        <v>15</v>
      </c>
    </row>
    <row r="1580" spans="1:7" hidden="1" x14ac:dyDescent="0.25">
      <c r="A1580" s="21">
        <v>1579</v>
      </c>
      <c r="B1580" s="7" t="s">
        <v>3910</v>
      </c>
      <c r="C1580" s="7" t="s">
        <v>3911</v>
      </c>
      <c r="F1580" t="s">
        <v>1603</v>
      </c>
      <c r="G1580" s="8" t="s">
        <v>15</v>
      </c>
    </row>
    <row r="1581" spans="1:7" hidden="1" x14ac:dyDescent="0.25">
      <c r="A1581" s="21">
        <v>1580</v>
      </c>
      <c r="B1581" s="7" t="s">
        <v>3912</v>
      </c>
      <c r="C1581" s="7" t="s">
        <v>3913</v>
      </c>
      <c r="F1581" t="s">
        <v>1603</v>
      </c>
      <c r="G1581" s="8" t="s">
        <v>15</v>
      </c>
    </row>
    <row r="1582" spans="1:7" hidden="1" x14ac:dyDescent="0.25">
      <c r="A1582" s="21">
        <v>1581</v>
      </c>
      <c r="B1582" s="7" t="s">
        <v>3914</v>
      </c>
      <c r="C1582" s="7" t="s">
        <v>3915</v>
      </c>
      <c r="F1582" t="s">
        <v>1603</v>
      </c>
      <c r="G1582" s="8" t="s">
        <v>15</v>
      </c>
    </row>
    <row r="1583" spans="1:7" hidden="1" x14ac:dyDescent="0.25">
      <c r="A1583" s="21">
        <v>1582</v>
      </c>
      <c r="B1583" s="7" t="s">
        <v>3916</v>
      </c>
      <c r="C1583" s="7" t="s">
        <v>3917</v>
      </c>
      <c r="F1583" t="s">
        <v>1603</v>
      </c>
      <c r="G1583" s="8" t="s">
        <v>15</v>
      </c>
    </row>
    <row r="1584" spans="1:7" hidden="1" x14ac:dyDescent="0.25">
      <c r="A1584" s="21">
        <v>1583</v>
      </c>
      <c r="B1584" s="7" t="s">
        <v>3918</v>
      </c>
      <c r="C1584" s="7" t="s">
        <v>3919</v>
      </c>
      <c r="F1584" t="s">
        <v>1603</v>
      </c>
      <c r="G1584" s="8" t="s">
        <v>15</v>
      </c>
    </row>
    <row r="1585" spans="1:7" hidden="1" x14ac:dyDescent="0.25">
      <c r="A1585" s="21">
        <v>1584</v>
      </c>
      <c r="B1585" s="7" t="s">
        <v>3920</v>
      </c>
      <c r="C1585" s="7" t="s">
        <v>3921</v>
      </c>
      <c r="F1585" t="s">
        <v>1603</v>
      </c>
      <c r="G1585" s="8" t="s">
        <v>15</v>
      </c>
    </row>
    <row r="1586" spans="1:7" hidden="1" x14ac:dyDescent="0.25">
      <c r="A1586" s="21">
        <v>1585</v>
      </c>
      <c r="B1586" s="7" t="s">
        <v>3922</v>
      </c>
      <c r="C1586" s="7" t="s">
        <v>3923</v>
      </c>
      <c r="F1586" t="s">
        <v>1603</v>
      </c>
      <c r="G1586" s="8" t="s">
        <v>15</v>
      </c>
    </row>
    <row r="1587" spans="1:7" hidden="1" x14ac:dyDescent="0.25">
      <c r="A1587" s="21">
        <v>1586</v>
      </c>
      <c r="B1587" s="7" t="s">
        <v>3924</v>
      </c>
      <c r="C1587" s="7" t="s">
        <v>3925</v>
      </c>
      <c r="F1587" t="s">
        <v>1603</v>
      </c>
      <c r="G1587" s="8" t="s">
        <v>15</v>
      </c>
    </row>
    <row r="1588" spans="1:7" hidden="1" x14ac:dyDescent="0.25">
      <c r="A1588" s="21">
        <v>1587</v>
      </c>
      <c r="B1588" s="7" t="s">
        <v>3926</v>
      </c>
      <c r="C1588" s="7" t="s">
        <v>3927</v>
      </c>
      <c r="F1588" t="s">
        <v>1603</v>
      </c>
      <c r="G1588" s="8" t="s">
        <v>15</v>
      </c>
    </row>
    <row r="1589" spans="1:7" hidden="1" x14ac:dyDescent="0.25">
      <c r="A1589" s="21">
        <v>1588</v>
      </c>
      <c r="B1589" s="7" t="s">
        <v>3928</v>
      </c>
      <c r="C1589" s="7" t="s">
        <v>3929</v>
      </c>
      <c r="F1589" t="s">
        <v>1603</v>
      </c>
      <c r="G1589" s="8" t="s">
        <v>15</v>
      </c>
    </row>
    <row r="1590" spans="1:7" hidden="1" x14ac:dyDescent="0.25">
      <c r="A1590" s="21">
        <v>1589</v>
      </c>
      <c r="B1590" s="7" t="s">
        <v>3930</v>
      </c>
      <c r="C1590" s="7" t="s">
        <v>3931</v>
      </c>
      <c r="F1590" t="s">
        <v>1603</v>
      </c>
      <c r="G1590" s="8" t="s">
        <v>15</v>
      </c>
    </row>
    <row r="1591" spans="1:7" hidden="1" x14ac:dyDescent="0.25">
      <c r="A1591" s="21">
        <v>1590</v>
      </c>
      <c r="B1591" s="7" t="s">
        <v>3932</v>
      </c>
      <c r="C1591" s="7" t="s">
        <v>3933</v>
      </c>
      <c r="F1591" t="s">
        <v>1603</v>
      </c>
      <c r="G1591" s="8" t="s">
        <v>15</v>
      </c>
    </row>
    <row r="1592" spans="1:7" hidden="1" x14ac:dyDescent="0.25">
      <c r="A1592" s="21">
        <v>1591</v>
      </c>
      <c r="B1592" s="7" t="s">
        <v>3934</v>
      </c>
      <c r="C1592" s="7" t="s">
        <v>3935</v>
      </c>
      <c r="F1592" t="s">
        <v>1603</v>
      </c>
      <c r="G1592" s="8" t="s">
        <v>15</v>
      </c>
    </row>
    <row r="1593" spans="1:7" hidden="1" x14ac:dyDescent="0.25">
      <c r="A1593" s="21">
        <v>1592</v>
      </c>
      <c r="B1593" s="7" t="s">
        <v>3936</v>
      </c>
      <c r="C1593" s="7" t="s">
        <v>3937</v>
      </c>
      <c r="F1593" t="s">
        <v>1603</v>
      </c>
      <c r="G1593" s="8" t="s">
        <v>15</v>
      </c>
    </row>
    <row r="1594" spans="1:7" hidden="1" x14ac:dyDescent="0.25">
      <c r="A1594" s="21">
        <v>1593</v>
      </c>
      <c r="B1594" s="7" t="s">
        <v>3938</v>
      </c>
      <c r="C1594" s="7" t="s">
        <v>3939</v>
      </c>
      <c r="F1594" t="s">
        <v>1603</v>
      </c>
      <c r="G1594" s="8" t="s">
        <v>15</v>
      </c>
    </row>
    <row r="1595" spans="1:7" hidden="1" x14ac:dyDescent="0.25">
      <c r="A1595" s="21">
        <v>1594</v>
      </c>
      <c r="B1595" s="7" t="s">
        <v>3940</v>
      </c>
      <c r="C1595" s="7" t="s">
        <v>3941</v>
      </c>
      <c r="F1595" t="s">
        <v>1603</v>
      </c>
      <c r="G1595" s="8" t="s">
        <v>15</v>
      </c>
    </row>
    <row r="1596" spans="1:7" hidden="1" x14ac:dyDescent="0.25">
      <c r="A1596" s="21">
        <v>1595</v>
      </c>
      <c r="B1596" s="7" t="s">
        <v>3942</v>
      </c>
      <c r="C1596" s="7" t="s">
        <v>3943</v>
      </c>
      <c r="F1596" t="s">
        <v>1603</v>
      </c>
      <c r="G1596" s="8" t="s">
        <v>15</v>
      </c>
    </row>
    <row r="1597" spans="1:7" hidden="1" x14ac:dyDescent="0.25">
      <c r="A1597" s="21">
        <v>1596</v>
      </c>
      <c r="B1597" s="7" t="s">
        <v>3944</v>
      </c>
      <c r="C1597" s="7" t="s">
        <v>3945</v>
      </c>
      <c r="F1597" t="s">
        <v>1603</v>
      </c>
      <c r="G1597" s="8" t="s">
        <v>15</v>
      </c>
    </row>
    <row r="1598" spans="1:7" hidden="1" x14ac:dyDescent="0.25">
      <c r="A1598" s="21">
        <v>1597</v>
      </c>
      <c r="B1598" s="7" t="s">
        <v>3946</v>
      </c>
      <c r="C1598" s="7" t="s">
        <v>3947</v>
      </c>
      <c r="G1598" s="8" t="s">
        <v>15</v>
      </c>
    </row>
    <row r="1599" spans="1:7" hidden="1" x14ac:dyDescent="0.25">
      <c r="A1599" s="21">
        <v>1598</v>
      </c>
      <c r="B1599" s="7" t="s">
        <v>3948</v>
      </c>
      <c r="C1599" s="7" t="s">
        <v>3949</v>
      </c>
      <c r="G1599" s="8" t="s">
        <v>15</v>
      </c>
    </row>
    <row r="1600" spans="1:7" hidden="1" x14ac:dyDescent="0.25">
      <c r="A1600" s="21">
        <v>1599</v>
      </c>
      <c r="B1600" s="7" t="s">
        <v>3950</v>
      </c>
      <c r="C1600" s="7" t="s">
        <v>3951</v>
      </c>
      <c r="G1600" s="8" t="s">
        <v>15</v>
      </c>
    </row>
    <row r="1601" spans="1:7" hidden="1" x14ac:dyDescent="0.25">
      <c r="A1601" s="21">
        <v>1600</v>
      </c>
      <c r="B1601" s="7" t="s">
        <v>3952</v>
      </c>
      <c r="C1601" s="7" t="s">
        <v>3953</v>
      </c>
      <c r="G1601" s="8" t="s">
        <v>15</v>
      </c>
    </row>
    <row r="1602" spans="1:7" hidden="1" x14ac:dyDescent="0.25">
      <c r="A1602" s="21">
        <v>1601</v>
      </c>
      <c r="B1602" s="7" t="s">
        <v>3954</v>
      </c>
      <c r="C1602" s="7" t="s">
        <v>3955</v>
      </c>
      <c r="G1602" s="8" t="s">
        <v>15</v>
      </c>
    </row>
    <row r="1603" spans="1:7" hidden="1" x14ac:dyDescent="0.25">
      <c r="A1603" s="21">
        <v>1602</v>
      </c>
      <c r="B1603" s="7" t="s">
        <v>3956</v>
      </c>
      <c r="C1603" s="7" t="s">
        <v>3957</v>
      </c>
      <c r="G1603" s="8" t="s">
        <v>15</v>
      </c>
    </row>
    <row r="1604" spans="1:7" hidden="1" x14ac:dyDescent="0.25">
      <c r="A1604" s="21">
        <v>1603</v>
      </c>
      <c r="B1604" s="7" t="s">
        <v>3958</v>
      </c>
      <c r="C1604" s="7" t="s">
        <v>3959</v>
      </c>
      <c r="G1604" s="8" t="s">
        <v>15</v>
      </c>
    </row>
    <row r="1605" spans="1:7" hidden="1" x14ac:dyDescent="0.25">
      <c r="A1605" s="21">
        <v>1604</v>
      </c>
      <c r="B1605" s="7" t="s">
        <v>3960</v>
      </c>
      <c r="C1605" s="7" t="s">
        <v>3961</v>
      </c>
      <c r="G1605" s="8" t="s">
        <v>15</v>
      </c>
    </row>
    <row r="1606" spans="1:7" hidden="1" x14ac:dyDescent="0.25">
      <c r="A1606" s="21">
        <v>1605</v>
      </c>
      <c r="B1606" s="7" t="s">
        <v>3962</v>
      </c>
      <c r="C1606" s="7" t="s">
        <v>3963</v>
      </c>
      <c r="G1606" s="8" t="s">
        <v>15</v>
      </c>
    </row>
    <row r="1607" spans="1:7" hidden="1" x14ac:dyDescent="0.25">
      <c r="A1607" s="21">
        <v>1606</v>
      </c>
      <c r="B1607" s="7" t="s">
        <v>3964</v>
      </c>
      <c r="C1607" s="7" t="s">
        <v>3965</v>
      </c>
      <c r="G1607" s="8" t="s">
        <v>15</v>
      </c>
    </row>
    <row r="1608" spans="1:7" hidden="1" x14ac:dyDescent="0.25">
      <c r="A1608" s="21">
        <v>1607</v>
      </c>
      <c r="B1608" s="7" t="s">
        <v>3966</v>
      </c>
      <c r="C1608" s="7" t="s">
        <v>3967</v>
      </c>
      <c r="G1608" s="8" t="s">
        <v>15</v>
      </c>
    </row>
    <row r="1609" spans="1:7" hidden="1" x14ac:dyDescent="0.25">
      <c r="A1609" s="21">
        <v>1608</v>
      </c>
      <c r="B1609" s="7" t="s">
        <v>3968</v>
      </c>
      <c r="C1609" s="7" t="s">
        <v>3969</v>
      </c>
      <c r="G1609" s="8" t="s">
        <v>15</v>
      </c>
    </row>
    <row r="1610" spans="1:7" hidden="1" x14ac:dyDescent="0.25">
      <c r="A1610" s="21">
        <v>1609</v>
      </c>
      <c r="B1610" s="7" t="s">
        <v>3970</v>
      </c>
      <c r="C1610" s="7" t="s">
        <v>3971</v>
      </c>
      <c r="G1610" s="8" t="s">
        <v>15</v>
      </c>
    </row>
    <row r="1611" spans="1:7" hidden="1" x14ac:dyDescent="0.25">
      <c r="A1611" s="21">
        <v>1610</v>
      </c>
      <c r="B1611" s="7" t="s">
        <v>3972</v>
      </c>
      <c r="C1611" s="7" t="s">
        <v>3973</v>
      </c>
      <c r="G1611" s="8" t="s">
        <v>15</v>
      </c>
    </row>
    <row r="1612" spans="1:7" hidden="1" x14ac:dyDescent="0.25">
      <c r="A1612" s="21">
        <v>1611</v>
      </c>
      <c r="B1612" s="7" t="s">
        <v>3974</v>
      </c>
      <c r="C1612" s="7" t="s">
        <v>3975</v>
      </c>
      <c r="G1612" s="8" t="s">
        <v>15</v>
      </c>
    </row>
    <row r="1613" spans="1:7" hidden="1" x14ac:dyDescent="0.25">
      <c r="A1613" s="21">
        <v>1612</v>
      </c>
      <c r="B1613" s="7" t="s">
        <v>3976</v>
      </c>
      <c r="C1613" s="7" t="s">
        <v>3977</v>
      </c>
      <c r="G1613" s="8" t="s">
        <v>15</v>
      </c>
    </row>
    <row r="1614" spans="1:7" hidden="1" x14ac:dyDescent="0.25">
      <c r="A1614" s="21">
        <v>1613</v>
      </c>
      <c r="B1614" s="7" t="s">
        <v>3978</v>
      </c>
      <c r="C1614" s="7" t="s">
        <v>3979</v>
      </c>
      <c r="G1614" s="8" t="s">
        <v>15</v>
      </c>
    </row>
    <row r="1615" spans="1:7" hidden="1" x14ac:dyDescent="0.25">
      <c r="A1615" s="21">
        <v>1614</v>
      </c>
      <c r="B1615" s="7" t="s">
        <v>3980</v>
      </c>
      <c r="C1615" s="7" t="s">
        <v>3981</v>
      </c>
      <c r="G1615" s="8" t="s">
        <v>15</v>
      </c>
    </row>
    <row r="1616" spans="1:7" hidden="1" x14ac:dyDescent="0.25">
      <c r="A1616" s="21">
        <v>1615</v>
      </c>
      <c r="B1616" s="7" t="s">
        <v>3982</v>
      </c>
      <c r="C1616" s="7" t="s">
        <v>3983</v>
      </c>
      <c r="G1616" s="8" t="s">
        <v>15</v>
      </c>
    </row>
    <row r="1617" spans="1:7" hidden="1" x14ac:dyDescent="0.25">
      <c r="A1617" s="21">
        <v>1616</v>
      </c>
      <c r="B1617" s="7" t="s">
        <v>3984</v>
      </c>
      <c r="C1617" s="7" t="s">
        <v>3985</v>
      </c>
      <c r="G1617" s="8" t="s">
        <v>15</v>
      </c>
    </row>
    <row r="1618" spans="1:7" hidden="1" x14ac:dyDescent="0.25">
      <c r="A1618" s="21">
        <v>1617</v>
      </c>
      <c r="B1618" s="7" t="s">
        <v>3986</v>
      </c>
      <c r="C1618" s="7" t="s">
        <v>3987</v>
      </c>
      <c r="G1618" s="8" t="s">
        <v>15</v>
      </c>
    </row>
    <row r="1619" spans="1:7" hidden="1" x14ac:dyDescent="0.25">
      <c r="A1619" s="21">
        <v>1618</v>
      </c>
      <c r="B1619" s="7" t="s">
        <v>3988</v>
      </c>
      <c r="C1619" s="7" t="s">
        <v>3989</v>
      </c>
      <c r="G1619" s="8" t="s">
        <v>15</v>
      </c>
    </row>
    <row r="1620" spans="1:7" hidden="1" x14ac:dyDescent="0.25">
      <c r="A1620" s="21">
        <v>1619</v>
      </c>
      <c r="B1620" s="7" t="s">
        <v>3990</v>
      </c>
      <c r="C1620" s="7" t="s">
        <v>3991</v>
      </c>
      <c r="G1620" s="8" t="s">
        <v>15</v>
      </c>
    </row>
    <row r="1621" spans="1:7" hidden="1" x14ac:dyDescent="0.25">
      <c r="A1621" s="21">
        <v>1620</v>
      </c>
      <c r="B1621" s="7" t="s">
        <v>3992</v>
      </c>
      <c r="C1621" s="7" t="s">
        <v>3993</v>
      </c>
      <c r="G1621" s="8" t="s">
        <v>15</v>
      </c>
    </row>
    <row r="1622" spans="1:7" hidden="1" x14ac:dyDescent="0.25">
      <c r="A1622" s="21">
        <v>1621</v>
      </c>
      <c r="B1622" s="7" t="s">
        <v>3994</v>
      </c>
      <c r="C1622" s="7" t="s">
        <v>3995</v>
      </c>
      <c r="G1622" s="8" t="s">
        <v>15</v>
      </c>
    </row>
    <row r="1623" spans="1:7" hidden="1" x14ac:dyDescent="0.25">
      <c r="A1623" s="21">
        <v>1622</v>
      </c>
      <c r="B1623" s="7" t="s">
        <v>3996</v>
      </c>
      <c r="C1623" s="7" t="s">
        <v>3997</v>
      </c>
      <c r="G1623" s="8" t="s">
        <v>15</v>
      </c>
    </row>
    <row r="1624" spans="1:7" hidden="1" x14ac:dyDescent="0.25">
      <c r="A1624" s="21">
        <v>1623</v>
      </c>
      <c r="B1624" s="7" t="s">
        <v>3998</v>
      </c>
      <c r="C1624" s="7" t="s">
        <v>3999</v>
      </c>
      <c r="G1624" s="8" t="s">
        <v>15</v>
      </c>
    </row>
    <row r="1625" spans="1:7" hidden="1" x14ac:dyDescent="0.25">
      <c r="A1625" s="21">
        <v>1624</v>
      </c>
      <c r="B1625" s="7" t="s">
        <v>4000</v>
      </c>
      <c r="C1625" s="7" t="s">
        <v>4001</v>
      </c>
      <c r="G1625" s="8" t="s">
        <v>15</v>
      </c>
    </row>
    <row r="1626" spans="1:7" hidden="1" x14ac:dyDescent="0.25">
      <c r="A1626" s="21">
        <v>1625</v>
      </c>
      <c r="B1626" s="7" t="s">
        <v>4002</v>
      </c>
      <c r="C1626" s="7" t="s">
        <v>4003</v>
      </c>
      <c r="G1626" s="8" t="s">
        <v>15</v>
      </c>
    </row>
    <row r="1627" spans="1:7" hidden="1" x14ac:dyDescent="0.25">
      <c r="A1627" s="21">
        <v>1626</v>
      </c>
      <c r="B1627" s="7" t="s">
        <v>4004</v>
      </c>
      <c r="C1627" s="7" t="s">
        <v>4005</v>
      </c>
      <c r="G1627" s="8" t="s">
        <v>15</v>
      </c>
    </row>
    <row r="1628" spans="1:7" hidden="1" x14ac:dyDescent="0.25">
      <c r="A1628" s="21">
        <v>1627</v>
      </c>
      <c r="B1628" s="7" t="s">
        <v>4006</v>
      </c>
      <c r="C1628" s="7" t="s">
        <v>4007</v>
      </c>
      <c r="G1628" s="8" t="s">
        <v>15</v>
      </c>
    </row>
    <row r="1629" spans="1:7" hidden="1" x14ac:dyDescent="0.25">
      <c r="A1629" s="21">
        <v>1628</v>
      </c>
      <c r="B1629" s="7" t="s">
        <v>4008</v>
      </c>
      <c r="C1629" s="7" t="s">
        <v>4009</v>
      </c>
      <c r="G1629" s="8" t="s">
        <v>15</v>
      </c>
    </row>
    <row r="1630" spans="1:7" hidden="1" x14ac:dyDescent="0.25">
      <c r="A1630" s="21">
        <v>1629</v>
      </c>
      <c r="B1630" s="7" t="s">
        <v>4010</v>
      </c>
      <c r="C1630" s="7" t="s">
        <v>4011</v>
      </c>
      <c r="G1630" s="8" t="s">
        <v>15</v>
      </c>
    </row>
    <row r="1631" spans="1:7" hidden="1" x14ac:dyDescent="0.25">
      <c r="A1631" s="21">
        <v>1630</v>
      </c>
      <c r="B1631" s="7" t="s">
        <v>4012</v>
      </c>
      <c r="C1631" s="7" t="s">
        <v>4013</v>
      </c>
      <c r="G1631" s="8" t="s">
        <v>15</v>
      </c>
    </row>
    <row r="1632" spans="1:7" hidden="1" x14ac:dyDescent="0.25">
      <c r="A1632" s="21">
        <v>1631</v>
      </c>
      <c r="B1632" s="7" t="s">
        <v>4014</v>
      </c>
      <c r="C1632" s="7" t="s">
        <v>4015</v>
      </c>
      <c r="G1632" s="8" t="s">
        <v>15</v>
      </c>
    </row>
    <row r="1633" spans="1:7" hidden="1" x14ac:dyDescent="0.25">
      <c r="A1633" s="21">
        <v>1632</v>
      </c>
      <c r="B1633" s="7" t="s">
        <v>4016</v>
      </c>
      <c r="C1633" s="7" t="s">
        <v>4017</v>
      </c>
      <c r="G1633" s="8" t="s">
        <v>15</v>
      </c>
    </row>
    <row r="1634" spans="1:7" hidden="1" x14ac:dyDescent="0.25">
      <c r="A1634" s="21">
        <v>1633</v>
      </c>
      <c r="B1634" s="7" t="s">
        <v>4018</v>
      </c>
      <c r="C1634" s="7" t="s">
        <v>4019</v>
      </c>
      <c r="G1634" s="8" t="s">
        <v>15</v>
      </c>
    </row>
    <row r="1635" spans="1:7" hidden="1" x14ac:dyDescent="0.25">
      <c r="A1635" s="21">
        <v>1634</v>
      </c>
      <c r="B1635" s="7" t="s">
        <v>4020</v>
      </c>
      <c r="C1635" s="7" t="s">
        <v>4021</v>
      </c>
      <c r="G1635" s="8" t="s">
        <v>15</v>
      </c>
    </row>
    <row r="1636" spans="1:7" hidden="1" x14ac:dyDescent="0.25">
      <c r="A1636" s="21">
        <v>1635</v>
      </c>
      <c r="B1636" s="7" t="s">
        <v>4022</v>
      </c>
      <c r="C1636" s="7" t="s">
        <v>4023</v>
      </c>
      <c r="G1636" s="8" t="s">
        <v>15</v>
      </c>
    </row>
    <row r="1637" spans="1:7" hidden="1" x14ac:dyDescent="0.25">
      <c r="A1637" s="21">
        <v>1636</v>
      </c>
      <c r="B1637" s="7" t="s">
        <v>4024</v>
      </c>
      <c r="C1637" s="7" t="s">
        <v>4025</v>
      </c>
      <c r="G1637" s="8" t="s">
        <v>15</v>
      </c>
    </row>
    <row r="1638" spans="1:7" hidden="1" x14ac:dyDescent="0.25">
      <c r="A1638" s="21">
        <v>1637</v>
      </c>
      <c r="B1638" s="7" t="s">
        <v>4026</v>
      </c>
      <c r="C1638" s="7" t="s">
        <v>4027</v>
      </c>
      <c r="G1638" s="8" t="s">
        <v>15</v>
      </c>
    </row>
    <row r="1639" spans="1:7" hidden="1" x14ac:dyDescent="0.25">
      <c r="A1639" s="21">
        <v>1638</v>
      </c>
      <c r="B1639" s="7" t="s">
        <v>4028</v>
      </c>
      <c r="C1639" s="7" t="s">
        <v>4029</v>
      </c>
      <c r="G1639" s="8" t="s">
        <v>15</v>
      </c>
    </row>
    <row r="1640" spans="1:7" hidden="1" x14ac:dyDescent="0.25">
      <c r="A1640" s="21">
        <v>1639</v>
      </c>
      <c r="B1640" s="7" t="s">
        <v>4030</v>
      </c>
      <c r="C1640" s="7" t="s">
        <v>4031</v>
      </c>
      <c r="G1640" s="8" t="s">
        <v>15</v>
      </c>
    </row>
    <row r="1641" spans="1:7" hidden="1" x14ac:dyDescent="0.25">
      <c r="A1641" s="21">
        <v>1640</v>
      </c>
      <c r="B1641" s="7" t="s">
        <v>4032</v>
      </c>
      <c r="C1641" s="7" t="s">
        <v>4033</v>
      </c>
      <c r="G1641" s="8" t="s">
        <v>15</v>
      </c>
    </row>
    <row r="1642" spans="1:7" hidden="1" x14ac:dyDescent="0.25">
      <c r="A1642" s="21">
        <v>1641</v>
      </c>
      <c r="B1642" s="7" t="s">
        <v>4034</v>
      </c>
      <c r="C1642" s="7" t="s">
        <v>4035</v>
      </c>
      <c r="G1642" s="8" t="s">
        <v>15</v>
      </c>
    </row>
    <row r="1643" spans="1:7" hidden="1" x14ac:dyDescent="0.25">
      <c r="A1643" s="21">
        <v>1642</v>
      </c>
      <c r="B1643" s="7" t="s">
        <v>4036</v>
      </c>
      <c r="C1643" s="7" t="s">
        <v>4037</v>
      </c>
      <c r="G1643" s="8" t="s">
        <v>15</v>
      </c>
    </row>
    <row r="1644" spans="1:7" hidden="1" x14ac:dyDescent="0.25">
      <c r="A1644" s="21">
        <v>1643</v>
      </c>
      <c r="B1644" s="7" t="s">
        <v>4038</v>
      </c>
      <c r="C1644" s="7" t="s">
        <v>4039</v>
      </c>
      <c r="G1644" s="8" t="s">
        <v>15</v>
      </c>
    </row>
    <row r="1645" spans="1:7" hidden="1" x14ac:dyDescent="0.25">
      <c r="A1645" s="21">
        <v>1644</v>
      </c>
      <c r="B1645" s="7" t="s">
        <v>4040</v>
      </c>
      <c r="C1645" s="7" t="s">
        <v>4041</v>
      </c>
      <c r="G1645" s="8" t="s">
        <v>15</v>
      </c>
    </row>
    <row r="1646" spans="1:7" hidden="1" x14ac:dyDescent="0.25">
      <c r="A1646" s="21">
        <v>1645</v>
      </c>
      <c r="B1646" s="7" t="s">
        <v>4042</v>
      </c>
      <c r="C1646" s="7" t="s">
        <v>4043</v>
      </c>
      <c r="G1646" s="8" t="s">
        <v>15</v>
      </c>
    </row>
    <row r="1647" spans="1:7" hidden="1" x14ac:dyDescent="0.25">
      <c r="A1647" s="21">
        <v>1646</v>
      </c>
      <c r="B1647" s="7" t="s">
        <v>4044</v>
      </c>
      <c r="C1647" s="7" t="s">
        <v>4045</v>
      </c>
      <c r="G1647" s="8" t="s">
        <v>15</v>
      </c>
    </row>
    <row r="1648" spans="1:7" hidden="1" x14ac:dyDescent="0.25">
      <c r="A1648" s="21">
        <v>1647</v>
      </c>
      <c r="B1648" s="7" t="s">
        <v>4046</v>
      </c>
      <c r="C1648" s="7" t="s">
        <v>4047</v>
      </c>
      <c r="G1648" s="8" t="s">
        <v>15</v>
      </c>
    </row>
    <row r="1649" spans="1:7" hidden="1" x14ac:dyDescent="0.25">
      <c r="A1649" s="21">
        <v>1648</v>
      </c>
      <c r="B1649" s="7" t="s">
        <v>4048</v>
      </c>
      <c r="C1649" s="7" t="s">
        <v>4049</v>
      </c>
      <c r="G1649" s="8" t="s">
        <v>15</v>
      </c>
    </row>
    <row r="1650" spans="1:7" hidden="1" x14ac:dyDescent="0.25">
      <c r="A1650" s="21">
        <v>1649</v>
      </c>
      <c r="B1650" s="7" t="s">
        <v>4050</v>
      </c>
      <c r="C1650" s="7" t="s">
        <v>4051</v>
      </c>
      <c r="G1650" s="8" t="s">
        <v>15</v>
      </c>
    </row>
    <row r="1651" spans="1:7" hidden="1" x14ac:dyDescent="0.25">
      <c r="A1651" s="21">
        <v>1650</v>
      </c>
      <c r="B1651" s="7" t="s">
        <v>4052</v>
      </c>
      <c r="C1651" s="7" t="s">
        <v>4053</v>
      </c>
      <c r="G1651" s="8" t="s">
        <v>15</v>
      </c>
    </row>
    <row r="1652" spans="1:7" hidden="1" x14ac:dyDescent="0.25">
      <c r="A1652" s="21">
        <v>1651</v>
      </c>
      <c r="B1652" s="7" t="s">
        <v>4054</v>
      </c>
      <c r="C1652" s="7" t="s">
        <v>4055</v>
      </c>
      <c r="G1652" s="8" t="s">
        <v>15</v>
      </c>
    </row>
    <row r="1653" spans="1:7" hidden="1" x14ac:dyDescent="0.25">
      <c r="A1653" s="21">
        <v>1652</v>
      </c>
      <c r="B1653" s="7" t="s">
        <v>4056</v>
      </c>
      <c r="C1653" s="7" t="s">
        <v>4057</v>
      </c>
      <c r="G1653" s="8" t="s">
        <v>15</v>
      </c>
    </row>
    <row r="1654" spans="1:7" hidden="1" x14ac:dyDescent="0.25">
      <c r="A1654" s="21">
        <v>1653</v>
      </c>
      <c r="B1654" s="7" t="s">
        <v>4058</v>
      </c>
      <c r="C1654" s="7" t="s">
        <v>4059</v>
      </c>
      <c r="G1654" s="8" t="s">
        <v>15</v>
      </c>
    </row>
    <row r="1655" spans="1:7" hidden="1" x14ac:dyDescent="0.25">
      <c r="A1655" s="21">
        <v>1654</v>
      </c>
      <c r="B1655" s="7" t="s">
        <v>4060</v>
      </c>
      <c r="C1655" s="7" t="s">
        <v>4061</v>
      </c>
      <c r="G1655" s="8" t="s">
        <v>15</v>
      </c>
    </row>
    <row r="1656" spans="1:7" hidden="1" x14ac:dyDescent="0.25">
      <c r="A1656" s="21">
        <v>1655</v>
      </c>
      <c r="B1656" s="7" t="s">
        <v>4062</v>
      </c>
      <c r="C1656" s="7" t="s">
        <v>4063</v>
      </c>
      <c r="G1656" s="8" t="s">
        <v>15</v>
      </c>
    </row>
    <row r="1657" spans="1:7" hidden="1" x14ac:dyDescent="0.25">
      <c r="A1657" s="21">
        <v>1656</v>
      </c>
      <c r="B1657" s="7" t="s">
        <v>4064</v>
      </c>
      <c r="C1657" s="7" t="s">
        <v>4065</v>
      </c>
      <c r="G1657" s="8" t="s">
        <v>15</v>
      </c>
    </row>
    <row r="1658" spans="1:7" hidden="1" x14ac:dyDescent="0.25">
      <c r="A1658" s="21">
        <v>1657</v>
      </c>
      <c r="B1658" s="7" t="s">
        <v>4066</v>
      </c>
      <c r="C1658" s="7" t="s">
        <v>4067</v>
      </c>
      <c r="G1658" s="8" t="s">
        <v>15</v>
      </c>
    </row>
    <row r="1659" spans="1:7" hidden="1" x14ac:dyDescent="0.25">
      <c r="A1659" s="21">
        <v>1658</v>
      </c>
      <c r="B1659" s="7" t="s">
        <v>4068</v>
      </c>
      <c r="C1659" s="7" t="s">
        <v>4069</v>
      </c>
      <c r="G1659" s="8" t="s">
        <v>15</v>
      </c>
    </row>
    <row r="1660" spans="1:7" hidden="1" x14ac:dyDescent="0.25">
      <c r="A1660" s="21">
        <v>1659</v>
      </c>
      <c r="B1660" s="7" t="s">
        <v>4070</v>
      </c>
      <c r="C1660" s="7" t="s">
        <v>4071</v>
      </c>
      <c r="G1660" s="8" t="s">
        <v>15</v>
      </c>
    </row>
    <row r="1661" spans="1:7" hidden="1" x14ac:dyDescent="0.25">
      <c r="A1661" s="21">
        <v>1660</v>
      </c>
      <c r="B1661" s="7" t="s">
        <v>4072</v>
      </c>
      <c r="C1661" s="7" t="s">
        <v>4073</v>
      </c>
      <c r="G1661" s="8" t="s">
        <v>15</v>
      </c>
    </row>
    <row r="1662" spans="1:7" hidden="1" x14ac:dyDescent="0.25">
      <c r="A1662" s="21">
        <v>1661</v>
      </c>
      <c r="B1662" s="7" t="s">
        <v>4074</v>
      </c>
      <c r="C1662" s="7" t="s">
        <v>4075</v>
      </c>
      <c r="G1662" s="8" t="s">
        <v>15</v>
      </c>
    </row>
    <row r="1663" spans="1:7" hidden="1" x14ac:dyDescent="0.25">
      <c r="A1663" s="21">
        <v>1662</v>
      </c>
      <c r="B1663" s="7" t="s">
        <v>4076</v>
      </c>
      <c r="C1663" s="7" t="s">
        <v>4077</v>
      </c>
      <c r="G1663" s="8" t="s">
        <v>15</v>
      </c>
    </row>
    <row r="1664" spans="1:7" hidden="1" x14ac:dyDescent="0.25">
      <c r="A1664" s="21">
        <v>1663</v>
      </c>
      <c r="B1664" s="7" t="s">
        <v>4078</v>
      </c>
      <c r="C1664" s="7" t="s">
        <v>4079</v>
      </c>
      <c r="G1664" s="8" t="s">
        <v>15</v>
      </c>
    </row>
    <row r="1665" spans="1:7" hidden="1" x14ac:dyDescent="0.25">
      <c r="A1665" s="21">
        <v>1664</v>
      </c>
      <c r="B1665" s="7" t="s">
        <v>4080</v>
      </c>
      <c r="C1665" s="7" t="s">
        <v>4081</v>
      </c>
      <c r="G1665" s="8" t="s">
        <v>15</v>
      </c>
    </row>
    <row r="1666" spans="1:7" hidden="1" x14ac:dyDescent="0.25">
      <c r="A1666" s="21">
        <v>1665</v>
      </c>
      <c r="B1666" s="7" t="s">
        <v>4082</v>
      </c>
      <c r="C1666" s="7" t="s">
        <v>4083</v>
      </c>
      <c r="G1666" s="8" t="s">
        <v>15</v>
      </c>
    </row>
    <row r="1667" spans="1:7" hidden="1" x14ac:dyDescent="0.25">
      <c r="A1667" s="21">
        <v>1666</v>
      </c>
      <c r="B1667" s="7" t="s">
        <v>4084</v>
      </c>
      <c r="C1667" s="7" t="s">
        <v>4085</v>
      </c>
      <c r="G1667" s="8" t="s">
        <v>15</v>
      </c>
    </row>
    <row r="1668" spans="1:7" hidden="1" x14ac:dyDescent="0.25">
      <c r="A1668" s="21">
        <v>1667</v>
      </c>
      <c r="B1668" s="7" t="s">
        <v>4086</v>
      </c>
      <c r="C1668" s="7" t="s">
        <v>4087</v>
      </c>
      <c r="G1668" s="8" t="s">
        <v>15</v>
      </c>
    </row>
    <row r="1669" spans="1:7" hidden="1" x14ac:dyDescent="0.25">
      <c r="A1669" s="21">
        <v>1668</v>
      </c>
      <c r="B1669" s="7" t="s">
        <v>4088</v>
      </c>
      <c r="C1669" s="7" t="s">
        <v>4089</v>
      </c>
      <c r="G1669" s="8" t="s">
        <v>15</v>
      </c>
    </row>
    <row r="1670" spans="1:7" hidden="1" x14ac:dyDescent="0.25">
      <c r="A1670" s="21">
        <v>1669</v>
      </c>
      <c r="B1670" s="7" t="s">
        <v>4090</v>
      </c>
      <c r="C1670" s="7" t="s">
        <v>4091</v>
      </c>
      <c r="G1670" s="8" t="s">
        <v>15</v>
      </c>
    </row>
    <row r="1671" spans="1:7" hidden="1" x14ac:dyDescent="0.25">
      <c r="A1671" s="21">
        <v>1670</v>
      </c>
      <c r="B1671" s="7" t="s">
        <v>4092</v>
      </c>
      <c r="C1671" s="7" t="s">
        <v>4093</v>
      </c>
      <c r="G1671" s="8" t="s">
        <v>15</v>
      </c>
    </row>
    <row r="1672" spans="1:7" hidden="1" x14ac:dyDescent="0.25">
      <c r="A1672" s="21">
        <v>1671</v>
      </c>
      <c r="B1672" s="7" t="s">
        <v>4094</v>
      </c>
      <c r="C1672" s="7" t="s">
        <v>4095</v>
      </c>
      <c r="G1672" s="8" t="s">
        <v>15</v>
      </c>
    </row>
    <row r="1673" spans="1:7" hidden="1" x14ac:dyDescent="0.25">
      <c r="A1673" s="21">
        <v>1672</v>
      </c>
      <c r="B1673" s="7" t="s">
        <v>4096</v>
      </c>
      <c r="C1673" s="7" t="s">
        <v>4097</v>
      </c>
      <c r="G1673" s="8" t="s">
        <v>15</v>
      </c>
    </row>
    <row r="1674" spans="1:7" hidden="1" x14ac:dyDescent="0.25">
      <c r="A1674" s="21">
        <v>1673</v>
      </c>
      <c r="B1674" s="7" t="s">
        <v>4098</v>
      </c>
      <c r="C1674" s="7" t="s">
        <v>4099</v>
      </c>
      <c r="G1674" s="8" t="s">
        <v>15</v>
      </c>
    </row>
    <row r="1675" spans="1:7" hidden="1" x14ac:dyDescent="0.25">
      <c r="A1675" s="21">
        <v>1674</v>
      </c>
      <c r="B1675" s="7" t="s">
        <v>4100</v>
      </c>
      <c r="C1675" s="7" t="s">
        <v>4101</v>
      </c>
      <c r="G1675" s="8" t="s">
        <v>15</v>
      </c>
    </row>
    <row r="1676" spans="1:7" hidden="1" x14ac:dyDescent="0.25">
      <c r="A1676" s="21">
        <v>1675</v>
      </c>
      <c r="B1676" s="7" t="s">
        <v>4102</v>
      </c>
      <c r="C1676" s="7" t="s">
        <v>4103</v>
      </c>
      <c r="G1676" s="8" t="s">
        <v>15</v>
      </c>
    </row>
    <row r="1677" spans="1:7" hidden="1" x14ac:dyDescent="0.25">
      <c r="A1677" s="21">
        <v>1676</v>
      </c>
      <c r="B1677" s="7" t="s">
        <v>4104</v>
      </c>
      <c r="C1677" s="7" t="s">
        <v>4105</v>
      </c>
      <c r="G1677" s="8" t="s">
        <v>15</v>
      </c>
    </row>
    <row r="1678" spans="1:7" hidden="1" x14ac:dyDescent="0.25">
      <c r="A1678" s="21">
        <v>1677</v>
      </c>
      <c r="B1678" s="7" t="s">
        <v>4106</v>
      </c>
      <c r="C1678" s="7" t="s">
        <v>4107</v>
      </c>
      <c r="G1678" s="8" t="s">
        <v>15</v>
      </c>
    </row>
    <row r="1679" spans="1:7" hidden="1" x14ac:dyDescent="0.25">
      <c r="A1679" s="21">
        <v>1678</v>
      </c>
      <c r="B1679" s="7" t="s">
        <v>4108</v>
      </c>
      <c r="C1679" s="7" t="s">
        <v>4109</v>
      </c>
      <c r="G1679" s="8" t="s">
        <v>15</v>
      </c>
    </row>
    <row r="1680" spans="1:7" hidden="1" x14ac:dyDescent="0.25">
      <c r="A1680" s="21">
        <v>1679</v>
      </c>
      <c r="B1680" s="7" t="s">
        <v>4110</v>
      </c>
      <c r="C1680" s="7" t="s">
        <v>4111</v>
      </c>
      <c r="G1680" s="8" t="s">
        <v>15</v>
      </c>
    </row>
    <row r="1681" spans="1:7" hidden="1" x14ac:dyDescent="0.25">
      <c r="A1681" s="21">
        <v>1680</v>
      </c>
      <c r="B1681" s="7" t="s">
        <v>4112</v>
      </c>
      <c r="C1681" s="7" t="s">
        <v>4113</v>
      </c>
      <c r="G1681" s="8" t="s">
        <v>15</v>
      </c>
    </row>
    <row r="1682" spans="1:7" hidden="1" x14ac:dyDescent="0.25">
      <c r="A1682" s="21">
        <v>1681</v>
      </c>
      <c r="B1682" s="7" t="s">
        <v>4114</v>
      </c>
      <c r="C1682" s="7" t="s">
        <v>4115</v>
      </c>
      <c r="G1682" s="8" t="s">
        <v>15</v>
      </c>
    </row>
    <row r="1683" spans="1:7" hidden="1" x14ac:dyDescent="0.25">
      <c r="A1683" s="21">
        <v>1682</v>
      </c>
      <c r="B1683" s="7" t="s">
        <v>4116</v>
      </c>
      <c r="C1683" s="7" t="s">
        <v>4117</v>
      </c>
      <c r="G1683" s="8" t="s">
        <v>15</v>
      </c>
    </row>
    <row r="1684" spans="1:7" hidden="1" x14ac:dyDescent="0.25">
      <c r="A1684" s="21">
        <v>1683</v>
      </c>
      <c r="B1684" s="7" t="s">
        <v>4118</v>
      </c>
      <c r="C1684" s="7" t="s">
        <v>4119</v>
      </c>
      <c r="G1684" s="8" t="s">
        <v>15</v>
      </c>
    </row>
    <row r="1685" spans="1:7" hidden="1" x14ac:dyDescent="0.25">
      <c r="A1685" s="21">
        <v>1684</v>
      </c>
      <c r="B1685" s="7" t="s">
        <v>4120</v>
      </c>
      <c r="C1685" s="7" t="s">
        <v>4121</v>
      </c>
      <c r="G1685" s="8" t="s">
        <v>15</v>
      </c>
    </row>
    <row r="1686" spans="1:7" hidden="1" x14ac:dyDescent="0.25">
      <c r="A1686" s="21">
        <v>1685</v>
      </c>
      <c r="B1686" s="7" t="s">
        <v>4122</v>
      </c>
      <c r="C1686" s="7" t="s">
        <v>4123</v>
      </c>
      <c r="G1686" s="8" t="s">
        <v>15</v>
      </c>
    </row>
    <row r="1687" spans="1:7" hidden="1" x14ac:dyDescent="0.25">
      <c r="A1687" s="21">
        <v>1686</v>
      </c>
      <c r="B1687" s="7" t="s">
        <v>4124</v>
      </c>
      <c r="C1687" s="7" t="s">
        <v>4125</v>
      </c>
      <c r="G1687" s="8" t="s">
        <v>15</v>
      </c>
    </row>
    <row r="1688" spans="1:7" hidden="1" x14ac:dyDescent="0.25">
      <c r="A1688" s="21">
        <v>1687</v>
      </c>
      <c r="B1688" s="7" t="s">
        <v>4126</v>
      </c>
      <c r="C1688" s="7" t="s">
        <v>4127</v>
      </c>
      <c r="G1688" s="8" t="s">
        <v>15</v>
      </c>
    </row>
    <row r="1689" spans="1:7" hidden="1" x14ac:dyDescent="0.25">
      <c r="A1689" s="21">
        <v>1688</v>
      </c>
      <c r="B1689" s="7" t="s">
        <v>4128</v>
      </c>
      <c r="C1689" s="7" t="s">
        <v>4129</v>
      </c>
      <c r="G1689" s="8" t="s">
        <v>15</v>
      </c>
    </row>
    <row r="1690" spans="1:7" hidden="1" x14ac:dyDescent="0.25">
      <c r="A1690" s="21">
        <v>1689</v>
      </c>
      <c r="B1690" s="7" t="s">
        <v>4130</v>
      </c>
      <c r="C1690" s="7" t="s">
        <v>4131</v>
      </c>
      <c r="G1690" s="8" t="s">
        <v>15</v>
      </c>
    </row>
    <row r="1691" spans="1:7" hidden="1" x14ac:dyDescent="0.25">
      <c r="A1691" s="21">
        <v>1690</v>
      </c>
      <c r="B1691" s="7" t="s">
        <v>4132</v>
      </c>
      <c r="C1691" s="7" t="s">
        <v>4133</v>
      </c>
      <c r="G1691" s="8" t="s">
        <v>15</v>
      </c>
    </row>
    <row r="1692" spans="1:7" hidden="1" x14ac:dyDescent="0.25">
      <c r="A1692" s="21">
        <v>1691</v>
      </c>
      <c r="B1692" s="7" t="s">
        <v>4134</v>
      </c>
      <c r="C1692" s="7" t="s">
        <v>4135</v>
      </c>
      <c r="G1692" s="8" t="s">
        <v>15</v>
      </c>
    </row>
    <row r="1693" spans="1:7" hidden="1" x14ac:dyDescent="0.25">
      <c r="A1693" s="21">
        <v>1692</v>
      </c>
      <c r="B1693" s="7" t="s">
        <v>4136</v>
      </c>
      <c r="C1693" s="7" t="s">
        <v>4137</v>
      </c>
      <c r="G1693" s="8" t="s">
        <v>15</v>
      </c>
    </row>
    <row r="1694" spans="1:7" hidden="1" x14ac:dyDescent="0.25">
      <c r="A1694" s="21">
        <v>1693</v>
      </c>
      <c r="B1694" s="7" t="s">
        <v>4138</v>
      </c>
      <c r="C1694" s="7" t="s">
        <v>4139</v>
      </c>
      <c r="G1694" s="8" t="s">
        <v>15</v>
      </c>
    </row>
    <row r="1695" spans="1:7" hidden="1" x14ac:dyDescent="0.25">
      <c r="A1695" s="21">
        <v>1694</v>
      </c>
      <c r="B1695" s="7" t="s">
        <v>4140</v>
      </c>
      <c r="C1695" s="7" t="s">
        <v>4141</v>
      </c>
      <c r="G1695" s="8" t="s">
        <v>15</v>
      </c>
    </row>
    <row r="1696" spans="1:7" hidden="1" x14ac:dyDescent="0.25">
      <c r="A1696" s="21">
        <v>1695</v>
      </c>
      <c r="B1696" s="7" t="s">
        <v>4142</v>
      </c>
      <c r="C1696" s="7" t="s">
        <v>4143</v>
      </c>
      <c r="G1696" s="8" t="s">
        <v>15</v>
      </c>
    </row>
    <row r="1697" spans="1:7" hidden="1" x14ac:dyDescent="0.25">
      <c r="A1697" s="21">
        <v>1696</v>
      </c>
      <c r="B1697" s="7" t="s">
        <v>4144</v>
      </c>
      <c r="C1697" s="7" t="s">
        <v>4145</v>
      </c>
      <c r="G1697" s="8" t="s">
        <v>15</v>
      </c>
    </row>
    <row r="1698" spans="1:7" hidden="1" x14ac:dyDescent="0.25">
      <c r="A1698" s="21">
        <v>1697</v>
      </c>
      <c r="B1698" s="7" t="s">
        <v>4146</v>
      </c>
      <c r="C1698" s="7" t="s">
        <v>4147</v>
      </c>
      <c r="G1698" s="8" t="s">
        <v>15</v>
      </c>
    </row>
    <row r="1699" spans="1:7" hidden="1" x14ac:dyDescent="0.25">
      <c r="A1699" s="21">
        <v>1698</v>
      </c>
      <c r="B1699" s="7" t="s">
        <v>4148</v>
      </c>
      <c r="C1699" s="7" t="s">
        <v>4149</v>
      </c>
      <c r="G1699" s="8" t="s">
        <v>15</v>
      </c>
    </row>
    <row r="1700" spans="1:7" hidden="1" x14ac:dyDescent="0.25">
      <c r="A1700" s="21">
        <v>1699</v>
      </c>
      <c r="B1700" s="7" t="s">
        <v>4150</v>
      </c>
      <c r="C1700" s="7" t="s">
        <v>4151</v>
      </c>
      <c r="G1700" s="8" t="s">
        <v>15</v>
      </c>
    </row>
    <row r="1701" spans="1:7" hidden="1" x14ac:dyDescent="0.25">
      <c r="A1701" s="21">
        <v>1700</v>
      </c>
      <c r="B1701" s="7" t="s">
        <v>4152</v>
      </c>
      <c r="C1701" s="7" t="s">
        <v>4153</v>
      </c>
      <c r="G1701" s="8" t="s">
        <v>15</v>
      </c>
    </row>
    <row r="1702" spans="1:7" hidden="1" x14ac:dyDescent="0.25">
      <c r="A1702" s="21">
        <v>1701</v>
      </c>
      <c r="B1702" s="7" t="s">
        <v>4154</v>
      </c>
      <c r="C1702" s="7" t="s">
        <v>4155</v>
      </c>
      <c r="G1702" s="8" t="s">
        <v>15</v>
      </c>
    </row>
    <row r="1703" spans="1:7" hidden="1" x14ac:dyDescent="0.25">
      <c r="A1703" s="21">
        <v>1702</v>
      </c>
      <c r="B1703" s="7" t="s">
        <v>4156</v>
      </c>
      <c r="C1703" s="7" t="s">
        <v>4157</v>
      </c>
      <c r="G1703" s="8" t="s">
        <v>15</v>
      </c>
    </row>
    <row r="1704" spans="1:7" hidden="1" x14ac:dyDescent="0.25">
      <c r="A1704" s="21">
        <v>1703</v>
      </c>
      <c r="B1704" s="7" t="s">
        <v>4158</v>
      </c>
      <c r="C1704" s="7" t="s">
        <v>4159</v>
      </c>
      <c r="G1704" s="8" t="s">
        <v>15</v>
      </c>
    </row>
    <row r="1705" spans="1:7" hidden="1" x14ac:dyDescent="0.25">
      <c r="A1705" s="21">
        <v>1704</v>
      </c>
      <c r="B1705" s="7" t="s">
        <v>4160</v>
      </c>
      <c r="C1705" s="7" t="s">
        <v>4161</v>
      </c>
      <c r="G1705" s="8" t="s">
        <v>15</v>
      </c>
    </row>
    <row r="1706" spans="1:7" hidden="1" x14ac:dyDescent="0.25">
      <c r="A1706" s="21">
        <v>1705</v>
      </c>
      <c r="B1706" s="7" t="s">
        <v>4162</v>
      </c>
      <c r="C1706" s="7" t="s">
        <v>4163</v>
      </c>
      <c r="G1706" s="8" t="s">
        <v>15</v>
      </c>
    </row>
    <row r="1707" spans="1:7" hidden="1" x14ac:dyDescent="0.25">
      <c r="A1707" s="21">
        <v>1706</v>
      </c>
      <c r="B1707" s="7" t="s">
        <v>4164</v>
      </c>
      <c r="C1707" s="7" t="s">
        <v>4165</v>
      </c>
      <c r="G1707" s="8" t="s">
        <v>15</v>
      </c>
    </row>
    <row r="1708" spans="1:7" hidden="1" x14ac:dyDescent="0.25">
      <c r="A1708" s="21">
        <v>1707</v>
      </c>
      <c r="B1708" s="7" t="s">
        <v>4166</v>
      </c>
      <c r="C1708" s="7" t="s">
        <v>4167</v>
      </c>
      <c r="G1708" s="8" t="s">
        <v>15</v>
      </c>
    </row>
    <row r="1709" spans="1:7" hidden="1" x14ac:dyDescent="0.25">
      <c r="A1709" s="21">
        <v>1708</v>
      </c>
      <c r="B1709" s="7" t="s">
        <v>4168</v>
      </c>
      <c r="C1709" s="7" t="s">
        <v>4169</v>
      </c>
      <c r="G1709" s="8" t="s">
        <v>15</v>
      </c>
    </row>
    <row r="1710" spans="1:7" hidden="1" x14ac:dyDescent="0.25">
      <c r="A1710" s="21">
        <v>1709</v>
      </c>
      <c r="B1710" s="7" t="s">
        <v>4170</v>
      </c>
      <c r="C1710" s="7" t="s">
        <v>4171</v>
      </c>
      <c r="G1710" s="8" t="s">
        <v>15</v>
      </c>
    </row>
    <row r="1711" spans="1:7" hidden="1" x14ac:dyDescent="0.25">
      <c r="A1711" s="21">
        <v>1710</v>
      </c>
      <c r="B1711" s="7" t="s">
        <v>4172</v>
      </c>
      <c r="C1711" s="7" t="s">
        <v>4173</v>
      </c>
      <c r="G1711" s="8" t="s">
        <v>15</v>
      </c>
    </row>
    <row r="1712" spans="1:7" hidden="1" x14ac:dyDescent="0.25">
      <c r="A1712" s="21">
        <v>1711</v>
      </c>
      <c r="B1712" s="7" t="s">
        <v>4174</v>
      </c>
      <c r="C1712" s="7" t="s">
        <v>4175</v>
      </c>
      <c r="G1712" s="8" t="s">
        <v>15</v>
      </c>
    </row>
    <row r="1713" spans="1:7" hidden="1" x14ac:dyDescent="0.25">
      <c r="A1713" s="21">
        <v>1712</v>
      </c>
      <c r="B1713" s="7" t="s">
        <v>4176</v>
      </c>
      <c r="C1713" s="7" t="s">
        <v>4177</v>
      </c>
      <c r="G1713" s="8" t="s">
        <v>15</v>
      </c>
    </row>
    <row r="1714" spans="1:7" hidden="1" x14ac:dyDescent="0.25">
      <c r="A1714" s="21">
        <v>1713</v>
      </c>
      <c r="B1714" s="7" t="s">
        <v>4178</v>
      </c>
      <c r="C1714" s="7" t="s">
        <v>4179</v>
      </c>
      <c r="G1714" s="8" t="s">
        <v>15</v>
      </c>
    </row>
    <row r="1715" spans="1:7" hidden="1" x14ac:dyDescent="0.25">
      <c r="A1715" s="21">
        <v>1714</v>
      </c>
      <c r="B1715" s="7" t="s">
        <v>4180</v>
      </c>
      <c r="C1715" s="7" t="s">
        <v>4181</v>
      </c>
      <c r="G1715" s="8" t="s">
        <v>15</v>
      </c>
    </row>
    <row r="1716" spans="1:7" hidden="1" x14ac:dyDescent="0.25">
      <c r="A1716" s="21">
        <v>1715</v>
      </c>
      <c r="B1716" s="7" t="s">
        <v>4182</v>
      </c>
      <c r="C1716" s="7" t="s">
        <v>4183</v>
      </c>
      <c r="G1716" s="8" t="s">
        <v>15</v>
      </c>
    </row>
    <row r="1717" spans="1:7" hidden="1" x14ac:dyDescent="0.25">
      <c r="A1717" s="21">
        <v>1716</v>
      </c>
      <c r="B1717" s="7" t="s">
        <v>4184</v>
      </c>
      <c r="C1717" s="7" t="s">
        <v>4185</v>
      </c>
      <c r="G1717" s="8" t="s">
        <v>15</v>
      </c>
    </row>
    <row r="1718" spans="1:7" hidden="1" x14ac:dyDescent="0.25">
      <c r="A1718" s="21">
        <v>1717</v>
      </c>
      <c r="B1718" s="7" t="s">
        <v>4186</v>
      </c>
      <c r="C1718" s="7" t="s">
        <v>4187</v>
      </c>
      <c r="G1718" s="8" t="s">
        <v>15</v>
      </c>
    </row>
    <row r="1719" spans="1:7" hidden="1" x14ac:dyDescent="0.25">
      <c r="A1719" s="21">
        <v>1718</v>
      </c>
      <c r="B1719" s="7" t="s">
        <v>4188</v>
      </c>
      <c r="C1719" s="7" t="s">
        <v>4189</v>
      </c>
      <c r="G1719" s="8" t="s">
        <v>15</v>
      </c>
    </row>
    <row r="1720" spans="1:7" hidden="1" x14ac:dyDescent="0.25">
      <c r="A1720" s="21">
        <v>1719</v>
      </c>
      <c r="B1720" s="7" t="s">
        <v>4190</v>
      </c>
      <c r="C1720" s="7" t="s">
        <v>4191</v>
      </c>
      <c r="G1720" s="8" t="s">
        <v>15</v>
      </c>
    </row>
    <row r="1721" spans="1:7" hidden="1" x14ac:dyDescent="0.25">
      <c r="A1721" s="21">
        <v>1720</v>
      </c>
      <c r="B1721" s="7" t="s">
        <v>4192</v>
      </c>
      <c r="C1721" s="7" t="s">
        <v>4193</v>
      </c>
      <c r="G1721" s="8" t="s">
        <v>15</v>
      </c>
    </row>
    <row r="1722" spans="1:7" hidden="1" x14ac:dyDescent="0.25">
      <c r="A1722" s="21">
        <v>1721</v>
      </c>
      <c r="B1722" s="7" t="s">
        <v>4194</v>
      </c>
      <c r="C1722" s="7" t="s">
        <v>4195</v>
      </c>
      <c r="G1722" s="8" t="s">
        <v>15</v>
      </c>
    </row>
    <row r="1723" spans="1:7" hidden="1" x14ac:dyDescent="0.25">
      <c r="A1723" s="21">
        <v>1722</v>
      </c>
      <c r="B1723" s="7" t="s">
        <v>4196</v>
      </c>
      <c r="C1723" s="7" t="s">
        <v>4197</v>
      </c>
      <c r="G1723" s="8" t="s">
        <v>15</v>
      </c>
    </row>
    <row r="1724" spans="1:7" hidden="1" x14ac:dyDescent="0.25">
      <c r="A1724" s="21">
        <v>1723</v>
      </c>
      <c r="B1724" s="7" t="s">
        <v>4198</v>
      </c>
      <c r="C1724" s="7" t="s">
        <v>4199</v>
      </c>
      <c r="G1724" s="8" t="s">
        <v>15</v>
      </c>
    </row>
    <row r="1725" spans="1:7" hidden="1" x14ac:dyDescent="0.25">
      <c r="A1725" s="21">
        <v>1724</v>
      </c>
      <c r="B1725" s="7" t="s">
        <v>4200</v>
      </c>
      <c r="C1725" s="7" t="s">
        <v>4201</v>
      </c>
      <c r="G1725" s="8" t="s">
        <v>15</v>
      </c>
    </row>
    <row r="1726" spans="1:7" hidden="1" x14ac:dyDescent="0.25">
      <c r="A1726" s="21">
        <v>1725</v>
      </c>
      <c r="B1726" s="7" t="s">
        <v>4202</v>
      </c>
      <c r="C1726" s="7" t="s">
        <v>4203</v>
      </c>
      <c r="G1726" s="8" t="s">
        <v>15</v>
      </c>
    </row>
    <row r="1727" spans="1:7" hidden="1" x14ac:dyDescent="0.25">
      <c r="A1727" s="21">
        <v>1726</v>
      </c>
      <c r="B1727" s="7" t="s">
        <v>4204</v>
      </c>
      <c r="C1727" s="7" t="s">
        <v>4205</v>
      </c>
      <c r="G1727" s="8" t="s">
        <v>15</v>
      </c>
    </row>
    <row r="1728" spans="1:7" hidden="1" x14ac:dyDescent="0.25">
      <c r="A1728" s="21">
        <v>1727</v>
      </c>
      <c r="B1728" s="7" t="s">
        <v>4206</v>
      </c>
      <c r="C1728" s="7" t="s">
        <v>4207</v>
      </c>
      <c r="G1728" s="8" t="s">
        <v>15</v>
      </c>
    </row>
    <row r="1729" spans="1:7" hidden="1" x14ac:dyDescent="0.25">
      <c r="A1729" s="21">
        <v>1728</v>
      </c>
      <c r="B1729" s="7" t="s">
        <v>4208</v>
      </c>
      <c r="C1729" s="7" t="s">
        <v>4209</v>
      </c>
      <c r="G1729" s="8" t="s">
        <v>15</v>
      </c>
    </row>
    <row r="1730" spans="1:7" hidden="1" x14ac:dyDescent="0.25">
      <c r="A1730" s="21">
        <v>1729</v>
      </c>
      <c r="B1730" s="7" t="s">
        <v>4210</v>
      </c>
      <c r="C1730" s="7" t="s">
        <v>4211</v>
      </c>
      <c r="G1730" s="8" t="s">
        <v>15</v>
      </c>
    </row>
    <row r="1731" spans="1:7" hidden="1" x14ac:dyDescent="0.25">
      <c r="A1731" s="21">
        <v>1730</v>
      </c>
      <c r="B1731" s="7" t="s">
        <v>4212</v>
      </c>
      <c r="C1731" s="7" t="s">
        <v>4213</v>
      </c>
      <c r="G1731" s="8" t="s">
        <v>15</v>
      </c>
    </row>
    <row r="1732" spans="1:7" hidden="1" x14ac:dyDescent="0.25">
      <c r="A1732" s="21">
        <v>1731</v>
      </c>
      <c r="B1732" s="7" t="s">
        <v>4214</v>
      </c>
      <c r="C1732" s="7" t="s">
        <v>4215</v>
      </c>
      <c r="G1732" s="8" t="s">
        <v>15</v>
      </c>
    </row>
    <row r="1733" spans="1:7" hidden="1" x14ac:dyDescent="0.25">
      <c r="A1733" s="21">
        <v>1732</v>
      </c>
      <c r="B1733" s="7" t="s">
        <v>4216</v>
      </c>
      <c r="C1733" s="7" t="s">
        <v>4217</v>
      </c>
      <c r="G1733" s="8" t="s">
        <v>15</v>
      </c>
    </row>
    <row r="1734" spans="1:7" hidden="1" x14ac:dyDescent="0.25">
      <c r="A1734" s="21">
        <v>1733</v>
      </c>
      <c r="B1734" s="7" t="s">
        <v>4218</v>
      </c>
      <c r="C1734" s="7" t="s">
        <v>4219</v>
      </c>
      <c r="G1734" s="8" t="s">
        <v>15</v>
      </c>
    </row>
    <row r="1735" spans="1:7" hidden="1" x14ac:dyDescent="0.25">
      <c r="A1735" s="21">
        <v>1734</v>
      </c>
      <c r="B1735" s="7" t="s">
        <v>4220</v>
      </c>
      <c r="C1735" s="7" t="s">
        <v>4221</v>
      </c>
      <c r="G1735" s="8" t="s">
        <v>15</v>
      </c>
    </row>
    <row r="1736" spans="1:7" hidden="1" x14ac:dyDescent="0.25">
      <c r="A1736" s="21">
        <v>1735</v>
      </c>
      <c r="B1736" s="7" t="s">
        <v>4222</v>
      </c>
      <c r="C1736" s="7" t="s">
        <v>4223</v>
      </c>
      <c r="G1736" s="8" t="s">
        <v>15</v>
      </c>
    </row>
    <row r="1737" spans="1:7" hidden="1" x14ac:dyDescent="0.25">
      <c r="A1737" s="21">
        <v>1736</v>
      </c>
      <c r="B1737" s="7" t="s">
        <v>4224</v>
      </c>
      <c r="C1737" s="7" t="s">
        <v>4225</v>
      </c>
      <c r="G1737" s="8" t="s">
        <v>15</v>
      </c>
    </row>
    <row r="1738" spans="1:7" hidden="1" x14ac:dyDescent="0.25">
      <c r="A1738" s="21">
        <v>1737</v>
      </c>
      <c r="B1738" s="7" t="s">
        <v>4226</v>
      </c>
      <c r="C1738" s="7" t="s">
        <v>4227</v>
      </c>
      <c r="G1738" s="8" t="s">
        <v>15</v>
      </c>
    </row>
    <row r="1739" spans="1:7" hidden="1" x14ac:dyDescent="0.25">
      <c r="A1739" s="21">
        <v>1738</v>
      </c>
      <c r="B1739" s="7" t="s">
        <v>4228</v>
      </c>
      <c r="C1739" s="7" t="s">
        <v>4229</v>
      </c>
      <c r="G1739" s="8" t="s">
        <v>15</v>
      </c>
    </row>
    <row r="1740" spans="1:7" hidden="1" x14ac:dyDescent="0.25">
      <c r="A1740" s="21">
        <v>1739</v>
      </c>
      <c r="B1740" s="7" t="s">
        <v>4230</v>
      </c>
      <c r="C1740" s="7" t="s">
        <v>4231</v>
      </c>
      <c r="G1740" s="8" t="s">
        <v>15</v>
      </c>
    </row>
    <row r="1741" spans="1:7" hidden="1" x14ac:dyDescent="0.25">
      <c r="A1741" s="21">
        <v>1740</v>
      </c>
      <c r="B1741" s="7" t="s">
        <v>4232</v>
      </c>
      <c r="C1741" s="7" t="s">
        <v>4233</v>
      </c>
      <c r="G1741" s="8" t="s">
        <v>15</v>
      </c>
    </row>
    <row r="1742" spans="1:7" hidden="1" x14ac:dyDescent="0.25">
      <c r="A1742" s="21">
        <v>1741</v>
      </c>
      <c r="B1742" s="7" t="s">
        <v>4234</v>
      </c>
      <c r="C1742" s="7" t="s">
        <v>4235</v>
      </c>
      <c r="G1742" s="8" t="s">
        <v>15</v>
      </c>
    </row>
    <row r="1743" spans="1:7" hidden="1" x14ac:dyDescent="0.25">
      <c r="A1743" s="21">
        <v>1742</v>
      </c>
      <c r="B1743" s="7" t="s">
        <v>4236</v>
      </c>
      <c r="C1743" s="7" t="s">
        <v>4237</v>
      </c>
      <c r="G1743" s="8" t="s">
        <v>15</v>
      </c>
    </row>
    <row r="1744" spans="1:7" hidden="1" x14ac:dyDescent="0.25">
      <c r="A1744" s="21">
        <v>1743</v>
      </c>
      <c r="B1744" s="7" t="s">
        <v>4238</v>
      </c>
      <c r="C1744" s="7" t="s">
        <v>4239</v>
      </c>
      <c r="G1744" s="8" t="s">
        <v>15</v>
      </c>
    </row>
    <row r="1745" spans="1:7" hidden="1" x14ac:dyDescent="0.25">
      <c r="A1745" s="21">
        <v>1744</v>
      </c>
      <c r="B1745" s="7" t="s">
        <v>4240</v>
      </c>
      <c r="C1745" s="7" t="s">
        <v>4241</v>
      </c>
      <c r="G1745" s="8" t="s">
        <v>15</v>
      </c>
    </row>
    <row r="1746" spans="1:7" hidden="1" x14ac:dyDescent="0.25">
      <c r="A1746" s="21">
        <v>1745</v>
      </c>
      <c r="B1746" s="7" t="s">
        <v>4242</v>
      </c>
      <c r="C1746" s="7" t="s">
        <v>4243</v>
      </c>
      <c r="G1746" s="8" t="s">
        <v>15</v>
      </c>
    </row>
    <row r="1747" spans="1:7" hidden="1" x14ac:dyDescent="0.25">
      <c r="A1747" s="21">
        <v>1746</v>
      </c>
      <c r="B1747" s="7" t="s">
        <v>4244</v>
      </c>
      <c r="C1747" s="7" t="s">
        <v>4245</v>
      </c>
      <c r="G1747" s="8" t="s">
        <v>15</v>
      </c>
    </row>
    <row r="1748" spans="1:7" hidden="1" x14ac:dyDescent="0.25">
      <c r="A1748" s="21">
        <v>1747</v>
      </c>
      <c r="B1748" s="7" t="s">
        <v>4246</v>
      </c>
      <c r="C1748" s="7" t="s">
        <v>4247</v>
      </c>
      <c r="G1748" s="8" t="s">
        <v>15</v>
      </c>
    </row>
    <row r="1749" spans="1:7" hidden="1" x14ac:dyDescent="0.25">
      <c r="A1749" s="21">
        <v>1748</v>
      </c>
      <c r="B1749" s="7" t="s">
        <v>4248</v>
      </c>
      <c r="C1749" s="7" t="s">
        <v>4249</v>
      </c>
      <c r="G1749" s="8" t="s">
        <v>15</v>
      </c>
    </row>
    <row r="1750" spans="1:7" hidden="1" x14ac:dyDescent="0.25">
      <c r="A1750" s="21">
        <v>1749</v>
      </c>
      <c r="B1750" s="7" t="s">
        <v>4250</v>
      </c>
      <c r="C1750" s="7" t="s">
        <v>4251</v>
      </c>
      <c r="G1750" s="8" t="s">
        <v>15</v>
      </c>
    </row>
    <row r="1751" spans="1:7" hidden="1" x14ac:dyDescent="0.25">
      <c r="A1751" s="21">
        <v>1750</v>
      </c>
      <c r="B1751" s="7" t="s">
        <v>4252</v>
      </c>
      <c r="C1751" s="7" t="s">
        <v>4253</v>
      </c>
      <c r="G1751" s="8" t="s">
        <v>15</v>
      </c>
    </row>
    <row r="1752" spans="1:7" hidden="1" x14ac:dyDescent="0.25">
      <c r="A1752" s="21">
        <v>1751</v>
      </c>
      <c r="B1752" s="7" t="s">
        <v>4254</v>
      </c>
      <c r="C1752" s="7" t="s">
        <v>4255</v>
      </c>
      <c r="G1752" s="8" t="s">
        <v>15</v>
      </c>
    </row>
    <row r="1753" spans="1:7" hidden="1" x14ac:dyDescent="0.25">
      <c r="A1753" s="21">
        <v>1752</v>
      </c>
      <c r="B1753" s="7" t="s">
        <v>4256</v>
      </c>
      <c r="C1753" s="7" t="s">
        <v>4257</v>
      </c>
      <c r="G1753" s="8" t="s">
        <v>15</v>
      </c>
    </row>
    <row r="1754" spans="1:7" hidden="1" x14ac:dyDescent="0.25">
      <c r="A1754" s="21">
        <v>1753</v>
      </c>
      <c r="B1754" s="7" t="s">
        <v>4258</v>
      </c>
      <c r="C1754" s="7" t="s">
        <v>4259</v>
      </c>
      <c r="G1754" s="8" t="s">
        <v>15</v>
      </c>
    </row>
    <row r="1755" spans="1:7" hidden="1" x14ac:dyDescent="0.25">
      <c r="A1755" s="21">
        <v>1754</v>
      </c>
      <c r="B1755" s="7" t="s">
        <v>4260</v>
      </c>
      <c r="C1755" s="7" t="s">
        <v>4261</v>
      </c>
      <c r="G1755" s="8" t="s">
        <v>15</v>
      </c>
    </row>
    <row r="1756" spans="1:7" hidden="1" x14ac:dyDescent="0.25">
      <c r="A1756" s="21">
        <v>1755</v>
      </c>
      <c r="B1756" s="7" t="s">
        <v>4262</v>
      </c>
      <c r="C1756" s="7" t="s">
        <v>4263</v>
      </c>
      <c r="G1756" s="8" t="s">
        <v>15</v>
      </c>
    </row>
    <row r="1757" spans="1:7" hidden="1" x14ac:dyDescent="0.25">
      <c r="A1757" s="21">
        <v>1756</v>
      </c>
      <c r="B1757" s="7" t="s">
        <v>4264</v>
      </c>
      <c r="C1757" s="7" t="s">
        <v>4265</v>
      </c>
      <c r="G1757" s="8" t="s">
        <v>15</v>
      </c>
    </row>
    <row r="1758" spans="1:7" hidden="1" x14ac:dyDescent="0.25">
      <c r="A1758" s="21">
        <v>1757</v>
      </c>
      <c r="B1758" s="7" t="s">
        <v>4266</v>
      </c>
      <c r="C1758" s="7" t="s">
        <v>4267</v>
      </c>
      <c r="G1758" s="8" t="s">
        <v>15</v>
      </c>
    </row>
    <row r="1759" spans="1:7" hidden="1" x14ac:dyDescent="0.25">
      <c r="A1759" s="21">
        <v>1758</v>
      </c>
      <c r="B1759" s="7" t="s">
        <v>4268</v>
      </c>
      <c r="C1759" s="7" t="s">
        <v>4269</v>
      </c>
      <c r="G1759" s="8" t="s">
        <v>15</v>
      </c>
    </row>
    <row r="1760" spans="1:7" hidden="1" x14ac:dyDescent="0.25">
      <c r="A1760" s="21">
        <v>1759</v>
      </c>
      <c r="B1760" s="7" t="s">
        <v>4270</v>
      </c>
      <c r="C1760" s="7" t="s">
        <v>4271</v>
      </c>
      <c r="G1760" s="8" t="s">
        <v>15</v>
      </c>
    </row>
    <row r="1761" spans="1:7" hidden="1" x14ac:dyDescent="0.25">
      <c r="A1761" s="21">
        <v>1760</v>
      </c>
      <c r="B1761" s="7" t="s">
        <v>4272</v>
      </c>
      <c r="C1761" s="7" t="s">
        <v>4273</v>
      </c>
      <c r="G1761" s="8" t="s">
        <v>15</v>
      </c>
    </row>
    <row r="1762" spans="1:7" hidden="1" x14ac:dyDescent="0.25">
      <c r="A1762" s="21">
        <v>1761</v>
      </c>
      <c r="B1762" s="7" t="s">
        <v>4274</v>
      </c>
      <c r="C1762" s="7" t="s">
        <v>4275</v>
      </c>
      <c r="G1762" s="8" t="s">
        <v>15</v>
      </c>
    </row>
    <row r="1763" spans="1:7" hidden="1" x14ac:dyDescent="0.25">
      <c r="A1763" s="21">
        <v>1762</v>
      </c>
      <c r="B1763" s="7" t="s">
        <v>4276</v>
      </c>
      <c r="C1763" s="7" t="s">
        <v>4277</v>
      </c>
      <c r="G1763" s="8" t="s">
        <v>15</v>
      </c>
    </row>
    <row r="1764" spans="1:7" hidden="1" x14ac:dyDescent="0.25">
      <c r="A1764" s="21">
        <v>1763</v>
      </c>
      <c r="B1764" s="7" t="s">
        <v>4278</v>
      </c>
      <c r="C1764" s="7" t="s">
        <v>4279</v>
      </c>
      <c r="G1764" s="8" t="s">
        <v>15</v>
      </c>
    </row>
    <row r="1765" spans="1:7" hidden="1" x14ac:dyDescent="0.25">
      <c r="A1765" s="21">
        <v>1764</v>
      </c>
      <c r="B1765" s="7" t="s">
        <v>4280</v>
      </c>
      <c r="C1765" s="7" t="s">
        <v>4281</v>
      </c>
      <c r="G1765" s="8" t="s">
        <v>15</v>
      </c>
    </row>
    <row r="1766" spans="1:7" hidden="1" x14ac:dyDescent="0.25">
      <c r="A1766" s="21">
        <v>1765</v>
      </c>
      <c r="B1766" s="7" t="s">
        <v>4282</v>
      </c>
      <c r="C1766" s="7" t="s">
        <v>4283</v>
      </c>
      <c r="G1766" s="8" t="s">
        <v>15</v>
      </c>
    </row>
    <row r="1767" spans="1:7" hidden="1" x14ac:dyDescent="0.25">
      <c r="A1767" s="21">
        <v>1766</v>
      </c>
      <c r="B1767" s="7" t="s">
        <v>4284</v>
      </c>
      <c r="C1767" s="7" t="s">
        <v>4285</v>
      </c>
      <c r="G1767" s="8" t="s">
        <v>15</v>
      </c>
    </row>
    <row r="1768" spans="1:7" hidden="1" x14ac:dyDescent="0.25">
      <c r="A1768" s="21">
        <v>1767</v>
      </c>
      <c r="B1768" s="7" t="s">
        <v>4286</v>
      </c>
      <c r="C1768" s="7" t="s">
        <v>4287</v>
      </c>
      <c r="G1768" s="8" t="s">
        <v>15</v>
      </c>
    </row>
    <row r="1769" spans="1:7" hidden="1" x14ac:dyDescent="0.25">
      <c r="A1769" s="21">
        <v>1768</v>
      </c>
      <c r="B1769" s="7" t="s">
        <v>4288</v>
      </c>
      <c r="C1769" s="7" t="s">
        <v>4289</v>
      </c>
      <c r="G1769" s="8" t="s">
        <v>15</v>
      </c>
    </row>
    <row r="1770" spans="1:7" hidden="1" x14ac:dyDescent="0.25">
      <c r="A1770" s="21">
        <v>1769</v>
      </c>
      <c r="B1770" s="7" t="s">
        <v>4290</v>
      </c>
      <c r="C1770" s="7" t="s">
        <v>4291</v>
      </c>
      <c r="G1770" s="8" t="s">
        <v>15</v>
      </c>
    </row>
    <row r="1771" spans="1:7" hidden="1" x14ac:dyDescent="0.25">
      <c r="A1771" s="21">
        <v>1770</v>
      </c>
      <c r="B1771" s="7" t="s">
        <v>4292</v>
      </c>
      <c r="C1771" s="7" t="s">
        <v>4293</v>
      </c>
      <c r="G1771" s="8" t="s">
        <v>15</v>
      </c>
    </row>
    <row r="1772" spans="1:7" hidden="1" x14ac:dyDescent="0.25">
      <c r="A1772" s="21">
        <v>1771</v>
      </c>
      <c r="B1772" s="7" t="s">
        <v>4294</v>
      </c>
      <c r="C1772" s="7" t="s">
        <v>4295</v>
      </c>
      <c r="G1772" s="8" t="s">
        <v>15</v>
      </c>
    </row>
    <row r="1773" spans="1:7" hidden="1" x14ac:dyDescent="0.25">
      <c r="A1773" s="21">
        <v>1772</v>
      </c>
      <c r="B1773" s="7" t="s">
        <v>4296</v>
      </c>
      <c r="C1773" s="7" t="s">
        <v>4297</v>
      </c>
      <c r="G1773" s="8" t="s">
        <v>15</v>
      </c>
    </row>
    <row r="1774" spans="1:7" hidden="1" x14ac:dyDescent="0.25">
      <c r="A1774" s="21">
        <v>1773</v>
      </c>
      <c r="B1774" s="7" t="s">
        <v>4298</v>
      </c>
      <c r="C1774" s="7" t="s">
        <v>4299</v>
      </c>
      <c r="G1774" s="8" t="s">
        <v>15</v>
      </c>
    </row>
    <row r="1775" spans="1:7" hidden="1" x14ac:dyDescent="0.25">
      <c r="A1775" s="21">
        <v>1774</v>
      </c>
      <c r="B1775" s="7" t="s">
        <v>4300</v>
      </c>
      <c r="C1775" s="7" t="s">
        <v>4301</v>
      </c>
      <c r="G1775" s="8" t="s">
        <v>15</v>
      </c>
    </row>
    <row r="1776" spans="1:7" hidden="1" x14ac:dyDescent="0.25">
      <c r="A1776" s="21">
        <v>1775</v>
      </c>
      <c r="B1776" s="7" t="s">
        <v>4302</v>
      </c>
      <c r="C1776" s="7" t="s">
        <v>4303</v>
      </c>
      <c r="G1776" s="8" t="s">
        <v>15</v>
      </c>
    </row>
    <row r="1777" spans="1:7" hidden="1" x14ac:dyDescent="0.25">
      <c r="A1777" s="21">
        <v>1776</v>
      </c>
      <c r="B1777" s="7" t="s">
        <v>4304</v>
      </c>
      <c r="C1777" s="7" t="s">
        <v>4305</v>
      </c>
      <c r="G1777" s="8" t="s">
        <v>15</v>
      </c>
    </row>
    <row r="1778" spans="1:7" hidden="1" x14ac:dyDescent="0.25">
      <c r="A1778" s="21">
        <v>1777</v>
      </c>
      <c r="B1778" s="7" t="s">
        <v>4306</v>
      </c>
      <c r="C1778" s="7" t="s">
        <v>4307</v>
      </c>
      <c r="G1778" s="8" t="s">
        <v>15</v>
      </c>
    </row>
    <row r="1779" spans="1:7" hidden="1" x14ac:dyDescent="0.25">
      <c r="A1779" s="21">
        <v>1778</v>
      </c>
      <c r="B1779" s="7" t="s">
        <v>4308</v>
      </c>
      <c r="C1779" s="7" t="s">
        <v>4309</v>
      </c>
      <c r="G1779" s="8" t="s">
        <v>15</v>
      </c>
    </row>
    <row r="1780" spans="1:7" hidden="1" x14ac:dyDescent="0.25">
      <c r="A1780" s="21">
        <v>1779</v>
      </c>
      <c r="B1780" s="7" t="s">
        <v>4310</v>
      </c>
      <c r="C1780" s="7" t="s">
        <v>4311</v>
      </c>
      <c r="G1780" s="8" t="s">
        <v>15</v>
      </c>
    </row>
    <row r="1781" spans="1:7" hidden="1" x14ac:dyDescent="0.25">
      <c r="A1781" s="21">
        <v>1780</v>
      </c>
      <c r="B1781" s="7" t="s">
        <v>4312</v>
      </c>
      <c r="C1781" s="7" t="s">
        <v>4313</v>
      </c>
      <c r="G1781" s="8" t="s">
        <v>15</v>
      </c>
    </row>
    <row r="1782" spans="1:7" hidden="1" x14ac:dyDescent="0.25">
      <c r="A1782" s="21">
        <v>1781</v>
      </c>
      <c r="B1782" s="7" t="s">
        <v>4314</v>
      </c>
      <c r="C1782" s="7" t="s">
        <v>4315</v>
      </c>
      <c r="G1782" s="8" t="s">
        <v>15</v>
      </c>
    </row>
    <row r="1783" spans="1:7" hidden="1" x14ac:dyDescent="0.25">
      <c r="A1783" s="21">
        <v>1782</v>
      </c>
      <c r="B1783" s="7" t="s">
        <v>4316</v>
      </c>
      <c r="C1783" s="7" t="s">
        <v>4317</v>
      </c>
      <c r="G1783" s="8" t="s">
        <v>15</v>
      </c>
    </row>
    <row r="1784" spans="1:7" hidden="1" x14ac:dyDescent="0.25">
      <c r="A1784" s="21">
        <v>1783</v>
      </c>
      <c r="B1784" s="7" t="s">
        <v>4318</v>
      </c>
      <c r="C1784" s="7" t="s">
        <v>4319</v>
      </c>
      <c r="G1784" s="8" t="s">
        <v>15</v>
      </c>
    </row>
    <row r="1785" spans="1:7" hidden="1" x14ac:dyDescent="0.25">
      <c r="A1785" s="21">
        <v>1784</v>
      </c>
      <c r="B1785" s="7" t="s">
        <v>4320</v>
      </c>
      <c r="C1785" s="7" t="s">
        <v>4321</v>
      </c>
      <c r="G1785" s="8" t="s">
        <v>15</v>
      </c>
    </row>
    <row r="1786" spans="1:7" hidden="1" x14ac:dyDescent="0.25">
      <c r="A1786" s="21">
        <v>1785</v>
      </c>
      <c r="B1786" s="7" t="s">
        <v>4322</v>
      </c>
      <c r="C1786" s="7" t="s">
        <v>4323</v>
      </c>
      <c r="G1786" s="8" t="s">
        <v>15</v>
      </c>
    </row>
    <row r="1787" spans="1:7" hidden="1" x14ac:dyDescent="0.25">
      <c r="A1787" s="21">
        <v>1786</v>
      </c>
      <c r="B1787" s="7" t="s">
        <v>4324</v>
      </c>
      <c r="C1787" s="7" t="s">
        <v>4325</v>
      </c>
      <c r="G1787" s="8" t="s">
        <v>15</v>
      </c>
    </row>
    <row r="1788" spans="1:7" hidden="1" x14ac:dyDescent="0.25">
      <c r="A1788" s="21">
        <v>1787</v>
      </c>
      <c r="B1788" s="7" t="s">
        <v>4326</v>
      </c>
      <c r="C1788" s="7" t="s">
        <v>4327</v>
      </c>
      <c r="G1788" s="8" t="s">
        <v>15</v>
      </c>
    </row>
    <row r="1789" spans="1:7" hidden="1" x14ac:dyDescent="0.25">
      <c r="A1789" s="21">
        <v>1788</v>
      </c>
      <c r="B1789" s="7" t="s">
        <v>4328</v>
      </c>
      <c r="C1789" s="7" t="s">
        <v>4329</v>
      </c>
      <c r="G1789" s="8" t="s">
        <v>15</v>
      </c>
    </row>
    <row r="1790" spans="1:7" hidden="1" x14ac:dyDescent="0.25">
      <c r="A1790" s="21">
        <v>1789</v>
      </c>
      <c r="B1790" s="7" t="s">
        <v>4330</v>
      </c>
      <c r="C1790" s="7" t="s">
        <v>4331</v>
      </c>
      <c r="G1790" s="8" t="s">
        <v>15</v>
      </c>
    </row>
    <row r="1791" spans="1:7" hidden="1" x14ac:dyDescent="0.25">
      <c r="A1791" s="21">
        <v>1790</v>
      </c>
      <c r="B1791" s="7" t="s">
        <v>4332</v>
      </c>
      <c r="C1791" s="7" t="s">
        <v>4333</v>
      </c>
      <c r="G1791" s="8" t="s">
        <v>15</v>
      </c>
    </row>
    <row r="1792" spans="1:7" hidden="1" x14ac:dyDescent="0.25">
      <c r="A1792" s="21">
        <v>1791</v>
      </c>
      <c r="B1792" s="7" t="s">
        <v>4334</v>
      </c>
      <c r="C1792" s="7" t="s">
        <v>4335</v>
      </c>
      <c r="G1792" s="8" t="s">
        <v>15</v>
      </c>
    </row>
    <row r="1793" spans="1:7" hidden="1" x14ac:dyDescent="0.25">
      <c r="A1793" s="21">
        <v>1792</v>
      </c>
      <c r="B1793" s="7" t="s">
        <v>4336</v>
      </c>
      <c r="C1793" s="7" t="s">
        <v>4337</v>
      </c>
      <c r="G1793" s="8" t="s">
        <v>15</v>
      </c>
    </row>
    <row r="1794" spans="1:7" hidden="1" x14ac:dyDescent="0.25">
      <c r="A1794" s="21">
        <v>1793</v>
      </c>
      <c r="B1794" s="7" t="s">
        <v>4338</v>
      </c>
      <c r="C1794" s="7" t="s">
        <v>4339</v>
      </c>
      <c r="G1794" s="8" t="s">
        <v>15</v>
      </c>
    </row>
    <row r="1795" spans="1:7" hidden="1" x14ac:dyDescent="0.25">
      <c r="A1795" s="21">
        <v>1794</v>
      </c>
      <c r="B1795" s="7" t="s">
        <v>4340</v>
      </c>
      <c r="C1795" s="7" t="s">
        <v>4341</v>
      </c>
      <c r="G1795" s="8" t="s">
        <v>15</v>
      </c>
    </row>
    <row r="1796" spans="1:7" hidden="1" x14ac:dyDescent="0.25">
      <c r="A1796" s="21">
        <v>1795</v>
      </c>
      <c r="B1796" s="7" t="s">
        <v>4342</v>
      </c>
      <c r="C1796" s="7" t="s">
        <v>4343</v>
      </c>
      <c r="G1796" s="8" t="s">
        <v>15</v>
      </c>
    </row>
    <row r="1797" spans="1:7" hidden="1" x14ac:dyDescent="0.25">
      <c r="A1797" s="21">
        <v>1796</v>
      </c>
      <c r="B1797" s="7" t="s">
        <v>4344</v>
      </c>
      <c r="C1797" s="7" t="s">
        <v>4345</v>
      </c>
      <c r="G1797" s="8" t="s">
        <v>15</v>
      </c>
    </row>
    <row r="1798" spans="1:7" hidden="1" x14ac:dyDescent="0.25">
      <c r="A1798" s="21">
        <v>1797</v>
      </c>
      <c r="B1798" s="7" t="s">
        <v>4346</v>
      </c>
      <c r="C1798" s="7" t="s">
        <v>4347</v>
      </c>
      <c r="G1798" s="8" t="s">
        <v>15</v>
      </c>
    </row>
    <row r="1799" spans="1:7" hidden="1" x14ac:dyDescent="0.25">
      <c r="A1799" s="21">
        <v>1798</v>
      </c>
      <c r="B1799" s="7" t="s">
        <v>4348</v>
      </c>
      <c r="C1799" s="7" t="s">
        <v>4349</v>
      </c>
      <c r="G1799" s="8" t="s">
        <v>15</v>
      </c>
    </row>
    <row r="1800" spans="1:7" hidden="1" x14ac:dyDescent="0.25">
      <c r="A1800" s="21">
        <v>1799</v>
      </c>
      <c r="B1800" s="7" t="s">
        <v>4350</v>
      </c>
      <c r="C1800" s="7" t="s">
        <v>4351</v>
      </c>
      <c r="G1800" s="8" t="s">
        <v>15</v>
      </c>
    </row>
    <row r="1801" spans="1:7" hidden="1" x14ac:dyDescent="0.25">
      <c r="A1801" s="21">
        <v>1800</v>
      </c>
      <c r="B1801" s="7" t="s">
        <v>4352</v>
      </c>
      <c r="C1801" s="7" t="s">
        <v>4353</v>
      </c>
      <c r="G1801" s="8" t="s">
        <v>15</v>
      </c>
    </row>
    <row r="1802" spans="1:7" hidden="1" x14ac:dyDescent="0.25">
      <c r="A1802" s="21">
        <v>1801</v>
      </c>
      <c r="B1802" s="7" t="s">
        <v>4354</v>
      </c>
      <c r="C1802" s="7" t="s">
        <v>4355</v>
      </c>
      <c r="G1802" s="8" t="s">
        <v>15</v>
      </c>
    </row>
    <row r="1803" spans="1:7" hidden="1" x14ac:dyDescent="0.25">
      <c r="A1803" s="21">
        <v>1802</v>
      </c>
      <c r="B1803" s="7" t="s">
        <v>4356</v>
      </c>
      <c r="C1803" s="7" t="s">
        <v>4357</v>
      </c>
      <c r="G1803" s="8" t="s">
        <v>15</v>
      </c>
    </row>
    <row r="1804" spans="1:7" hidden="1" x14ac:dyDescent="0.25">
      <c r="A1804" s="21">
        <v>1803</v>
      </c>
      <c r="B1804" s="7" t="s">
        <v>4358</v>
      </c>
      <c r="C1804" s="7" t="s">
        <v>4359</v>
      </c>
      <c r="G1804" s="8" t="s">
        <v>15</v>
      </c>
    </row>
    <row r="1805" spans="1:7" hidden="1" x14ac:dyDescent="0.25">
      <c r="A1805" s="21">
        <v>1804</v>
      </c>
      <c r="B1805" s="7" t="s">
        <v>4360</v>
      </c>
      <c r="C1805" s="7" t="s">
        <v>4361</v>
      </c>
      <c r="G1805" s="8" t="s">
        <v>15</v>
      </c>
    </row>
    <row r="1806" spans="1:7" hidden="1" x14ac:dyDescent="0.25">
      <c r="A1806" s="21">
        <v>1805</v>
      </c>
      <c r="B1806" s="7" t="s">
        <v>4362</v>
      </c>
      <c r="C1806" s="7" t="s">
        <v>4363</v>
      </c>
      <c r="G1806" s="8" t="s">
        <v>15</v>
      </c>
    </row>
    <row r="1807" spans="1:7" hidden="1" x14ac:dyDescent="0.25">
      <c r="A1807" s="21">
        <v>1806</v>
      </c>
      <c r="B1807" s="7" t="s">
        <v>4364</v>
      </c>
      <c r="C1807" s="7" t="s">
        <v>4365</v>
      </c>
      <c r="G1807" s="8" t="s">
        <v>15</v>
      </c>
    </row>
    <row r="1808" spans="1:7" hidden="1" x14ac:dyDescent="0.25">
      <c r="A1808" s="21">
        <v>1807</v>
      </c>
      <c r="B1808" s="7" t="s">
        <v>4366</v>
      </c>
      <c r="C1808" s="7" t="s">
        <v>4367</v>
      </c>
      <c r="G1808" s="8" t="s">
        <v>15</v>
      </c>
    </row>
    <row r="1809" spans="1:7" hidden="1" x14ac:dyDescent="0.25">
      <c r="A1809" s="21">
        <v>1808</v>
      </c>
      <c r="B1809" s="7" t="s">
        <v>4368</v>
      </c>
      <c r="C1809" s="7" t="s">
        <v>4369</v>
      </c>
      <c r="G1809" s="8" t="s">
        <v>15</v>
      </c>
    </row>
    <row r="1810" spans="1:7" hidden="1" x14ac:dyDescent="0.25">
      <c r="A1810" s="21">
        <v>1809</v>
      </c>
      <c r="B1810" s="7" t="s">
        <v>4370</v>
      </c>
      <c r="C1810" s="7" t="s">
        <v>4371</v>
      </c>
      <c r="G1810" s="8" t="s">
        <v>15</v>
      </c>
    </row>
    <row r="1811" spans="1:7" hidden="1" x14ac:dyDescent="0.25">
      <c r="A1811" s="21">
        <v>1810</v>
      </c>
      <c r="B1811" s="7" t="s">
        <v>4372</v>
      </c>
      <c r="C1811" s="7" t="s">
        <v>4373</v>
      </c>
      <c r="G1811" s="8" t="s">
        <v>15</v>
      </c>
    </row>
    <row r="1812" spans="1:7" hidden="1" x14ac:dyDescent="0.25">
      <c r="A1812" s="21">
        <v>1811</v>
      </c>
      <c r="B1812" s="7" t="s">
        <v>4374</v>
      </c>
      <c r="C1812" s="7" t="s">
        <v>4375</v>
      </c>
      <c r="G1812" s="8" t="s">
        <v>15</v>
      </c>
    </row>
    <row r="1813" spans="1:7" hidden="1" x14ac:dyDescent="0.25">
      <c r="A1813" s="21">
        <v>1812</v>
      </c>
      <c r="B1813" s="7" t="s">
        <v>4376</v>
      </c>
      <c r="C1813" s="7" t="s">
        <v>4377</v>
      </c>
      <c r="G1813" s="8" t="s">
        <v>15</v>
      </c>
    </row>
    <row r="1814" spans="1:7" hidden="1" x14ac:dyDescent="0.25">
      <c r="A1814" s="21">
        <v>1813</v>
      </c>
      <c r="B1814" s="7" t="s">
        <v>4378</v>
      </c>
      <c r="C1814" s="7" t="s">
        <v>4379</v>
      </c>
      <c r="G1814" s="8" t="s">
        <v>15</v>
      </c>
    </row>
    <row r="1815" spans="1:7" hidden="1" x14ac:dyDescent="0.25">
      <c r="A1815" s="21">
        <v>1814</v>
      </c>
      <c r="B1815" s="7" t="s">
        <v>4380</v>
      </c>
      <c r="C1815" s="7" t="s">
        <v>4381</v>
      </c>
      <c r="G1815" s="8" t="s">
        <v>15</v>
      </c>
    </row>
    <row r="1816" spans="1:7" hidden="1" x14ac:dyDescent="0.25">
      <c r="A1816" s="21">
        <v>1815</v>
      </c>
      <c r="B1816" s="7" t="s">
        <v>4382</v>
      </c>
      <c r="C1816" s="7" t="s">
        <v>4383</v>
      </c>
      <c r="G1816" s="8" t="s">
        <v>15</v>
      </c>
    </row>
    <row r="1817" spans="1:7" hidden="1" x14ac:dyDescent="0.25">
      <c r="A1817" s="21">
        <v>1816</v>
      </c>
      <c r="B1817" s="7" t="s">
        <v>4384</v>
      </c>
      <c r="C1817" s="7" t="s">
        <v>4385</v>
      </c>
      <c r="G1817" s="8" t="s">
        <v>15</v>
      </c>
    </row>
    <row r="1818" spans="1:7" hidden="1" x14ac:dyDescent="0.25">
      <c r="A1818" s="21">
        <v>1817</v>
      </c>
      <c r="B1818" s="7" t="s">
        <v>4386</v>
      </c>
      <c r="C1818" s="7" t="s">
        <v>4387</v>
      </c>
      <c r="G1818" s="8" t="s">
        <v>15</v>
      </c>
    </row>
    <row r="1819" spans="1:7" hidden="1" x14ac:dyDescent="0.25">
      <c r="A1819" s="21">
        <v>1818</v>
      </c>
      <c r="B1819" s="7" t="s">
        <v>4388</v>
      </c>
      <c r="C1819" s="7" t="s">
        <v>4389</v>
      </c>
      <c r="G1819" s="8" t="s">
        <v>15</v>
      </c>
    </row>
    <row r="1820" spans="1:7" hidden="1" x14ac:dyDescent="0.25">
      <c r="A1820" s="21">
        <v>1819</v>
      </c>
      <c r="B1820" s="7" t="s">
        <v>4390</v>
      </c>
      <c r="C1820" s="7" t="s">
        <v>4391</v>
      </c>
      <c r="G1820" s="8" t="s">
        <v>15</v>
      </c>
    </row>
    <row r="1821" spans="1:7" hidden="1" x14ac:dyDescent="0.25">
      <c r="A1821" s="21">
        <v>1820</v>
      </c>
      <c r="B1821" s="7" t="s">
        <v>4392</v>
      </c>
      <c r="C1821" s="7" t="s">
        <v>4393</v>
      </c>
      <c r="G1821" s="8" t="s">
        <v>15</v>
      </c>
    </row>
    <row r="1822" spans="1:7" hidden="1" x14ac:dyDescent="0.25">
      <c r="A1822" s="21">
        <v>1821</v>
      </c>
      <c r="B1822" s="7" t="s">
        <v>4394</v>
      </c>
      <c r="C1822" s="7" t="s">
        <v>4395</v>
      </c>
      <c r="G1822" s="8" t="s">
        <v>15</v>
      </c>
    </row>
    <row r="1823" spans="1:7" hidden="1" x14ac:dyDescent="0.25">
      <c r="A1823" s="21">
        <v>1822</v>
      </c>
      <c r="B1823" s="7" t="s">
        <v>4396</v>
      </c>
      <c r="C1823" s="7" t="s">
        <v>4397</v>
      </c>
      <c r="G1823" s="8" t="s">
        <v>15</v>
      </c>
    </row>
    <row r="1824" spans="1:7" hidden="1" x14ac:dyDescent="0.25">
      <c r="A1824" s="21">
        <v>1823</v>
      </c>
      <c r="B1824" s="7" t="s">
        <v>4398</v>
      </c>
      <c r="C1824" s="7" t="s">
        <v>4399</v>
      </c>
      <c r="G1824" s="8" t="s">
        <v>15</v>
      </c>
    </row>
    <row r="1825" spans="1:7" hidden="1" x14ac:dyDescent="0.25">
      <c r="A1825" s="21">
        <v>1824</v>
      </c>
      <c r="B1825" s="7" t="s">
        <v>4400</v>
      </c>
      <c r="C1825" s="7" t="s">
        <v>4401</v>
      </c>
      <c r="G1825" s="8" t="s">
        <v>15</v>
      </c>
    </row>
    <row r="1826" spans="1:7" hidden="1" x14ac:dyDescent="0.25">
      <c r="A1826" s="21">
        <v>1825</v>
      </c>
      <c r="B1826" s="7" t="s">
        <v>4402</v>
      </c>
      <c r="C1826" s="7" t="s">
        <v>4403</v>
      </c>
      <c r="G1826" s="8" t="s">
        <v>15</v>
      </c>
    </row>
    <row r="1827" spans="1:7" hidden="1" x14ac:dyDescent="0.25">
      <c r="A1827" s="21">
        <v>1826</v>
      </c>
      <c r="B1827" s="7" t="s">
        <v>4404</v>
      </c>
      <c r="C1827" s="7" t="s">
        <v>4405</v>
      </c>
      <c r="G1827" s="8" t="s">
        <v>15</v>
      </c>
    </row>
    <row r="1828" spans="1:7" hidden="1" x14ac:dyDescent="0.25">
      <c r="A1828" s="21">
        <v>1827</v>
      </c>
      <c r="B1828" s="7" t="s">
        <v>4406</v>
      </c>
      <c r="C1828" s="7" t="s">
        <v>4407</v>
      </c>
      <c r="G1828" s="8" t="s">
        <v>15</v>
      </c>
    </row>
    <row r="1829" spans="1:7" hidden="1" x14ac:dyDescent="0.25">
      <c r="A1829" s="21">
        <v>1828</v>
      </c>
      <c r="B1829" s="7" t="s">
        <v>4408</v>
      </c>
      <c r="C1829" s="7" t="s">
        <v>4409</v>
      </c>
      <c r="G1829" s="8" t="s">
        <v>15</v>
      </c>
    </row>
    <row r="1830" spans="1:7" hidden="1" x14ac:dyDescent="0.25">
      <c r="A1830" s="21">
        <v>1829</v>
      </c>
      <c r="B1830" s="7" t="s">
        <v>4410</v>
      </c>
      <c r="C1830" s="7" t="s">
        <v>4411</v>
      </c>
      <c r="G1830" s="8" t="s">
        <v>15</v>
      </c>
    </row>
    <row r="1831" spans="1:7" hidden="1" x14ac:dyDescent="0.25">
      <c r="A1831" s="21">
        <v>1830</v>
      </c>
      <c r="B1831" s="7" t="s">
        <v>4412</v>
      </c>
      <c r="C1831" s="7" t="s">
        <v>4413</v>
      </c>
      <c r="G1831" s="8" t="s">
        <v>15</v>
      </c>
    </row>
    <row r="1832" spans="1:7" hidden="1" x14ac:dyDescent="0.25">
      <c r="A1832" s="21">
        <v>1831</v>
      </c>
      <c r="B1832" s="7" t="s">
        <v>4414</v>
      </c>
      <c r="C1832" s="7" t="s">
        <v>4415</v>
      </c>
      <c r="G1832" s="8" t="s">
        <v>15</v>
      </c>
    </row>
    <row r="1833" spans="1:7" hidden="1" x14ac:dyDescent="0.25">
      <c r="A1833" s="21">
        <v>1832</v>
      </c>
      <c r="B1833" s="7" t="s">
        <v>4416</v>
      </c>
      <c r="C1833" s="7" t="s">
        <v>4417</v>
      </c>
      <c r="G1833" s="8" t="s">
        <v>15</v>
      </c>
    </row>
    <row r="1834" spans="1:7" hidden="1" x14ac:dyDescent="0.25">
      <c r="A1834" s="21">
        <v>1833</v>
      </c>
      <c r="B1834" s="7" t="s">
        <v>4418</v>
      </c>
      <c r="C1834" s="7" t="s">
        <v>4419</v>
      </c>
      <c r="G1834" s="8" t="s">
        <v>15</v>
      </c>
    </row>
    <row r="1835" spans="1:7" hidden="1" x14ac:dyDescent="0.25">
      <c r="A1835" s="21">
        <v>1834</v>
      </c>
      <c r="B1835" s="7" t="s">
        <v>4420</v>
      </c>
      <c r="C1835" s="7" t="s">
        <v>4421</v>
      </c>
      <c r="G1835" s="8" t="s">
        <v>15</v>
      </c>
    </row>
    <row r="1836" spans="1:7" hidden="1" x14ac:dyDescent="0.25">
      <c r="A1836" s="21">
        <v>1835</v>
      </c>
      <c r="B1836" s="7" t="s">
        <v>4422</v>
      </c>
      <c r="C1836" s="7" t="s">
        <v>4423</v>
      </c>
      <c r="G1836" s="8" t="s">
        <v>15</v>
      </c>
    </row>
    <row r="1837" spans="1:7" hidden="1" x14ac:dyDescent="0.25">
      <c r="A1837" s="21">
        <v>1836</v>
      </c>
      <c r="B1837" s="7" t="s">
        <v>4424</v>
      </c>
      <c r="C1837" s="7" t="s">
        <v>4425</v>
      </c>
      <c r="G1837" s="8" t="s">
        <v>15</v>
      </c>
    </row>
    <row r="1838" spans="1:7" hidden="1" x14ac:dyDescent="0.25">
      <c r="A1838" s="21">
        <v>1837</v>
      </c>
      <c r="B1838" s="7" t="s">
        <v>4426</v>
      </c>
      <c r="C1838" s="7" t="s">
        <v>4427</v>
      </c>
      <c r="G1838" s="8" t="s">
        <v>15</v>
      </c>
    </row>
    <row r="1839" spans="1:7" hidden="1" x14ac:dyDescent="0.25">
      <c r="A1839" s="21">
        <v>1838</v>
      </c>
      <c r="B1839" s="7" t="s">
        <v>4428</v>
      </c>
      <c r="C1839" s="7" t="s">
        <v>4429</v>
      </c>
      <c r="G1839" s="8" t="s">
        <v>15</v>
      </c>
    </row>
    <row r="1840" spans="1:7" hidden="1" x14ac:dyDescent="0.25">
      <c r="A1840" s="21">
        <v>1839</v>
      </c>
      <c r="B1840" s="7" t="s">
        <v>4430</v>
      </c>
      <c r="C1840" s="7" t="s">
        <v>4431</v>
      </c>
      <c r="G1840" s="8" t="s">
        <v>15</v>
      </c>
    </row>
    <row r="1841" spans="1:7" hidden="1" x14ac:dyDescent="0.25">
      <c r="A1841" s="21">
        <v>1840</v>
      </c>
      <c r="B1841" s="7" t="s">
        <v>4432</v>
      </c>
      <c r="C1841" s="7" t="s">
        <v>4433</v>
      </c>
      <c r="G1841" s="8" t="s">
        <v>15</v>
      </c>
    </row>
    <row r="1842" spans="1:7" hidden="1" x14ac:dyDescent="0.25">
      <c r="A1842" s="21">
        <v>1841</v>
      </c>
      <c r="B1842" s="7" t="s">
        <v>4434</v>
      </c>
      <c r="C1842" s="7" t="s">
        <v>4435</v>
      </c>
      <c r="G1842" s="8" t="s">
        <v>15</v>
      </c>
    </row>
    <row r="1843" spans="1:7" hidden="1" x14ac:dyDescent="0.25">
      <c r="A1843" s="21">
        <v>1842</v>
      </c>
      <c r="B1843" s="7" t="s">
        <v>4436</v>
      </c>
      <c r="C1843" s="7" t="s">
        <v>4437</v>
      </c>
      <c r="G1843" s="8" t="s">
        <v>15</v>
      </c>
    </row>
    <row r="1844" spans="1:7" hidden="1" x14ac:dyDescent="0.25">
      <c r="A1844" s="21">
        <v>1843</v>
      </c>
      <c r="B1844" s="7" t="s">
        <v>4438</v>
      </c>
      <c r="C1844" s="7" t="s">
        <v>4439</v>
      </c>
      <c r="G1844" s="8" t="s">
        <v>15</v>
      </c>
    </row>
    <row r="1845" spans="1:7" hidden="1" x14ac:dyDescent="0.25">
      <c r="A1845" s="21">
        <v>1844</v>
      </c>
      <c r="B1845" s="7" t="s">
        <v>4440</v>
      </c>
      <c r="C1845" s="7" t="s">
        <v>4441</v>
      </c>
      <c r="G1845" s="8" t="s">
        <v>15</v>
      </c>
    </row>
    <row r="1846" spans="1:7" hidden="1" x14ac:dyDescent="0.25">
      <c r="A1846" s="21">
        <v>1845</v>
      </c>
      <c r="B1846" s="7" t="s">
        <v>4442</v>
      </c>
      <c r="C1846" s="7" t="s">
        <v>4443</v>
      </c>
      <c r="G1846" s="8" t="s">
        <v>15</v>
      </c>
    </row>
    <row r="1847" spans="1:7" hidden="1" x14ac:dyDescent="0.25">
      <c r="A1847" s="21">
        <v>1846</v>
      </c>
      <c r="B1847" s="7" t="s">
        <v>4444</v>
      </c>
      <c r="C1847" s="7" t="s">
        <v>4445</v>
      </c>
      <c r="G1847" s="8" t="s">
        <v>15</v>
      </c>
    </row>
    <row r="1848" spans="1:7" hidden="1" x14ac:dyDescent="0.25">
      <c r="A1848" s="21">
        <v>1847</v>
      </c>
      <c r="B1848" s="7" t="s">
        <v>4446</v>
      </c>
      <c r="C1848" s="7" t="s">
        <v>4447</v>
      </c>
      <c r="G1848" s="8" t="s">
        <v>15</v>
      </c>
    </row>
    <row r="1849" spans="1:7" hidden="1" x14ac:dyDescent="0.25">
      <c r="A1849" s="21">
        <v>1848</v>
      </c>
      <c r="B1849" s="7" t="s">
        <v>4448</v>
      </c>
      <c r="C1849" s="7" t="s">
        <v>4449</v>
      </c>
      <c r="G1849" s="8" t="s">
        <v>15</v>
      </c>
    </row>
    <row r="1850" spans="1:7" hidden="1" x14ac:dyDescent="0.25">
      <c r="A1850" s="21">
        <v>1849</v>
      </c>
      <c r="B1850" s="7" t="s">
        <v>4450</v>
      </c>
      <c r="C1850" s="7" t="s">
        <v>4451</v>
      </c>
      <c r="G1850" s="8" t="s">
        <v>15</v>
      </c>
    </row>
    <row r="1851" spans="1:7" hidden="1" x14ac:dyDescent="0.25">
      <c r="A1851" s="21">
        <v>1850</v>
      </c>
      <c r="B1851" s="7" t="s">
        <v>4452</v>
      </c>
      <c r="C1851" s="7" t="s">
        <v>4453</v>
      </c>
      <c r="G1851" s="8" t="s">
        <v>15</v>
      </c>
    </row>
    <row r="1852" spans="1:7" hidden="1" x14ac:dyDescent="0.25">
      <c r="A1852" s="21">
        <v>1851</v>
      </c>
      <c r="B1852" s="7" t="s">
        <v>4454</v>
      </c>
      <c r="C1852" s="7" t="s">
        <v>4455</v>
      </c>
      <c r="G1852" s="8" t="s">
        <v>15</v>
      </c>
    </row>
    <row r="1853" spans="1:7" hidden="1" x14ac:dyDescent="0.25">
      <c r="A1853" s="21">
        <v>1852</v>
      </c>
      <c r="B1853" s="7" t="s">
        <v>4456</v>
      </c>
      <c r="C1853" s="7" t="s">
        <v>4457</v>
      </c>
      <c r="G1853" s="8" t="s">
        <v>15</v>
      </c>
    </row>
    <row r="1854" spans="1:7" hidden="1" x14ac:dyDescent="0.25">
      <c r="A1854" s="21">
        <v>1853</v>
      </c>
      <c r="B1854" s="7" t="s">
        <v>4458</v>
      </c>
      <c r="C1854" s="7" t="s">
        <v>4459</v>
      </c>
      <c r="G1854" s="8" t="s">
        <v>15</v>
      </c>
    </row>
    <row r="1855" spans="1:7" hidden="1" x14ac:dyDescent="0.25">
      <c r="A1855" s="21">
        <v>1854</v>
      </c>
      <c r="B1855" s="7" t="s">
        <v>4460</v>
      </c>
      <c r="C1855" s="7" t="s">
        <v>4461</v>
      </c>
      <c r="G1855" s="8" t="s">
        <v>15</v>
      </c>
    </row>
    <row r="1856" spans="1:7" hidden="1" x14ac:dyDescent="0.25">
      <c r="A1856" s="21">
        <v>1855</v>
      </c>
      <c r="B1856" s="7" t="s">
        <v>4462</v>
      </c>
      <c r="C1856" s="7" t="s">
        <v>4463</v>
      </c>
      <c r="G1856" s="8" t="s">
        <v>15</v>
      </c>
    </row>
    <row r="1857" spans="1:7" hidden="1" x14ac:dyDescent="0.25">
      <c r="A1857" s="21">
        <v>1856</v>
      </c>
      <c r="B1857" s="7" t="s">
        <v>4464</v>
      </c>
      <c r="C1857" s="7" t="s">
        <v>4465</v>
      </c>
      <c r="G1857" s="8" t="s">
        <v>15</v>
      </c>
    </row>
    <row r="1858" spans="1:7" hidden="1" x14ac:dyDescent="0.25">
      <c r="A1858" s="21">
        <v>1857</v>
      </c>
      <c r="B1858" s="7" t="s">
        <v>4466</v>
      </c>
      <c r="C1858" s="7" t="s">
        <v>4467</v>
      </c>
      <c r="G1858" s="8" t="s">
        <v>15</v>
      </c>
    </row>
    <row r="1859" spans="1:7" hidden="1" x14ac:dyDescent="0.25">
      <c r="A1859" s="21">
        <v>1858</v>
      </c>
      <c r="B1859" s="7" t="s">
        <v>4468</v>
      </c>
      <c r="C1859" s="7" t="s">
        <v>4469</v>
      </c>
      <c r="G1859" s="8" t="s">
        <v>15</v>
      </c>
    </row>
    <row r="1860" spans="1:7" hidden="1" x14ac:dyDescent="0.25">
      <c r="A1860" s="21">
        <v>1859</v>
      </c>
      <c r="B1860" s="7" t="s">
        <v>4470</v>
      </c>
      <c r="C1860" s="7" t="s">
        <v>4471</v>
      </c>
      <c r="G1860" s="8" t="s">
        <v>15</v>
      </c>
    </row>
    <row r="1861" spans="1:7" hidden="1" x14ac:dyDescent="0.25">
      <c r="A1861" s="21">
        <v>1860</v>
      </c>
      <c r="B1861" s="7" t="s">
        <v>4472</v>
      </c>
      <c r="C1861" s="7" t="s">
        <v>4473</v>
      </c>
      <c r="G1861" s="8" t="s">
        <v>15</v>
      </c>
    </row>
    <row r="1862" spans="1:7" hidden="1" x14ac:dyDescent="0.25">
      <c r="A1862" s="21">
        <v>1861</v>
      </c>
      <c r="B1862" s="7" t="s">
        <v>4474</v>
      </c>
      <c r="C1862" s="7" t="s">
        <v>4475</v>
      </c>
      <c r="G1862" s="8" t="s">
        <v>15</v>
      </c>
    </row>
    <row r="1863" spans="1:7" hidden="1" x14ac:dyDescent="0.25">
      <c r="A1863" s="21">
        <v>1862</v>
      </c>
      <c r="B1863" s="7" t="s">
        <v>4476</v>
      </c>
      <c r="C1863" s="7" t="s">
        <v>4477</v>
      </c>
      <c r="G1863" s="8" t="s">
        <v>15</v>
      </c>
    </row>
    <row r="1864" spans="1:7" hidden="1" x14ac:dyDescent="0.25">
      <c r="A1864" s="21">
        <v>1863</v>
      </c>
      <c r="B1864" s="7" t="s">
        <v>4478</v>
      </c>
      <c r="C1864" s="7" t="s">
        <v>4479</v>
      </c>
      <c r="G1864" s="8" t="s">
        <v>15</v>
      </c>
    </row>
    <row r="1865" spans="1:7" hidden="1" x14ac:dyDescent="0.25">
      <c r="A1865" s="21">
        <v>1864</v>
      </c>
      <c r="B1865" s="7" t="s">
        <v>4480</v>
      </c>
      <c r="C1865" s="7" t="s">
        <v>4481</v>
      </c>
      <c r="G1865" s="8" t="s">
        <v>15</v>
      </c>
    </row>
    <row r="1866" spans="1:7" hidden="1" x14ac:dyDescent="0.25">
      <c r="A1866" s="21">
        <v>1865</v>
      </c>
      <c r="B1866" s="7" t="s">
        <v>4482</v>
      </c>
      <c r="C1866" s="7" t="s">
        <v>4483</v>
      </c>
      <c r="G1866" s="8" t="s">
        <v>15</v>
      </c>
    </row>
    <row r="1867" spans="1:7" hidden="1" x14ac:dyDescent="0.25">
      <c r="A1867" s="21">
        <v>1866</v>
      </c>
      <c r="B1867" s="7" t="s">
        <v>4484</v>
      </c>
      <c r="C1867" s="7" t="s">
        <v>4485</v>
      </c>
      <c r="G1867" s="8" t="s">
        <v>15</v>
      </c>
    </row>
    <row r="1868" spans="1:7" hidden="1" x14ac:dyDescent="0.25">
      <c r="A1868" s="21">
        <v>1867</v>
      </c>
      <c r="B1868" s="7" t="s">
        <v>4486</v>
      </c>
      <c r="C1868" s="7" t="s">
        <v>4487</v>
      </c>
      <c r="G1868" s="8" t="s">
        <v>15</v>
      </c>
    </row>
    <row r="1869" spans="1:7" hidden="1" x14ac:dyDescent="0.25">
      <c r="A1869" s="21">
        <v>1868</v>
      </c>
      <c r="B1869" s="7" t="s">
        <v>4488</v>
      </c>
      <c r="C1869" s="7" t="s">
        <v>4489</v>
      </c>
      <c r="G1869" s="8" t="s">
        <v>15</v>
      </c>
    </row>
    <row r="1870" spans="1:7" hidden="1" x14ac:dyDescent="0.25">
      <c r="A1870" s="21">
        <v>1869</v>
      </c>
      <c r="B1870" s="7" t="s">
        <v>4490</v>
      </c>
      <c r="C1870" s="7" t="s">
        <v>4491</v>
      </c>
      <c r="G1870" s="8" t="s">
        <v>15</v>
      </c>
    </row>
    <row r="1871" spans="1:7" hidden="1" x14ac:dyDescent="0.25">
      <c r="A1871" s="21">
        <v>1870</v>
      </c>
      <c r="B1871" s="7" t="s">
        <v>4492</v>
      </c>
      <c r="C1871" s="7" t="s">
        <v>4493</v>
      </c>
      <c r="G1871" s="8" t="s">
        <v>15</v>
      </c>
    </row>
    <row r="1872" spans="1:7" hidden="1" x14ac:dyDescent="0.25">
      <c r="A1872" s="21">
        <v>1871</v>
      </c>
      <c r="B1872" s="7" t="s">
        <v>4494</v>
      </c>
      <c r="C1872" s="7" t="s">
        <v>4495</v>
      </c>
      <c r="G1872" s="8" t="s">
        <v>15</v>
      </c>
    </row>
    <row r="1873" spans="1:7" hidden="1" x14ac:dyDescent="0.25">
      <c r="A1873" s="21">
        <v>1872</v>
      </c>
      <c r="B1873" s="7" t="s">
        <v>4496</v>
      </c>
      <c r="C1873" s="7" t="s">
        <v>4497</v>
      </c>
      <c r="G1873" s="8" t="s">
        <v>15</v>
      </c>
    </row>
    <row r="1874" spans="1:7" hidden="1" x14ac:dyDescent="0.25">
      <c r="A1874" s="21">
        <v>1873</v>
      </c>
      <c r="B1874" s="7" t="s">
        <v>4498</v>
      </c>
      <c r="C1874" s="7" t="s">
        <v>4499</v>
      </c>
      <c r="G1874" s="8" t="s">
        <v>15</v>
      </c>
    </row>
    <row r="1875" spans="1:7" hidden="1" x14ac:dyDescent="0.25">
      <c r="A1875" s="21">
        <v>1874</v>
      </c>
      <c r="B1875" s="7" t="s">
        <v>4500</v>
      </c>
      <c r="C1875" s="7" t="s">
        <v>4501</v>
      </c>
      <c r="G1875" s="8" t="s">
        <v>15</v>
      </c>
    </row>
    <row r="1876" spans="1:7" hidden="1" x14ac:dyDescent="0.25">
      <c r="A1876" s="21">
        <v>1875</v>
      </c>
      <c r="B1876" s="7" t="s">
        <v>4502</v>
      </c>
      <c r="C1876" s="7" t="s">
        <v>4503</v>
      </c>
      <c r="G1876" s="8" t="s">
        <v>15</v>
      </c>
    </row>
    <row r="1877" spans="1:7" hidden="1" x14ac:dyDescent="0.25">
      <c r="A1877" s="21">
        <v>1876</v>
      </c>
      <c r="B1877" s="7" t="s">
        <v>4504</v>
      </c>
      <c r="C1877" s="7" t="s">
        <v>4505</v>
      </c>
      <c r="G1877" s="8" t="s">
        <v>15</v>
      </c>
    </row>
    <row r="1878" spans="1:7" hidden="1" x14ac:dyDescent="0.25">
      <c r="A1878" s="21">
        <v>1877</v>
      </c>
      <c r="B1878" s="7" t="s">
        <v>4506</v>
      </c>
      <c r="C1878" s="7" t="s">
        <v>4507</v>
      </c>
      <c r="G1878" s="8" t="s">
        <v>15</v>
      </c>
    </row>
    <row r="1879" spans="1:7" hidden="1" x14ac:dyDescent="0.25">
      <c r="A1879" s="21">
        <v>1878</v>
      </c>
      <c r="B1879" s="7" t="s">
        <v>4508</v>
      </c>
      <c r="C1879" s="7" t="s">
        <v>4509</v>
      </c>
      <c r="G1879" s="8" t="s">
        <v>15</v>
      </c>
    </row>
    <row r="1880" spans="1:7" hidden="1" x14ac:dyDescent="0.25">
      <c r="A1880" s="21">
        <v>1879</v>
      </c>
      <c r="B1880" s="7" t="s">
        <v>4510</v>
      </c>
      <c r="C1880" s="7" t="s">
        <v>4511</v>
      </c>
      <c r="G1880" s="8" t="s">
        <v>15</v>
      </c>
    </row>
    <row r="1881" spans="1:7" hidden="1" x14ac:dyDescent="0.25">
      <c r="A1881" s="21">
        <v>1880</v>
      </c>
      <c r="B1881" s="7" t="s">
        <v>4512</v>
      </c>
      <c r="C1881" s="7" t="s">
        <v>4513</v>
      </c>
      <c r="G1881" s="8" t="s">
        <v>15</v>
      </c>
    </row>
    <row r="1882" spans="1:7" hidden="1" x14ac:dyDescent="0.25">
      <c r="A1882" s="21">
        <v>1881</v>
      </c>
      <c r="B1882" s="7" t="s">
        <v>4514</v>
      </c>
      <c r="C1882" s="7" t="s">
        <v>4515</v>
      </c>
      <c r="G1882" s="8" t="s">
        <v>15</v>
      </c>
    </row>
    <row r="1883" spans="1:7" hidden="1" x14ac:dyDescent="0.25">
      <c r="A1883" s="21">
        <v>1882</v>
      </c>
      <c r="B1883" s="7" t="s">
        <v>4516</v>
      </c>
      <c r="C1883" s="7" t="s">
        <v>4517</v>
      </c>
      <c r="G1883" s="8" t="s">
        <v>15</v>
      </c>
    </row>
    <row r="1884" spans="1:7" hidden="1" x14ac:dyDescent="0.25">
      <c r="A1884" s="21">
        <v>1883</v>
      </c>
      <c r="B1884" s="7" t="s">
        <v>4518</v>
      </c>
      <c r="C1884" s="7" t="s">
        <v>4519</v>
      </c>
      <c r="G1884" s="8" t="s">
        <v>15</v>
      </c>
    </row>
    <row r="1885" spans="1:7" hidden="1" x14ac:dyDescent="0.25">
      <c r="A1885" s="21">
        <v>1884</v>
      </c>
      <c r="B1885" s="7" t="s">
        <v>4520</v>
      </c>
      <c r="C1885" s="7" t="s">
        <v>4521</v>
      </c>
      <c r="G1885" s="8" t="s">
        <v>15</v>
      </c>
    </row>
    <row r="1886" spans="1:7" hidden="1" x14ac:dyDescent="0.25">
      <c r="A1886" s="21">
        <v>1885</v>
      </c>
      <c r="B1886" s="7" t="s">
        <v>4522</v>
      </c>
      <c r="C1886" s="7" t="s">
        <v>4523</v>
      </c>
      <c r="G1886" s="8" t="s">
        <v>15</v>
      </c>
    </row>
    <row r="1887" spans="1:7" hidden="1" x14ac:dyDescent="0.25">
      <c r="A1887" s="21">
        <v>1886</v>
      </c>
      <c r="B1887" s="7" t="s">
        <v>4524</v>
      </c>
      <c r="C1887" s="7" t="s">
        <v>4525</v>
      </c>
      <c r="G1887" s="8" t="s">
        <v>15</v>
      </c>
    </row>
    <row r="1888" spans="1:7" hidden="1" x14ac:dyDescent="0.25">
      <c r="A1888" s="21">
        <v>1887</v>
      </c>
      <c r="B1888" s="7" t="s">
        <v>4526</v>
      </c>
      <c r="C1888" s="7" t="s">
        <v>4527</v>
      </c>
      <c r="G1888" s="8" t="s">
        <v>15</v>
      </c>
    </row>
    <row r="1889" spans="1:7" hidden="1" x14ac:dyDescent="0.25">
      <c r="A1889" s="21">
        <v>1888</v>
      </c>
      <c r="B1889" s="7" t="s">
        <v>4528</v>
      </c>
      <c r="C1889" s="7" t="s">
        <v>4529</v>
      </c>
      <c r="G1889" s="8" t="s">
        <v>15</v>
      </c>
    </row>
    <row r="1890" spans="1:7" hidden="1" x14ac:dyDescent="0.25">
      <c r="A1890" s="21">
        <v>1889</v>
      </c>
      <c r="B1890" s="7" t="s">
        <v>4530</v>
      </c>
      <c r="C1890" s="7" t="s">
        <v>4531</v>
      </c>
      <c r="G1890" s="8" t="s">
        <v>15</v>
      </c>
    </row>
    <row r="1891" spans="1:7" hidden="1" x14ac:dyDescent="0.25">
      <c r="A1891" s="21">
        <v>1890</v>
      </c>
      <c r="B1891" s="7" t="s">
        <v>4532</v>
      </c>
      <c r="C1891" s="7" t="s">
        <v>4533</v>
      </c>
      <c r="G1891" s="8" t="s">
        <v>15</v>
      </c>
    </row>
    <row r="1892" spans="1:7" hidden="1" x14ac:dyDescent="0.25">
      <c r="A1892" s="21">
        <v>1891</v>
      </c>
      <c r="B1892" s="7" t="s">
        <v>4534</v>
      </c>
      <c r="C1892" s="7" t="s">
        <v>4535</v>
      </c>
      <c r="G1892" s="8" t="s">
        <v>15</v>
      </c>
    </row>
    <row r="1893" spans="1:7" hidden="1" x14ac:dyDescent="0.25">
      <c r="A1893" s="21">
        <v>1892</v>
      </c>
      <c r="B1893" s="7" t="s">
        <v>4536</v>
      </c>
      <c r="C1893" s="7" t="s">
        <v>4537</v>
      </c>
      <c r="G1893" s="8" t="s">
        <v>15</v>
      </c>
    </row>
    <row r="1894" spans="1:7" hidden="1" x14ac:dyDescent="0.25">
      <c r="A1894" s="21">
        <v>1893</v>
      </c>
      <c r="B1894" s="7" t="s">
        <v>4538</v>
      </c>
      <c r="C1894" s="7" t="s">
        <v>4539</v>
      </c>
      <c r="G1894" s="8" t="s">
        <v>15</v>
      </c>
    </row>
    <row r="1895" spans="1:7" hidden="1" x14ac:dyDescent="0.25">
      <c r="A1895" s="21">
        <v>1894</v>
      </c>
      <c r="B1895" s="7" t="s">
        <v>4540</v>
      </c>
      <c r="C1895" s="7" t="s">
        <v>4541</v>
      </c>
      <c r="G1895" s="8" t="s">
        <v>15</v>
      </c>
    </row>
    <row r="1896" spans="1:7" hidden="1" x14ac:dyDescent="0.25">
      <c r="A1896" s="21">
        <v>1895</v>
      </c>
      <c r="B1896" s="7" t="s">
        <v>4542</v>
      </c>
      <c r="C1896" s="7" t="s">
        <v>4543</v>
      </c>
      <c r="G1896" s="8" t="s">
        <v>15</v>
      </c>
    </row>
    <row r="1897" spans="1:7" hidden="1" x14ac:dyDescent="0.25">
      <c r="A1897" s="21">
        <v>1896</v>
      </c>
      <c r="B1897" s="7" t="s">
        <v>4544</v>
      </c>
      <c r="C1897" s="7" t="s">
        <v>4545</v>
      </c>
      <c r="G1897" s="8" t="s">
        <v>15</v>
      </c>
    </row>
    <row r="1898" spans="1:7" hidden="1" x14ac:dyDescent="0.25">
      <c r="A1898" s="21">
        <v>1897</v>
      </c>
      <c r="B1898" s="7" t="s">
        <v>4546</v>
      </c>
      <c r="C1898" s="7" t="s">
        <v>4547</v>
      </c>
      <c r="G1898" s="8" t="s">
        <v>15</v>
      </c>
    </row>
    <row r="1899" spans="1:7" hidden="1" x14ac:dyDescent="0.25">
      <c r="A1899" s="21">
        <v>1898</v>
      </c>
      <c r="B1899" s="7" t="s">
        <v>4548</v>
      </c>
      <c r="C1899" s="7" t="s">
        <v>4549</v>
      </c>
      <c r="G1899" s="8" t="s">
        <v>15</v>
      </c>
    </row>
    <row r="1900" spans="1:7" hidden="1" x14ac:dyDescent="0.25">
      <c r="A1900" s="21">
        <v>1899</v>
      </c>
      <c r="B1900" s="7" t="s">
        <v>4550</v>
      </c>
      <c r="C1900" s="7" t="s">
        <v>4551</v>
      </c>
      <c r="G1900" s="8" t="s">
        <v>15</v>
      </c>
    </row>
    <row r="1901" spans="1:7" hidden="1" x14ac:dyDescent="0.25">
      <c r="A1901" s="21">
        <v>1900</v>
      </c>
      <c r="B1901" s="7" t="s">
        <v>4552</v>
      </c>
      <c r="C1901" s="7" t="s">
        <v>4553</v>
      </c>
      <c r="G1901" s="8" t="s">
        <v>15</v>
      </c>
    </row>
    <row r="1902" spans="1:7" hidden="1" x14ac:dyDescent="0.25">
      <c r="A1902" s="21">
        <v>1901</v>
      </c>
      <c r="B1902" s="7" t="s">
        <v>4554</v>
      </c>
      <c r="C1902" s="7" t="s">
        <v>4555</v>
      </c>
      <c r="G1902" s="8" t="s">
        <v>15</v>
      </c>
    </row>
    <row r="1903" spans="1:7" hidden="1" x14ac:dyDescent="0.25">
      <c r="A1903" s="21">
        <v>1902</v>
      </c>
      <c r="B1903" s="7" t="s">
        <v>4556</v>
      </c>
      <c r="C1903" s="7" t="s">
        <v>4557</v>
      </c>
      <c r="G1903" s="8" t="s">
        <v>15</v>
      </c>
    </row>
    <row r="1904" spans="1:7" hidden="1" x14ac:dyDescent="0.25">
      <c r="A1904" s="21">
        <v>1903</v>
      </c>
      <c r="B1904" s="7" t="s">
        <v>4558</v>
      </c>
      <c r="C1904" s="7" t="s">
        <v>4559</v>
      </c>
      <c r="G1904" s="8" t="s">
        <v>15</v>
      </c>
    </row>
    <row r="1905" spans="1:7" hidden="1" x14ac:dyDescent="0.25">
      <c r="A1905" s="21">
        <v>1904</v>
      </c>
      <c r="B1905" s="7" t="s">
        <v>4560</v>
      </c>
      <c r="C1905" s="7" t="s">
        <v>4561</v>
      </c>
      <c r="G1905" s="8" t="s">
        <v>15</v>
      </c>
    </row>
    <row r="1906" spans="1:7" hidden="1" x14ac:dyDescent="0.25">
      <c r="A1906" s="21">
        <v>1905</v>
      </c>
      <c r="B1906" s="7" t="s">
        <v>4562</v>
      </c>
      <c r="C1906" s="7" t="s">
        <v>4563</v>
      </c>
      <c r="G1906" s="8" t="s">
        <v>15</v>
      </c>
    </row>
    <row r="1907" spans="1:7" hidden="1" x14ac:dyDescent="0.25">
      <c r="A1907" s="21">
        <v>1906</v>
      </c>
      <c r="B1907" s="7" t="s">
        <v>4564</v>
      </c>
      <c r="C1907" s="7" t="s">
        <v>4565</v>
      </c>
      <c r="G1907" s="8" t="s">
        <v>15</v>
      </c>
    </row>
    <row r="1908" spans="1:7" hidden="1" x14ac:dyDescent="0.25">
      <c r="A1908" s="21">
        <v>1907</v>
      </c>
      <c r="B1908" s="7" t="s">
        <v>4566</v>
      </c>
      <c r="C1908" s="7" t="s">
        <v>4567</v>
      </c>
      <c r="G1908" s="8" t="s">
        <v>15</v>
      </c>
    </row>
    <row r="1909" spans="1:7" hidden="1" x14ac:dyDescent="0.25">
      <c r="A1909" s="21">
        <v>1908</v>
      </c>
      <c r="B1909" s="7" t="s">
        <v>4568</v>
      </c>
      <c r="C1909" s="7" t="s">
        <v>4569</v>
      </c>
      <c r="G1909" s="8" t="s">
        <v>15</v>
      </c>
    </row>
    <row r="1910" spans="1:7" hidden="1" x14ac:dyDescent="0.25">
      <c r="A1910" s="21">
        <v>1909</v>
      </c>
      <c r="B1910" s="7" t="s">
        <v>4570</v>
      </c>
      <c r="C1910" s="7" t="s">
        <v>4571</v>
      </c>
      <c r="G1910" s="8" t="s">
        <v>15</v>
      </c>
    </row>
    <row r="1911" spans="1:7" hidden="1" x14ac:dyDescent="0.25">
      <c r="A1911" s="21">
        <v>1910</v>
      </c>
      <c r="B1911" s="7" t="s">
        <v>4572</v>
      </c>
      <c r="C1911" s="7" t="s">
        <v>4573</v>
      </c>
      <c r="G1911" s="8" t="s">
        <v>15</v>
      </c>
    </row>
    <row r="1912" spans="1:7" hidden="1" x14ac:dyDescent="0.25">
      <c r="A1912" s="21">
        <v>1911</v>
      </c>
      <c r="B1912" s="7" t="s">
        <v>4574</v>
      </c>
      <c r="C1912" s="7" t="s">
        <v>4575</v>
      </c>
      <c r="G1912" s="8" t="s">
        <v>15</v>
      </c>
    </row>
    <row r="1913" spans="1:7" hidden="1" x14ac:dyDescent="0.25">
      <c r="A1913" s="21">
        <v>1912</v>
      </c>
      <c r="B1913" s="7" t="s">
        <v>4576</v>
      </c>
      <c r="C1913" s="7" t="s">
        <v>4577</v>
      </c>
      <c r="G1913" s="8" t="s">
        <v>15</v>
      </c>
    </row>
    <row r="1914" spans="1:7" hidden="1" x14ac:dyDescent="0.25">
      <c r="A1914" s="21">
        <v>1913</v>
      </c>
      <c r="B1914" s="7" t="s">
        <v>4578</v>
      </c>
      <c r="C1914" s="7" t="s">
        <v>4579</v>
      </c>
      <c r="G1914" s="8" t="s">
        <v>15</v>
      </c>
    </row>
    <row r="1915" spans="1:7" hidden="1" x14ac:dyDescent="0.25">
      <c r="A1915" s="21">
        <v>1914</v>
      </c>
      <c r="B1915" s="7" t="s">
        <v>4580</v>
      </c>
      <c r="C1915" s="7" t="s">
        <v>4581</v>
      </c>
      <c r="G1915" s="8" t="s">
        <v>15</v>
      </c>
    </row>
    <row r="1916" spans="1:7" hidden="1" x14ac:dyDescent="0.25">
      <c r="A1916" s="21">
        <v>1915</v>
      </c>
      <c r="B1916" s="7" t="s">
        <v>4582</v>
      </c>
      <c r="C1916" s="7" t="s">
        <v>4583</v>
      </c>
      <c r="G1916" s="8" t="s">
        <v>15</v>
      </c>
    </row>
    <row r="1917" spans="1:7" hidden="1" x14ac:dyDescent="0.25">
      <c r="A1917" s="21">
        <v>1916</v>
      </c>
      <c r="B1917" s="7" t="s">
        <v>4584</v>
      </c>
      <c r="C1917" s="7" t="s">
        <v>4585</v>
      </c>
      <c r="G1917" s="8" t="s">
        <v>15</v>
      </c>
    </row>
    <row r="1918" spans="1:7" hidden="1" x14ac:dyDescent="0.25">
      <c r="A1918" s="21">
        <v>1917</v>
      </c>
      <c r="B1918" s="7" t="s">
        <v>4586</v>
      </c>
      <c r="C1918" s="7" t="s">
        <v>4587</v>
      </c>
      <c r="G1918" s="8" t="s">
        <v>15</v>
      </c>
    </row>
    <row r="1919" spans="1:7" hidden="1" x14ac:dyDescent="0.25">
      <c r="A1919" s="21">
        <v>1918</v>
      </c>
      <c r="B1919" s="7" t="s">
        <v>4588</v>
      </c>
      <c r="C1919" s="7" t="s">
        <v>4589</v>
      </c>
      <c r="G1919" s="8" t="s">
        <v>15</v>
      </c>
    </row>
    <row r="1920" spans="1:7" hidden="1" x14ac:dyDescent="0.25">
      <c r="A1920" s="21">
        <v>1919</v>
      </c>
      <c r="B1920" s="7" t="s">
        <v>4590</v>
      </c>
      <c r="C1920" s="7" t="s">
        <v>4591</v>
      </c>
      <c r="G1920" s="8" t="s">
        <v>15</v>
      </c>
    </row>
    <row r="1921" spans="1:7" hidden="1" x14ac:dyDescent="0.25">
      <c r="A1921" s="21">
        <v>1920</v>
      </c>
      <c r="B1921" s="7" t="s">
        <v>4592</v>
      </c>
      <c r="C1921" s="7" t="s">
        <v>4593</v>
      </c>
      <c r="G1921" s="8" t="s">
        <v>15</v>
      </c>
    </row>
    <row r="1922" spans="1:7" hidden="1" x14ac:dyDescent="0.25">
      <c r="A1922" s="21">
        <v>1921</v>
      </c>
      <c r="B1922" s="7" t="s">
        <v>4594</v>
      </c>
      <c r="C1922" s="7" t="s">
        <v>4595</v>
      </c>
      <c r="G1922" s="8" t="s">
        <v>15</v>
      </c>
    </row>
    <row r="1923" spans="1:7" hidden="1" x14ac:dyDescent="0.25">
      <c r="A1923" s="21">
        <v>1922</v>
      </c>
      <c r="B1923" s="7" t="s">
        <v>4596</v>
      </c>
      <c r="C1923" s="7" t="s">
        <v>4597</v>
      </c>
      <c r="G1923" s="8" t="s">
        <v>15</v>
      </c>
    </row>
    <row r="1924" spans="1:7" hidden="1" x14ac:dyDescent="0.25">
      <c r="A1924" s="21">
        <v>1923</v>
      </c>
      <c r="B1924" s="7" t="s">
        <v>4598</v>
      </c>
      <c r="C1924" s="7" t="s">
        <v>4599</v>
      </c>
      <c r="G1924" s="8" t="s">
        <v>15</v>
      </c>
    </row>
    <row r="1925" spans="1:7" hidden="1" x14ac:dyDescent="0.25">
      <c r="A1925" s="21">
        <v>1924</v>
      </c>
      <c r="B1925" s="7" t="s">
        <v>4600</v>
      </c>
      <c r="C1925" s="7" t="s">
        <v>4601</v>
      </c>
      <c r="G1925" s="8" t="s">
        <v>15</v>
      </c>
    </row>
    <row r="1926" spans="1:7" hidden="1" x14ac:dyDescent="0.25">
      <c r="A1926" s="21">
        <v>1925</v>
      </c>
      <c r="B1926" s="7" t="s">
        <v>4602</v>
      </c>
      <c r="C1926" s="7" t="s">
        <v>4603</v>
      </c>
      <c r="G1926" s="8" t="s">
        <v>15</v>
      </c>
    </row>
    <row r="1927" spans="1:7" hidden="1" x14ac:dyDescent="0.25">
      <c r="A1927" s="21">
        <v>1926</v>
      </c>
      <c r="B1927" s="7" t="s">
        <v>4604</v>
      </c>
      <c r="C1927" s="7" t="s">
        <v>4605</v>
      </c>
      <c r="G1927" s="8" t="s">
        <v>15</v>
      </c>
    </row>
    <row r="1928" spans="1:7" hidden="1" x14ac:dyDescent="0.25">
      <c r="A1928" s="21">
        <v>1927</v>
      </c>
      <c r="B1928" s="7" t="s">
        <v>4606</v>
      </c>
      <c r="C1928" s="7" t="s">
        <v>4607</v>
      </c>
      <c r="G1928" s="8" t="s">
        <v>15</v>
      </c>
    </row>
    <row r="1929" spans="1:7" hidden="1" x14ac:dyDescent="0.25">
      <c r="A1929" s="21">
        <v>1928</v>
      </c>
      <c r="B1929" s="7" t="s">
        <v>4608</v>
      </c>
      <c r="C1929" s="7" t="s">
        <v>4609</v>
      </c>
      <c r="G1929" s="8" t="s">
        <v>15</v>
      </c>
    </row>
    <row r="1930" spans="1:7" hidden="1" x14ac:dyDescent="0.25">
      <c r="A1930" s="21">
        <v>1929</v>
      </c>
      <c r="B1930" s="7" t="s">
        <v>4610</v>
      </c>
      <c r="C1930" s="7" t="s">
        <v>4611</v>
      </c>
      <c r="G1930" s="8" t="s">
        <v>15</v>
      </c>
    </row>
    <row r="1931" spans="1:7" hidden="1" x14ac:dyDescent="0.25">
      <c r="A1931" s="21">
        <v>1930</v>
      </c>
      <c r="B1931" s="7" t="s">
        <v>4612</v>
      </c>
      <c r="C1931" s="7" t="s">
        <v>4613</v>
      </c>
      <c r="G1931" s="8" t="s">
        <v>15</v>
      </c>
    </row>
    <row r="1932" spans="1:7" hidden="1" x14ac:dyDescent="0.25">
      <c r="A1932" s="21">
        <v>1931</v>
      </c>
      <c r="B1932" s="7" t="s">
        <v>4614</v>
      </c>
      <c r="C1932" s="7" t="s">
        <v>4615</v>
      </c>
      <c r="G1932" s="8" t="s">
        <v>15</v>
      </c>
    </row>
    <row r="1933" spans="1:7" hidden="1" x14ac:dyDescent="0.25">
      <c r="A1933" s="21">
        <v>1932</v>
      </c>
      <c r="B1933" s="7" t="s">
        <v>4616</v>
      </c>
      <c r="C1933" s="7" t="s">
        <v>4617</v>
      </c>
      <c r="G1933" s="8" t="s">
        <v>15</v>
      </c>
    </row>
    <row r="1934" spans="1:7" hidden="1" x14ac:dyDescent="0.25">
      <c r="A1934" s="21">
        <v>1933</v>
      </c>
      <c r="B1934" s="7" t="s">
        <v>4618</v>
      </c>
      <c r="C1934" s="7" t="s">
        <v>4619</v>
      </c>
      <c r="G1934" s="8" t="s">
        <v>15</v>
      </c>
    </row>
    <row r="1935" spans="1:7" hidden="1" x14ac:dyDescent="0.25">
      <c r="A1935" s="21">
        <v>1934</v>
      </c>
      <c r="B1935" s="7" t="s">
        <v>4620</v>
      </c>
      <c r="C1935" s="7" t="s">
        <v>4621</v>
      </c>
      <c r="G1935" s="8" t="s">
        <v>15</v>
      </c>
    </row>
    <row r="1936" spans="1:7" hidden="1" x14ac:dyDescent="0.25">
      <c r="A1936" s="21">
        <v>1935</v>
      </c>
      <c r="B1936" s="7" t="s">
        <v>4622</v>
      </c>
      <c r="C1936" s="7" t="s">
        <v>4623</v>
      </c>
      <c r="G1936" s="8" t="s">
        <v>15</v>
      </c>
    </row>
    <row r="1937" spans="1:7" hidden="1" x14ac:dyDescent="0.25">
      <c r="A1937" s="21">
        <v>1936</v>
      </c>
      <c r="B1937" s="7" t="s">
        <v>4624</v>
      </c>
      <c r="C1937" s="7" t="s">
        <v>4625</v>
      </c>
      <c r="G1937" s="8" t="s">
        <v>15</v>
      </c>
    </row>
    <row r="1938" spans="1:7" hidden="1" x14ac:dyDescent="0.25">
      <c r="A1938" s="21">
        <v>1937</v>
      </c>
      <c r="B1938" s="7" t="s">
        <v>4626</v>
      </c>
      <c r="C1938" s="7" t="s">
        <v>4627</v>
      </c>
      <c r="G1938" s="8" t="s">
        <v>15</v>
      </c>
    </row>
    <row r="1939" spans="1:7" hidden="1" x14ac:dyDescent="0.25">
      <c r="A1939" s="21">
        <v>1938</v>
      </c>
      <c r="B1939" s="7" t="s">
        <v>4628</v>
      </c>
      <c r="C1939" s="7" t="s">
        <v>4629</v>
      </c>
      <c r="G1939" s="8" t="s">
        <v>15</v>
      </c>
    </row>
    <row r="1940" spans="1:7" hidden="1" x14ac:dyDescent="0.25">
      <c r="A1940" s="21">
        <v>1939</v>
      </c>
      <c r="B1940" s="7" t="s">
        <v>4630</v>
      </c>
      <c r="C1940" s="7" t="s">
        <v>4631</v>
      </c>
      <c r="G1940" s="8" t="s">
        <v>15</v>
      </c>
    </row>
    <row r="1941" spans="1:7" hidden="1" x14ac:dyDescent="0.25">
      <c r="A1941" s="21">
        <v>1940</v>
      </c>
      <c r="B1941" s="7" t="s">
        <v>4632</v>
      </c>
      <c r="C1941" s="7" t="s">
        <v>4633</v>
      </c>
      <c r="G1941" s="8" t="s">
        <v>15</v>
      </c>
    </row>
    <row r="1942" spans="1:7" hidden="1" x14ac:dyDescent="0.25">
      <c r="A1942" s="21">
        <v>1941</v>
      </c>
      <c r="B1942" s="7" t="s">
        <v>4634</v>
      </c>
      <c r="C1942" s="7" t="s">
        <v>4635</v>
      </c>
      <c r="G1942" s="8" t="s">
        <v>15</v>
      </c>
    </row>
    <row r="1943" spans="1:7" hidden="1" x14ac:dyDescent="0.25">
      <c r="A1943" s="21">
        <v>1942</v>
      </c>
      <c r="B1943" s="7" t="s">
        <v>4636</v>
      </c>
      <c r="C1943" s="7" t="s">
        <v>4637</v>
      </c>
      <c r="G1943" s="8" t="s">
        <v>15</v>
      </c>
    </row>
    <row r="1944" spans="1:7" hidden="1" x14ac:dyDescent="0.25">
      <c r="A1944" s="21">
        <v>1943</v>
      </c>
      <c r="B1944" s="7" t="s">
        <v>4638</v>
      </c>
      <c r="C1944" s="7" t="s">
        <v>4639</v>
      </c>
      <c r="G1944" s="8" t="s">
        <v>15</v>
      </c>
    </row>
    <row r="1945" spans="1:7" hidden="1" x14ac:dyDescent="0.25">
      <c r="A1945" s="21">
        <v>1944</v>
      </c>
      <c r="B1945" s="7" t="s">
        <v>4640</v>
      </c>
      <c r="C1945" s="7" t="s">
        <v>4641</v>
      </c>
      <c r="G1945" s="8" t="s">
        <v>15</v>
      </c>
    </row>
    <row r="1946" spans="1:7" hidden="1" x14ac:dyDescent="0.25">
      <c r="A1946" s="21">
        <v>1945</v>
      </c>
      <c r="B1946" s="7" t="s">
        <v>4642</v>
      </c>
      <c r="C1946" s="7" t="s">
        <v>4643</v>
      </c>
      <c r="G1946" s="8" t="s">
        <v>15</v>
      </c>
    </row>
    <row r="1947" spans="1:7" hidden="1" x14ac:dyDescent="0.25">
      <c r="A1947" s="21">
        <v>1946</v>
      </c>
      <c r="B1947" s="7" t="s">
        <v>4644</v>
      </c>
      <c r="C1947" s="7" t="s">
        <v>4645</v>
      </c>
      <c r="G1947" s="8" t="s">
        <v>15</v>
      </c>
    </row>
    <row r="1948" spans="1:7" hidden="1" x14ac:dyDescent="0.25">
      <c r="A1948" s="21">
        <v>1947</v>
      </c>
      <c r="B1948" s="7" t="s">
        <v>4646</v>
      </c>
      <c r="C1948" s="7" t="s">
        <v>4647</v>
      </c>
      <c r="G1948" s="8" t="s">
        <v>15</v>
      </c>
    </row>
    <row r="1949" spans="1:7" hidden="1" x14ac:dyDescent="0.25">
      <c r="A1949" s="21">
        <v>1948</v>
      </c>
      <c r="B1949" s="7" t="s">
        <v>4648</v>
      </c>
      <c r="C1949" s="7" t="s">
        <v>4649</v>
      </c>
      <c r="G1949" s="8" t="s">
        <v>15</v>
      </c>
    </row>
    <row r="1950" spans="1:7" hidden="1" x14ac:dyDescent="0.25">
      <c r="A1950" s="21">
        <v>1949</v>
      </c>
      <c r="B1950" s="7" t="s">
        <v>4650</v>
      </c>
      <c r="C1950" s="7" t="s">
        <v>4651</v>
      </c>
      <c r="G1950" s="8" t="s">
        <v>15</v>
      </c>
    </row>
    <row r="1951" spans="1:7" hidden="1" x14ac:dyDescent="0.25">
      <c r="A1951" s="21">
        <v>1950</v>
      </c>
      <c r="B1951" s="7" t="s">
        <v>4652</v>
      </c>
      <c r="C1951" s="7" t="s">
        <v>4653</v>
      </c>
      <c r="G1951" s="8" t="s">
        <v>15</v>
      </c>
    </row>
    <row r="1952" spans="1:7" hidden="1" x14ac:dyDescent="0.25">
      <c r="A1952" s="21">
        <v>1951</v>
      </c>
      <c r="B1952" s="7" t="s">
        <v>4654</v>
      </c>
      <c r="C1952" s="7" t="s">
        <v>4655</v>
      </c>
      <c r="G1952" s="8" t="s">
        <v>15</v>
      </c>
    </row>
    <row r="1953" spans="1:7" hidden="1" x14ac:dyDescent="0.25">
      <c r="A1953" s="21">
        <v>1952</v>
      </c>
      <c r="B1953" s="7" t="s">
        <v>4656</v>
      </c>
      <c r="C1953" s="7" t="s">
        <v>4657</v>
      </c>
      <c r="G1953" s="8" t="s">
        <v>15</v>
      </c>
    </row>
    <row r="1954" spans="1:7" hidden="1" x14ac:dyDescent="0.25">
      <c r="A1954" s="21">
        <v>1953</v>
      </c>
      <c r="B1954" s="7" t="s">
        <v>4658</v>
      </c>
      <c r="C1954" s="7" t="s">
        <v>4659</v>
      </c>
      <c r="G1954" s="8" t="s">
        <v>15</v>
      </c>
    </row>
    <row r="1955" spans="1:7" hidden="1" x14ac:dyDescent="0.25">
      <c r="A1955" s="21">
        <v>1954</v>
      </c>
      <c r="B1955" s="7" t="s">
        <v>4660</v>
      </c>
      <c r="C1955" s="7" t="s">
        <v>4661</v>
      </c>
      <c r="G1955" s="8" t="s">
        <v>15</v>
      </c>
    </row>
    <row r="1956" spans="1:7" hidden="1" x14ac:dyDescent="0.25">
      <c r="A1956" s="21">
        <v>1955</v>
      </c>
      <c r="B1956" s="7" t="s">
        <v>4662</v>
      </c>
      <c r="C1956" s="7" t="s">
        <v>4663</v>
      </c>
      <c r="G1956" s="8" t="s">
        <v>15</v>
      </c>
    </row>
    <row r="1957" spans="1:7" hidden="1" x14ac:dyDescent="0.25">
      <c r="A1957" s="21">
        <v>1956</v>
      </c>
      <c r="B1957" s="7" t="s">
        <v>4664</v>
      </c>
      <c r="C1957" s="7" t="s">
        <v>4665</v>
      </c>
      <c r="G1957" s="8" t="s">
        <v>15</v>
      </c>
    </row>
    <row r="1958" spans="1:7" hidden="1" x14ac:dyDescent="0.25">
      <c r="A1958" s="21">
        <v>1957</v>
      </c>
      <c r="B1958" s="7" t="s">
        <v>4666</v>
      </c>
      <c r="C1958" s="7" t="s">
        <v>4667</v>
      </c>
      <c r="G1958" s="8" t="s">
        <v>15</v>
      </c>
    </row>
    <row r="1959" spans="1:7" hidden="1" x14ac:dyDescent="0.25">
      <c r="A1959" s="21">
        <v>1958</v>
      </c>
      <c r="B1959" s="7" t="s">
        <v>4668</v>
      </c>
      <c r="C1959" s="7" t="s">
        <v>4669</v>
      </c>
      <c r="G1959" s="8" t="s">
        <v>15</v>
      </c>
    </row>
    <row r="1960" spans="1:7" hidden="1" x14ac:dyDescent="0.25">
      <c r="A1960" s="21">
        <v>1959</v>
      </c>
      <c r="B1960" s="7" t="s">
        <v>4670</v>
      </c>
      <c r="C1960" s="7" t="s">
        <v>4671</v>
      </c>
      <c r="G1960" s="8" t="s">
        <v>15</v>
      </c>
    </row>
    <row r="1961" spans="1:7" hidden="1" x14ac:dyDescent="0.25">
      <c r="A1961" s="21">
        <v>1960</v>
      </c>
      <c r="B1961" s="7" t="s">
        <v>4672</v>
      </c>
      <c r="C1961" s="7" t="s">
        <v>4673</v>
      </c>
      <c r="G1961" s="8" t="s">
        <v>15</v>
      </c>
    </row>
    <row r="1962" spans="1:7" hidden="1" x14ac:dyDescent="0.25">
      <c r="A1962" s="21">
        <v>1961</v>
      </c>
      <c r="B1962" s="7" t="s">
        <v>4674</v>
      </c>
      <c r="C1962" s="7" t="s">
        <v>4675</v>
      </c>
      <c r="G1962" s="8" t="s">
        <v>15</v>
      </c>
    </row>
    <row r="1963" spans="1:7" hidden="1" x14ac:dyDescent="0.25">
      <c r="A1963" s="21">
        <v>1962</v>
      </c>
      <c r="B1963" s="7" t="s">
        <v>4676</v>
      </c>
      <c r="C1963" s="7" t="s">
        <v>4677</v>
      </c>
      <c r="G1963" s="8" t="s">
        <v>15</v>
      </c>
    </row>
    <row r="1964" spans="1:7" hidden="1" x14ac:dyDescent="0.25">
      <c r="A1964" s="21">
        <v>1963</v>
      </c>
      <c r="B1964" s="7" t="s">
        <v>4678</v>
      </c>
      <c r="C1964" s="7" t="s">
        <v>4679</v>
      </c>
      <c r="G1964" s="8" t="s">
        <v>15</v>
      </c>
    </row>
    <row r="1965" spans="1:7" hidden="1" x14ac:dyDescent="0.25">
      <c r="A1965" s="21">
        <v>1964</v>
      </c>
      <c r="B1965" s="7" t="s">
        <v>4680</v>
      </c>
      <c r="C1965" s="7" t="s">
        <v>4681</v>
      </c>
      <c r="G1965" s="8" t="s">
        <v>15</v>
      </c>
    </row>
    <row r="1966" spans="1:7" hidden="1" x14ac:dyDescent="0.25">
      <c r="A1966" s="21">
        <v>1965</v>
      </c>
      <c r="B1966" s="7" t="s">
        <v>4682</v>
      </c>
      <c r="C1966" s="7" t="s">
        <v>4683</v>
      </c>
      <c r="G1966" s="8" t="s">
        <v>15</v>
      </c>
    </row>
    <row r="1967" spans="1:7" hidden="1" x14ac:dyDescent="0.25">
      <c r="A1967" s="21">
        <v>1966</v>
      </c>
      <c r="B1967" s="7" t="s">
        <v>4684</v>
      </c>
      <c r="C1967" s="7" t="s">
        <v>4685</v>
      </c>
      <c r="G1967" s="8" t="s">
        <v>15</v>
      </c>
    </row>
    <row r="1968" spans="1:7" hidden="1" x14ac:dyDescent="0.25">
      <c r="A1968" s="21">
        <v>1967</v>
      </c>
      <c r="B1968" s="7" t="s">
        <v>4686</v>
      </c>
      <c r="C1968" s="7" t="s">
        <v>4687</v>
      </c>
      <c r="G1968" s="8" t="s">
        <v>15</v>
      </c>
    </row>
    <row r="1969" spans="1:7" hidden="1" x14ac:dyDescent="0.25">
      <c r="A1969" s="21">
        <v>1968</v>
      </c>
      <c r="B1969" s="7" t="s">
        <v>4688</v>
      </c>
      <c r="C1969" s="7" t="s">
        <v>4689</v>
      </c>
      <c r="G1969" s="8" t="s">
        <v>15</v>
      </c>
    </row>
    <row r="1970" spans="1:7" hidden="1" x14ac:dyDescent="0.25">
      <c r="A1970" s="21">
        <v>1969</v>
      </c>
      <c r="B1970" s="7" t="s">
        <v>4690</v>
      </c>
      <c r="C1970" s="7" t="s">
        <v>4691</v>
      </c>
      <c r="G1970" s="8" t="s">
        <v>15</v>
      </c>
    </row>
    <row r="1971" spans="1:7" hidden="1" x14ac:dyDescent="0.25">
      <c r="A1971" s="21">
        <v>1970</v>
      </c>
      <c r="B1971" s="7" t="s">
        <v>4692</v>
      </c>
      <c r="C1971" s="7" t="s">
        <v>4693</v>
      </c>
      <c r="G1971" s="8" t="s">
        <v>15</v>
      </c>
    </row>
    <row r="1972" spans="1:7" hidden="1" x14ac:dyDescent="0.25">
      <c r="A1972" s="21">
        <v>1971</v>
      </c>
      <c r="B1972" s="7" t="s">
        <v>4694</v>
      </c>
      <c r="C1972" s="7" t="s">
        <v>4695</v>
      </c>
      <c r="G1972" s="8" t="s">
        <v>15</v>
      </c>
    </row>
    <row r="1973" spans="1:7" hidden="1" x14ac:dyDescent="0.25">
      <c r="A1973" s="21">
        <v>1972</v>
      </c>
      <c r="B1973" s="7" t="s">
        <v>4696</v>
      </c>
      <c r="C1973" s="7" t="s">
        <v>4697</v>
      </c>
      <c r="G1973" s="8" t="s">
        <v>15</v>
      </c>
    </row>
    <row r="1974" spans="1:7" hidden="1" x14ac:dyDescent="0.25">
      <c r="A1974" s="21">
        <v>1973</v>
      </c>
      <c r="B1974" s="7" t="s">
        <v>4698</v>
      </c>
      <c r="C1974" s="7" t="s">
        <v>4699</v>
      </c>
      <c r="G1974" s="8" t="s">
        <v>15</v>
      </c>
    </row>
    <row r="1975" spans="1:7" hidden="1" x14ac:dyDescent="0.25">
      <c r="A1975" s="21">
        <v>1974</v>
      </c>
      <c r="B1975" s="7" t="s">
        <v>4700</v>
      </c>
      <c r="C1975" s="7" t="s">
        <v>4701</v>
      </c>
      <c r="G1975" s="8" t="s">
        <v>15</v>
      </c>
    </row>
    <row r="1976" spans="1:7" hidden="1" x14ac:dyDescent="0.25">
      <c r="A1976" s="21">
        <v>1975</v>
      </c>
      <c r="B1976" s="7" t="s">
        <v>4702</v>
      </c>
      <c r="C1976" s="7" t="s">
        <v>4703</v>
      </c>
      <c r="G1976" s="8" t="s">
        <v>15</v>
      </c>
    </row>
    <row r="1977" spans="1:7" hidden="1" x14ac:dyDescent="0.25">
      <c r="A1977" s="21">
        <v>1976</v>
      </c>
      <c r="B1977" s="7" t="s">
        <v>4704</v>
      </c>
      <c r="C1977" s="7" t="s">
        <v>4705</v>
      </c>
      <c r="G1977" s="8" t="s">
        <v>15</v>
      </c>
    </row>
    <row r="1978" spans="1:7" hidden="1" x14ac:dyDescent="0.25">
      <c r="A1978" s="21">
        <v>1977</v>
      </c>
      <c r="B1978" s="7" t="s">
        <v>4706</v>
      </c>
      <c r="C1978" s="7" t="s">
        <v>4707</v>
      </c>
      <c r="G1978" s="8" t="s">
        <v>15</v>
      </c>
    </row>
    <row r="1979" spans="1:7" hidden="1" x14ac:dyDescent="0.25">
      <c r="A1979" s="21">
        <v>1978</v>
      </c>
      <c r="B1979" s="7" t="s">
        <v>4708</v>
      </c>
      <c r="C1979" s="7" t="s">
        <v>4709</v>
      </c>
      <c r="G1979" s="8" t="s">
        <v>15</v>
      </c>
    </row>
    <row r="1980" spans="1:7" hidden="1" x14ac:dyDescent="0.25">
      <c r="A1980" s="21">
        <v>1979</v>
      </c>
      <c r="B1980" s="7" t="s">
        <v>4710</v>
      </c>
      <c r="C1980" s="7" t="s">
        <v>4711</v>
      </c>
      <c r="G1980" s="8" t="s">
        <v>15</v>
      </c>
    </row>
    <row r="1981" spans="1:7" hidden="1" x14ac:dyDescent="0.25">
      <c r="A1981" s="21">
        <v>1980</v>
      </c>
      <c r="B1981" s="7" t="s">
        <v>4712</v>
      </c>
      <c r="C1981" s="7" t="s">
        <v>4713</v>
      </c>
      <c r="G1981" s="8" t="s">
        <v>15</v>
      </c>
    </row>
    <row r="1982" spans="1:7" hidden="1" x14ac:dyDescent="0.25">
      <c r="A1982" s="21">
        <v>1981</v>
      </c>
      <c r="B1982" s="7" t="s">
        <v>4714</v>
      </c>
      <c r="C1982" s="7" t="s">
        <v>4715</v>
      </c>
      <c r="G1982" s="8" t="s">
        <v>15</v>
      </c>
    </row>
    <row r="1983" spans="1:7" hidden="1" x14ac:dyDescent="0.25">
      <c r="A1983" s="21">
        <v>1982</v>
      </c>
      <c r="B1983" s="7" t="s">
        <v>4716</v>
      </c>
      <c r="C1983" s="7" t="s">
        <v>4717</v>
      </c>
      <c r="G1983" s="8" t="s">
        <v>15</v>
      </c>
    </row>
    <row r="1984" spans="1:7" hidden="1" x14ac:dyDescent="0.25">
      <c r="A1984" s="21">
        <v>1983</v>
      </c>
      <c r="B1984" s="7" t="s">
        <v>4718</v>
      </c>
      <c r="C1984" s="7" t="s">
        <v>4719</v>
      </c>
      <c r="G1984" s="8" t="s">
        <v>15</v>
      </c>
    </row>
    <row r="1985" spans="1:7" hidden="1" x14ac:dyDescent="0.25">
      <c r="A1985" s="21">
        <v>1984</v>
      </c>
      <c r="B1985" s="7" t="s">
        <v>4720</v>
      </c>
      <c r="C1985" s="7" t="s">
        <v>4721</v>
      </c>
      <c r="G1985" s="8" t="s">
        <v>15</v>
      </c>
    </row>
    <row r="1986" spans="1:7" hidden="1" x14ac:dyDescent="0.25">
      <c r="A1986" s="21">
        <v>1985</v>
      </c>
      <c r="B1986" s="7" t="s">
        <v>4722</v>
      </c>
      <c r="C1986" s="7" t="s">
        <v>4723</v>
      </c>
      <c r="G1986" s="8" t="s">
        <v>15</v>
      </c>
    </row>
    <row r="1987" spans="1:7" hidden="1" x14ac:dyDescent="0.25">
      <c r="A1987" s="21">
        <v>1986</v>
      </c>
      <c r="B1987" s="7" t="s">
        <v>4724</v>
      </c>
      <c r="C1987" s="7" t="s">
        <v>4725</v>
      </c>
      <c r="G1987" s="8" t="s">
        <v>15</v>
      </c>
    </row>
    <row r="1988" spans="1:7" hidden="1" x14ac:dyDescent="0.25">
      <c r="A1988" s="21">
        <v>1987</v>
      </c>
      <c r="B1988" s="7" t="s">
        <v>4726</v>
      </c>
      <c r="C1988" s="7" t="s">
        <v>4727</v>
      </c>
      <c r="G1988" s="8" t="s">
        <v>15</v>
      </c>
    </row>
    <row r="1989" spans="1:7" hidden="1" x14ac:dyDescent="0.25">
      <c r="A1989" s="21">
        <v>1988</v>
      </c>
      <c r="B1989" s="7" t="s">
        <v>4728</v>
      </c>
      <c r="C1989" s="7" t="s">
        <v>4729</v>
      </c>
      <c r="G1989" s="8" t="s">
        <v>15</v>
      </c>
    </row>
    <row r="1990" spans="1:7" hidden="1" x14ac:dyDescent="0.25">
      <c r="A1990" s="21">
        <v>1989</v>
      </c>
      <c r="B1990" s="7" t="s">
        <v>4730</v>
      </c>
      <c r="C1990" s="7" t="s">
        <v>4731</v>
      </c>
      <c r="G1990" s="8" t="s">
        <v>15</v>
      </c>
    </row>
    <row r="1991" spans="1:7" hidden="1" x14ac:dyDescent="0.25">
      <c r="A1991" s="21">
        <v>1990</v>
      </c>
      <c r="B1991" s="7" t="s">
        <v>4732</v>
      </c>
      <c r="C1991" s="7" t="s">
        <v>4733</v>
      </c>
      <c r="G1991" s="8" t="s">
        <v>15</v>
      </c>
    </row>
    <row r="1992" spans="1:7" hidden="1" x14ac:dyDescent="0.25">
      <c r="A1992" s="21">
        <v>1991</v>
      </c>
      <c r="B1992" s="7" t="s">
        <v>4734</v>
      </c>
      <c r="C1992" s="7" t="s">
        <v>4735</v>
      </c>
      <c r="G1992" s="8" t="s">
        <v>15</v>
      </c>
    </row>
    <row r="1993" spans="1:7" hidden="1" x14ac:dyDescent="0.25">
      <c r="A1993" s="21">
        <v>1992</v>
      </c>
      <c r="B1993" s="7" t="s">
        <v>4736</v>
      </c>
      <c r="C1993" s="7" t="s">
        <v>4737</v>
      </c>
      <c r="G1993" s="8" t="s">
        <v>15</v>
      </c>
    </row>
    <row r="1994" spans="1:7" hidden="1" x14ac:dyDescent="0.25">
      <c r="A1994" s="21">
        <v>1993</v>
      </c>
      <c r="B1994" s="7" t="s">
        <v>4738</v>
      </c>
      <c r="C1994" s="7" t="s">
        <v>4739</v>
      </c>
      <c r="G1994" s="8" t="s">
        <v>15</v>
      </c>
    </row>
    <row r="1995" spans="1:7" hidden="1" x14ac:dyDescent="0.25">
      <c r="A1995" s="21">
        <v>1994</v>
      </c>
      <c r="B1995" s="7" t="s">
        <v>4740</v>
      </c>
      <c r="C1995" s="7" t="s">
        <v>4741</v>
      </c>
      <c r="G1995" s="8" t="s">
        <v>15</v>
      </c>
    </row>
    <row r="1996" spans="1:7" hidden="1" x14ac:dyDescent="0.25">
      <c r="A1996" s="21">
        <v>1995</v>
      </c>
      <c r="B1996" s="7" t="s">
        <v>4742</v>
      </c>
      <c r="C1996" s="7" t="s">
        <v>4743</v>
      </c>
      <c r="G1996" s="8" t="s">
        <v>15</v>
      </c>
    </row>
    <row r="1997" spans="1:7" hidden="1" x14ac:dyDescent="0.25">
      <c r="A1997" s="21">
        <v>1996</v>
      </c>
      <c r="B1997" s="7" t="s">
        <v>4744</v>
      </c>
      <c r="C1997" s="7" t="s">
        <v>4745</v>
      </c>
      <c r="G1997" s="8" t="s">
        <v>15</v>
      </c>
    </row>
    <row r="1998" spans="1:7" hidden="1" x14ac:dyDescent="0.25">
      <c r="A1998" s="21">
        <v>1997</v>
      </c>
      <c r="B1998" s="7" t="s">
        <v>4746</v>
      </c>
      <c r="C1998" s="7" t="s">
        <v>4747</v>
      </c>
      <c r="G1998" s="8" t="s">
        <v>15</v>
      </c>
    </row>
    <row r="1999" spans="1:7" hidden="1" x14ac:dyDescent="0.25">
      <c r="A1999" s="21">
        <v>1998</v>
      </c>
      <c r="B1999" s="7" t="s">
        <v>4748</v>
      </c>
      <c r="C1999" s="7" t="s">
        <v>4749</v>
      </c>
      <c r="G1999" s="8" t="s">
        <v>15</v>
      </c>
    </row>
    <row r="2000" spans="1:7" hidden="1" x14ac:dyDescent="0.25">
      <c r="A2000" s="21">
        <v>1999</v>
      </c>
      <c r="B2000" s="7" t="s">
        <v>4750</v>
      </c>
      <c r="C2000" s="7" t="s">
        <v>4751</v>
      </c>
      <c r="G2000" s="8" t="s">
        <v>15</v>
      </c>
    </row>
    <row r="2001" spans="1:7" hidden="1" x14ac:dyDescent="0.25">
      <c r="A2001" s="21">
        <v>2000</v>
      </c>
      <c r="B2001" s="7" t="s">
        <v>4752</v>
      </c>
      <c r="C2001" s="7" t="s">
        <v>4753</v>
      </c>
      <c r="G2001" s="8" t="s">
        <v>15</v>
      </c>
    </row>
    <row r="2002" spans="1:7" hidden="1" x14ac:dyDescent="0.25">
      <c r="A2002" s="21">
        <v>2001</v>
      </c>
      <c r="B2002" s="7" t="s">
        <v>4754</v>
      </c>
      <c r="C2002" s="7" t="s">
        <v>4755</v>
      </c>
      <c r="G2002" s="8" t="s">
        <v>15</v>
      </c>
    </row>
    <row r="2003" spans="1:7" hidden="1" x14ac:dyDescent="0.25">
      <c r="A2003" s="21">
        <v>2002</v>
      </c>
      <c r="B2003" s="7" t="s">
        <v>4756</v>
      </c>
      <c r="C2003" s="7" t="s">
        <v>4757</v>
      </c>
      <c r="G2003" s="8" t="s">
        <v>15</v>
      </c>
    </row>
    <row r="2004" spans="1:7" hidden="1" x14ac:dyDescent="0.25">
      <c r="A2004" s="21">
        <v>2003</v>
      </c>
      <c r="B2004" s="7" t="s">
        <v>4758</v>
      </c>
      <c r="C2004" s="7" t="s">
        <v>4759</v>
      </c>
      <c r="G2004" s="8" t="s">
        <v>15</v>
      </c>
    </row>
    <row r="2005" spans="1:7" hidden="1" x14ac:dyDescent="0.25">
      <c r="A2005" s="21">
        <v>2004</v>
      </c>
      <c r="B2005" s="7" t="s">
        <v>4760</v>
      </c>
      <c r="C2005" s="7" t="s">
        <v>4761</v>
      </c>
      <c r="G2005" s="8" t="s">
        <v>15</v>
      </c>
    </row>
    <row r="2006" spans="1:7" hidden="1" x14ac:dyDescent="0.25">
      <c r="A2006" s="21">
        <v>2005</v>
      </c>
      <c r="B2006" s="7" t="s">
        <v>4762</v>
      </c>
      <c r="C2006" s="7" t="s">
        <v>4763</v>
      </c>
      <c r="G2006" s="8" t="s">
        <v>15</v>
      </c>
    </row>
    <row r="2007" spans="1:7" hidden="1" x14ac:dyDescent="0.25">
      <c r="A2007" s="21">
        <v>2006</v>
      </c>
      <c r="B2007" s="7" t="s">
        <v>4764</v>
      </c>
      <c r="C2007" s="7" t="s">
        <v>4765</v>
      </c>
      <c r="G2007" s="8" t="s">
        <v>15</v>
      </c>
    </row>
    <row r="2008" spans="1:7" hidden="1" x14ac:dyDescent="0.25">
      <c r="A2008" s="21">
        <v>2007</v>
      </c>
      <c r="B2008" s="7" t="s">
        <v>4766</v>
      </c>
      <c r="C2008" s="7" t="s">
        <v>4767</v>
      </c>
      <c r="G2008" s="8" t="s">
        <v>15</v>
      </c>
    </row>
    <row r="2009" spans="1:7" hidden="1" x14ac:dyDescent="0.25">
      <c r="A2009" s="21">
        <v>2008</v>
      </c>
      <c r="B2009" s="7" t="s">
        <v>4768</v>
      </c>
      <c r="C2009" s="7" t="s">
        <v>4769</v>
      </c>
      <c r="G2009" s="8" t="s">
        <v>15</v>
      </c>
    </row>
    <row r="2010" spans="1:7" hidden="1" x14ac:dyDescent="0.25">
      <c r="A2010" s="21">
        <v>2009</v>
      </c>
      <c r="B2010" s="7" t="s">
        <v>4770</v>
      </c>
      <c r="C2010" s="7" t="s">
        <v>4771</v>
      </c>
      <c r="G2010" s="8" t="s">
        <v>15</v>
      </c>
    </row>
    <row r="2011" spans="1:7" hidden="1" x14ac:dyDescent="0.25">
      <c r="A2011" s="21">
        <v>2010</v>
      </c>
      <c r="B2011" s="7" t="s">
        <v>4772</v>
      </c>
      <c r="C2011" s="7" t="s">
        <v>4773</v>
      </c>
      <c r="G2011" s="8" t="s">
        <v>15</v>
      </c>
    </row>
    <row r="2012" spans="1:7" hidden="1" x14ac:dyDescent="0.25">
      <c r="A2012" s="21">
        <v>2011</v>
      </c>
      <c r="B2012" s="7" t="s">
        <v>4774</v>
      </c>
      <c r="C2012" s="7" t="s">
        <v>4775</v>
      </c>
      <c r="G2012" s="8" t="s">
        <v>15</v>
      </c>
    </row>
    <row r="2013" spans="1:7" hidden="1" x14ac:dyDescent="0.25">
      <c r="A2013" s="21">
        <v>2012</v>
      </c>
      <c r="B2013" s="7" t="s">
        <v>4776</v>
      </c>
      <c r="C2013" s="7" t="s">
        <v>4777</v>
      </c>
      <c r="G2013" s="8" t="s">
        <v>15</v>
      </c>
    </row>
    <row r="2014" spans="1:7" hidden="1" x14ac:dyDescent="0.25">
      <c r="A2014" s="21">
        <v>2013</v>
      </c>
      <c r="B2014" s="7" t="s">
        <v>4778</v>
      </c>
      <c r="C2014" s="7" t="s">
        <v>4779</v>
      </c>
      <c r="G2014" s="8" t="s">
        <v>15</v>
      </c>
    </row>
    <row r="2015" spans="1:7" hidden="1" x14ac:dyDescent="0.25">
      <c r="A2015" s="21">
        <v>2014</v>
      </c>
      <c r="B2015" s="7" t="s">
        <v>4780</v>
      </c>
      <c r="C2015" s="7" t="s">
        <v>4781</v>
      </c>
      <c r="G2015" s="8" t="s">
        <v>15</v>
      </c>
    </row>
    <row r="2016" spans="1:7" hidden="1" x14ac:dyDescent="0.25">
      <c r="A2016" s="21">
        <v>2015</v>
      </c>
      <c r="B2016" s="7" t="s">
        <v>4782</v>
      </c>
      <c r="C2016" s="7" t="s">
        <v>4783</v>
      </c>
      <c r="G2016" s="8" t="s">
        <v>15</v>
      </c>
    </row>
    <row r="2017" spans="1:7" hidden="1" x14ac:dyDescent="0.25">
      <c r="A2017" s="21">
        <v>2016</v>
      </c>
      <c r="B2017" s="7" t="s">
        <v>4784</v>
      </c>
      <c r="C2017" s="7" t="s">
        <v>4785</v>
      </c>
      <c r="G2017" s="8" t="s">
        <v>15</v>
      </c>
    </row>
    <row r="2018" spans="1:7" hidden="1" x14ac:dyDescent="0.25">
      <c r="A2018" s="21">
        <v>2017</v>
      </c>
      <c r="B2018" s="7" t="s">
        <v>4786</v>
      </c>
      <c r="C2018" s="7" t="s">
        <v>4787</v>
      </c>
      <c r="G2018" s="8" t="s">
        <v>15</v>
      </c>
    </row>
    <row r="2019" spans="1:7" hidden="1" x14ac:dyDescent="0.25">
      <c r="A2019" s="21">
        <v>2018</v>
      </c>
      <c r="B2019" s="7" t="s">
        <v>4788</v>
      </c>
      <c r="C2019" s="7" t="s">
        <v>4789</v>
      </c>
      <c r="G2019" s="8" t="s">
        <v>15</v>
      </c>
    </row>
    <row r="2020" spans="1:7" hidden="1" x14ac:dyDescent="0.25">
      <c r="A2020" s="21">
        <v>2019</v>
      </c>
      <c r="B2020" s="7" t="s">
        <v>4790</v>
      </c>
      <c r="C2020" s="7" t="s">
        <v>4791</v>
      </c>
      <c r="G2020" s="8" t="s">
        <v>15</v>
      </c>
    </row>
    <row r="2021" spans="1:7" hidden="1" x14ac:dyDescent="0.25">
      <c r="A2021" s="21">
        <v>2020</v>
      </c>
      <c r="B2021" s="7" t="s">
        <v>4792</v>
      </c>
      <c r="C2021" s="7" t="s">
        <v>4793</v>
      </c>
      <c r="G2021" s="8" t="s">
        <v>15</v>
      </c>
    </row>
    <row r="2022" spans="1:7" hidden="1" x14ac:dyDescent="0.25">
      <c r="A2022" s="21">
        <v>2021</v>
      </c>
      <c r="B2022" s="7" t="s">
        <v>4794</v>
      </c>
      <c r="C2022" s="7" t="s">
        <v>4795</v>
      </c>
      <c r="G2022" s="8" t="s">
        <v>15</v>
      </c>
    </row>
    <row r="2023" spans="1:7" hidden="1" x14ac:dyDescent="0.25">
      <c r="A2023" s="21">
        <v>2022</v>
      </c>
      <c r="B2023" s="7" t="s">
        <v>4796</v>
      </c>
      <c r="C2023" s="7" t="s">
        <v>4797</v>
      </c>
      <c r="G2023" s="8" t="s">
        <v>15</v>
      </c>
    </row>
    <row r="2024" spans="1:7" hidden="1" x14ac:dyDescent="0.25">
      <c r="A2024" s="21">
        <v>2023</v>
      </c>
      <c r="B2024" s="7" t="s">
        <v>4798</v>
      </c>
      <c r="C2024" s="7" t="s">
        <v>4799</v>
      </c>
      <c r="G2024" s="8" t="s">
        <v>15</v>
      </c>
    </row>
    <row r="2025" spans="1:7" hidden="1" x14ac:dyDescent="0.25">
      <c r="A2025" s="21">
        <v>2024</v>
      </c>
      <c r="B2025" s="7" t="s">
        <v>4800</v>
      </c>
      <c r="C2025" s="7" t="s">
        <v>4801</v>
      </c>
      <c r="G2025" s="8" t="s">
        <v>15</v>
      </c>
    </row>
    <row r="2026" spans="1:7" hidden="1" x14ac:dyDescent="0.25">
      <c r="A2026" s="21">
        <v>2025</v>
      </c>
      <c r="B2026" s="7" t="s">
        <v>4802</v>
      </c>
      <c r="C2026" s="7" t="s">
        <v>4803</v>
      </c>
      <c r="G2026" s="8" t="s">
        <v>15</v>
      </c>
    </row>
    <row r="2027" spans="1:7" hidden="1" x14ac:dyDescent="0.25">
      <c r="A2027" s="21">
        <v>2026</v>
      </c>
      <c r="B2027" s="7" t="s">
        <v>4804</v>
      </c>
      <c r="C2027" s="7" t="s">
        <v>4805</v>
      </c>
      <c r="G2027" s="8" t="s">
        <v>15</v>
      </c>
    </row>
    <row r="2028" spans="1:7" hidden="1" x14ac:dyDescent="0.25">
      <c r="A2028" s="21">
        <v>2027</v>
      </c>
      <c r="B2028" s="7" t="s">
        <v>4806</v>
      </c>
      <c r="C2028" s="7" t="s">
        <v>4807</v>
      </c>
      <c r="G2028" s="8" t="s">
        <v>15</v>
      </c>
    </row>
    <row r="2029" spans="1:7" hidden="1" x14ac:dyDescent="0.25">
      <c r="A2029" s="21">
        <v>2028</v>
      </c>
      <c r="B2029" s="7" t="s">
        <v>4808</v>
      </c>
      <c r="C2029" s="7" t="s">
        <v>4809</v>
      </c>
      <c r="G2029" s="8" t="s">
        <v>15</v>
      </c>
    </row>
    <row r="2030" spans="1:7" hidden="1" x14ac:dyDescent="0.25">
      <c r="A2030" s="21">
        <v>2029</v>
      </c>
      <c r="B2030" s="7" t="s">
        <v>4810</v>
      </c>
      <c r="C2030" s="7" t="s">
        <v>4811</v>
      </c>
      <c r="G2030" s="8" t="s">
        <v>15</v>
      </c>
    </row>
    <row r="2031" spans="1:7" hidden="1" x14ac:dyDescent="0.25">
      <c r="A2031" s="21">
        <v>2030</v>
      </c>
      <c r="B2031" s="7" t="s">
        <v>4812</v>
      </c>
      <c r="C2031" s="7" t="s">
        <v>4813</v>
      </c>
      <c r="G2031" s="8" t="s">
        <v>15</v>
      </c>
    </row>
    <row r="2032" spans="1:7" hidden="1" x14ac:dyDescent="0.25">
      <c r="A2032" s="21">
        <v>2031</v>
      </c>
      <c r="B2032" s="7" t="s">
        <v>4814</v>
      </c>
      <c r="C2032" s="7" t="s">
        <v>4815</v>
      </c>
      <c r="G2032" s="8" t="s">
        <v>15</v>
      </c>
    </row>
    <row r="2033" spans="1:7" hidden="1" x14ac:dyDescent="0.25">
      <c r="A2033" s="21">
        <v>2032</v>
      </c>
      <c r="B2033" s="7" t="s">
        <v>4816</v>
      </c>
      <c r="C2033" s="7" t="s">
        <v>4817</v>
      </c>
      <c r="G2033" s="8" t="s">
        <v>15</v>
      </c>
    </row>
    <row r="2034" spans="1:7" hidden="1" x14ac:dyDescent="0.25">
      <c r="A2034" s="21">
        <v>2033</v>
      </c>
      <c r="B2034" s="7" t="s">
        <v>4818</v>
      </c>
      <c r="C2034" s="7" t="s">
        <v>4819</v>
      </c>
      <c r="G2034" s="8" t="s">
        <v>15</v>
      </c>
    </row>
    <row r="2035" spans="1:7" hidden="1" x14ac:dyDescent="0.25">
      <c r="A2035" s="21">
        <v>2034</v>
      </c>
      <c r="B2035" s="7" t="s">
        <v>4820</v>
      </c>
      <c r="C2035" s="7" t="s">
        <v>4821</v>
      </c>
      <c r="G2035" s="8" t="s">
        <v>15</v>
      </c>
    </row>
    <row r="2036" spans="1:7" hidden="1" x14ac:dyDescent="0.25">
      <c r="A2036" s="21">
        <v>2035</v>
      </c>
      <c r="B2036" s="7" t="s">
        <v>4822</v>
      </c>
      <c r="C2036" s="7" t="s">
        <v>4823</v>
      </c>
      <c r="G2036" s="8" t="s">
        <v>15</v>
      </c>
    </row>
    <row r="2037" spans="1:7" hidden="1" x14ac:dyDescent="0.25">
      <c r="A2037" s="21">
        <v>2036</v>
      </c>
      <c r="B2037" s="7" t="s">
        <v>4824</v>
      </c>
      <c r="C2037" s="7" t="s">
        <v>4825</v>
      </c>
      <c r="G2037" s="8" t="s">
        <v>15</v>
      </c>
    </row>
    <row r="2038" spans="1:7" hidden="1" x14ac:dyDescent="0.25">
      <c r="A2038" s="21">
        <v>2037</v>
      </c>
      <c r="B2038" s="7" t="s">
        <v>4826</v>
      </c>
      <c r="C2038" s="7" t="s">
        <v>4827</v>
      </c>
      <c r="G2038" s="8" t="s">
        <v>15</v>
      </c>
    </row>
    <row r="2039" spans="1:7" hidden="1" x14ac:dyDescent="0.25">
      <c r="A2039" s="21">
        <v>2038</v>
      </c>
      <c r="B2039" s="7" t="s">
        <v>4828</v>
      </c>
      <c r="C2039" s="7" t="s">
        <v>4829</v>
      </c>
      <c r="G2039" s="8" t="s">
        <v>15</v>
      </c>
    </row>
    <row r="2040" spans="1:7" hidden="1" x14ac:dyDescent="0.25">
      <c r="A2040" s="21">
        <v>2039</v>
      </c>
      <c r="B2040" s="7" t="s">
        <v>4830</v>
      </c>
      <c r="C2040" s="7" t="s">
        <v>4831</v>
      </c>
      <c r="G2040" s="8" t="s">
        <v>15</v>
      </c>
    </row>
    <row r="2041" spans="1:7" hidden="1" x14ac:dyDescent="0.25">
      <c r="A2041" s="21">
        <v>2040</v>
      </c>
      <c r="B2041" s="7" t="s">
        <v>4832</v>
      </c>
      <c r="C2041" s="7" t="s">
        <v>4833</v>
      </c>
      <c r="G2041" s="8" t="s">
        <v>15</v>
      </c>
    </row>
    <row r="2042" spans="1:7" hidden="1" x14ac:dyDescent="0.25">
      <c r="A2042" s="21">
        <v>2041</v>
      </c>
      <c r="B2042" s="7" t="s">
        <v>4834</v>
      </c>
      <c r="C2042" s="7" t="s">
        <v>4835</v>
      </c>
      <c r="G2042" s="8" t="s">
        <v>15</v>
      </c>
    </row>
    <row r="2043" spans="1:7" hidden="1" x14ac:dyDescent="0.25">
      <c r="A2043" s="21">
        <v>2042</v>
      </c>
      <c r="B2043" s="7" t="s">
        <v>4836</v>
      </c>
      <c r="C2043" s="7" t="s">
        <v>4837</v>
      </c>
      <c r="G2043" s="8" t="s">
        <v>15</v>
      </c>
    </row>
    <row r="2044" spans="1:7" hidden="1" x14ac:dyDescent="0.25">
      <c r="A2044" s="21">
        <v>2043</v>
      </c>
      <c r="B2044" s="7" t="s">
        <v>4838</v>
      </c>
      <c r="C2044" s="7" t="s">
        <v>4839</v>
      </c>
      <c r="G2044" s="8" t="s">
        <v>15</v>
      </c>
    </row>
    <row r="2045" spans="1:7" hidden="1" x14ac:dyDescent="0.25">
      <c r="A2045" s="21">
        <v>2044</v>
      </c>
      <c r="B2045" s="7" t="s">
        <v>4840</v>
      </c>
      <c r="C2045" s="7" t="s">
        <v>4841</v>
      </c>
      <c r="G2045" s="8" t="s">
        <v>15</v>
      </c>
    </row>
    <row r="2046" spans="1:7" hidden="1" x14ac:dyDescent="0.25">
      <c r="A2046" s="21">
        <v>2045</v>
      </c>
      <c r="B2046" s="7" t="s">
        <v>4842</v>
      </c>
      <c r="C2046" s="7" t="s">
        <v>4843</v>
      </c>
      <c r="G2046" s="8" t="s">
        <v>15</v>
      </c>
    </row>
    <row r="2047" spans="1:7" hidden="1" x14ac:dyDescent="0.25">
      <c r="A2047" s="21">
        <v>2046</v>
      </c>
      <c r="B2047" s="7" t="s">
        <v>4844</v>
      </c>
      <c r="C2047" s="7" t="s">
        <v>4845</v>
      </c>
      <c r="G2047" s="8" t="s">
        <v>15</v>
      </c>
    </row>
    <row r="2048" spans="1:7" hidden="1" x14ac:dyDescent="0.25">
      <c r="A2048" s="21">
        <v>2047</v>
      </c>
      <c r="B2048" s="7" t="s">
        <v>4846</v>
      </c>
      <c r="C2048" s="7" t="s">
        <v>4847</v>
      </c>
      <c r="G2048" s="8" t="s">
        <v>15</v>
      </c>
    </row>
    <row r="2049" spans="1:7" hidden="1" x14ac:dyDescent="0.25">
      <c r="A2049" s="21">
        <v>2048</v>
      </c>
      <c r="B2049" s="7" t="s">
        <v>4848</v>
      </c>
      <c r="C2049" s="7" t="s">
        <v>4849</v>
      </c>
      <c r="G2049" s="8" t="s">
        <v>15</v>
      </c>
    </row>
    <row r="2050" spans="1:7" hidden="1" x14ac:dyDescent="0.25">
      <c r="A2050" s="21">
        <v>2049</v>
      </c>
      <c r="B2050" s="7" t="s">
        <v>4850</v>
      </c>
      <c r="C2050" s="7" t="s">
        <v>4851</v>
      </c>
      <c r="G2050" s="8" t="s">
        <v>15</v>
      </c>
    </row>
    <row r="2051" spans="1:7" hidden="1" x14ac:dyDescent="0.25">
      <c r="A2051" s="21">
        <v>2050</v>
      </c>
      <c r="B2051" s="7" t="s">
        <v>4852</v>
      </c>
      <c r="C2051" s="7" t="s">
        <v>4853</v>
      </c>
      <c r="G2051" s="8" t="s">
        <v>15</v>
      </c>
    </row>
    <row r="2052" spans="1:7" hidden="1" x14ac:dyDescent="0.25">
      <c r="A2052" s="21">
        <v>2051</v>
      </c>
      <c r="B2052" s="7" t="s">
        <v>4854</v>
      </c>
      <c r="C2052" s="7" t="s">
        <v>4855</v>
      </c>
      <c r="G2052" s="8" t="s">
        <v>15</v>
      </c>
    </row>
    <row r="2053" spans="1:7" hidden="1" x14ac:dyDescent="0.25">
      <c r="A2053" s="21">
        <v>2052</v>
      </c>
      <c r="B2053" s="7" t="s">
        <v>4856</v>
      </c>
      <c r="C2053" s="7" t="s">
        <v>4857</v>
      </c>
      <c r="G2053" s="8" t="s">
        <v>15</v>
      </c>
    </row>
    <row r="2054" spans="1:7" hidden="1" x14ac:dyDescent="0.25">
      <c r="A2054" s="21">
        <v>2053</v>
      </c>
      <c r="B2054" s="7" t="s">
        <v>4858</v>
      </c>
      <c r="C2054" s="7" t="s">
        <v>4859</v>
      </c>
      <c r="G2054" s="8" t="s">
        <v>15</v>
      </c>
    </row>
    <row r="2055" spans="1:7" hidden="1" x14ac:dyDescent="0.25">
      <c r="A2055" s="21">
        <v>2054</v>
      </c>
      <c r="B2055" s="7" t="s">
        <v>4860</v>
      </c>
      <c r="C2055" s="7" t="s">
        <v>4861</v>
      </c>
      <c r="G2055" s="8" t="s">
        <v>15</v>
      </c>
    </row>
    <row r="2056" spans="1:7" hidden="1" x14ac:dyDescent="0.25">
      <c r="A2056" s="21">
        <v>2055</v>
      </c>
      <c r="B2056" s="7" t="s">
        <v>4862</v>
      </c>
      <c r="C2056" s="7" t="s">
        <v>4863</v>
      </c>
      <c r="G2056" s="8" t="s">
        <v>15</v>
      </c>
    </row>
    <row r="2057" spans="1:7" hidden="1" x14ac:dyDescent="0.25">
      <c r="A2057" s="21">
        <v>2056</v>
      </c>
      <c r="B2057" s="7" t="s">
        <v>4864</v>
      </c>
      <c r="C2057" s="7" t="s">
        <v>4865</v>
      </c>
      <c r="G2057" s="8" t="s">
        <v>15</v>
      </c>
    </row>
    <row r="2058" spans="1:7" hidden="1" x14ac:dyDescent="0.25">
      <c r="A2058" s="21">
        <v>2057</v>
      </c>
      <c r="B2058" s="7" t="s">
        <v>4866</v>
      </c>
      <c r="C2058" s="7" t="s">
        <v>4867</v>
      </c>
      <c r="G2058" s="8" t="s">
        <v>15</v>
      </c>
    </row>
    <row r="2059" spans="1:7" hidden="1" x14ac:dyDescent="0.25">
      <c r="A2059" s="21">
        <v>2058</v>
      </c>
      <c r="B2059" s="7" t="s">
        <v>4868</v>
      </c>
      <c r="C2059" s="7" t="s">
        <v>4869</v>
      </c>
      <c r="G2059" s="8" t="s">
        <v>15</v>
      </c>
    </row>
    <row r="2060" spans="1:7" hidden="1" x14ac:dyDescent="0.25">
      <c r="A2060" s="21">
        <v>2059</v>
      </c>
      <c r="B2060" s="7" t="s">
        <v>4870</v>
      </c>
      <c r="C2060" s="7" t="s">
        <v>4871</v>
      </c>
      <c r="G2060" s="8" t="s">
        <v>15</v>
      </c>
    </row>
    <row r="2061" spans="1:7" hidden="1" x14ac:dyDescent="0.25">
      <c r="A2061" s="21">
        <v>2060</v>
      </c>
      <c r="B2061" s="7" t="s">
        <v>4872</v>
      </c>
      <c r="C2061" s="7" t="s">
        <v>4873</v>
      </c>
      <c r="G2061" s="8" t="s">
        <v>15</v>
      </c>
    </row>
    <row r="2062" spans="1:7" hidden="1" x14ac:dyDescent="0.25">
      <c r="A2062" s="21">
        <v>2061</v>
      </c>
      <c r="B2062" s="7" t="s">
        <v>4874</v>
      </c>
      <c r="C2062" s="7" t="s">
        <v>4875</v>
      </c>
      <c r="G2062" s="8" t="s">
        <v>15</v>
      </c>
    </row>
    <row r="2063" spans="1:7" hidden="1" x14ac:dyDescent="0.25">
      <c r="A2063" s="21">
        <v>2062</v>
      </c>
      <c r="B2063" s="7" t="s">
        <v>4876</v>
      </c>
      <c r="C2063" s="7" t="s">
        <v>4877</v>
      </c>
      <c r="G2063" s="8" t="s">
        <v>15</v>
      </c>
    </row>
    <row r="2064" spans="1:7" hidden="1" x14ac:dyDescent="0.25">
      <c r="A2064" s="21">
        <v>2063</v>
      </c>
      <c r="B2064" s="7" t="s">
        <v>4878</v>
      </c>
      <c r="C2064" s="7" t="s">
        <v>4879</v>
      </c>
      <c r="G2064" s="8" t="s">
        <v>15</v>
      </c>
    </row>
    <row r="2065" spans="1:7" hidden="1" x14ac:dyDescent="0.25">
      <c r="A2065" s="21">
        <v>2064</v>
      </c>
      <c r="B2065" s="7" t="s">
        <v>4880</v>
      </c>
      <c r="C2065" s="7" t="s">
        <v>4881</v>
      </c>
      <c r="G2065" s="8" t="s">
        <v>15</v>
      </c>
    </row>
    <row r="2066" spans="1:7" hidden="1" x14ac:dyDescent="0.25">
      <c r="A2066" s="21">
        <v>2065</v>
      </c>
      <c r="B2066" s="7" t="s">
        <v>4882</v>
      </c>
      <c r="C2066" s="7" t="s">
        <v>4883</v>
      </c>
      <c r="G2066" s="8" t="s">
        <v>15</v>
      </c>
    </row>
    <row r="2067" spans="1:7" hidden="1" x14ac:dyDescent="0.25">
      <c r="A2067" s="21">
        <v>2066</v>
      </c>
      <c r="B2067" s="7" t="s">
        <v>4884</v>
      </c>
      <c r="C2067" s="7" t="s">
        <v>4885</v>
      </c>
      <c r="G2067" s="8" t="s">
        <v>15</v>
      </c>
    </row>
    <row r="2068" spans="1:7" hidden="1" x14ac:dyDescent="0.25">
      <c r="A2068" s="21">
        <v>2067</v>
      </c>
      <c r="B2068" s="7" t="s">
        <v>4886</v>
      </c>
      <c r="C2068" s="7" t="s">
        <v>4887</v>
      </c>
      <c r="G2068" s="8" t="s">
        <v>15</v>
      </c>
    </row>
    <row r="2069" spans="1:7" hidden="1" x14ac:dyDescent="0.25">
      <c r="A2069" s="21">
        <v>2068</v>
      </c>
      <c r="B2069" s="7" t="s">
        <v>4888</v>
      </c>
      <c r="C2069" s="7" t="s">
        <v>4889</v>
      </c>
      <c r="G2069" s="8" t="s">
        <v>15</v>
      </c>
    </row>
    <row r="2070" spans="1:7" hidden="1" x14ac:dyDescent="0.25">
      <c r="A2070" s="21">
        <v>2069</v>
      </c>
      <c r="B2070" s="7" t="s">
        <v>4890</v>
      </c>
      <c r="C2070" s="7" t="s">
        <v>4891</v>
      </c>
      <c r="G2070" s="8" t="s">
        <v>15</v>
      </c>
    </row>
    <row r="2071" spans="1:7" hidden="1" x14ac:dyDescent="0.25">
      <c r="A2071" s="21">
        <v>2070</v>
      </c>
      <c r="B2071" s="7" t="s">
        <v>4892</v>
      </c>
      <c r="C2071" s="7" t="s">
        <v>4893</v>
      </c>
      <c r="G2071" s="8" t="s">
        <v>15</v>
      </c>
    </row>
    <row r="2072" spans="1:7" hidden="1" x14ac:dyDescent="0.25">
      <c r="A2072" s="21">
        <v>2071</v>
      </c>
      <c r="B2072" s="7" t="s">
        <v>4894</v>
      </c>
      <c r="C2072" s="7" t="s">
        <v>4895</v>
      </c>
      <c r="G2072" s="8" t="s">
        <v>15</v>
      </c>
    </row>
    <row r="2073" spans="1:7" hidden="1" x14ac:dyDescent="0.25">
      <c r="A2073" s="21">
        <v>2072</v>
      </c>
      <c r="B2073" s="7" t="s">
        <v>4896</v>
      </c>
      <c r="C2073" s="7" t="s">
        <v>4897</v>
      </c>
      <c r="G2073" s="8" t="s">
        <v>15</v>
      </c>
    </row>
    <row r="2074" spans="1:7" hidden="1" x14ac:dyDescent="0.25">
      <c r="A2074" s="21">
        <v>2073</v>
      </c>
      <c r="B2074" s="7" t="s">
        <v>4898</v>
      </c>
      <c r="C2074" s="7" t="s">
        <v>4899</v>
      </c>
      <c r="G2074" s="8" t="s">
        <v>15</v>
      </c>
    </row>
    <row r="2075" spans="1:7" hidden="1" x14ac:dyDescent="0.25">
      <c r="A2075" s="21">
        <v>2074</v>
      </c>
      <c r="B2075" s="7" t="s">
        <v>4900</v>
      </c>
      <c r="C2075" s="7" t="s">
        <v>4901</v>
      </c>
      <c r="G2075" s="8" t="s">
        <v>15</v>
      </c>
    </row>
    <row r="2076" spans="1:7" hidden="1" x14ac:dyDescent="0.25">
      <c r="A2076" s="21">
        <v>2075</v>
      </c>
      <c r="B2076" s="7" t="s">
        <v>4902</v>
      </c>
      <c r="C2076" s="7" t="s">
        <v>4903</v>
      </c>
      <c r="G2076" s="8" t="s">
        <v>15</v>
      </c>
    </row>
    <row r="2077" spans="1:7" hidden="1" x14ac:dyDescent="0.25">
      <c r="A2077" s="21">
        <v>2076</v>
      </c>
      <c r="B2077" s="7" t="s">
        <v>4904</v>
      </c>
      <c r="C2077" s="7" t="s">
        <v>4905</v>
      </c>
      <c r="G2077" s="8" t="s">
        <v>15</v>
      </c>
    </row>
    <row r="2078" spans="1:7" hidden="1" x14ac:dyDescent="0.25">
      <c r="A2078" s="21">
        <v>2077</v>
      </c>
      <c r="B2078" s="7" t="s">
        <v>4906</v>
      </c>
      <c r="C2078" s="7" t="s">
        <v>4907</v>
      </c>
      <c r="G2078" s="8" t="s">
        <v>15</v>
      </c>
    </row>
    <row r="2079" spans="1:7" hidden="1" x14ac:dyDescent="0.25">
      <c r="A2079" s="21">
        <v>2078</v>
      </c>
      <c r="B2079" s="7" t="s">
        <v>4908</v>
      </c>
      <c r="C2079" s="7" t="s">
        <v>4909</v>
      </c>
      <c r="G2079" s="8" t="s">
        <v>15</v>
      </c>
    </row>
    <row r="2080" spans="1:7" hidden="1" x14ac:dyDescent="0.25">
      <c r="A2080" s="21">
        <v>2079</v>
      </c>
      <c r="B2080" s="7" t="s">
        <v>4910</v>
      </c>
      <c r="C2080" s="7" t="s">
        <v>4911</v>
      </c>
      <c r="G2080" s="8" t="s">
        <v>15</v>
      </c>
    </row>
    <row r="2081" spans="1:7" hidden="1" x14ac:dyDescent="0.25">
      <c r="A2081" s="21">
        <v>2080</v>
      </c>
      <c r="B2081" s="7" t="s">
        <v>4912</v>
      </c>
      <c r="C2081" s="7" t="s">
        <v>4913</v>
      </c>
      <c r="G2081" s="8" t="s">
        <v>15</v>
      </c>
    </row>
    <row r="2082" spans="1:7" hidden="1" x14ac:dyDescent="0.25">
      <c r="A2082" s="21">
        <v>2081</v>
      </c>
      <c r="B2082" s="7" t="s">
        <v>4914</v>
      </c>
      <c r="C2082" s="7" t="s">
        <v>4915</v>
      </c>
      <c r="G2082" s="8" t="s">
        <v>15</v>
      </c>
    </row>
    <row r="2083" spans="1:7" hidden="1" x14ac:dyDescent="0.25">
      <c r="A2083" s="21">
        <v>2082</v>
      </c>
      <c r="B2083" s="7" t="s">
        <v>4916</v>
      </c>
      <c r="C2083" s="7" t="s">
        <v>4917</v>
      </c>
      <c r="G2083" s="8" t="s">
        <v>15</v>
      </c>
    </row>
    <row r="2084" spans="1:7" hidden="1" x14ac:dyDescent="0.25">
      <c r="A2084" s="21">
        <v>2083</v>
      </c>
      <c r="B2084" s="7" t="s">
        <v>4918</v>
      </c>
      <c r="C2084" s="7" t="s">
        <v>4919</v>
      </c>
      <c r="G2084" s="8" t="s">
        <v>15</v>
      </c>
    </row>
    <row r="2085" spans="1:7" hidden="1" x14ac:dyDescent="0.25">
      <c r="A2085" s="21">
        <v>2084</v>
      </c>
      <c r="B2085" s="7" t="s">
        <v>4920</v>
      </c>
      <c r="C2085" s="7" t="s">
        <v>4921</v>
      </c>
      <c r="G2085" s="8" t="s">
        <v>15</v>
      </c>
    </row>
    <row r="2086" spans="1:7" hidden="1" x14ac:dyDescent="0.25">
      <c r="A2086" s="21">
        <v>2085</v>
      </c>
      <c r="B2086" s="7" t="s">
        <v>4922</v>
      </c>
      <c r="C2086" s="7" t="s">
        <v>4923</v>
      </c>
      <c r="G2086" s="8" t="s">
        <v>15</v>
      </c>
    </row>
    <row r="2087" spans="1:7" hidden="1" x14ac:dyDescent="0.25">
      <c r="A2087" s="21">
        <v>2086</v>
      </c>
      <c r="B2087" s="7" t="s">
        <v>4924</v>
      </c>
      <c r="C2087" s="7" t="s">
        <v>4925</v>
      </c>
      <c r="G2087" s="8" t="s">
        <v>15</v>
      </c>
    </row>
    <row r="2088" spans="1:7" hidden="1" x14ac:dyDescent="0.25">
      <c r="A2088" s="21">
        <v>2087</v>
      </c>
      <c r="B2088" s="7" t="s">
        <v>4926</v>
      </c>
      <c r="C2088" s="7" t="s">
        <v>4927</v>
      </c>
      <c r="G2088" s="8" t="s">
        <v>15</v>
      </c>
    </row>
    <row r="2089" spans="1:7" hidden="1" x14ac:dyDescent="0.25">
      <c r="A2089" s="21">
        <v>2088</v>
      </c>
      <c r="B2089" s="7" t="s">
        <v>4928</v>
      </c>
      <c r="C2089" s="7" t="s">
        <v>4929</v>
      </c>
      <c r="G2089" s="8" t="s">
        <v>15</v>
      </c>
    </row>
    <row r="2090" spans="1:7" hidden="1" x14ac:dyDescent="0.25">
      <c r="A2090" s="21">
        <v>2089</v>
      </c>
      <c r="B2090" s="7" t="s">
        <v>4930</v>
      </c>
      <c r="C2090" s="7" t="s">
        <v>4931</v>
      </c>
      <c r="G2090" s="8" t="s">
        <v>15</v>
      </c>
    </row>
    <row r="2091" spans="1:7" hidden="1" x14ac:dyDescent="0.25">
      <c r="A2091" s="21">
        <v>2090</v>
      </c>
      <c r="B2091" s="7" t="s">
        <v>4932</v>
      </c>
      <c r="C2091" s="7" t="s">
        <v>4933</v>
      </c>
      <c r="G2091" s="8" t="s">
        <v>15</v>
      </c>
    </row>
    <row r="2092" spans="1:7" hidden="1" x14ac:dyDescent="0.25">
      <c r="A2092" s="21">
        <v>2091</v>
      </c>
      <c r="B2092" s="7" t="s">
        <v>4934</v>
      </c>
      <c r="C2092" s="7" t="s">
        <v>4935</v>
      </c>
      <c r="G2092" s="8" t="s">
        <v>15</v>
      </c>
    </row>
    <row r="2093" spans="1:7" hidden="1" x14ac:dyDescent="0.25">
      <c r="A2093" s="21">
        <v>2092</v>
      </c>
      <c r="B2093" s="7" t="s">
        <v>4936</v>
      </c>
      <c r="C2093" s="7" t="s">
        <v>4937</v>
      </c>
      <c r="G2093" s="8" t="s">
        <v>15</v>
      </c>
    </row>
    <row r="2094" spans="1:7" hidden="1" x14ac:dyDescent="0.25">
      <c r="A2094" s="21">
        <v>2093</v>
      </c>
      <c r="B2094" s="7" t="s">
        <v>4938</v>
      </c>
      <c r="C2094" s="7" t="s">
        <v>4939</v>
      </c>
      <c r="G2094" s="8" t="s">
        <v>15</v>
      </c>
    </row>
    <row r="2095" spans="1:7" hidden="1" x14ac:dyDescent="0.25">
      <c r="A2095" s="21">
        <v>2094</v>
      </c>
      <c r="B2095" s="7" t="s">
        <v>4940</v>
      </c>
      <c r="C2095" s="7" t="s">
        <v>4941</v>
      </c>
      <c r="G2095" s="8" t="s">
        <v>15</v>
      </c>
    </row>
    <row r="2096" spans="1:7" hidden="1" x14ac:dyDescent="0.25">
      <c r="A2096" s="21">
        <v>2095</v>
      </c>
      <c r="B2096" s="7" t="s">
        <v>4942</v>
      </c>
      <c r="C2096" s="7" t="s">
        <v>4943</v>
      </c>
      <c r="G2096" s="8" t="s">
        <v>15</v>
      </c>
    </row>
    <row r="2097" spans="1:7" hidden="1" x14ac:dyDescent="0.25">
      <c r="A2097" s="21">
        <v>2096</v>
      </c>
      <c r="B2097" s="7" t="s">
        <v>4944</v>
      </c>
      <c r="C2097" s="7" t="s">
        <v>4945</v>
      </c>
      <c r="G2097" s="8" t="s">
        <v>15</v>
      </c>
    </row>
    <row r="2098" spans="1:7" hidden="1" x14ac:dyDescent="0.25">
      <c r="A2098" s="21">
        <v>2097</v>
      </c>
      <c r="B2098" s="7" t="s">
        <v>4946</v>
      </c>
      <c r="C2098" s="7" t="s">
        <v>4947</v>
      </c>
      <c r="G2098" s="8" t="s">
        <v>15</v>
      </c>
    </row>
    <row r="2099" spans="1:7" hidden="1" x14ac:dyDescent="0.25">
      <c r="A2099" s="21">
        <v>2098</v>
      </c>
      <c r="B2099" s="7" t="s">
        <v>4948</v>
      </c>
      <c r="C2099" s="7" t="s">
        <v>4949</v>
      </c>
      <c r="G2099" s="8" t="s">
        <v>15</v>
      </c>
    </row>
    <row r="2100" spans="1:7" hidden="1" x14ac:dyDescent="0.25">
      <c r="A2100" s="21">
        <v>2099</v>
      </c>
      <c r="B2100" s="7" t="s">
        <v>4950</v>
      </c>
      <c r="C2100" s="7" t="s">
        <v>4951</v>
      </c>
      <c r="G2100" s="8" t="s">
        <v>15</v>
      </c>
    </row>
    <row r="2101" spans="1:7" hidden="1" x14ac:dyDescent="0.25">
      <c r="A2101" s="21">
        <v>2100</v>
      </c>
      <c r="B2101" s="7" t="s">
        <v>4952</v>
      </c>
      <c r="C2101" s="7" t="s">
        <v>4953</v>
      </c>
      <c r="G2101" s="8" t="s">
        <v>15</v>
      </c>
    </row>
    <row r="2102" spans="1:7" hidden="1" x14ac:dyDescent="0.25">
      <c r="A2102" s="21">
        <v>2101</v>
      </c>
      <c r="B2102" s="7" t="s">
        <v>4954</v>
      </c>
      <c r="C2102" s="7" t="s">
        <v>4955</v>
      </c>
      <c r="G2102" s="8" t="s">
        <v>15</v>
      </c>
    </row>
    <row r="2103" spans="1:7" hidden="1" x14ac:dyDescent="0.25">
      <c r="A2103" s="21">
        <v>2102</v>
      </c>
      <c r="B2103" s="7" t="s">
        <v>4956</v>
      </c>
      <c r="C2103" s="7" t="s">
        <v>4957</v>
      </c>
      <c r="G2103" s="8" t="s">
        <v>15</v>
      </c>
    </row>
    <row r="2104" spans="1:7" hidden="1" x14ac:dyDescent="0.25">
      <c r="A2104" s="21">
        <v>2103</v>
      </c>
      <c r="B2104" s="7" t="s">
        <v>4958</v>
      </c>
      <c r="C2104" s="7" t="s">
        <v>4959</v>
      </c>
      <c r="G2104" s="8" t="s">
        <v>15</v>
      </c>
    </row>
    <row r="2105" spans="1:7" hidden="1" x14ac:dyDescent="0.25">
      <c r="A2105" s="21">
        <v>2104</v>
      </c>
      <c r="B2105" s="7" t="s">
        <v>4960</v>
      </c>
      <c r="C2105" s="7" t="s">
        <v>4961</v>
      </c>
      <c r="G2105" s="8" t="s">
        <v>15</v>
      </c>
    </row>
    <row r="2106" spans="1:7" hidden="1" x14ac:dyDescent="0.25">
      <c r="A2106" s="21">
        <v>2105</v>
      </c>
      <c r="B2106" s="7" t="s">
        <v>4962</v>
      </c>
      <c r="C2106" s="7" t="s">
        <v>4963</v>
      </c>
      <c r="G2106" s="8" t="s">
        <v>15</v>
      </c>
    </row>
    <row r="2107" spans="1:7" hidden="1" x14ac:dyDescent="0.25">
      <c r="A2107" s="21">
        <v>2106</v>
      </c>
      <c r="B2107" s="7" t="s">
        <v>4964</v>
      </c>
      <c r="C2107" s="7" t="s">
        <v>4965</v>
      </c>
      <c r="G2107" s="8" t="s">
        <v>15</v>
      </c>
    </row>
    <row r="2108" spans="1:7" hidden="1" x14ac:dyDescent="0.25">
      <c r="A2108" s="21">
        <v>2107</v>
      </c>
      <c r="B2108" s="7" t="s">
        <v>4966</v>
      </c>
      <c r="C2108" s="7" t="s">
        <v>4967</v>
      </c>
      <c r="G2108" s="8" t="s">
        <v>15</v>
      </c>
    </row>
    <row r="2109" spans="1:7" hidden="1" x14ac:dyDescent="0.25">
      <c r="A2109" s="21">
        <v>2108</v>
      </c>
      <c r="B2109" s="7" t="s">
        <v>4968</v>
      </c>
      <c r="C2109" s="7" t="s">
        <v>4969</v>
      </c>
      <c r="G2109" s="8" t="s">
        <v>15</v>
      </c>
    </row>
    <row r="2110" spans="1:7" hidden="1" x14ac:dyDescent="0.25">
      <c r="A2110" s="21">
        <v>2109</v>
      </c>
      <c r="B2110" s="7" t="s">
        <v>4970</v>
      </c>
      <c r="C2110" s="7" t="s">
        <v>4971</v>
      </c>
      <c r="G2110" s="8" t="s">
        <v>15</v>
      </c>
    </row>
    <row r="2111" spans="1:7" hidden="1" x14ac:dyDescent="0.25">
      <c r="A2111" s="21">
        <v>2110</v>
      </c>
      <c r="B2111" s="7" t="s">
        <v>4972</v>
      </c>
      <c r="C2111" s="7" t="s">
        <v>4973</v>
      </c>
      <c r="G2111" s="8" t="s">
        <v>15</v>
      </c>
    </row>
    <row r="2112" spans="1:7" hidden="1" x14ac:dyDescent="0.25">
      <c r="A2112" s="21">
        <v>2111</v>
      </c>
      <c r="B2112" s="7" t="s">
        <v>4974</v>
      </c>
      <c r="C2112" s="7" t="s">
        <v>4975</v>
      </c>
      <c r="G2112" s="8" t="s">
        <v>15</v>
      </c>
    </row>
    <row r="2113" spans="1:7" hidden="1" x14ac:dyDescent="0.25">
      <c r="A2113" s="21">
        <v>2112</v>
      </c>
      <c r="B2113" s="7" t="s">
        <v>4976</v>
      </c>
      <c r="C2113" s="7" t="s">
        <v>4977</v>
      </c>
      <c r="G2113" s="8" t="s">
        <v>15</v>
      </c>
    </row>
    <row r="2114" spans="1:7" hidden="1" x14ac:dyDescent="0.25">
      <c r="A2114" s="21">
        <v>2113</v>
      </c>
      <c r="B2114" s="7" t="s">
        <v>4978</v>
      </c>
      <c r="C2114" s="7" t="s">
        <v>4979</v>
      </c>
      <c r="G2114" s="8" t="s">
        <v>15</v>
      </c>
    </row>
    <row r="2115" spans="1:7" hidden="1" x14ac:dyDescent="0.25">
      <c r="A2115" s="21">
        <v>2114</v>
      </c>
      <c r="B2115" s="7" t="s">
        <v>4980</v>
      </c>
      <c r="C2115" s="7" t="s">
        <v>4981</v>
      </c>
      <c r="G2115" s="8" t="s">
        <v>15</v>
      </c>
    </row>
    <row r="2116" spans="1:7" hidden="1" x14ac:dyDescent="0.25">
      <c r="A2116" s="21">
        <v>2115</v>
      </c>
      <c r="B2116" s="7" t="s">
        <v>4982</v>
      </c>
      <c r="C2116" s="7" t="s">
        <v>4983</v>
      </c>
      <c r="G2116" s="8" t="s">
        <v>15</v>
      </c>
    </row>
    <row r="2117" spans="1:7" hidden="1" x14ac:dyDescent="0.25">
      <c r="A2117" s="21">
        <v>2116</v>
      </c>
      <c r="B2117" s="7" t="s">
        <v>4984</v>
      </c>
      <c r="C2117" s="7" t="s">
        <v>4985</v>
      </c>
      <c r="G2117" s="8" t="s">
        <v>15</v>
      </c>
    </row>
    <row r="2118" spans="1:7" hidden="1" x14ac:dyDescent="0.25">
      <c r="A2118" s="21">
        <v>2117</v>
      </c>
      <c r="B2118" s="7" t="s">
        <v>4986</v>
      </c>
      <c r="C2118" s="7" t="s">
        <v>4987</v>
      </c>
      <c r="G2118" s="8" t="s">
        <v>15</v>
      </c>
    </row>
    <row r="2119" spans="1:7" hidden="1" x14ac:dyDescent="0.25">
      <c r="A2119" s="21">
        <v>2118</v>
      </c>
      <c r="B2119" s="7" t="s">
        <v>4988</v>
      </c>
      <c r="C2119" s="7" t="s">
        <v>4989</v>
      </c>
      <c r="G2119" s="8" t="s">
        <v>15</v>
      </c>
    </row>
    <row r="2120" spans="1:7" hidden="1" x14ac:dyDescent="0.25">
      <c r="A2120" s="21">
        <v>2119</v>
      </c>
      <c r="B2120" s="7" t="s">
        <v>4990</v>
      </c>
      <c r="C2120" s="7" t="s">
        <v>4991</v>
      </c>
      <c r="G2120" s="8" t="s">
        <v>15</v>
      </c>
    </row>
    <row r="2121" spans="1:7" hidden="1" x14ac:dyDescent="0.25">
      <c r="A2121" s="21">
        <v>2120</v>
      </c>
      <c r="B2121" s="7" t="s">
        <v>4992</v>
      </c>
      <c r="C2121" s="7" t="s">
        <v>4993</v>
      </c>
      <c r="G2121" s="8" t="s">
        <v>15</v>
      </c>
    </row>
    <row r="2122" spans="1:7" hidden="1" x14ac:dyDescent="0.25">
      <c r="A2122" s="21">
        <v>2121</v>
      </c>
      <c r="B2122" s="7" t="s">
        <v>4994</v>
      </c>
      <c r="C2122" s="7" t="s">
        <v>4995</v>
      </c>
      <c r="G2122" s="8" t="s">
        <v>15</v>
      </c>
    </row>
    <row r="2123" spans="1:7" hidden="1" x14ac:dyDescent="0.25">
      <c r="A2123" s="21">
        <v>2122</v>
      </c>
      <c r="B2123" s="7" t="s">
        <v>4996</v>
      </c>
      <c r="C2123" s="7" t="s">
        <v>4997</v>
      </c>
      <c r="G2123" s="8" t="s">
        <v>15</v>
      </c>
    </row>
    <row r="2124" spans="1:7" hidden="1" x14ac:dyDescent="0.25">
      <c r="A2124" s="21">
        <v>2123</v>
      </c>
      <c r="B2124" s="7" t="s">
        <v>4998</v>
      </c>
      <c r="C2124" s="7" t="s">
        <v>4999</v>
      </c>
      <c r="G2124" s="8" t="s">
        <v>15</v>
      </c>
    </row>
    <row r="2125" spans="1:7" hidden="1" x14ac:dyDescent="0.25">
      <c r="A2125" s="21">
        <v>2124</v>
      </c>
      <c r="B2125" s="7" t="s">
        <v>5000</v>
      </c>
      <c r="C2125" s="7" t="s">
        <v>5001</v>
      </c>
      <c r="G2125" s="8" t="s">
        <v>15</v>
      </c>
    </row>
    <row r="2126" spans="1:7" hidden="1" x14ac:dyDescent="0.25">
      <c r="A2126" s="21">
        <v>2125</v>
      </c>
      <c r="B2126" s="7" t="s">
        <v>5002</v>
      </c>
      <c r="C2126" s="7" t="s">
        <v>5003</v>
      </c>
      <c r="G2126" s="8" t="s">
        <v>15</v>
      </c>
    </row>
    <row r="2127" spans="1:7" hidden="1" x14ac:dyDescent="0.25">
      <c r="A2127" s="21">
        <v>2126</v>
      </c>
      <c r="B2127" s="7" t="s">
        <v>5004</v>
      </c>
      <c r="C2127" s="7" t="s">
        <v>5005</v>
      </c>
      <c r="G2127" s="8" t="s">
        <v>15</v>
      </c>
    </row>
    <row r="2128" spans="1:7" hidden="1" x14ac:dyDescent="0.25">
      <c r="A2128" s="21">
        <v>2127</v>
      </c>
      <c r="B2128" s="7" t="s">
        <v>5006</v>
      </c>
      <c r="C2128" s="7" t="s">
        <v>5007</v>
      </c>
      <c r="G2128" s="8" t="s">
        <v>15</v>
      </c>
    </row>
    <row r="2129" spans="1:7" hidden="1" x14ac:dyDescent="0.25">
      <c r="A2129" s="21">
        <v>2128</v>
      </c>
      <c r="B2129" s="7" t="s">
        <v>5008</v>
      </c>
      <c r="C2129" s="7" t="s">
        <v>5009</v>
      </c>
      <c r="G2129" s="8" t="s">
        <v>15</v>
      </c>
    </row>
    <row r="2130" spans="1:7" hidden="1" x14ac:dyDescent="0.25">
      <c r="A2130" s="21">
        <v>2129</v>
      </c>
      <c r="B2130" s="7" t="s">
        <v>5010</v>
      </c>
      <c r="C2130" s="7" t="s">
        <v>5011</v>
      </c>
      <c r="G2130" s="8" t="s">
        <v>15</v>
      </c>
    </row>
    <row r="2131" spans="1:7" hidden="1" x14ac:dyDescent="0.25">
      <c r="A2131" s="21">
        <v>2130</v>
      </c>
      <c r="B2131" s="7" t="s">
        <v>5012</v>
      </c>
      <c r="C2131" s="7" t="s">
        <v>5013</v>
      </c>
      <c r="G2131" s="8" t="s">
        <v>15</v>
      </c>
    </row>
    <row r="2132" spans="1:7" hidden="1" x14ac:dyDescent="0.25">
      <c r="A2132" s="21">
        <v>2131</v>
      </c>
      <c r="B2132" s="7" t="s">
        <v>5014</v>
      </c>
      <c r="C2132" s="7" t="s">
        <v>5015</v>
      </c>
      <c r="G2132" s="8" t="s">
        <v>15</v>
      </c>
    </row>
    <row r="2133" spans="1:7" hidden="1" x14ac:dyDescent="0.25">
      <c r="A2133" s="21">
        <v>2132</v>
      </c>
      <c r="B2133" s="7" t="s">
        <v>5016</v>
      </c>
      <c r="C2133" s="7" t="s">
        <v>5017</v>
      </c>
      <c r="G2133" s="8" t="s">
        <v>15</v>
      </c>
    </row>
    <row r="2134" spans="1:7" hidden="1" x14ac:dyDescent="0.25">
      <c r="A2134" s="21">
        <v>2133</v>
      </c>
      <c r="B2134" s="7" t="s">
        <v>5018</v>
      </c>
      <c r="C2134" s="7" t="s">
        <v>5019</v>
      </c>
      <c r="G2134" s="8" t="s">
        <v>15</v>
      </c>
    </row>
    <row r="2135" spans="1:7" hidden="1" x14ac:dyDescent="0.25">
      <c r="A2135" s="21">
        <v>2134</v>
      </c>
      <c r="B2135" s="7" t="s">
        <v>5020</v>
      </c>
      <c r="C2135" s="7" t="s">
        <v>5021</v>
      </c>
      <c r="G2135" s="8" t="s">
        <v>15</v>
      </c>
    </row>
    <row r="2136" spans="1:7" hidden="1" x14ac:dyDescent="0.25">
      <c r="A2136" s="21">
        <v>2135</v>
      </c>
      <c r="B2136" s="7" t="s">
        <v>5022</v>
      </c>
      <c r="C2136" s="7" t="s">
        <v>5023</v>
      </c>
      <c r="G2136" s="8" t="s">
        <v>15</v>
      </c>
    </row>
    <row r="2137" spans="1:7" hidden="1" x14ac:dyDescent="0.25">
      <c r="A2137" s="21">
        <v>2136</v>
      </c>
      <c r="B2137" s="7" t="s">
        <v>5024</v>
      </c>
      <c r="C2137" s="7" t="s">
        <v>5025</v>
      </c>
      <c r="G2137" s="8" t="s">
        <v>15</v>
      </c>
    </row>
    <row r="2138" spans="1:7" hidden="1" x14ac:dyDescent="0.25">
      <c r="A2138" s="21">
        <v>2137</v>
      </c>
      <c r="B2138" s="7" t="s">
        <v>5026</v>
      </c>
      <c r="C2138" s="7" t="s">
        <v>5027</v>
      </c>
      <c r="G2138" s="8" t="s">
        <v>15</v>
      </c>
    </row>
    <row r="2139" spans="1:7" hidden="1" x14ac:dyDescent="0.25">
      <c r="A2139" s="21">
        <v>2138</v>
      </c>
      <c r="B2139" s="7" t="s">
        <v>5028</v>
      </c>
      <c r="C2139" s="7" t="s">
        <v>5029</v>
      </c>
      <c r="G2139" s="8" t="s">
        <v>15</v>
      </c>
    </row>
    <row r="2140" spans="1:7" hidden="1" x14ac:dyDescent="0.25">
      <c r="A2140" s="21">
        <v>2139</v>
      </c>
      <c r="B2140" s="7" t="s">
        <v>5030</v>
      </c>
      <c r="C2140" s="7" t="s">
        <v>5031</v>
      </c>
      <c r="G2140" s="8" t="s">
        <v>15</v>
      </c>
    </row>
    <row r="2141" spans="1:7" hidden="1" x14ac:dyDescent="0.25">
      <c r="A2141" s="21">
        <v>2140</v>
      </c>
      <c r="B2141" s="7" t="s">
        <v>5032</v>
      </c>
      <c r="C2141" s="7" t="s">
        <v>5033</v>
      </c>
      <c r="G2141" s="8" t="s">
        <v>15</v>
      </c>
    </row>
    <row r="2142" spans="1:7" hidden="1" x14ac:dyDescent="0.25">
      <c r="A2142" s="21">
        <v>2141</v>
      </c>
      <c r="B2142" s="7" t="s">
        <v>5034</v>
      </c>
      <c r="C2142" s="7" t="s">
        <v>5035</v>
      </c>
      <c r="G2142" s="8" t="s">
        <v>15</v>
      </c>
    </row>
    <row r="2143" spans="1:7" hidden="1" x14ac:dyDescent="0.25">
      <c r="A2143" s="21">
        <v>2142</v>
      </c>
      <c r="B2143" s="7" t="s">
        <v>5036</v>
      </c>
      <c r="C2143" s="7" t="s">
        <v>5037</v>
      </c>
      <c r="G2143" s="8" t="s">
        <v>15</v>
      </c>
    </row>
    <row r="2144" spans="1:7" hidden="1" x14ac:dyDescent="0.25">
      <c r="A2144" s="21">
        <v>2143</v>
      </c>
      <c r="B2144" s="7" t="s">
        <v>5038</v>
      </c>
      <c r="C2144" s="7" t="s">
        <v>5039</v>
      </c>
      <c r="G2144" s="8" t="s">
        <v>15</v>
      </c>
    </row>
    <row r="2145" spans="1:7" hidden="1" x14ac:dyDescent="0.25">
      <c r="A2145" s="21">
        <v>2144</v>
      </c>
      <c r="B2145" s="7" t="s">
        <v>5040</v>
      </c>
      <c r="C2145" s="7" t="s">
        <v>5041</v>
      </c>
      <c r="G2145" s="8" t="s">
        <v>15</v>
      </c>
    </row>
    <row r="2146" spans="1:7" hidden="1" x14ac:dyDescent="0.25">
      <c r="A2146" s="21">
        <v>2145</v>
      </c>
      <c r="B2146" s="7" t="s">
        <v>5042</v>
      </c>
      <c r="C2146" s="7" t="s">
        <v>5043</v>
      </c>
      <c r="G2146" s="8" t="s">
        <v>15</v>
      </c>
    </row>
    <row r="2147" spans="1:7" hidden="1" x14ac:dyDescent="0.25">
      <c r="A2147" s="21">
        <v>2146</v>
      </c>
      <c r="B2147" s="7" t="s">
        <v>5044</v>
      </c>
      <c r="C2147" s="7" t="s">
        <v>5045</v>
      </c>
      <c r="G2147" s="8" t="s">
        <v>15</v>
      </c>
    </row>
    <row r="2148" spans="1:7" hidden="1" x14ac:dyDescent="0.25">
      <c r="A2148" s="21">
        <v>2147</v>
      </c>
      <c r="B2148" s="7" t="s">
        <v>5046</v>
      </c>
      <c r="C2148" s="7" t="s">
        <v>5047</v>
      </c>
      <c r="G2148" s="8" t="s">
        <v>15</v>
      </c>
    </row>
    <row r="2149" spans="1:7" hidden="1" x14ac:dyDescent="0.25">
      <c r="A2149" s="21">
        <v>2148</v>
      </c>
      <c r="B2149" s="7" t="s">
        <v>5048</v>
      </c>
      <c r="C2149" s="7" t="s">
        <v>5049</v>
      </c>
      <c r="G2149" s="8" t="s">
        <v>15</v>
      </c>
    </row>
    <row r="2150" spans="1:7" hidden="1" x14ac:dyDescent="0.25">
      <c r="A2150" s="21">
        <v>2149</v>
      </c>
      <c r="B2150" s="7" t="s">
        <v>5050</v>
      </c>
      <c r="C2150" s="7" t="s">
        <v>5051</v>
      </c>
      <c r="G2150" s="8" t="s">
        <v>15</v>
      </c>
    </row>
    <row r="2151" spans="1:7" hidden="1" x14ac:dyDescent="0.25">
      <c r="A2151" s="21">
        <v>2150</v>
      </c>
      <c r="B2151" s="7" t="s">
        <v>5052</v>
      </c>
      <c r="C2151" s="7" t="s">
        <v>5053</v>
      </c>
      <c r="G2151" s="8" t="s">
        <v>15</v>
      </c>
    </row>
    <row r="2152" spans="1:7" hidden="1" x14ac:dyDescent="0.25">
      <c r="A2152" s="21">
        <v>2151</v>
      </c>
      <c r="B2152" s="7" t="s">
        <v>5054</v>
      </c>
      <c r="C2152" s="7" t="s">
        <v>5055</v>
      </c>
      <c r="G2152" s="8" t="s">
        <v>15</v>
      </c>
    </row>
    <row r="2153" spans="1:7" hidden="1" x14ac:dyDescent="0.25">
      <c r="A2153" s="21">
        <v>2152</v>
      </c>
      <c r="B2153" s="7" t="s">
        <v>5056</v>
      </c>
      <c r="C2153" s="7" t="s">
        <v>5057</v>
      </c>
      <c r="G2153" s="8" t="s">
        <v>15</v>
      </c>
    </row>
    <row r="2154" spans="1:7" hidden="1" x14ac:dyDescent="0.25">
      <c r="A2154" s="21">
        <v>2153</v>
      </c>
      <c r="B2154" s="7" t="s">
        <v>5058</v>
      </c>
      <c r="C2154" s="7" t="s">
        <v>5059</v>
      </c>
      <c r="G2154" s="8" t="s">
        <v>15</v>
      </c>
    </row>
    <row r="2155" spans="1:7" hidden="1" x14ac:dyDescent="0.25">
      <c r="A2155" s="21">
        <v>2154</v>
      </c>
      <c r="B2155" s="7" t="s">
        <v>5060</v>
      </c>
      <c r="C2155" s="7" t="s">
        <v>5061</v>
      </c>
      <c r="G2155" s="8" t="s">
        <v>15</v>
      </c>
    </row>
    <row r="2156" spans="1:7" hidden="1" x14ac:dyDescent="0.25">
      <c r="A2156" s="21">
        <v>2155</v>
      </c>
      <c r="B2156" s="7" t="s">
        <v>5062</v>
      </c>
      <c r="C2156" s="7" t="s">
        <v>5063</v>
      </c>
      <c r="G2156" s="8" t="s">
        <v>15</v>
      </c>
    </row>
    <row r="2157" spans="1:7" hidden="1" x14ac:dyDescent="0.25">
      <c r="A2157" s="21">
        <v>2156</v>
      </c>
      <c r="B2157" s="7" t="s">
        <v>5064</v>
      </c>
      <c r="C2157" s="7" t="s">
        <v>5065</v>
      </c>
      <c r="G2157" s="8" t="s">
        <v>15</v>
      </c>
    </row>
    <row r="2158" spans="1:7" hidden="1" x14ac:dyDescent="0.25">
      <c r="A2158" s="21">
        <v>2157</v>
      </c>
      <c r="B2158" s="7" t="s">
        <v>5066</v>
      </c>
      <c r="C2158" s="7" t="s">
        <v>5067</v>
      </c>
      <c r="G2158" s="8" t="s">
        <v>15</v>
      </c>
    </row>
    <row r="2159" spans="1:7" hidden="1" x14ac:dyDescent="0.25">
      <c r="A2159" s="21">
        <v>2158</v>
      </c>
      <c r="B2159" s="7" t="s">
        <v>5068</v>
      </c>
      <c r="C2159" s="7" t="s">
        <v>5069</v>
      </c>
      <c r="G2159" s="8" t="s">
        <v>15</v>
      </c>
    </row>
    <row r="2160" spans="1:7" hidden="1" x14ac:dyDescent="0.25">
      <c r="A2160" s="21">
        <v>2159</v>
      </c>
      <c r="B2160" s="7" t="s">
        <v>5070</v>
      </c>
      <c r="C2160" s="7" t="s">
        <v>5071</v>
      </c>
      <c r="G2160" s="8" t="s">
        <v>15</v>
      </c>
    </row>
    <row r="2161" spans="1:7" hidden="1" x14ac:dyDescent="0.25">
      <c r="A2161" s="21">
        <v>2160</v>
      </c>
      <c r="B2161" s="7" t="s">
        <v>5072</v>
      </c>
      <c r="C2161" s="7" t="s">
        <v>5073</v>
      </c>
      <c r="G2161" s="8" t="s">
        <v>15</v>
      </c>
    </row>
    <row r="2162" spans="1:7" hidden="1" x14ac:dyDescent="0.25">
      <c r="A2162" s="21">
        <v>2161</v>
      </c>
      <c r="B2162" s="7" t="s">
        <v>5074</v>
      </c>
      <c r="C2162" s="7" t="s">
        <v>5075</v>
      </c>
      <c r="G2162" s="8" t="s">
        <v>15</v>
      </c>
    </row>
    <row r="2163" spans="1:7" hidden="1" x14ac:dyDescent="0.25">
      <c r="A2163" s="21">
        <v>2162</v>
      </c>
      <c r="B2163" s="7" t="s">
        <v>5076</v>
      </c>
      <c r="C2163" s="7" t="s">
        <v>5077</v>
      </c>
      <c r="G2163" s="8" t="s">
        <v>15</v>
      </c>
    </row>
    <row r="2164" spans="1:7" hidden="1" x14ac:dyDescent="0.25">
      <c r="A2164" s="21">
        <v>2163</v>
      </c>
      <c r="B2164" s="7" t="s">
        <v>5078</v>
      </c>
      <c r="C2164" s="7" t="s">
        <v>5079</v>
      </c>
      <c r="G2164" s="8" t="s">
        <v>15</v>
      </c>
    </row>
    <row r="2165" spans="1:7" hidden="1" x14ac:dyDescent="0.25">
      <c r="A2165" s="21">
        <v>2164</v>
      </c>
      <c r="B2165" s="7" t="s">
        <v>5080</v>
      </c>
      <c r="C2165" s="7" t="s">
        <v>5081</v>
      </c>
      <c r="G2165" s="8" t="s">
        <v>15</v>
      </c>
    </row>
    <row r="2166" spans="1:7" hidden="1" x14ac:dyDescent="0.25">
      <c r="A2166" s="21">
        <v>2165</v>
      </c>
      <c r="B2166" s="7" t="s">
        <v>5082</v>
      </c>
      <c r="C2166" s="7" t="s">
        <v>5083</v>
      </c>
      <c r="G2166" s="8" t="s">
        <v>15</v>
      </c>
    </row>
    <row r="2167" spans="1:7" hidden="1" x14ac:dyDescent="0.25">
      <c r="A2167" s="21">
        <v>2166</v>
      </c>
      <c r="B2167" s="7" t="s">
        <v>5084</v>
      </c>
      <c r="C2167" s="7" t="s">
        <v>5085</v>
      </c>
      <c r="G2167" s="8" t="s">
        <v>15</v>
      </c>
    </row>
    <row r="2168" spans="1:7" hidden="1" x14ac:dyDescent="0.25">
      <c r="A2168" s="21">
        <v>2167</v>
      </c>
      <c r="B2168" s="7" t="s">
        <v>5086</v>
      </c>
      <c r="C2168" s="7" t="s">
        <v>5087</v>
      </c>
      <c r="G2168" s="8" t="s">
        <v>15</v>
      </c>
    </row>
    <row r="2169" spans="1:7" hidden="1" x14ac:dyDescent="0.25">
      <c r="A2169" s="21">
        <v>2168</v>
      </c>
      <c r="B2169" s="7" t="s">
        <v>5088</v>
      </c>
      <c r="C2169" s="7" t="s">
        <v>5089</v>
      </c>
      <c r="G2169" s="8" t="s">
        <v>15</v>
      </c>
    </row>
    <row r="2170" spans="1:7" hidden="1" x14ac:dyDescent="0.25">
      <c r="A2170" s="21">
        <v>2169</v>
      </c>
      <c r="B2170" s="7" t="s">
        <v>5090</v>
      </c>
      <c r="C2170" s="7" t="s">
        <v>5091</v>
      </c>
      <c r="G2170" s="8" t="s">
        <v>15</v>
      </c>
    </row>
    <row r="2171" spans="1:7" hidden="1" x14ac:dyDescent="0.25">
      <c r="A2171" s="21">
        <v>2170</v>
      </c>
      <c r="B2171" s="7" t="s">
        <v>5092</v>
      </c>
      <c r="C2171" s="7" t="s">
        <v>5093</v>
      </c>
      <c r="G2171" s="8" t="s">
        <v>15</v>
      </c>
    </row>
    <row r="2172" spans="1:7" hidden="1" x14ac:dyDescent="0.25">
      <c r="A2172" s="21">
        <v>2171</v>
      </c>
      <c r="B2172" s="7" t="s">
        <v>5094</v>
      </c>
      <c r="C2172" s="7" t="s">
        <v>5095</v>
      </c>
      <c r="G2172" s="8" t="s">
        <v>15</v>
      </c>
    </row>
    <row r="2173" spans="1:7" hidden="1" x14ac:dyDescent="0.25">
      <c r="A2173" s="21">
        <v>2172</v>
      </c>
      <c r="B2173" s="7" t="s">
        <v>5096</v>
      </c>
      <c r="C2173" s="7" t="s">
        <v>5097</v>
      </c>
      <c r="G2173" s="8" t="s">
        <v>15</v>
      </c>
    </row>
    <row r="2174" spans="1:7" hidden="1" x14ac:dyDescent="0.25">
      <c r="A2174" s="21">
        <v>2173</v>
      </c>
      <c r="B2174" s="7" t="s">
        <v>5098</v>
      </c>
      <c r="C2174" s="7" t="s">
        <v>5099</v>
      </c>
      <c r="G2174" s="8" t="s">
        <v>15</v>
      </c>
    </row>
    <row r="2175" spans="1:7" hidden="1" x14ac:dyDescent="0.25">
      <c r="A2175" s="21">
        <v>2174</v>
      </c>
      <c r="B2175" s="7" t="s">
        <v>5100</v>
      </c>
      <c r="C2175" s="7" t="s">
        <v>5101</v>
      </c>
      <c r="G2175" s="8" t="s">
        <v>15</v>
      </c>
    </row>
    <row r="2176" spans="1:7" hidden="1" x14ac:dyDescent="0.25">
      <c r="A2176" s="21">
        <v>2175</v>
      </c>
      <c r="B2176" s="7" t="s">
        <v>5102</v>
      </c>
      <c r="C2176" s="7" t="s">
        <v>5103</v>
      </c>
      <c r="G2176" s="8" t="s">
        <v>15</v>
      </c>
    </row>
    <row r="2177" spans="1:7" hidden="1" x14ac:dyDescent="0.25">
      <c r="A2177" s="21">
        <v>2176</v>
      </c>
      <c r="B2177" s="7" t="s">
        <v>5104</v>
      </c>
      <c r="C2177" s="7" t="s">
        <v>5105</v>
      </c>
      <c r="G2177" s="8" t="s">
        <v>15</v>
      </c>
    </row>
    <row r="2178" spans="1:7" hidden="1" x14ac:dyDescent="0.25">
      <c r="A2178" s="21">
        <v>2177</v>
      </c>
      <c r="B2178" s="7" t="s">
        <v>5106</v>
      </c>
      <c r="C2178" s="7" t="s">
        <v>5107</v>
      </c>
      <c r="G2178" s="8" t="s">
        <v>15</v>
      </c>
    </row>
    <row r="2179" spans="1:7" hidden="1" x14ac:dyDescent="0.25">
      <c r="A2179" s="21">
        <v>2178</v>
      </c>
      <c r="B2179" s="7" t="s">
        <v>5108</v>
      </c>
      <c r="C2179" s="7" t="s">
        <v>5109</v>
      </c>
      <c r="G2179" s="8" t="s">
        <v>15</v>
      </c>
    </row>
    <row r="2180" spans="1:7" hidden="1" x14ac:dyDescent="0.25">
      <c r="A2180" s="21">
        <v>2179</v>
      </c>
      <c r="B2180" s="7" t="s">
        <v>5110</v>
      </c>
      <c r="C2180" s="7" t="s">
        <v>5111</v>
      </c>
      <c r="G2180" s="8" t="s">
        <v>15</v>
      </c>
    </row>
    <row r="2181" spans="1:7" hidden="1" x14ac:dyDescent="0.25">
      <c r="A2181" s="21">
        <v>2180</v>
      </c>
      <c r="B2181" s="7" t="s">
        <v>5112</v>
      </c>
      <c r="C2181" s="7" t="s">
        <v>5113</v>
      </c>
      <c r="G2181" s="8" t="s">
        <v>15</v>
      </c>
    </row>
    <row r="2182" spans="1:7" hidden="1" x14ac:dyDescent="0.25">
      <c r="A2182" s="21">
        <v>2181</v>
      </c>
      <c r="B2182" s="7" t="s">
        <v>5114</v>
      </c>
      <c r="C2182" s="7" t="s">
        <v>5115</v>
      </c>
      <c r="G2182" s="8" t="s">
        <v>15</v>
      </c>
    </row>
    <row r="2183" spans="1:7" hidden="1" x14ac:dyDescent="0.25">
      <c r="A2183" s="21">
        <v>2182</v>
      </c>
      <c r="B2183" s="7" t="s">
        <v>5116</v>
      </c>
      <c r="C2183" s="7" t="s">
        <v>5117</v>
      </c>
      <c r="G2183" s="8" t="s">
        <v>15</v>
      </c>
    </row>
    <row r="2184" spans="1:7" hidden="1" x14ac:dyDescent="0.25">
      <c r="A2184" s="21">
        <v>2183</v>
      </c>
      <c r="B2184" s="7" t="s">
        <v>5118</v>
      </c>
      <c r="C2184" s="7" t="s">
        <v>5119</v>
      </c>
      <c r="G2184" s="8" t="s">
        <v>15</v>
      </c>
    </row>
    <row r="2185" spans="1:7" hidden="1" x14ac:dyDescent="0.25">
      <c r="A2185" s="21">
        <v>2184</v>
      </c>
      <c r="B2185" s="7" t="s">
        <v>5120</v>
      </c>
      <c r="C2185" s="7" t="s">
        <v>5121</v>
      </c>
      <c r="G2185" s="8" t="s">
        <v>15</v>
      </c>
    </row>
    <row r="2186" spans="1:7" hidden="1" x14ac:dyDescent="0.25">
      <c r="A2186" s="21">
        <v>2185</v>
      </c>
      <c r="B2186" s="7" t="s">
        <v>5122</v>
      </c>
      <c r="C2186" s="7" t="s">
        <v>5123</v>
      </c>
      <c r="G2186" s="8" t="s">
        <v>15</v>
      </c>
    </row>
    <row r="2187" spans="1:7" hidden="1" x14ac:dyDescent="0.25">
      <c r="A2187" s="21">
        <v>2186</v>
      </c>
      <c r="B2187" s="7" t="s">
        <v>5124</v>
      </c>
      <c r="C2187" s="7" t="s">
        <v>5125</v>
      </c>
      <c r="G2187" s="8" t="s">
        <v>15</v>
      </c>
    </row>
    <row r="2188" spans="1:7" hidden="1" x14ac:dyDescent="0.25">
      <c r="A2188" s="21">
        <v>2187</v>
      </c>
      <c r="B2188" s="7" t="s">
        <v>5126</v>
      </c>
      <c r="C2188" s="7" t="s">
        <v>5127</v>
      </c>
      <c r="G2188" s="8" t="s">
        <v>15</v>
      </c>
    </row>
    <row r="2189" spans="1:7" hidden="1" x14ac:dyDescent="0.25">
      <c r="A2189" s="21">
        <v>2188</v>
      </c>
      <c r="B2189" s="7" t="s">
        <v>5128</v>
      </c>
      <c r="C2189" s="7" t="s">
        <v>5129</v>
      </c>
      <c r="G2189" s="8" t="s">
        <v>15</v>
      </c>
    </row>
    <row r="2190" spans="1:7" hidden="1" x14ac:dyDescent="0.25">
      <c r="A2190" s="21">
        <v>2189</v>
      </c>
      <c r="B2190" s="7" t="s">
        <v>5130</v>
      </c>
      <c r="C2190" s="7" t="s">
        <v>5131</v>
      </c>
      <c r="G2190" s="8" t="s">
        <v>15</v>
      </c>
    </row>
    <row r="2191" spans="1:7" hidden="1" x14ac:dyDescent="0.25">
      <c r="A2191" s="21">
        <v>2190</v>
      </c>
      <c r="B2191" s="7" t="s">
        <v>5132</v>
      </c>
      <c r="C2191" s="7" t="s">
        <v>5133</v>
      </c>
      <c r="G2191" s="8" t="s">
        <v>15</v>
      </c>
    </row>
    <row r="2192" spans="1:7" hidden="1" x14ac:dyDescent="0.25">
      <c r="A2192" s="21">
        <v>2191</v>
      </c>
      <c r="B2192" s="7" t="s">
        <v>5134</v>
      </c>
      <c r="C2192" s="7" t="s">
        <v>5135</v>
      </c>
      <c r="G2192" s="8" t="s">
        <v>15</v>
      </c>
    </row>
    <row r="2193" spans="1:7" hidden="1" x14ac:dyDescent="0.25">
      <c r="A2193" s="21">
        <v>2192</v>
      </c>
      <c r="B2193" s="7" t="s">
        <v>5136</v>
      </c>
      <c r="C2193" s="7" t="s">
        <v>5137</v>
      </c>
      <c r="G2193" s="8" t="s">
        <v>15</v>
      </c>
    </row>
    <row r="2194" spans="1:7" hidden="1" x14ac:dyDescent="0.25">
      <c r="A2194" s="21">
        <v>2193</v>
      </c>
      <c r="B2194" s="7" t="s">
        <v>5138</v>
      </c>
      <c r="C2194" s="7" t="s">
        <v>5139</v>
      </c>
      <c r="G2194" s="8" t="s">
        <v>15</v>
      </c>
    </row>
    <row r="2195" spans="1:7" hidden="1" x14ac:dyDescent="0.25">
      <c r="A2195" s="21">
        <v>2194</v>
      </c>
      <c r="B2195" s="7" t="s">
        <v>5140</v>
      </c>
      <c r="C2195" s="7" t="s">
        <v>5141</v>
      </c>
      <c r="G2195" s="8" t="s">
        <v>15</v>
      </c>
    </row>
    <row r="2196" spans="1:7" hidden="1" x14ac:dyDescent="0.25">
      <c r="A2196" s="21">
        <v>2195</v>
      </c>
      <c r="B2196" s="7" t="s">
        <v>5142</v>
      </c>
      <c r="C2196" s="7" t="s">
        <v>5143</v>
      </c>
      <c r="G2196" s="8" t="s">
        <v>15</v>
      </c>
    </row>
    <row r="2197" spans="1:7" hidden="1" x14ac:dyDescent="0.25">
      <c r="A2197" s="21">
        <v>2196</v>
      </c>
      <c r="B2197" s="7" t="s">
        <v>5144</v>
      </c>
      <c r="C2197" s="7" t="s">
        <v>5145</v>
      </c>
      <c r="G2197" s="8" t="s">
        <v>15</v>
      </c>
    </row>
    <row r="2198" spans="1:7" hidden="1" x14ac:dyDescent="0.25">
      <c r="A2198" s="21">
        <v>2197</v>
      </c>
      <c r="B2198" s="7" t="s">
        <v>5146</v>
      </c>
      <c r="C2198" s="7" t="s">
        <v>5147</v>
      </c>
      <c r="G2198" s="8" t="s">
        <v>15</v>
      </c>
    </row>
    <row r="2199" spans="1:7" hidden="1" x14ac:dyDescent="0.25">
      <c r="A2199" s="21">
        <v>2198</v>
      </c>
      <c r="B2199" s="7" t="s">
        <v>5148</v>
      </c>
      <c r="C2199" s="7" t="s">
        <v>5149</v>
      </c>
      <c r="G2199" s="8" t="s">
        <v>15</v>
      </c>
    </row>
    <row r="2200" spans="1:7" hidden="1" x14ac:dyDescent="0.25">
      <c r="A2200" s="21">
        <v>2199</v>
      </c>
      <c r="B2200" s="7" t="s">
        <v>5150</v>
      </c>
      <c r="C2200" s="7" t="s">
        <v>5151</v>
      </c>
      <c r="G2200" s="8" t="s">
        <v>15</v>
      </c>
    </row>
    <row r="2201" spans="1:7" hidden="1" x14ac:dyDescent="0.25">
      <c r="A2201" s="21">
        <v>2200</v>
      </c>
      <c r="B2201" s="7" t="s">
        <v>5152</v>
      </c>
      <c r="C2201" s="7" t="s">
        <v>5153</v>
      </c>
      <c r="G2201" s="8" t="s">
        <v>15</v>
      </c>
    </row>
    <row r="2202" spans="1:7" hidden="1" x14ac:dyDescent="0.25">
      <c r="A2202" s="21">
        <v>2201</v>
      </c>
      <c r="B2202" s="7" t="s">
        <v>5154</v>
      </c>
      <c r="C2202" s="7" t="s">
        <v>5155</v>
      </c>
      <c r="G2202" s="8" t="s">
        <v>15</v>
      </c>
    </row>
    <row r="2203" spans="1:7" hidden="1" x14ac:dyDescent="0.25">
      <c r="A2203" s="21">
        <v>2202</v>
      </c>
      <c r="B2203" s="7" t="s">
        <v>5156</v>
      </c>
      <c r="C2203" s="7" t="s">
        <v>5157</v>
      </c>
      <c r="G2203" s="8" t="s">
        <v>15</v>
      </c>
    </row>
    <row r="2204" spans="1:7" hidden="1" x14ac:dyDescent="0.25">
      <c r="A2204" s="21">
        <v>2203</v>
      </c>
      <c r="B2204" s="7" t="s">
        <v>5158</v>
      </c>
      <c r="C2204" s="7" t="s">
        <v>5159</v>
      </c>
      <c r="G2204" s="8" t="s">
        <v>15</v>
      </c>
    </row>
    <row r="2205" spans="1:7" hidden="1" x14ac:dyDescent="0.25">
      <c r="A2205" s="21">
        <v>2204</v>
      </c>
      <c r="B2205" s="7" t="s">
        <v>5160</v>
      </c>
      <c r="C2205" s="7" t="s">
        <v>5161</v>
      </c>
      <c r="G2205" s="8" t="s">
        <v>15</v>
      </c>
    </row>
    <row r="2206" spans="1:7" hidden="1" x14ac:dyDescent="0.25">
      <c r="A2206" s="21">
        <v>2205</v>
      </c>
      <c r="B2206" s="7" t="s">
        <v>5162</v>
      </c>
      <c r="C2206" s="7" t="s">
        <v>5163</v>
      </c>
      <c r="G2206" s="8" t="s">
        <v>15</v>
      </c>
    </row>
    <row r="2207" spans="1:7" hidden="1" x14ac:dyDescent="0.25">
      <c r="A2207" s="21">
        <v>2206</v>
      </c>
      <c r="B2207" s="7" t="s">
        <v>5164</v>
      </c>
      <c r="C2207" s="7" t="s">
        <v>5165</v>
      </c>
      <c r="G2207" s="8" t="s">
        <v>15</v>
      </c>
    </row>
    <row r="2208" spans="1:7" hidden="1" x14ac:dyDescent="0.25">
      <c r="A2208" s="21">
        <v>2207</v>
      </c>
      <c r="B2208" s="7" t="s">
        <v>5166</v>
      </c>
      <c r="C2208" s="7" t="s">
        <v>5167</v>
      </c>
      <c r="G2208" s="8" t="s">
        <v>15</v>
      </c>
    </row>
    <row r="2209" spans="1:7" hidden="1" x14ac:dyDescent="0.25">
      <c r="A2209" s="21">
        <v>2208</v>
      </c>
      <c r="B2209" s="7" t="s">
        <v>5168</v>
      </c>
      <c r="C2209" s="7" t="s">
        <v>5169</v>
      </c>
      <c r="G2209" s="8" t="s">
        <v>15</v>
      </c>
    </row>
    <row r="2210" spans="1:7" hidden="1" x14ac:dyDescent="0.25">
      <c r="A2210" s="21">
        <v>2209</v>
      </c>
      <c r="B2210" s="7" t="s">
        <v>5170</v>
      </c>
      <c r="C2210" s="7" t="s">
        <v>5171</v>
      </c>
      <c r="G2210" s="8" t="s">
        <v>15</v>
      </c>
    </row>
    <row r="2211" spans="1:7" hidden="1" x14ac:dyDescent="0.25">
      <c r="A2211" s="21">
        <v>2210</v>
      </c>
      <c r="B2211" s="7" t="s">
        <v>5172</v>
      </c>
      <c r="C2211" s="7" t="s">
        <v>5173</v>
      </c>
      <c r="G2211" s="8" t="s">
        <v>15</v>
      </c>
    </row>
    <row r="2212" spans="1:7" hidden="1" x14ac:dyDescent="0.25">
      <c r="A2212" s="21">
        <v>2211</v>
      </c>
      <c r="B2212" s="7" t="s">
        <v>5174</v>
      </c>
      <c r="C2212" s="7" t="s">
        <v>5175</v>
      </c>
      <c r="G2212" s="8" t="s">
        <v>15</v>
      </c>
    </row>
    <row r="2213" spans="1:7" hidden="1" x14ac:dyDescent="0.25">
      <c r="A2213" s="21">
        <v>2212</v>
      </c>
      <c r="B2213" s="7" t="s">
        <v>5176</v>
      </c>
      <c r="C2213" s="7" t="s">
        <v>5177</v>
      </c>
      <c r="G2213" s="8" t="s">
        <v>15</v>
      </c>
    </row>
    <row r="2214" spans="1:7" hidden="1" x14ac:dyDescent="0.25">
      <c r="A2214" s="21">
        <v>2213</v>
      </c>
      <c r="B2214" s="7" t="s">
        <v>5178</v>
      </c>
      <c r="C2214" s="7" t="s">
        <v>5179</v>
      </c>
      <c r="G2214" s="8" t="s">
        <v>15</v>
      </c>
    </row>
    <row r="2215" spans="1:7" hidden="1" x14ac:dyDescent="0.25">
      <c r="A2215" s="21">
        <v>2214</v>
      </c>
      <c r="B2215" s="7" t="s">
        <v>5180</v>
      </c>
      <c r="C2215" s="7" t="s">
        <v>5181</v>
      </c>
      <c r="G2215" s="8" t="s">
        <v>15</v>
      </c>
    </row>
    <row r="2216" spans="1:7" hidden="1" x14ac:dyDescent="0.25">
      <c r="A2216" s="21">
        <v>2215</v>
      </c>
      <c r="B2216" s="7" t="s">
        <v>5182</v>
      </c>
      <c r="C2216" s="7" t="s">
        <v>5183</v>
      </c>
      <c r="G2216" s="8" t="s">
        <v>15</v>
      </c>
    </row>
    <row r="2217" spans="1:7" hidden="1" x14ac:dyDescent="0.25">
      <c r="A2217" s="21">
        <v>2216</v>
      </c>
      <c r="B2217" s="7" t="s">
        <v>5184</v>
      </c>
      <c r="C2217" s="7" t="s">
        <v>5185</v>
      </c>
      <c r="G2217" s="8" t="s">
        <v>15</v>
      </c>
    </row>
    <row r="2218" spans="1:7" hidden="1" x14ac:dyDescent="0.25">
      <c r="A2218" s="21">
        <v>2217</v>
      </c>
      <c r="B2218" s="7" t="s">
        <v>5186</v>
      </c>
      <c r="C2218" s="7" t="s">
        <v>5187</v>
      </c>
      <c r="G2218" s="8" t="s">
        <v>15</v>
      </c>
    </row>
    <row r="2219" spans="1:7" hidden="1" x14ac:dyDescent="0.25">
      <c r="A2219" s="21">
        <v>2218</v>
      </c>
      <c r="B2219" s="7" t="s">
        <v>5188</v>
      </c>
      <c r="C2219" s="7" t="s">
        <v>5189</v>
      </c>
      <c r="G2219" s="8" t="s">
        <v>15</v>
      </c>
    </row>
    <row r="2220" spans="1:7" hidden="1" x14ac:dyDescent="0.25">
      <c r="A2220" s="21">
        <v>2219</v>
      </c>
      <c r="B2220" s="7" t="s">
        <v>5190</v>
      </c>
      <c r="C2220" s="7" t="s">
        <v>5191</v>
      </c>
      <c r="G2220" s="8" t="s">
        <v>15</v>
      </c>
    </row>
    <row r="2221" spans="1:7" hidden="1" x14ac:dyDescent="0.25">
      <c r="A2221" s="21">
        <v>2220</v>
      </c>
      <c r="B2221" s="7" t="s">
        <v>5192</v>
      </c>
      <c r="C2221" s="7" t="s">
        <v>5193</v>
      </c>
      <c r="G2221" s="8" t="s">
        <v>15</v>
      </c>
    </row>
    <row r="2222" spans="1:7" hidden="1" x14ac:dyDescent="0.25">
      <c r="A2222" s="21">
        <v>2221</v>
      </c>
      <c r="B2222" s="7" t="s">
        <v>5194</v>
      </c>
      <c r="C2222" s="7" t="s">
        <v>5195</v>
      </c>
      <c r="G2222" s="8" t="s">
        <v>15</v>
      </c>
    </row>
    <row r="2223" spans="1:7" hidden="1" x14ac:dyDescent="0.25">
      <c r="A2223" s="21">
        <v>2222</v>
      </c>
      <c r="B2223" s="7" t="s">
        <v>5196</v>
      </c>
      <c r="C2223" s="7" t="s">
        <v>5197</v>
      </c>
      <c r="G2223" s="8" t="s">
        <v>15</v>
      </c>
    </row>
    <row r="2224" spans="1:7" hidden="1" x14ac:dyDescent="0.25">
      <c r="A2224" s="21">
        <v>2223</v>
      </c>
      <c r="B2224" s="7" t="s">
        <v>5198</v>
      </c>
      <c r="C2224" s="7" t="s">
        <v>5199</v>
      </c>
      <c r="G2224" s="8" t="s">
        <v>15</v>
      </c>
    </row>
    <row r="2225" spans="1:7" hidden="1" x14ac:dyDescent="0.25">
      <c r="A2225" s="21">
        <v>2224</v>
      </c>
      <c r="B2225" s="7" t="s">
        <v>5200</v>
      </c>
      <c r="C2225" s="7" t="s">
        <v>5201</v>
      </c>
      <c r="G2225" s="8" t="s">
        <v>15</v>
      </c>
    </row>
    <row r="2226" spans="1:7" hidden="1" x14ac:dyDescent="0.25">
      <c r="A2226" s="21">
        <v>2225</v>
      </c>
      <c r="B2226" s="7" t="s">
        <v>5202</v>
      </c>
      <c r="C2226" s="7" t="s">
        <v>5203</v>
      </c>
      <c r="G2226" s="8" t="s">
        <v>15</v>
      </c>
    </row>
    <row r="2227" spans="1:7" hidden="1" x14ac:dyDescent="0.25">
      <c r="A2227" s="21">
        <v>2226</v>
      </c>
      <c r="B2227" s="7" t="s">
        <v>5204</v>
      </c>
      <c r="C2227" s="7" t="s">
        <v>5205</v>
      </c>
      <c r="G2227" s="8" t="s">
        <v>15</v>
      </c>
    </row>
    <row r="2228" spans="1:7" hidden="1" x14ac:dyDescent="0.25">
      <c r="A2228" s="21">
        <v>2227</v>
      </c>
      <c r="B2228" s="7" t="s">
        <v>5206</v>
      </c>
      <c r="C2228" s="7" t="s">
        <v>5207</v>
      </c>
      <c r="G2228" s="8" t="s">
        <v>15</v>
      </c>
    </row>
    <row r="2229" spans="1:7" hidden="1" x14ac:dyDescent="0.25">
      <c r="A2229" s="21">
        <v>2228</v>
      </c>
      <c r="B2229" s="7" t="s">
        <v>5208</v>
      </c>
      <c r="C2229" s="7" t="s">
        <v>5209</v>
      </c>
      <c r="G2229" s="8" t="s">
        <v>15</v>
      </c>
    </row>
    <row r="2230" spans="1:7" hidden="1" x14ac:dyDescent="0.25">
      <c r="A2230" s="21">
        <v>2229</v>
      </c>
      <c r="B2230" s="7" t="s">
        <v>5210</v>
      </c>
      <c r="C2230" s="7" t="s">
        <v>5211</v>
      </c>
      <c r="G2230" s="8" t="s">
        <v>15</v>
      </c>
    </row>
    <row r="2231" spans="1:7" hidden="1" x14ac:dyDescent="0.25">
      <c r="A2231" s="21">
        <v>2230</v>
      </c>
      <c r="B2231" s="7" t="s">
        <v>5212</v>
      </c>
      <c r="C2231" s="7" t="s">
        <v>5213</v>
      </c>
      <c r="G2231" s="8" t="s">
        <v>15</v>
      </c>
    </row>
    <row r="2232" spans="1:7" hidden="1" x14ac:dyDescent="0.25">
      <c r="A2232" s="21">
        <v>2231</v>
      </c>
      <c r="B2232" s="7" t="s">
        <v>5214</v>
      </c>
      <c r="C2232" s="7" t="s">
        <v>5215</v>
      </c>
      <c r="G2232" s="8" t="s">
        <v>15</v>
      </c>
    </row>
    <row r="2233" spans="1:7" hidden="1" x14ac:dyDescent="0.25">
      <c r="A2233" s="21">
        <v>2232</v>
      </c>
      <c r="B2233" s="7" t="s">
        <v>5216</v>
      </c>
      <c r="C2233" s="7" t="s">
        <v>5217</v>
      </c>
      <c r="G2233" s="8" t="s">
        <v>15</v>
      </c>
    </row>
    <row r="2234" spans="1:7" hidden="1" x14ac:dyDescent="0.25">
      <c r="A2234" s="21">
        <v>2233</v>
      </c>
      <c r="B2234" s="7" t="s">
        <v>5218</v>
      </c>
      <c r="C2234" s="7" t="s">
        <v>5219</v>
      </c>
      <c r="G2234" s="8" t="s">
        <v>15</v>
      </c>
    </row>
    <row r="2235" spans="1:7" hidden="1" x14ac:dyDescent="0.25">
      <c r="A2235" s="21">
        <v>2234</v>
      </c>
      <c r="B2235" s="7" t="s">
        <v>5220</v>
      </c>
      <c r="C2235" s="7" t="s">
        <v>5221</v>
      </c>
      <c r="G2235" s="8" t="s">
        <v>15</v>
      </c>
    </row>
    <row r="2236" spans="1:7" hidden="1" x14ac:dyDescent="0.25">
      <c r="A2236" s="21">
        <v>2235</v>
      </c>
      <c r="B2236" s="7" t="s">
        <v>5222</v>
      </c>
      <c r="C2236" s="7" t="s">
        <v>5223</v>
      </c>
      <c r="G2236" s="8" t="s">
        <v>15</v>
      </c>
    </row>
    <row r="2237" spans="1:7" hidden="1" x14ac:dyDescent="0.25">
      <c r="A2237" s="21">
        <v>2236</v>
      </c>
      <c r="B2237" s="7" t="s">
        <v>5224</v>
      </c>
      <c r="C2237" s="7" t="s">
        <v>5225</v>
      </c>
      <c r="G2237" s="8" t="s">
        <v>15</v>
      </c>
    </row>
    <row r="2238" spans="1:7" hidden="1" x14ac:dyDescent="0.25">
      <c r="A2238" s="21">
        <v>2237</v>
      </c>
      <c r="B2238" s="7" t="s">
        <v>5226</v>
      </c>
      <c r="C2238" s="7" t="s">
        <v>5227</v>
      </c>
      <c r="G2238" s="8" t="s">
        <v>15</v>
      </c>
    </row>
    <row r="2239" spans="1:7" hidden="1" x14ac:dyDescent="0.25">
      <c r="A2239" s="21">
        <v>2238</v>
      </c>
      <c r="B2239" s="7" t="s">
        <v>5228</v>
      </c>
      <c r="C2239" s="7" t="s">
        <v>5229</v>
      </c>
      <c r="G2239" s="8" t="s">
        <v>15</v>
      </c>
    </row>
    <row r="2240" spans="1:7" hidden="1" x14ac:dyDescent="0.25">
      <c r="A2240" s="21">
        <v>2239</v>
      </c>
      <c r="B2240" s="7" t="s">
        <v>5230</v>
      </c>
      <c r="C2240" s="7" t="s">
        <v>5231</v>
      </c>
      <c r="G2240" s="8" t="s">
        <v>15</v>
      </c>
    </row>
    <row r="2241" spans="1:7" hidden="1" x14ac:dyDescent="0.25">
      <c r="A2241" s="21">
        <v>2240</v>
      </c>
      <c r="B2241" s="7" t="s">
        <v>5232</v>
      </c>
      <c r="C2241" s="7" t="s">
        <v>5233</v>
      </c>
      <c r="G2241" s="8" t="s">
        <v>15</v>
      </c>
    </row>
    <row r="2242" spans="1:7" hidden="1" x14ac:dyDescent="0.25">
      <c r="A2242" s="21">
        <v>2241</v>
      </c>
      <c r="B2242" s="7" t="s">
        <v>5234</v>
      </c>
      <c r="C2242" s="7" t="s">
        <v>5235</v>
      </c>
      <c r="G2242" s="8" t="s">
        <v>15</v>
      </c>
    </row>
    <row r="2243" spans="1:7" hidden="1" x14ac:dyDescent="0.25">
      <c r="A2243" s="21">
        <v>2242</v>
      </c>
      <c r="B2243" s="7" t="s">
        <v>5236</v>
      </c>
      <c r="C2243" s="7" t="s">
        <v>5237</v>
      </c>
      <c r="G2243" s="8" t="s">
        <v>15</v>
      </c>
    </row>
    <row r="2244" spans="1:7" hidden="1" x14ac:dyDescent="0.25">
      <c r="A2244" s="21">
        <v>2243</v>
      </c>
      <c r="B2244" s="7" t="s">
        <v>5238</v>
      </c>
      <c r="C2244" s="7" t="s">
        <v>5239</v>
      </c>
      <c r="G2244" s="8" t="s">
        <v>15</v>
      </c>
    </row>
    <row r="2245" spans="1:7" hidden="1" x14ac:dyDescent="0.25">
      <c r="A2245" s="21">
        <v>2244</v>
      </c>
      <c r="B2245" s="7" t="s">
        <v>5240</v>
      </c>
      <c r="C2245" s="7" t="s">
        <v>5241</v>
      </c>
      <c r="G2245" s="8" t="s">
        <v>15</v>
      </c>
    </row>
    <row r="2246" spans="1:7" hidden="1" x14ac:dyDescent="0.25">
      <c r="A2246" s="21">
        <v>2245</v>
      </c>
      <c r="B2246" s="7" t="s">
        <v>5242</v>
      </c>
      <c r="C2246" s="7" t="s">
        <v>5243</v>
      </c>
      <c r="G2246" s="8" t="s">
        <v>15</v>
      </c>
    </row>
    <row r="2247" spans="1:7" hidden="1" x14ac:dyDescent="0.25">
      <c r="A2247" s="21">
        <v>2246</v>
      </c>
      <c r="B2247" s="7" t="s">
        <v>5244</v>
      </c>
      <c r="C2247" s="7" t="s">
        <v>5245</v>
      </c>
      <c r="G2247" s="8" t="s">
        <v>15</v>
      </c>
    </row>
    <row r="2248" spans="1:7" hidden="1" x14ac:dyDescent="0.25">
      <c r="A2248" s="21">
        <v>2247</v>
      </c>
      <c r="B2248" s="7" t="s">
        <v>5246</v>
      </c>
      <c r="C2248" s="7" t="s">
        <v>5247</v>
      </c>
      <c r="G2248" s="8" t="s">
        <v>15</v>
      </c>
    </row>
    <row r="2249" spans="1:7" hidden="1" x14ac:dyDescent="0.25">
      <c r="A2249" s="21">
        <v>2248</v>
      </c>
      <c r="B2249" s="7" t="s">
        <v>5248</v>
      </c>
      <c r="C2249" s="7" t="s">
        <v>5249</v>
      </c>
      <c r="G2249" s="8" t="s">
        <v>15</v>
      </c>
    </row>
    <row r="2250" spans="1:7" hidden="1" x14ac:dyDescent="0.25">
      <c r="A2250" s="21">
        <v>2249</v>
      </c>
      <c r="B2250" s="7" t="s">
        <v>5250</v>
      </c>
      <c r="C2250" s="7" t="s">
        <v>5251</v>
      </c>
      <c r="G2250" s="8" t="s">
        <v>15</v>
      </c>
    </row>
    <row r="2251" spans="1:7" hidden="1" x14ac:dyDescent="0.25">
      <c r="A2251" s="21">
        <v>2250</v>
      </c>
      <c r="B2251" s="7" t="s">
        <v>5252</v>
      </c>
      <c r="C2251" s="7" t="s">
        <v>5253</v>
      </c>
      <c r="G2251" s="8" t="s">
        <v>15</v>
      </c>
    </row>
    <row r="2252" spans="1:7" hidden="1" x14ac:dyDescent="0.25">
      <c r="A2252" s="21">
        <v>2251</v>
      </c>
      <c r="B2252" s="7" t="s">
        <v>5254</v>
      </c>
      <c r="C2252" s="7" t="s">
        <v>5255</v>
      </c>
      <c r="G2252" s="8" t="s">
        <v>15</v>
      </c>
    </row>
    <row r="2253" spans="1:7" hidden="1" x14ac:dyDescent="0.25">
      <c r="A2253" s="21">
        <v>2252</v>
      </c>
      <c r="B2253" s="7" t="s">
        <v>5256</v>
      </c>
      <c r="C2253" s="7" t="s">
        <v>5257</v>
      </c>
      <c r="G2253" s="8" t="s">
        <v>15</v>
      </c>
    </row>
    <row r="2254" spans="1:7" hidden="1" x14ac:dyDescent="0.25">
      <c r="A2254" s="21">
        <v>2253</v>
      </c>
      <c r="B2254" s="7" t="s">
        <v>5258</v>
      </c>
      <c r="C2254" s="7" t="s">
        <v>5259</v>
      </c>
      <c r="G2254" s="8" t="s">
        <v>15</v>
      </c>
    </row>
    <row r="2255" spans="1:7" hidden="1" x14ac:dyDescent="0.25">
      <c r="A2255" s="21">
        <v>2254</v>
      </c>
      <c r="B2255" s="7" t="s">
        <v>5260</v>
      </c>
      <c r="C2255" s="7" t="s">
        <v>5261</v>
      </c>
      <c r="G2255" s="8" t="s">
        <v>15</v>
      </c>
    </row>
    <row r="2256" spans="1:7" hidden="1" x14ac:dyDescent="0.25">
      <c r="A2256" s="21">
        <v>2255</v>
      </c>
      <c r="B2256" s="7" t="s">
        <v>5262</v>
      </c>
      <c r="C2256" s="7" t="s">
        <v>5263</v>
      </c>
      <c r="G2256" s="8" t="s">
        <v>15</v>
      </c>
    </row>
    <row r="2257" spans="1:7" hidden="1" x14ac:dyDescent="0.25">
      <c r="A2257" s="21">
        <v>2256</v>
      </c>
      <c r="B2257" s="7" t="s">
        <v>5264</v>
      </c>
      <c r="C2257" s="7" t="s">
        <v>5265</v>
      </c>
      <c r="G2257" s="8" t="s">
        <v>15</v>
      </c>
    </row>
    <row r="2258" spans="1:7" hidden="1" x14ac:dyDescent="0.25">
      <c r="A2258" s="21">
        <v>2257</v>
      </c>
      <c r="B2258" s="7" t="s">
        <v>5266</v>
      </c>
      <c r="C2258" s="7" t="s">
        <v>5267</v>
      </c>
      <c r="G2258" s="8" t="s">
        <v>15</v>
      </c>
    </row>
    <row r="2259" spans="1:7" hidden="1" x14ac:dyDescent="0.25">
      <c r="A2259" s="21">
        <v>2258</v>
      </c>
      <c r="B2259" s="7" t="s">
        <v>5268</v>
      </c>
      <c r="C2259" s="7" t="s">
        <v>5269</v>
      </c>
      <c r="G2259" s="8" t="s">
        <v>15</v>
      </c>
    </row>
    <row r="2260" spans="1:7" hidden="1" x14ac:dyDescent="0.25">
      <c r="A2260" s="21">
        <v>2259</v>
      </c>
      <c r="B2260" s="7" t="s">
        <v>5270</v>
      </c>
      <c r="C2260" s="7" t="s">
        <v>5271</v>
      </c>
      <c r="G2260" s="8" t="s">
        <v>15</v>
      </c>
    </row>
    <row r="2261" spans="1:7" hidden="1" x14ac:dyDescent="0.25">
      <c r="A2261" s="21">
        <v>2260</v>
      </c>
      <c r="B2261" s="7" t="s">
        <v>5272</v>
      </c>
      <c r="C2261" s="7" t="s">
        <v>5273</v>
      </c>
      <c r="G2261" s="8" t="s">
        <v>15</v>
      </c>
    </row>
    <row r="2262" spans="1:7" hidden="1" x14ac:dyDescent="0.25">
      <c r="A2262" s="21">
        <v>2261</v>
      </c>
      <c r="B2262" s="7" t="s">
        <v>5274</v>
      </c>
      <c r="C2262" s="7" t="s">
        <v>5275</v>
      </c>
      <c r="G2262" s="8" t="s">
        <v>15</v>
      </c>
    </row>
    <row r="2263" spans="1:7" hidden="1" x14ac:dyDescent="0.25">
      <c r="A2263" s="21">
        <v>2262</v>
      </c>
      <c r="B2263" s="7" t="s">
        <v>5276</v>
      </c>
      <c r="C2263" s="7" t="s">
        <v>5277</v>
      </c>
      <c r="G2263" s="8" t="s">
        <v>15</v>
      </c>
    </row>
    <row r="2264" spans="1:7" hidden="1" x14ac:dyDescent="0.25">
      <c r="A2264" s="21">
        <v>2263</v>
      </c>
      <c r="B2264" s="7" t="s">
        <v>5278</v>
      </c>
      <c r="C2264" s="7" t="s">
        <v>5279</v>
      </c>
      <c r="G2264" s="8" t="s">
        <v>15</v>
      </c>
    </row>
    <row r="2265" spans="1:7" hidden="1" x14ac:dyDescent="0.25">
      <c r="A2265" s="21">
        <v>2264</v>
      </c>
      <c r="B2265" s="7" t="s">
        <v>5280</v>
      </c>
      <c r="C2265" s="7" t="s">
        <v>5281</v>
      </c>
      <c r="G2265" s="8" t="s">
        <v>15</v>
      </c>
    </row>
    <row r="2266" spans="1:7" hidden="1" x14ac:dyDescent="0.25">
      <c r="A2266" s="21">
        <v>2265</v>
      </c>
      <c r="B2266" s="7" t="s">
        <v>5282</v>
      </c>
      <c r="C2266" s="7" t="s">
        <v>5283</v>
      </c>
      <c r="G2266" s="8" t="s">
        <v>15</v>
      </c>
    </row>
    <row r="2267" spans="1:7" hidden="1" x14ac:dyDescent="0.25">
      <c r="A2267" s="21">
        <v>2266</v>
      </c>
      <c r="B2267" s="7" t="s">
        <v>5284</v>
      </c>
      <c r="C2267" s="7" t="s">
        <v>5285</v>
      </c>
      <c r="F2267" s="8" t="s">
        <v>33</v>
      </c>
      <c r="G2267" s="8" t="s">
        <v>15</v>
      </c>
    </row>
    <row r="2268" spans="1:7" hidden="1" x14ac:dyDescent="0.25">
      <c r="A2268" s="21">
        <v>2267</v>
      </c>
      <c r="B2268" s="7" t="s">
        <v>5286</v>
      </c>
      <c r="C2268" s="7" t="s">
        <v>5287</v>
      </c>
      <c r="G2268" s="8" t="s">
        <v>15</v>
      </c>
    </row>
    <row r="2269" spans="1:7" hidden="1" x14ac:dyDescent="0.25">
      <c r="A2269" s="21">
        <v>2268</v>
      </c>
      <c r="B2269" s="7" t="s">
        <v>5288</v>
      </c>
      <c r="C2269" s="7" t="s">
        <v>5289</v>
      </c>
      <c r="G2269" s="8" t="s">
        <v>15</v>
      </c>
    </row>
    <row r="2270" spans="1:7" hidden="1" x14ac:dyDescent="0.25">
      <c r="A2270" s="21">
        <v>2269</v>
      </c>
      <c r="B2270" s="7" t="s">
        <v>5290</v>
      </c>
      <c r="C2270" s="7" t="s">
        <v>5291</v>
      </c>
      <c r="G2270" s="8" t="s">
        <v>15</v>
      </c>
    </row>
    <row r="2271" spans="1:7" hidden="1" x14ac:dyDescent="0.25">
      <c r="A2271" s="21">
        <v>2270</v>
      </c>
      <c r="B2271" s="7" t="s">
        <v>5292</v>
      </c>
      <c r="C2271" s="7" t="s">
        <v>5293</v>
      </c>
      <c r="G2271" s="8" t="s">
        <v>15</v>
      </c>
    </row>
    <row r="2272" spans="1:7" hidden="1" x14ac:dyDescent="0.25">
      <c r="A2272" s="21">
        <v>2271</v>
      </c>
      <c r="B2272" s="7" t="s">
        <v>5294</v>
      </c>
      <c r="C2272" s="7" t="s">
        <v>5295</v>
      </c>
      <c r="G2272" s="8" t="s">
        <v>15</v>
      </c>
    </row>
    <row r="2273" spans="1:13" hidden="1" x14ac:dyDescent="0.25">
      <c r="A2273" s="21">
        <v>2272</v>
      </c>
      <c r="B2273" s="7" t="s">
        <v>5296</v>
      </c>
      <c r="C2273" s="7" t="s">
        <v>5297</v>
      </c>
      <c r="G2273" s="8" t="s">
        <v>15</v>
      </c>
    </row>
    <row r="2274" spans="1:13" hidden="1" x14ac:dyDescent="0.25">
      <c r="A2274" s="21">
        <v>2273</v>
      </c>
      <c r="B2274" s="7" t="s">
        <v>5298</v>
      </c>
      <c r="C2274" s="7" t="s">
        <v>5299</v>
      </c>
      <c r="F2274" s="8" t="s">
        <v>5300</v>
      </c>
      <c r="G2274" s="8" t="s">
        <v>15</v>
      </c>
      <c r="H2274" s="8" t="s">
        <v>722</v>
      </c>
      <c r="I2274" s="8" t="s">
        <v>5301</v>
      </c>
      <c r="J2274" s="8" t="s">
        <v>407</v>
      </c>
      <c r="K2274" s="8" t="s">
        <v>724</v>
      </c>
      <c r="L2274" s="8" t="s">
        <v>5302</v>
      </c>
      <c r="M2274" s="8" t="s">
        <v>5303</v>
      </c>
    </row>
    <row r="2275" spans="1:13" hidden="1" x14ac:dyDescent="0.25">
      <c r="A2275" s="21">
        <v>2274</v>
      </c>
      <c r="B2275" s="7" t="s">
        <v>5304</v>
      </c>
      <c r="C2275" s="7" t="s">
        <v>5305</v>
      </c>
      <c r="G2275" s="8" t="s">
        <v>15</v>
      </c>
    </row>
    <row r="2276" spans="1:13" hidden="1" x14ac:dyDescent="0.25">
      <c r="A2276" s="21">
        <v>2275</v>
      </c>
      <c r="B2276" s="7" t="s">
        <v>5306</v>
      </c>
      <c r="C2276" s="7" t="s">
        <v>5307</v>
      </c>
      <c r="G2276" s="8" t="s">
        <v>15</v>
      </c>
    </row>
    <row r="2277" spans="1:13" hidden="1" x14ac:dyDescent="0.25">
      <c r="A2277" s="21">
        <v>2276</v>
      </c>
      <c r="B2277" s="7" t="s">
        <v>5308</v>
      </c>
      <c r="C2277" s="7" t="s">
        <v>5309</v>
      </c>
      <c r="G2277" s="8" t="s">
        <v>15</v>
      </c>
    </row>
    <row r="2278" spans="1:13" hidden="1" x14ac:dyDescent="0.25">
      <c r="A2278" s="21">
        <v>2277</v>
      </c>
      <c r="B2278" s="7" t="s">
        <v>5310</v>
      </c>
      <c r="C2278" s="7" t="s">
        <v>5311</v>
      </c>
      <c r="G2278" s="8" t="s">
        <v>15</v>
      </c>
    </row>
    <row r="2279" spans="1:13" hidden="1" x14ac:dyDescent="0.25">
      <c r="A2279" s="21">
        <v>2278</v>
      </c>
      <c r="B2279" s="7" t="s">
        <v>5312</v>
      </c>
      <c r="C2279" s="7" t="s">
        <v>5313</v>
      </c>
      <c r="G2279" s="8" t="s">
        <v>15</v>
      </c>
    </row>
    <row r="2280" spans="1:13" hidden="1" x14ac:dyDescent="0.25">
      <c r="A2280" s="21">
        <v>2279</v>
      </c>
      <c r="B2280" s="7" t="s">
        <v>5314</v>
      </c>
      <c r="C2280" s="7" t="s">
        <v>5315</v>
      </c>
      <c r="G2280" s="8" t="s">
        <v>15</v>
      </c>
    </row>
    <row r="2281" spans="1:13" hidden="1" x14ac:dyDescent="0.25">
      <c r="A2281" s="21">
        <v>2280</v>
      </c>
      <c r="B2281" s="7" t="s">
        <v>5316</v>
      </c>
      <c r="C2281" s="7" t="s">
        <v>5317</v>
      </c>
      <c r="G2281" s="8" t="s">
        <v>15</v>
      </c>
    </row>
    <row r="2282" spans="1:13" hidden="1" x14ac:dyDescent="0.25">
      <c r="A2282" s="21">
        <v>2281</v>
      </c>
      <c r="B2282" s="7" t="s">
        <v>5318</v>
      </c>
      <c r="C2282" s="7" t="s">
        <v>5319</v>
      </c>
      <c r="G2282" s="8" t="s">
        <v>15</v>
      </c>
    </row>
    <row r="2283" spans="1:13" hidden="1" x14ac:dyDescent="0.25">
      <c r="A2283" s="21">
        <v>2282</v>
      </c>
      <c r="B2283" s="7" t="s">
        <v>5320</v>
      </c>
      <c r="C2283" s="7" t="s">
        <v>5321</v>
      </c>
      <c r="G2283" s="8" t="s">
        <v>15</v>
      </c>
    </row>
    <row r="2284" spans="1:13" hidden="1" x14ac:dyDescent="0.25">
      <c r="A2284" s="21">
        <v>2283</v>
      </c>
      <c r="B2284" s="7" t="s">
        <v>5322</v>
      </c>
      <c r="C2284" s="7" t="s">
        <v>5323</v>
      </c>
      <c r="G2284" s="8" t="s">
        <v>15</v>
      </c>
    </row>
    <row r="2285" spans="1:13" hidden="1" x14ac:dyDescent="0.25">
      <c r="A2285" s="21">
        <v>2284</v>
      </c>
      <c r="B2285" s="7" t="s">
        <v>5324</v>
      </c>
      <c r="C2285" s="7" t="s">
        <v>5325</v>
      </c>
      <c r="G2285" s="8" t="s">
        <v>15</v>
      </c>
    </row>
    <row r="2286" spans="1:13" hidden="1" x14ac:dyDescent="0.25">
      <c r="A2286" s="21">
        <v>2285</v>
      </c>
      <c r="B2286" s="7" t="s">
        <v>5326</v>
      </c>
      <c r="C2286" s="7" t="s">
        <v>5327</v>
      </c>
      <c r="G2286" s="8" t="s">
        <v>15</v>
      </c>
    </row>
    <row r="2287" spans="1:13" hidden="1" x14ac:dyDescent="0.25">
      <c r="A2287" s="21">
        <v>2286</v>
      </c>
      <c r="B2287" s="7" t="s">
        <v>5328</v>
      </c>
      <c r="C2287" s="7" t="s">
        <v>5329</v>
      </c>
      <c r="G2287" s="8" t="s">
        <v>15</v>
      </c>
    </row>
    <row r="2288" spans="1:13" hidden="1" x14ac:dyDescent="0.25">
      <c r="A2288" s="21">
        <v>2287</v>
      </c>
      <c r="B2288" s="7" t="s">
        <v>5330</v>
      </c>
      <c r="C2288" s="7" t="s">
        <v>5331</v>
      </c>
      <c r="G2288" s="8" t="s">
        <v>15</v>
      </c>
    </row>
    <row r="2289" spans="1:7" hidden="1" x14ac:dyDescent="0.25">
      <c r="A2289" s="21">
        <v>2288</v>
      </c>
      <c r="B2289" s="7" t="s">
        <v>5332</v>
      </c>
      <c r="C2289" s="7" t="s">
        <v>5333</v>
      </c>
      <c r="G2289" s="8" t="s">
        <v>15</v>
      </c>
    </row>
    <row r="2290" spans="1:7" hidden="1" x14ac:dyDescent="0.25">
      <c r="A2290" s="21">
        <v>2289</v>
      </c>
      <c r="B2290" s="7" t="s">
        <v>5334</v>
      </c>
      <c r="C2290" s="7" t="s">
        <v>5335</v>
      </c>
      <c r="G2290" s="8" t="s">
        <v>15</v>
      </c>
    </row>
    <row r="2291" spans="1:7" hidden="1" x14ac:dyDescent="0.25">
      <c r="A2291" s="21">
        <v>2290</v>
      </c>
      <c r="B2291" s="7" t="s">
        <v>5336</v>
      </c>
      <c r="C2291" s="7" t="s">
        <v>5337</v>
      </c>
      <c r="G2291" s="8" t="s">
        <v>15</v>
      </c>
    </row>
    <row r="2292" spans="1:7" hidden="1" x14ac:dyDescent="0.25">
      <c r="A2292" s="21">
        <v>2291</v>
      </c>
      <c r="B2292" s="7" t="s">
        <v>5338</v>
      </c>
      <c r="C2292" s="7" t="s">
        <v>5339</v>
      </c>
      <c r="G2292" s="8" t="s">
        <v>15</v>
      </c>
    </row>
    <row r="2293" spans="1:7" hidden="1" x14ac:dyDescent="0.25">
      <c r="A2293" s="21">
        <v>2292</v>
      </c>
      <c r="B2293" s="7" t="s">
        <v>5340</v>
      </c>
      <c r="C2293" s="7" t="s">
        <v>5341</v>
      </c>
      <c r="G2293" s="8" t="s">
        <v>15</v>
      </c>
    </row>
    <row r="2294" spans="1:7" hidden="1" x14ac:dyDescent="0.25">
      <c r="A2294" s="21">
        <v>2293</v>
      </c>
      <c r="B2294" s="7" t="s">
        <v>5342</v>
      </c>
      <c r="C2294" s="7" t="s">
        <v>5343</v>
      </c>
      <c r="G2294" s="8" t="s">
        <v>15</v>
      </c>
    </row>
    <row r="2295" spans="1:7" hidden="1" x14ac:dyDescent="0.25">
      <c r="A2295" s="21">
        <v>2294</v>
      </c>
      <c r="B2295" s="7" t="s">
        <v>5344</v>
      </c>
      <c r="C2295" s="7" t="s">
        <v>5345</v>
      </c>
      <c r="G2295" s="8" t="s">
        <v>15</v>
      </c>
    </row>
    <row r="2296" spans="1:7" hidden="1" x14ac:dyDescent="0.25">
      <c r="A2296" s="21">
        <v>2295</v>
      </c>
      <c r="B2296" s="7" t="s">
        <v>5346</v>
      </c>
      <c r="C2296" s="7" t="s">
        <v>5347</v>
      </c>
      <c r="G2296" s="8" t="s">
        <v>15</v>
      </c>
    </row>
    <row r="2297" spans="1:7" hidden="1" x14ac:dyDescent="0.25">
      <c r="A2297" s="21">
        <v>2296</v>
      </c>
      <c r="B2297" s="7" t="s">
        <v>5348</v>
      </c>
      <c r="C2297" s="7" t="s">
        <v>5349</v>
      </c>
      <c r="G2297" s="8" t="s">
        <v>15</v>
      </c>
    </row>
    <row r="2298" spans="1:7" hidden="1" x14ac:dyDescent="0.25">
      <c r="A2298" s="21">
        <v>2297</v>
      </c>
      <c r="B2298" s="7" t="s">
        <v>5350</v>
      </c>
      <c r="C2298" s="7" t="s">
        <v>5351</v>
      </c>
      <c r="G2298" s="8" t="s">
        <v>15</v>
      </c>
    </row>
    <row r="2299" spans="1:7" hidden="1" x14ac:dyDescent="0.25">
      <c r="A2299" s="21">
        <v>2298</v>
      </c>
      <c r="B2299" s="7" t="s">
        <v>5352</v>
      </c>
      <c r="C2299" s="7" t="s">
        <v>5353</v>
      </c>
      <c r="F2299" t="s">
        <v>1603</v>
      </c>
      <c r="G2299" s="8" t="s">
        <v>15</v>
      </c>
    </row>
    <row r="2300" spans="1:7" hidden="1" x14ac:dyDescent="0.25">
      <c r="A2300" s="21">
        <v>2299</v>
      </c>
      <c r="B2300" s="7" t="s">
        <v>5354</v>
      </c>
      <c r="C2300" s="7" t="s">
        <v>5355</v>
      </c>
      <c r="F2300" t="s">
        <v>1603</v>
      </c>
      <c r="G2300" s="8" t="s">
        <v>15</v>
      </c>
    </row>
    <row r="2301" spans="1:7" hidden="1" x14ac:dyDescent="0.25">
      <c r="A2301" s="21">
        <v>2300</v>
      </c>
      <c r="B2301" s="7" t="s">
        <v>5356</v>
      </c>
      <c r="C2301" s="7" t="s">
        <v>5357</v>
      </c>
      <c r="F2301" t="s">
        <v>1603</v>
      </c>
      <c r="G2301" s="8" t="s">
        <v>15</v>
      </c>
    </row>
    <row r="2302" spans="1:7" hidden="1" x14ac:dyDescent="0.25">
      <c r="A2302" s="21">
        <v>2301</v>
      </c>
      <c r="B2302" s="7" t="s">
        <v>5358</v>
      </c>
      <c r="C2302" s="7" t="s">
        <v>5359</v>
      </c>
      <c r="F2302" t="s">
        <v>1603</v>
      </c>
      <c r="G2302" s="8" t="s">
        <v>15</v>
      </c>
    </row>
    <row r="2303" spans="1:7" hidden="1" x14ac:dyDescent="0.25">
      <c r="A2303" s="21">
        <v>2302</v>
      </c>
      <c r="B2303" s="7" t="s">
        <v>5360</v>
      </c>
      <c r="C2303" s="7" t="s">
        <v>5361</v>
      </c>
      <c r="F2303" t="s">
        <v>1603</v>
      </c>
      <c r="G2303" s="8" t="s">
        <v>15</v>
      </c>
    </row>
    <row r="2304" spans="1:7" hidden="1" x14ac:dyDescent="0.25">
      <c r="A2304" s="21">
        <v>2303</v>
      </c>
      <c r="B2304" s="7" t="s">
        <v>5362</v>
      </c>
      <c r="C2304" s="7" t="s">
        <v>5363</v>
      </c>
      <c r="F2304" t="s">
        <v>1603</v>
      </c>
      <c r="G2304" s="8" t="s">
        <v>15</v>
      </c>
    </row>
    <row r="2305" spans="1:7" hidden="1" x14ac:dyDescent="0.25">
      <c r="A2305" s="21">
        <v>2304</v>
      </c>
      <c r="B2305" s="7" t="s">
        <v>5364</v>
      </c>
      <c r="C2305" s="7" t="s">
        <v>5365</v>
      </c>
      <c r="F2305" t="s">
        <v>1603</v>
      </c>
      <c r="G2305" s="8" t="s">
        <v>15</v>
      </c>
    </row>
    <row r="2306" spans="1:7" hidden="1" x14ac:dyDescent="0.25">
      <c r="A2306" s="21">
        <v>2305</v>
      </c>
      <c r="B2306" s="7" t="s">
        <v>5366</v>
      </c>
      <c r="C2306" s="7" t="s">
        <v>5367</v>
      </c>
      <c r="F2306" t="s">
        <v>1603</v>
      </c>
      <c r="G2306" s="8" t="s">
        <v>15</v>
      </c>
    </row>
    <row r="2307" spans="1:7" hidden="1" x14ac:dyDescent="0.25">
      <c r="A2307" s="21">
        <v>2306</v>
      </c>
      <c r="B2307" s="7" t="s">
        <v>5368</v>
      </c>
      <c r="C2307" s="7" t="s">
        <v>5369</v>
      </c>
      <c r="F2307" t="s">
        <v>1603</v>
      </c>
      <c r="G2307" s="8" t="s">
        <v>15</v>
      </c>
    </row>
    <row r="2308" spans="1:7" hidden="1" x14ac:dyDescent="0.25">
      <c r="A2308" s="21">
        <v>2307</v>
      </c>
      <c r="B2308" s="7" t="s">
        <v>5370</v>
      </c>
      <c r="C2308" s="7" t="s">
        <v>5371</v>
      </c>
      <c r="F2308" t="s">
        <v>1603</v>
      </c>
      <c r="G2308" s="8" t="s">
        <v>15</v>
      </c>
    </row>
    <row r="2309" spans="1:7" hidden="1" x14ac:dyDescent="0.25">
      <c r="A2309" s="21">
        <v>2308</v>
      </c>
      <c r="B2309" s="7" t="s">
        <v>5372</v>
      </c>
      <c r="C2309" s="7" t="s">
        <v>5373</v>
      </c>
      <c r="F2309" t="s">
        <v>1603</v>
      </c>
      <c r="G2309" s="8" t="s">
        <v>15</v>
      </c>
    </row>
    <row r="2310" spans="1:7" hidden="1" x14ac:dyDescent="0.25">
      <c r="A2310" s="21">
        <v>2309</v>
      </c>
      <c r="B2310" s="7" t="s">
        <v>5374</v>
      </c>
      <c r="C2310" s="7" t="s">
        <v>5375</v>
      </c>
      <c r="F2310" t="s">
        <v>1603</v>
      </c>
      <c r="G2310" s="8" t="s">
        <v>15</v>
      </c>
    </row>
    <row r="2311" spans="1:7" hidden="1" x14ac:dyDescent="0.25">
      <c r="A2311" s="21">
        <v>2310</v>
      </c>
      <c r="B2311" s="7" t="s">
        <v>5376</v>
      </c>
      <c r="C2311" s="7" t="s">
        <v>5377</v>
      </c>
      <c r="F2311" t="s">
        <v>1603</v>
      </c>
      <c r="G2311" s="8" t="s">
        <v>15</v>
      </c>
    </row>
    <row r="2312" spans="1:7" hidden="1" x14ac:dyDescent="0.25">
      <c r="A2312" s="21">
        <v>2311</v>
      </c>
      <c r="B2312" s="7" t="s">
        <v>5378</v>
      </c>
      <c r="C2312" s="7" t="s">
        <v>5379</v>
      </c>
      <c r="F2312" t="s">
        <v>1603</v>
      </c>
      <c r="G2312" s="8" t="s">
        <v>15</v>
      </c>
    </row>
    <row r="2313" spans="1:7" hidden="1" x14ac:dyDescent="0.25">
      <c r="A2313" s="21">
        <v>2312</v>
      </c>
      <c r="B2313" s="7" t="s">
        <v>5380</v>
      </c>
      <c r="C2313" s="7" t="s">
        <v>5381</v>
      </c>
      <c r="F2313" t="s">
        <v>1603</v>
      </c>
      <c r="G2313" s="8" t="s">
        <v>15</v>
      </c>
    </row>
    <row r="2314" spans="1:7" hidden="1" x14ac:dyDescent="0.25">
      <c r="A2314" s="21">
        <v>2313</v>
      </c>
      <c r="B2314" s="7" t="s">
        <v>5382</v>
      </c>
      <c r="C2314" s="7" t="s">
        <v>5383</v>
      </c>
      <c r="F2314" t="s">
        <v>1603</v>
      </c>
      <c r="G2314" s="8" t="s">
        <v>15</v>
      </c>
    </row>
    <row r="2315" spans="1:7" hidden="1" x14ac:dyDescent="0.25">
      <c r="A2315" s="21">
        <v>2314</v>
      </c>
      <c r="B2315" s="7" t="s">
        <v>5384</v>
      </c>
      <c r="C2315" s="7" t="s">
        <v>5385</v>
      </c>
      <c r="F2315" t="s">
        <v>1603</v>
      </c>
      <c r="G2315" s="8" t="s">
        <v>15</v>
      </c>
    </row>
    <row r="2316" spans="1:7" hidden="1" x14ac:dyDescent="0.25">
      <c r="A2316" s="21">
        <v>2315</v>
      </c>
      <c r="B2316" s="7" t="s">
        <v>5386</v>
      </c>
      <c r="C2316" s="7" t="s">
        <v>5387</v>
      </c>
      <c r="F2316" t="s">
        <v>1603</v>
      </c>
      <c r="G2316" s="8" t="s">
        <v>15</v>
      </c>
    </row>
    <row r="2317" spans="1:7" hidden="1" x14ac:dyDescent="0.25">
      <c r="A2317" s="21">
        <v>2316</v>
      </c>
      <c r="B2317" s="7" t="s">
        <v>5388</v>
      </c>
      <c r="C2317" s="7" t="s">
        <v>5389</v>
      </c>
      <c r="F2317" t="s">
        <v>1603</v>
      </c>
      <c r="G2317" s="8" t="s">
        <v>15</v>
      </c>
    </row>
    <row r="2318" spans="1:7" hidden="1" x14ac:dyDescent="0.25">
      <c r="A2318" s="21">
        <v>2317</v>
      </c>
      <c r="B2318" s="7" t="s">
        <v>5390</v>
      </c>
      <c r="C2318" s="7" t="s">
        <v>5391</v>
      </c>
      <c r="F2318" t="s">
        <v>1603</v>
      </c>
      <c r="G2318" s="8" t="s">
        <v>15</v>
      </c>
    </row>
    <row r="2319" spans="1:7" hidden="1" x14ac:dyDescent="0.25">
      <c r="A2319" s="21">
        <v>2318</v>
      </c>
      <c r="B2319" s="7" t="s">
        <v>5392</v>
      </c>
      <c r="C2319" s="7" t="s">
        <v>5393</v>
      </c>
      <c r="F2319" t="s">
        <v>1603</v>
      </c>
      <c r="G2319" s="8" t="s">
        <v>15</v>
      </c>
    </row>
    <row r="2320" spans="1:7" hidden="1" x14ac:dyDescent="0.25">
      <c r="A2320" s="21">
        <v>2319</v>
      </c>
      <c r="B2320" s="7" t="s">
        <v>5394</v>
      </c>
      <c r="C2320" s="7" t="s">
        <v>5395</v>
      </c>
      <c r="F2320" t="s">
        <v>1603</v>
      </c>
      <c r="G2320" s="8" t="s">
        <v>15</v>
      </c>
    </row>
    <row r="2321" spans="1:7" hidden="1" x14ac:dyDescent="0.25">
      <c r="A2321" s="21">
        <v>2320</v>
      </c>
      <c r="B2321" s="7" t="s">
        <v>5396</v>
      </c>
      <c r="C2321" s="7" t="s">
        <v>5397</v>
      </c>
      <c r="F2321" t="s">
        <v>1603</v>
      </c>
      <c r="G2321" s="8" t="s">
        <v>15</v>
      </c>
    </row>
    <row r="2322" spans="1:7" hidden="1" x14ac:dyDescent="0.25">
      <c r="A2322" s="21">
        <v>2321</v>
      </c>
      <c r="B2322" s="7" t="s">
        <v>5398</v>
      </c>
      <c r="C2322" s="7" t="s">
        <v>5399</v>
      </c>
      <c r="F2322" t="s">
        <v>1603</v>
      </c>
      <c r="G2322" s="8" t="s">
        <v>15</v>
      </c>
    </row>
    <row r="2323" spans="1:7" hidden="1" x14ac:dyDescent="0.25">
      <c r="A2323" s="21">
        <v>2322</v>
      </c>
      <c r="B2323" s="7" t="s">
        <v>5400</v>
      </c>
      <c r="C2323" s="7" t="s">
        <v>5401</v>
      </c>
      <c r="F2323" t="s">
        <v>1603</v>
      </c>
      <c r="G2323" s="8" t="s">
        <v>15</v>
      </c>
    </row>
    <row r="2324" spans="1:7" hidden="1" x14ac:dyDescent="0.25">
      <c r="A2324" s="21">
        <v>2323</v>
      </c>
      <c r="B2324" s="7" t="s">
        <v>5402</v>
      </c>
      <c r="C2324" s="7" t="s">
        <v>5403</v>
      </c>
      <c r="F2324" t="s">
        <v>1603</v>
      </c>
      <c r="G2324" s="8" t="s">
        <v>15</v>
      </c>
    </row>
    <row r="2325" spans="1:7" hidden="1" x14ac:dyDescent="0.25">
      <c r="A2325" s="21">
        <v>2324</v>
      </c>
      <c r="B2325" s="7" t="s">
        <v>5404</v>
      </c>
      <c r="C2325" s="7" t="s">
        <v>5405</v>
      </c>
      <c r="F2325" t="s">
        <v>1603</v>
      </c>
      <c r="G2325" s="8" t="s">
        <v>15</v>
      </c>
    </row>
    <row r="2326" spans="1:7" hidden="1" x14ac:dyDescent="0.25">
      <c r="A2326" s="21">
        <v>2325</v>
      </c>
      <c r="B2326" s="7" t="s">
        <v>5406</v>
      </c>
      <c r="C2326" s="7" t="s">
        <v>5407</v>
      </c>
      <c r="F2326" t="s">
        <v>1603</v>
      </c>
      <c r="G2326" s="8" t="s">
        <v>15</v>
      </c>
    </row>
    <row r="2327" spans="1:7" hidden="1" x14ac:dyDescent="0.25">
      <c r="A2327" s="21">
        <v>2326</v>
      </c>
      <c r="B2327" s="7" t="s">
        <v>5408</v>
      </c>
      <c r="C2327" s="7" t="s">
        <v>5409</v>
      </c>
      <c r="F2327" t="s">
        <v>1603</v>
      </c>
      <c r="G2327" s="8" t="s">
        <v>15</v>
      </c>
    </row>
    <row r="2328" spans="1:7" hidden="1" x14ac:dyDescent="0.25">
      <c r="A2328" s="21">
        <v>2327</v>
      </c>
      <c r="B2328" s="7" t="s">
        <v>5410</v>
      </c>
      <c r="C2328" s="7" t="s">
        <v>5411</v>
      </c>
      <c r="F2328" t="s">
        <v>1603</v>
      </c>
      <c r="G2328" s="8" t="s">
        <v>15</v>
      </c>
    </row>
    <row r="2329" spans="1:7" hidden="1" x14ac:dyDescent="0.25">
      <c r="A2329" s="21">
        <v>2328</v>
      </c>
      <c r="B2329" s="7" t="s">
        <v>5412</v>
      </c>
      <c r="C2329" s="7" t="s">
        <v>5413</v>
      </c>
      <c r="F2329" t="s">
        <v>1603</v>
      </c>
      <c r="G2329" s="8" t="s">
        <v>15</v>
      </c>
    </row>
    <row r="2330" spans="1:7" hidden="1" x14ac:dyDescent="0.25">
      <c r="A2330" s="21">
        <v>2329</v>
      </c>
      <c r="B2330" s="7" t="s">
        <v>5414</v>
      </c>
      <c r="C2330" s="7" t="s">
        <v>5415</v>
      </c>
      <c r="F2330" t="s">
        <v>1603</v>
      </c>
      <c r="G2330" s="8" t="s">
        <v>15</v>
      </c>
    </row>
    <row r="2331" spans="1:7" hidden="1" x14ac:dyDescent="0.25">
      <c r="A2331" s="21">
        <v>2330</v>
      </c>
      <c r="B2331" s="7" t="s">
        <v>5416</v>
      </c>
      <c r="C2331" s="7" t="s">
        <v>5417</v>
      </c>
      <c r="F2331" t="s">
        <v>1603</v>
      </c>
      <c r="G2331" s="8" t="s">
        <v>15</v>
      </c>
    </row>
    <row r="2332" spans="1:7" hidden="1" x14ac:dyDescent="0.25">
      <c r="A2332" s="21">
        <v>2331</v>
      </c>
      <c r="B2332" s="7" t="s">
        <v>5418</v>
      </c>
      <c r="C2332" s="7" t="s">
        <v>5419</v>
      </c>
      <c r="F2332" t="s">
        <v>1603</v>
      </c>
      <c r="G2332" s="8" t="s">
        <v>15</v>
      </c>
    </row>
    <row r="2333" spans="1:7" hidden="1" x14ac:dyDescent="0.25">
      <c r="A2333" s="21">
        <v>2332</v>
      </c>
      <c r="B2333" s="7" t="s">
        <v>5420</v>
      </c>
      <c r="C2333" s="7" t="s">
        <v>5421</v>
      </c>
      <c r="F2333" t="s">
        <v>1603</v>
      </c>
      <c r="G2333" s="8" t="s">
        <v>15</v>
      </c>
    </row>
    <row r="2334" spans="1:7" hidden="1" x14ac:dyDescent="0.25">
      <c r="A2334" s="21">
        <v>2333</v>
      </c>
      <c r="B2334" s="7" t="s">
        <v>5422</v>
      </c>
      <c r="C2334" s="7" t="s">
        <v>5423</v>
      </c>
      <c r="F2334" t="s">
        <v>1603</v>
      </c>
      <c r="G2334" s="8" t="s">
        <v>15</v>
      </c>
    </row>
    <row r="2335" spans="1:7" hidden="1" x14ac:dyDescent="0.25">
      <c r="A2335" s="21">
        <v>2334</v>
      </c>
      <c r="B2335" s="7" t="s">
        <v>5424</v>
      </c>
      <c r="C2335" s="7" t="s">
        <v>5425</v>
      </c>
      <c r="F2335" t="s">
        <v>1603</v>
      </c>
      <c r="G2335" s="8" t="s">
        <v>15</v>
      </c>
    </row>
    <row r="2336" spans="1:7" hidden="1" x14ac:dyDescent="0.25">
      <c r="A2336" s="21">
        <v>2335</v>
      </c>
      <c r="B2336" s="7" t="s">
        <v>5426</v>
      </c>
      <c r="C2336" s="7" t="s">
        <v>5427</v>
      </c>
      <c r="F2336" t="s">
        <v>1603</v>
      </c>
      <c r="G2336" s="8" t="s">
        <v>15</v>
      </c>
    </row>
    <row r="2337" spans="1:7" hidden="1" x14ac:dyDescent="0.25">
      <c r="A2337" s="21">
        <v>2336</v>
      </c>
      <c r="B2337" s="7" t="s">
        <v>5428</v>
      </c>
      <c r="C2337" s="7" t="s">
        <v>5429</v>
      </c>
      <c r="F2337" t="s">
        <v>1603</v>
      </c>
      <c r="G2337" s="8" t="s">
        <v>15</v>
      </c>
    </row>
    <row r="2338" spans="1:7" hidden="1" x14ac:dyDescent="0.25">
      <c r="A2338" s="21">
        <v>2337</v>
      </c>
      <c r="B2338" s="7" t="s">
        <v>5430</v>
      </c>
      <c r="C2338" s="7" t="s">
        <v>5431</v>
      </c>
      <c r="F2338" t="s">
        <v>1603</v>
      </c>
      <c r="G2338" s="8" t="s">
        <v>15</v>
      </c>
    </row>
    <row r="2339" spans="1:7" hidden="1" x14ac:dyDescent="0.25">
      <c r="A2339" s="21">
        <v>2338</v>
      </c>
      <c r="B2339" s="7" t="s">
        <v>5432</v>
      </c>
      <c r="C2339" s="7" t="s">
        <v>5433</v>
      </c>
      <c r="F2339" t="s">
        <v>1603</v>
      </c>
      <c r="G2339" s="8" t="s">
        <v>15</v>
      </c>
    </row>
    <row r="2340" spans="1:7" hidden="1" x14ac:dyDescent="0.25">
      <c r="A2340" s="21">
        <v>2339</v>
      </c>
      <c r="B2340" s="7" t="s">
        <v>5434</v>
      </c>
      <c r="C2340" s="7" t="s">
        <v>5435</v>
      </c>
      <c r="F2340" t="s">
        <v>1603</v>
      </c>
      <c r="G2340" s="8" t="s">
        <v>15</v>
      </c>
    </row>
    <row r="2341" spans="1:7" hidden="1" x14ac:dyDescent="0.25">
      <c r="A2341" s="21">
        <v>2340</v>
      </c>
      <c r="B2341" s="7" t="s">
        <v>5436</v>
      </c>
      <c r="C2341" s="7" t="s">
        <v>5437</v>
      </c>
      <c r="F2341" t="s">
        <v>1603</v>
      </c>
      <c r="G2341" s="8" t="s">
        <v>15</v>
      </c>
    </row>
    <row r="2342" spans="1:7" hidden="1" x14ac:dyDescent="0.25">
      <c r="A2342" s="21">
        <v>2341</v>
      </c>
      <c r="B2342" s="7" t="s">
        <v>5438</v>
      </c>
      <c r="C2342" s="7" t="s">
        <v>5439</v>
      </c>
      <c r="F2342" t="s">
        <v>1603</v>
      </c>
      <c r="G2342" s="8" t="s">
        <v>15</v>
      </c>
    </row>
    <row r="2343" spans="1:7" hidden="1" x14ac:dyDescent="0.25">
      <c r="A2343" s="21">
        <v>2342</v>
      </c>
      <c r="B2343" s="7" t="s">
        <v>5440</v>
      </c>
      <c r="C2343" s="7" t="s">
        <v>5441</v>
      </c>
      <c r="F2343" t="s">
        <v>1603</v>
      </c>
      <c r="G2343" s="8" t="s">
        <v>15</v>
      </c>
    </row>
    <row r="2344" spans="1:7" hidden="1" x14ac:dyDescent="0.25">
      <c r="A2344" s="21">
        <v>2343</v>
      </c>
      <c r="B2344" s="7" t="s">
        <v>5442</v>
      </c>
      <c r="C2344" s="7" t="s">
        <v>5443</v>
      </c>
      <c r="G2344" s="8" t="s">
        <v>15</v>
      </c>
    </row>
    <row r="2345" spans="1:7" hidden="1" x14ac:dyDescent="0.25">
      <c r="A2345" s="21">
        <v>2344</v>
      </c>
      <c r="B2345" s="7" t="s">
        <v>5444</v>
      </c>
      <c r="C2345" s="7" t="s">
        <v>5445</v>
      </c>
      <c r="G2345" s="8" t="s">
        <v>15</v>
      </c>
    </row>
    <row r="2346" spans="1:7" hidden="1" x14ac:dyDescent="0.25">
      <c r="A2346" s="21">
        <v>2345</v>
      </c>
      <c r="B2346" s="7" t="s">
        <v>5446</v>
      </c>
      <c r="C2346" s="7" t="s">
        <v>5447</v>
      </c>
      <c r="G2346" s="8" t="s">
        <v>15</v>
      </c>
    </row>
    <row r="2347" spans="1:7" hidden="1" x14ac:dyDescent="0.25">
      <c r="A2347" s="21">
        <v>2346</v>
      </c>
      <c r="B2347" s="7" t="s">
        <v>5448</v>
      </c>
      <c r="C2347" s="7" t="s">
        <v>5449</v>
      </c>
      <c r="G2347" s="8" t="s">
        <v>15</v>
      </c>
    </row>
    <row r="2348" spans="1:7" hidden="1" x14ac:dyDescent="0.25">
      <c r="A2348" s="21">
        <v>2347</v>
      </c>
      <c r="B2348" s="7" t="s">
        <v>5450</v>
      </c>
      <c r="C2348" s="7" t="s">
        <v>5451</v>
      </c>
      <c r="G2348" s="8" t="s">
        <v>15</v>
      </c>
    </row>
    <row r="2349" spans="1:7" hidden="1" x14ac:dyDescent="0.25">
      <c r="A2349" s="21">
        <v>2348</v>
      </c>
      <c r="B2349" s="7" t="s">
        <v>5452</v>
      </c>
      <c r="C2349" s="7" t="s">
        <v>5453</v>
      </c>
      <c r="G2349" s="8" t="s">
        <v>15</v>
      </c>
    </row>
    <row r="2350" spans="1:7" hidden="1" x14ac:dyDescent="0.25">
      <c r="A2350" s="21">
        <v>2349</v>
      </c>
      <c r="B2350" s="7" t="s">
        <v>5454</v>
      </c>
      <c r="C2350" s="7" t="s">
        <v>5455</v>
      </c>
      <c r="G2350" s="8" t="s">
        <v>15</v>
      </c>
    </row>
    <row r="2351" spans="1:7" hidden="1" x14ac:dyDescent="0.25">
      <c r="A2351" s="21">
        <v>2350</v>
      </c>
      <c r="B2351" s="7" t="s">
        <v>5456</v>
      </c>
      <c r="C2351" s="7" t="s">
        <v>5457</v>
      </c>
      <c r="G2351" s="8" t="s">
        <v>15</v>
      </c>
    </row>
    <row r="2352" spans="1:7" hidden="1" x14ac:dyDescent="0.25">
      <c r="A2352" s="21">
        <v>2351</v>
      </c>
      <c r="B2352" s="7" t="s">
        <v>5458</v>
      </c>
      <c r="C2352" s="7" t="s">
        <v>5459</v>
      </c>
      <c r="G2352" s="8" t="s">
        <v>15</v>
      </c>
    </row>
    <row r="2353" spans="1:7" hidden="1" x14ac:dyDescent="0.25">
      <c r="A2353" s="21">
        <v>2352</v>
      </c>
      <c r="B2353" s="7" t="s">
        <v>5460</v>
      </c>
      <c r="C2353" s="7" t="s">
        <v>5461</v>
      </c>
      <c r="G2353" s="8" t="s">
        <v>15</v>
      </c>
    </row>
    <row r="2354" spans="1:7" hidden="1" x14ac:dyDescent="0.25">
      <c r="A2354" s="21">
        <v>2353</v>
      </c>
      <c r="B2354" s="7" t="s">
        <v>5462</v>
      </c>
      <c r="C2354" s="7" t="s">
        <v>5463</v>
      </c>
      <c r="G2354" s="8" t="s">
        <v>15</v>
      </c>
    </row>
    <row r="2355" spans="1:7" hidden="1" x14ac:dyDescent="0.25">
      <c r="A2355" s="21">
        <v>2354</v>
      </c>
      <c r="B2355" s="7" t="s">
        <v>5464</v>
      </c>
      <c r="C2355" s="7" t="s">
        <v>5465</v>
      </c>
      <c r="G2355" s="8" t="s">
        <v>15</v>
      </c>
    </row>
    <row r="2356" spans="1:7" hidden="1" x14ac:dyDescent="0.25">
      <c r="A2356" s="21">
        <v>2355</v>
      </c>
      <c r="B2356" s="7" t="s">
        <v>5466</v>
      </c>
      <c r="C2356" s="7" t="s">
        <v>5467</v>
      </c>
      <c r="G2356" s="8" t="s">
        <v>15</v>
      </c>
    </row>
    <row r="2357" spans="1:7" hidden="1" x14ac:dyDescent="0.25">
      <c r="A2357" s="21">
        <v>2356</v>
      </c>
      <c r="B2357" s="7" t="s">
        <v>5468</v>
      </c>
      <c r="C2357" s="7" t="s">
        <v>5469</v>
      </c>
      <c r="G2357" s="8" t="s">
        <v>15</v>
      </c>
    </row>
    <row r="2358" spans="1:7" hidden="1" x14ac:dyDescent="0.25">
      <c r="A2358" s="21">
        <v>2357</v>
      </c>
      <c r="B2358" s="7" t="s">
        <v>5470</v>
      </c>
      <c r="C2358" s="7" t="s">
        <v>5471</v>
      </c>
      <c r="G2358" s="8" t="s">
        <v>15</v>
      </c>
    </row>
    <row r="2359" spans="1:7" hidden="1" x14ac:dyDescent="0.25">
      <c r="A2359" s="21">
        <v>2358</v>
      </c>
      <c r="B2359" s="7" t="s">
        <v>5472</v>
      </c>
      <c r="C2359" s="7" t="s">
        <v>5473</v>
      </c>
      <c r="G2359" s="8" t="s">
        <v>15</v>
      </c>
    </row>
    <row r="2360" spans="1:7" hidden="1" x14ac:dyDescent="0.25">
      <c r="A2360" s="21">
        <v>2359</v>
      </c>
      <c r="B2360" s="7" t="s">
        <v>5474</v>
      </c>
      <c r="C2360" s="7" t="s">
        <v>5475</v>
      </c>
      <c r="G2360" s="8" t="s">
        <v>15</v>
      </c>
    </row>
    <row r="2361" spans="1:7" hidden="1" x14ac:dyDescent="0.25">
      <c r="A2361" s="21">
        <v>2360</v>
      </c>
      <c r="B2361" s="7" t="s">
        <v>5476</v>
      </c>
      <c r="C2361" s="7" t="s">
        <v>5477</v>
      </c>
      <c r="G2361" s="8" t="s">
        <v>15</v>
      </c>
    </row>
    <row r="2362" spans="1:7" hidden="1" x14ac:dyDescent="0.25">
      <c r="A2362" s="21">
        <v>2361</v>
      </c>
      <c r="B2362" s="7" t="s">
        <v>5478</v>
      </c>
      <c r="C2362" s="7" t="s">
        <v>5479</v>
      </c>
      <c r="G2362" s="8" t="s">
        <v>15</v>
      </c>
    </row>
    <row r="2363" spans="1:7" hidden="1" x14ac:dyDescent="0.25">
      <c r="A2363" s="21">
        <v>2362</v>
      </c>
      <c r="B2363" s="7" t="s">
        <v>5480</v>
      </c>
      <c r="C2363" s="7" t="s">
        <v>5481</v>
      </c>
      <c r="G2363" s="8" t="s">
        <v>15</v>
      </c>
    </row>
    <row r="2364" spans="1:7" hidden="1" x14ac:dyDescent="0.25">
      <c r="A2364" s="21">
        <v>2363</v>
      </c>
      <c r="B2364" s="7" t="s">
        <v>5482</v>
      </c>
      <c r="C2364" s="7" t="s">
        <v>5483</v>
      </c>
      <c r="G2364" s="8" t="s">
        <v>15</v>
      </c>
    </row>
    <row r="2365" spans="1:7" hidden="1" x14ac:dyDescent="0.25">
      <c r="A2365" s="21">
        <v>2364</v>
      </c>
      <c r="B2365" s="7" t="s">
        <v>5484</v>
      </c>
      <c r="C2365" s="7" t="s">
        <v>5485</v>
      </c>
      <c r="G2365" s="8" t="s">
        <v>15</v>
      </c>
    </row>
    <row r="2366" spans="1:7" hidden="1" x14ac:dyDescent="0.25">
      <c r="A2366" s="21">
        <v>2365</v>
      </c>
      <c r="B2366" s="7" t="s">
        <v>5486</v>
      </c>
      <c r="C2366" s="7" t="s">
        <v>5487</v>
      </c>
      <c r="G2366" s="8" t="s">
        <v>15</v>
      </c>
    </row>
    <row r="2367" spans="1:7" hidden="1" x14ac:dyDescent="0.25">
      <c r="A2367" s="21">
        <v>2366</v>
      </c>
      <c r="B2367" s="7" t="s">
        <v>5488</v>
      </c>
      <c r="C2367" s="7" t="s">
        <v>5489</v>
      </c>
      <c r="G2367" s="8" t="s">
        <v>15</v>
      </c>
    </row>
    <row r="2368" spans="1:7" hidden="1" x14ac:dyDescent="0.25">
      <c r="A2368" s="21">
        <v>2367</v>
      </c>
      <c r="B2368" s="7" t="s">
        <v>5490</v>
      </c>
      <c r="C2368" s="7" t="s">
        <v>5491</v>
      </c>
      <c r="G2368" s="8" t="s">
        <v>15</v>
      </c>
    </row>
    <row r="2369" spans="1:7" hidden="1" x14ac:dyDescent="0.25">
      <c r="A2369" s="21">
        <v>2368</v>
      </c>
      <c r="B2369" s="7" t="s">
        <v>5492</v>
      </c>
      <c r="C2369" s="7" t="s">
        <v>5493</v>
      </c>
      <c r="G2369" s="8" t="s">
        <v>15</v>
      </c>
    </row>
    <row r="2370" spans="1:7" hidden="1" x14ac:dyDescent="0.25">
      <c r="A2370" s="21">
        <v>2369</v>
      </c>
      <c r="B2370" s="7" t="s">
        <v>5494</v>
      </c>
      <c r="C2370" s="7" t="s">
        <v>5495</v>
      </c>
      <c r="G2370" s="8" t="s">
        <v>15</v>
      </c>
    </row>
    <row r="2371" spans="1:7" hidden="1" x14ac:dyDescent="0.25">
      <c r="A2371" s="21">
        <v>2370</v>
      </c>
      <c r="B2371" s="7" t="s">
        <v>5496</v>
      </c>
      <c r="C2371" s="7" t="s">
        <v>5497</v>
      </c>
      <c r="G2371" s="8" t="s">
        <v>15</v>
      </c>
    </row>
    <row r="2372" spans="1:7" hidden="1" x14ac:dyDescent="0.25">
      <c r="A2372" s="21">
        <v>2371</v>
      </c>
      <c r="B2372" s="7" t="s">
        <v>5498</v>
      </c>
      <c r="C2372" s="7" t="s">
        <v>5499</v>
      </c>
      <c r="G2372" s="8" t="s">
        <v>15</v>
      </c>
    </row>
    <row r="2373" spans="1:7" hidden="1" x14ac:dyDescent="0.25">
      <c r="A2373" s="21">
        <v>2372</v>
      </c>
      <c r="B2373" s="7" t="s">
        <v>5500</v>
      </c>
      <c r="C2373" s="7" t="s">
        <v>5501</v>
      </c>
      <c r="G2373" s="8" t="s">
        <v>15</v>
      </c>
    </row>
    <row r="2374" spans="1:7" hidden="1" x14ac:dyDescent="0.25">
      <c r="A2374" s="21">
        <v>2373</v>
      </c>
      <c r="B2374" s="7" t="s">
        <v>5502</v>
      </c>
      <c r="C2374" s="7" t="s">
        <v>5503</v>
      </c>
      <c r="G2374" s="8" t="s">
        <v>15</v>
      </c>
    </row>
    <row r="2375" spans="1:7" hidden="1" x14ac:dyDescent="0.25">
      <c r="A2375" s="21">
        <v>2374</v>
      </c>
      <c r="B2375" s="7" t="s">
        <v>5504</v>
      </c>
      <c r="C2375" s="7" t="s">
        <v>5505</v>
      </c>
      <c r="G2375" s="8" t="s">
        <v>15</v>
      </c>
    </row>
    <row r="2376" spans="1:7" hidden="1" x14ac:dyDescent="0.25">
      <c r="A2376" s="21">
        <v>2375</v>
      </c>
      <c r="B2376" s="7" t="s">
        <v>5506</v>
      </c>
      <c r="C2376" s="7" t="s">
        <v>5507</v>
      </c>
      <c r="G2376" s="8" t="s">
        <v>15</v>
      </c>
    </row>
    <row r="2377" spans="1:7" hidden="1" x14ac:dyDescent="0.25">
      <c r="A2377" s="21">
        <v>2376</v>
      </c>
      <c r="B2377" s="7" t="s">
        <v>5508</v>
      </c>
      <c r="C2377" s="7" t="s">
        <v>5509</v>
      </c>
      <c r="G2377" s="8" t="s">
        <v>15</v>
      </c>
    </row>
    <row r="2378" spans="1:7" hidden="1" x14ac:dyDescent="0.25">
      <c r="A2378" s="21">
        <v>2377</v>
      </c>
      <c r="B2378" s="7" t="s">
        <v>5510</v>
      </c>
      <c r="C2378" s="7" t="s">
        <v>5511</v>
      </c>
      <c r="G2378" s="8" t="s">
        <v>15</v>
      </c>
    </row>
    <row r="2379" spans="1:7" hidden="1" x14ac:dyDescent="0.25">
      <c r="A2379" s="21">
        <v>2378</v>
      </c>
      <c r="B2379" s="7" t="s">
        <v>5512</v>
      </c>
      <c r="C2379" s="7" t="s">
        <v>5513</v>
      </c>
      <c r="G2379" s="8" t="s">
        <v>15</v>
      </c>
    </row>
    <row r="2380" spans="1:7" hidden="1" x14ac:dyDescent="0.25">
      <c r="A2380" s="21">
        <v>2379</v>
      </c>
      <c r="B2380" s="7" t="s">
        <v>5514</v>
      </c>
      <c r="C2380" s="7" t="s">
        <v>5515</v>
      </c>
      <c r="G2380" s="8" t="s">
        <v>15</v>
      </c>
    </row>
    <row r="2381" spans="1:7" hidden="1" x14ac:dyDescent="0.25">
      <c r="A2381" s="21">
        <v>2380</v>
      </c>
      <c r="B2381" s="7" t="s">
        <v>5516</v>
      </c>
      <c r="C2381" s="7" t="s">
        <v>5517</v>
      </c>
      <c r="G2381" s="8" t="s">
        <v>15</v>
      </c>
    </row>
    <row r="2382" spans="1:7" hidden="1" x14ac:dyDescent="0.25">
      <c r="A2382" s="21">
        <v>2381</v>
      </c>
      <c r="B2382" s="7" t="s">
        <v>5518</v>
      </c>
      <c r="C2382" s="7" t="s">
        <v>5519</v>
      </c>
      <c r="G2382" s="8" t="s">
        <v>15</v>
      </c>
    </row>
    <row r="2383" spans="1:7" hidden="1" x14ac:dyDescent="0.25">
      <c r="A2383" s="21">
        <v>2382</v>
      </c>
      <c r="B2383" s="7" t="s">
        <v>5520</v>
      </c>
      <c r="C2383" s="7" t="s">
        <v>5521</v>
      </c>
      <c r="G2383" s="8" t="s">
        <v>15</v>
      </c>
    </row>
    <row r="2384" spans="1:7" hidden="1" x14ac:dyDescent="0.25">
      <c r="A2384" s="21">
        <v>2383</v>
      </c>
      <c r="B2384" s="7" t="s">
        <v>5522</v>
      </c>
      <c r="C2384" s="7" t="s">
        <v>5523</v>
      </c>
      <c r="G2384" s="8" t="s">
        <v>15</v>
      </c>
    </row>
    <row r="2385" spans="1:7" hidden="1" x14ac:dyDescent="0.25">
      <c r="A2385" s="21">
        <v>2384</v>
      </c>
      <c r="B2385" s="7" t="s">
        <v>5524</v>
      </c>
      <c r="C2385" s="7" t="s">
        <v>5525</v>
      </c>
      <c r="G2385" s="8" t="s">
        <v>15</v>
      </c>
    </row>
    <row r="2386" spans="1:7" hidden="1" x14ac:dyDescent="0.25">
      <c r="A2386" s="21">
        <v>2385</v>
      </c>
      <c r="B2386" s="7" t="s">
        <v>5526</v>
      </c>
      <c r="C2386" s="7" t="s">
        <v>5527</v>
      </c>
      <c r="G2386" s="8" t="s">
        <v>15</v>
      </c>
    </row>
    <row r="2387" spans="1:7" hidden="1" x14ac:dyDescent="0.25">
      <c r="A2387" s="21">
        <v>2386</v>
      </c>
      <c r="B2387" s="7" t="s">
        <v>5528</v>
      </c>
      <c r="C2387" s="7" t="s">
        <v>5529</v>
      </c>
      <c r="G2387" s="8" t="s">
        <v>15</v>
      </c>
    </row>
    <row r="2388" spans="1:7" hidden="1" x14ac:dyDescent="0.25">
      <c r="A2388" s="21">
        <v>2387</v>
      </c>
      <c r="B2388" s="7" t="s">
        <v>5530</v>
      </c>
      <c r="C2388" s="7" t="s">
        <v>5531</v>
      </c>
      <c r="G2388" s="8" t="s">
        <v>15</v>
      </c>
    </row>
    <row r="2389" spans="1:7" hidden="1" x14ac:dyDescent="0.25">
      <c r="A2389" s="21">
        <v>2388</v>
      </c>
      <c r="B2389" s="7" t="s">
        <v>5532</v>
      </c>
      <c r="C2389" s="7" t="s">
        <v>5533</v>
      </c>
      <c r="G2389" s="8" t="s">
        <v>15</v>
      </c>
    </row>
    <row r="2390" spans="1:7" hidden="1" x14ac:dyDescent="0.25">
      <c r="A2390" s="21">
        <v>2389</v>
      </c>
      <c r="B2390" s="7" t="s">
        <v>5534</v>
      </c>
      <c r="C2390" s="7" t="s">
        <v>5535</v>
      </c>
      <c r="G2390" s="8" t="s">
        <v>15</v>
      </c>
    </row>
    <row r="2391" spans="1:7" hidden="1" x14ac:dyDescent="0.25">
      <c r="A2391" s="21">
        <v>2390</v>
      </c>
      <c r="B2391" s="7" t="s">
        <v>5536</v>
      </c>
      <c r="C2391" s="7" t="s">
        <v>5537</v>
      </c>
      <c r="G2391" s="8" t="s">
        <v>15</v>
      </c>
    </row>
    <row r="2392" spans="1:7" hidden="1" x14ac:dyDescent="0.25">
      <c r="A2392" s="21">
        <v>2391</v>
      </c>
      <c r="B2392" s="7" t="s">
        <v>5538</v>
      </c>
      <c r="C2392" s="7" t="s">
        <v>5539</v>
      </c>
      <c r="G2392" s="8" t="s">
        <v>15</v>
      </c>
    </row>
    <row r="2393" spans="1:7" hidden="1" x14ac:dyDescent="0.25">
      <c r="A2393" s="21">
        <v>2392</v>
      </c>
      <c r="B2393" s="7" t="s">
        <v>5540</v>
      </c>
      <c r="C2393" s="7" t="s">
        <v>5541</v>
      </c>
      <c r="G2393" s="8" t="s">
        <v>15</v>
      </c>
    </row>
    <row r="2394" spans="1:7" hidden="1" x14ac:dyDescent="0.25">
      <c r="A2394" s="21">
        <v>2393</v>
      </c>
      <c r="B2394" s="7" t="s">
        <v>5542</v>
      </c>
      <c r="C2394" s="7" t="s">
        <v>5543</v>
      </c>
      <c r="G2394" s="8" t="s">
        <v>15</v>
      </c>
    </row>
    <row r="2395" spans="1:7" hidden="1" x14ac:dyDescent="0.25">
      <c r="A2395" s="21">
        <v>2394</v>
      </c>
      <c r="B2395" s="7" t="s">
        <v>5544</v>
      </c>
      <c r="C2395" s="7" t="s">
        <v>5545</v>
      </c>
      <c r="G2395" s="8" t="s">
        <v>15</v>
      </c>
    </row>
    <row r="2396" spans="1:7" hidden="1" x14ac:dyDescent="0.25">
      <c r="A2396" s="21">
        <v>2395</v>
      </c>
      <c r="B2396" s="7" t="s">
        <v>5546</v>
      </c>
      <c r="C2396" s="7" t="s">
        <v>5547</v>
      </c>
      <c r="G2396" s="8" t="s">
        <v>15</v>
      </c>
    </row>
    <row r="2397" spans="1:7" hidden="1" x14ac:dyDescent="0.25">
      <c r="A2397" s="21">
        <v>2396</v>
      </c>
      <c r="B2397" s="7" t="s">
        <v>5548</v>
      </c>
      <c r="C2397" s="7" t="s">
        <v>5549</v>
      </c>
      <c r="G2397" s="8" t="s">
        <v>15</v>
      </c>
    </row>
    <row r="2398" spans="1:7" hidden="1" x14ac:dyDescent="0.25">
      <c r="A2398" s="21">
        <v>2397</v>
      </c>
      <c r="B2398" s="7" t="s">
        <v>5550</v>
      </c>
      <c r="C2398" s="7" t="s">
        <v>5551</v>
      </c>
      <c r="G2398" s="8" t="s">
        <v>15</v>
      </c>
    </row>
    <row r="2399" spans="1:7" hidden="1" x14ac:dyDescent="0.25">
      <c r="A2399" s="21">
        <v>2398</v>
      </c>
      <c r="B2399" s="7" t="s">
        <v>5552</v>
      </c>
      <c r="C2399" s="7" t="s">
        <v>5553</v>
      </c>
      <c r="G2399" s="8" t="s">
        <v>15</v>
      </c>
    </row>
    <row r="2400" spans="1:7" hidden="1" x14ac:dyDescent="0.25">
      <c r="A2400" s="21">
        <v>2399</v>
      </c>
      <c r="B2400" s="7" t="s">
        <v>5554</v>
      </c>
      <c r="C2400" s="7" t="s">
        <v>5555</v>
      </c>
      <c r="G2400" s="8" t="s">
        <v>15</v>
      </c>
    </row>
    <row r="2401" spans="1:7" hidden="1" x14ac:dyDescent="0.25">
      <c r="A2401" s="21">
        <v>2400</v>
      </c>
      <c r="B2401" s="7" t="s">
        <v>5556</v>
      </c>
      <c r="C2401" s="7" t="s">
        <v>5557</v>
      </c>
      <c r="G2401" s="8" t="s">
        <v>15</v>
      </c>
    </row>
    <row r="2402" spans="1:7" hidden="1" x14ac:dyDescent="0.25">
      <c r="A2402" s="21">
        <v>2401</v>
      </c>
      <c r="B2402" s="7" t="s">
        <v>5558</v>
      </c>
      <c r="C2402" s="7" t="s">
        <v>5559</v>
      </c>
      <c r="G2402" s="8" t="s">
        <v>15</v>
      </c>
    </row>
    <row r="2403" spans="1:7" hidden="1" x14ac:dyDescent="0.25">
      <c r="A2403" s="21">
        <v>2402</v>
      </c>
      <c r="B2403" s="7" t="s">
        <v>5560</v>
      </c>
      <c r="C2403" s="7" t="s">
        <v>5561</v>
      </c>
      <c r="G2403" s="8" t="s">
        <v>15</v>
      </c>
    </row>
    <row r="2404" spans="1:7" hidden="1" x14ac:dyDescent="0.25">
      <c r="A2404" s="21">
        <v>2403</v>
      </c>
      <c r="B2404" s="7" t="s">
        <v>5562</v>
      </c>
      <c r="C2404" s="7" t="s">
        <v>5563</v>
      </c>
      <c r="G2404" s="8" t="s">
        <v>15</v>
      </c>
    </row>
    <row r="2405" spans="1:7" hidden="1" x14ac:dyDescent="0.25">
      <c r="A2405" s="21">
        <v>2404</v>
      </c>
      <c r="B2405" s="7" t="s">
        <v>5564</v>
      </c>
      <c r="C2405" s="7" t="s">
        <v>5565</v>
      </c>
      <c r="G2405" s="8" t="s">
        <v>15</v>
      </c>
    </row>
    <row r="2406" spans="1:7" hidden="1" x14ac:dyDescent="0.25">
      <c r="A2406" s="21">
        <v>2405</v>
      </c>
      <c r="B2406" s="7" t="s">
        <v>5566</v>
      </c>
      <c r="C2406" s="7" t="s">
        <v>5567</v>
      </c>
      <c r="G2406" s="8" t="s">
        <v>15</v>
      </c>
    </row>
    <row r="2407" spans="1:7" hidden="1" x14ac:dyDescent="0.25">
      <c r="A2407" s="21">
        <v>2406</v>
      </c>
      <c r="B2407" s="7" t="s">
        <v>5568</v>
      </c>
      <c r="C2407" s="7" t="s">
        <v>5569</v>
      </c>
      <c r="G2407" s="8" t="s">
        <v>15</v>
      </c>
    </row>
    <row r="2408" spans="1:7" hidden="1" x14ac:dyDescent="0.25">
      <c r="A2408" s="21">
        <v>2407</v>
      </c>
      <c r="B2408" s="7" t="s">
        <v>5570</v>
      </c>
      <c r="C2408" s="7" t="s">
        <v>5571</v>
      </c>
      <c r="G2408" s="8" t="s">
        <v>15</v>
      </c>
    </row>
    <row r="2409" spans="1:7" hidden="1" x14ac:dyDescent="0.25">
      <c r="A2409" s="21">
        <v>2408</v>
      </c>
      <c r="B2409" s="7" t="s">
        <v>5572</v>
      </c>
      <c r="C2409" s="7" t="s">
        <v>5573</v>
      </c>
      <c r="G2409" s="8" t="s">
        <v>15</v>
      </c>
    </row>
    <row r="2410" spans="1:7" hidden="1" x14ac:dyDescent="0.25">
      <c r="A2410" s="21">
        <v>2409</v>
      </c>
      <c r="B2410" s="7" t="s">
        <v>5574</v>
      </c>
      <c r="C2410" s="7" t="s">
        <v>5575</v>
      </c>
      <c r="G2410" s="8" t="s">
        <v>15</v>
      </c>
    </row>
    <row r="2411" spans="1:7" hidden="1" x14ac:dyDescent="0.25">
      <c r="A2411" s="21">
        <v>2410</v>
      </c>
      <c r="B2411" s="7" t="s">
        <v>5576</v>
      </c>
      <c r="C2411" s="7" t="s">
        <v>5577</v>
      </c>
      <c r="G2411" s="8" t="s">
        <v>15</v>
      </c>
    </row>
    <row r="2412" spans="1:7" hidden="1" x14ac:dyDescent="0.25">
      <c r="A2412" s="21">
        <v>2411</v>
      </c>
      <c r="B2412" s="7" t="s">
        <v>5578</v>
      </c>
      <c r="C2412" s="7" t="s">
        <v>5579</v>
      </c>
      <c r="G2412" s="8" t="s">
        <v>15</v>
      </c>
    </row>
    <row r="2413" spans="1:7" hidden="1" x14ac:dyDescent="0.25">
      <c r="A2413" s="21">
        <v>2412</v>
      </c>
      <c r="B2413" s="7" t="s">
        <v>5580</v>
      </c>
      <c r="C2413" s="7" t="s">
        <v>5581</v>
      </c>
      <c r="G2413" s="8" t="s">
        <v>15</v>
      </c>
    </row>
    <row r="2414" spans="1:7" hidden="1" x14ac:dyDescent="0.25">
      <c r="A2414" s="21">
        <v>2413</v>
      </c>
      <c r="B2414" s="7" t="s">
        <v>5582</v>
      </c>
      <c r="C2414" s="7" t="s">
        <v>5583</v>
      </c>
      <c r="G2414" s="8" t="s">
        <v>15</v>
      </c>
    </row>
    <row r="2415" spans="1:7" hidden="1" x14ac:dyDescent="0.25">
      <c r="A2415" s="21">
        <v>2414</v>
      </c>
      <c r="B2415" s="7" t="s">
        <v>5584</v>
      </c>
      <c r="C2415" s="7" t="s">
        <v>5585</v>
      </c>
      <c r="G2415" s="8" t="s">
        <v>15</v>
      </c>
    </row>
    <row r="2416" spans="1:7" hidden="1" x14ac:dyDescent="0.25">
      <c r="A2416" s="21">
        <v>2415</v>
      </c>
      <c r="B2416" s="7" t="s">
        <v>5586</v>
      </c>
      <c r="C2416" s="7" t="s">
        <v>5587</v>
      </c>
      <c r="G2416" s="8" t="s">
        <v>15</v>
      </c>
    </row>
    <row r="2417" spans="1:7" hidden="1" x14ac:dyDescent="0.25">
      <c r="A2417" s="21">
        <v>2416</v>
      </c>
      <c r="B2417" s="7" t="s">
        <v>5588</v>
      </c>
      <c r="C2417" s="7" t="s">
        <v>5589</v>
      </c>
      <c r="G2417" s="8" t="s">
        <v>15</v>
      </c>
    </row>
    <row r="2418" spans="1:7" hidden="1" x14ac:dyDescent="0.25">
      <c r="A2418" s="21">
        <v>2417</v>
      </c>
      <c r="B2418" s="7" t="s">
        <v>5590</v>
      </c>
      <c r="C2418" s="7" t="s">
        <v>5591</v>
      </c>
      <c r="G2418" s="8" t="s">
        <v>15</v>
      </c>
    </row>
    <row r="2419" spans="1:7" hidden="1" x14ac:dyDescent="0.25">
      <c r="A2419" s="21">
        <v>2418</v>
      </c>
      <c r="B2419" s="7" t="s">
        <v>5592</v>
      </c>
      <c r="C2419" s="7" t="s">
        <v>5593</v>
      </c>
      <c r="G2419" s="8" t="s">
        <v>15</v>
      </c>
    </row>
    <row r="2420" spans="1:7" hidden="1" x14ac:dyDescent="0.25">
      <c r="A2420" s="21">
        <v>2419</v>
      </c>
      <c r="B2420" s="7" t="s">
        <v>5594</v>
      </c>
      <c r="C2420" s="7" t="s">
        <v>5595</v>
      </c>
      <c r="G2420" s="8" t="s">
        <v>15</v>
      </c>
    </row>
    <row r="2421" spans="1:7" hidden="1" x14ac:dyDescent="0.25">
      <c r="A2421" s="21">
        <v>2420</v>
      </c>
      <c r="B2421" s="7" t="s">
        <v>5596</v>
      </c>
      <c r="C2421" s="7" t="s">
        <v>5597</v>
      </c>
      <c r="G2421" s="8" t="s">
        <v>15</v>
      </c>
    </row>
    <row r="2422" spans="1:7" hidden="1" x14ac:dyDescent="0.25">
      <c r="A2422" s="21">
        <v>2421</v>
      </c>
      <c r="B2422" s="7" t="s">
        <v>5598</v>
      </c>
      <c r="C2422" s="7" t="s">
        <v>5599</v>
      </c>
      <c r="G2422" s="8" t="s">
        <v>15</v>
      </c>
    </row>
    <row r="2423" spans="1:7" hidden="1" x14ac:dyDescent="0.25">
      <c r="A2423" s="21">
        <v>2422</v>
      </c>
      <c r="B2423" s="7" t="s">
        <v>5600</v>
      </c>
      <c r="C2423" s="7" t="s">
        <v>5601</v>
      </c>
      <c r="G2423" s="8" t="s">
        <v>15</v>
      </c>
    </row>
    <row r="2424" spans="1:7" hidden="1" x14ac:dyDescent="0.25">
      <c r="A2424" s="21">
        <v>2423</v>
      </c>
      <c r="B2424" s="7" t="s">
        <v>5602</v>
      </c>
      <c r="C2424" s="7" t="s">
        <v>5603</v>
      </c>
      <c r="G2424" s="8" t="s">
        <v>15</v>
      </c>
    </row>
    <row r="2425" spans="1:7" hidden="1" x14ac:dyDescent="0.25">
      <c r="A2425" s="21">
        <v>2424</v>
      </c>
      <c r="B2425" s="7" t="s">
        <v>5604</v>
      </c>
      <c r="C2425" s="7" t="s">
        <v>5605</v>
      </c>
      <c r="G2425" s="8" t="s">
        <v>15</v>
      </c>
    </row>
    <row r="2426" spans="1:7" hidden="1" x14ac:dyDescent="0.25">
      <c r="A2426" s="21">
        <v>2425</v>
      </c>
      <c r="B2426" s="7" t="s">
        <v>5606</v>
      </c>
      <c r="C2426" s="7" t="s">
        <v>5607</v>
      </c>
      <c r="G2426" s="8" t="s">
        <v>15</v>
      </c>
    </row>
    <row r="2427" spans="1:7" hidden="1" x14ac:dyDescent="0.25">
      <c r="A2427" s="21">
        <v>2426</v>
      </c>
      <c r="B2427" s="7" t="s">
        <v>5608</v>
      </c>
      <c r="C2427" s="7" t="s">
        <v>5609</v>
      </c>
      <c r="G2427" s="8" t="s">
        <v>15</v>
      </c>
    </row>
    <row r="2428" spans="1:7" hidden="1" x14ac:dyDescent="0.25">
      <c r="A2428" s="21">
        <v>2427</v>
      </c>
      <c r="B2428" s="7" t="s">
        <v>5610</v>
      </c>
      <c r="C2428" s="7" t="s">
        <v>5611</v>
      </c>
      <c r="G2428" s="8" t="s">
        <v>15</v>
      </c>
    </row>
    <row r="2429" spans="1:7" hidden="1" x14ac:dyDescent="0.25">
      <c r="A2429" s="21">
        <v>2428</v>
      </c>
      <c r="B2429" s="7" t="s">
        <v>5612</v>
      </c>
      <c r="C2429" s="7" t="s">
        <v>5613</v>
      </c>
      <c r="G2429" s="8" t="s">
        <v>15</v>
      </c>
    </row>
    <row r="2430" spans="1:7" hidden="1" x14ac:dyDescent="0.25">
      <c r="A2430" s="21">
        <v>2429</v>
      </c>
      <c r="B2430" s="7" t="s">
        <v>5614</v>
      </c>
      <c r="C2430" s="7" t="s">
        <v>5615</v>
      </c>
      <c r="G2430" s="8" t="s">
        <v>15</v>
      </c>
    </row>
    <row r="2431" spans="1:7" hidden="1" x14ac:dyDescent="0.25">
      <c r="A2431" s="21">
        <v>2430</v>
      </c>
      <c r="B2431" s="7" t="s">
        <v>5616</v>
      </c>
      <c r="C2431" s="7" t="s">
        <v>5617</v>
      </c>
      <c r="G2431" s="8" t="s">
        <v>15</v>
      </c>
    </row>
    <row r="2432" spans="1:7" hidden="1" x14ac:dyDescent="0.25">
      <c r="A2432" s="21">
        <v>2431</v>
      </c>
      <c r="B2432" s="7" t="s">
        <v>5618</v>
      </c>
      <c r="C2432" s="7" t="s">
        <v>5619</v>
      </c>
      <c r="G2432" s="8" t="s">
        <v>15</v>
      </c>
    </row>
    <row r="2433" spans="1:7" hidden="1" x14ac:dyDescent="0.25">
      <c r="A2433" s="21">
        <v>2432</v>
      </c>
      <c r="B2433" s="7" t="s">
        <v>5620</v>
      </c>
      <c r="C2433" s="7" t="s">
        <v>5621</v>
      </c>
      <c r="G2433" s="8" t="s">
        <v>15</v>
      </c>
    </row>
    <row r="2434" spans="1:7" hidden="1" x14ac:dyDescent="0.25">
      <c r="A2434" s="21">
        <v>2433</v>
      </c>
      <c r="B2434" s="7" t="s">
        <v>5622</v>
      </c>
      <c r="C2434" s="7" t="s">
        <v>5623</v>
      </c>
      <c r="G2434" s="8" t="s">
        <v>15</v>
      </c>
    </row>
    <row r="2435" spans="1:7" hidden="1" x14ac:dyDescent="0.25">
      <c r="A2435" s="21">
        <v>2434</v>
      </c>
      <c r="B2435" s="7" t="s">
        <v>5624</v>
      </c>
      <c r="C2435" s="7" t="s">
        <v>5625</v>
      </c>
      <c r="G2435" s="8" t="s">
        <v>15</v>
      </c>
    </row>
    <row r="2436" spans="1:7" hidden="1" x14ac:dyDescent="0.25">
      <c r="A2436" s="21">
        <v>2435</v>
      </c>
      <c r="B2436" s="7" t="s">
        <v>5626</v>
      </c>
      <c r="C2436" s="7" t="s">
        <v>5627</v>
      </c>
      <c r="G2436" s="8" t="s">
        <v>15</v>
      </c>
    </row>
    <row r="2437" spans="1:7" hidden="1" x14ac:dyDescent="0.25">
      <c r="A2437" s="21">
        <v>2436</v>
      </c>
      <c r="B2437" s="7" t="s">
        <v>5628</v>
      </c>
      <c r="C2437" s="7" t="s">
        <v>5629</v>
      </c>
      <c r="G2437" s="8" t="s">
        <v>15</v>
      </c>
    </row>
    <row r="2438" spans="1:7" hidden="1" x14ac:dyDescent="0.25">
      <c r="A2438" s="21">
        <v>2437</v>
      </c>
      <c r="B2438" s="7" t="s">
        <v>5630</v>
      </c>
      <c r="C2438" s="7" t="s">
        <v>5631</v>
      </c>
      <c r="G2438" s="8" t="s">
        <v>15</v>
      </c>
    </row>
    <row r="2439" spans="1:7" hidden="1" x14ac:dyDescent="0.25">
      <c r="A2439" s="21">
        <v>2438</v>
      </c>
      <c r="B2439" s="7" t="s">
        <v>5632</v>
      </c>
      <c r="C2439" s="7" t="s">
        <v>5633</v>
      </c>
      <c r="G2439" s="8" t="s">
        <v>15</v>
      </c>
    </row>
    <row r="2440" spans="1:7" hidden="1" x14ac:dyDescent="0.25">
      <c r="A2440" s="21">
        <v>2439</v>
      </c>
      <c r="B2440" s="7" t="s">
        <v>5634</v>
      </c>
      <c r="C2440" s="7" t="s">
        <v>5635</v>
      </c>
      <c r="G2440" s="8" t="s">
        <v>15</v>
      </c>
    </row>
    <row r="2441" spans="1:7" hidden="1" x14ac:dyDescent="0.25">
      <c r="A2441" s="21">
        <v>2440</v>
      </c>
      <c r="B2441" s="7" t="s">
        <v>5636</v>
      </c>
      <c r="C2441" s="7" t="s">
        <v>5637</v>
      </c>
      <c r="G2441" s="8" t="s">
        <v>15</v>
      </c>
    </row>
    <row r="2442" spans="1:7" hidden="1" x14ac:dyDescent="0.25">
      <c r="A2442" s="21">
        <v>2441</v>
      </c>
      <c r="B2442" s="7" t="s">
        <v>5638</v>
      </c>
      <c r="C2442" s="7" t="s">
        <v>5639</v>
      </c>
      <c r="G2442" s="8" t="s">
        <v>15</v>
      </c>
    </row>
    <row r="2443" spans="1:7" hidden="1" x14ac:dyDescent="0.25">
      <c r="A2443" s="21">
        <v>2442</v>
      </c>
      <c r="B2443" s="7" t="s">
        <v>5640</v>
      </c>
      <c r="C2443" s="7" t="s">
        <v>5641</v>
      </c>
      <c r="G2443" s="8" t="s">
        <v>15</v>
      </c>
    </row>
    <row r="2444" spans="1:7" hidden="1" x14ac:dyDescent="0.25">
      <c r="A2444" s="21">
        <v>2443</v>
      </c>
      <c r="B2444" s="7" t="s">
        <v>5642</v>
      </c>
      <c r="C2444" s="7" t="s">
        <v>5643</v>
      </c>
      <c r="G2444" s="8" t="s">
        <v>15</v>
      </c>
    </row>
    <row r="2445" spans="1:7" hidden="1" x14ac:dyDescent="0.25">
      <c r="A2445" s="21">
        <v>2444</v>
      </c>
      <c r="B2445" s="7" t="s">
        <v>5644</v>
      </c>
      <c r="C2445" s="7" t="s">
        <v>5645</v>
      </c>
      <c r="G2445" s="8" t="s">
        <v>15</v>
      </c>
    </row>
    <row r="2446" spans="1:7" hidden="1" x14ac:dyDescent="0.25">
      <c r="A2446" s="21">
        <v>2445</v>
      </c>
      <c r="B2446" s="7" t="s">
        <v>5646</v>
      </c>
      <c r="C2446" s="7" t="s">
        <v>5647</v>
      </c>
      <c r="G2446" s="8" t="s">
        <v>15</v>
      </c>
    </row>
    <row r="2447" spans="1:7" hidden="1" x14ac:dyDescent="0.25">
      <c r="A2447" s="21">
        <v>2446</v>
      </c>
      <c r="B2447" s="7" t="s">
        <v>5648</v>
      </c>
      <c r="C2447" s="7" t="s">
        <v>5649</v>
      </c>
      <c r="G2447" s="8" t="s">
        <v>15</v>
      </c>
    </row>
    <row r="2448" spans="1:7" hidden="1" x14ac:dyDescent="0.25">
      <c r="A2448" s="21">
        <v>2447</v>
      </c>
      <c r="B2448" s="7" t="s">
        <v>5650</v>
      </c>
      <c r="C2448" s="7" t="s">
        <v>5651</v>
      </c>
      <c r="G2448" s="8" t="s">
        <v>15</v>
      </c>
    </row>
    <row r="2449" spans="1:7" hidden="1" x14ac:dyDescent="0.25">
      <c r="A2449" s="21">
        <v>2448</v>
      </c>
      <c r="B2449" s="7" t="s">
        <v>5652</v>
      </c>
      <c r="C2449" s="7" t="s">
        <v>5653</v>
      </c>
      <c r="G2449" s="8" t="s">
        <v>15</v>
      </c>
    </row>
    <row r="2450" spans="1:7" hidden="1" x14ac:dyDescent="0.25">
      <c r="A2450" s="21">
        <v>2449</v>
      </c>
      <c r="B2450" s="7" t="s">
        <v>5654</v>
      </c>
      <c r="C2450" s="7" t="s">
        <v>5655</v>
      </c>
      <c r="G2450" s="8" t="s">
        <v>15</v>
      </c>
    </row>
    <row r="2451" spans="1:7" hidden="1" x14ac:dyDescent="0.25">
      <c r="A2451" s="21">
        <v>2450</v>
      </c>
      <c r="B2451" s="7" t="s">
        <v>5656</v>
      </c>
      <c r="C2451" s="7" t="s">
        <v>5657</v>
      </c>
      <c r="G2451" s="8" t="s">
        <v>15</v>
      </c>
    </row>
    <row r="2452" spans="1:7" hidden="1" x14ac:dyDescent="0.25">
      <c r="A2452" s="21">
        <v>2451</v>
      </c>
      <c r="B2452" s="7" t="s">
        <v>5658</v>
      </c>
      <c r="C2452" s="7" t="s">
        <v>5659</v>
      </c>
      <c r="G2452" s="8" t="s">
        <v>15</v>
      </c>
    </row>
    <row r="2453" spans="1:7" hidden="1" x14ac:dyDescent="0.25">
      <c r="A2453" s="21">
        <v>2452</v>
      </c>
      <c r="B2453" s="7" t="s">
        <v>5660</v>
      </c>
      <c r="C2453" s="7" t="s">
        <v>5661</v>
      </c>
      <c r="G2453" s="8" t="s">
        <v>15</v>
      </c>
    </row>
    <row r="2454" spans="1:7" hidden="1" x14ac:dyDescent="0.25">
      <c r="A2454" s="21">
        <v>2453</v>
      </c>
      <c r="B2454" s="7" t="s">
        <v>5662</v>
      </c>
      <c r="C2454" s="7" t="s">
        <v>5663</v>
      </c>
      <c r="G2454" s="8" t="s">
        <v>15</v>
      </c>
    </row>
    <row r="2455" spans="1:7" hidden="1" x14ac:dyDescent="0.25">
      <c r="A2455" s="21">
        <v>2454</v>
      </c>
      <c r="B2455" s="7" t="s">
        <v>5664</v>
      </c>
      <c r="C2455" s="7" t="s">
        <v>5665</v>
      </c>
      <c r="G2455" s="8" t="s">
        <v>15</v>
      </c>
    </row>
    <row r="2456" spans="1:7" hidden="1" x14ac:dyDescent="0.25">
      <c r="A2456" s="21">
        <v>2455</v>
      </c>
      <c r="B2456" s="7" t="s">
        <v>5666</v>
      </c>
      <c r="C2456" s="7" t="s">
        <v>5667</v>
      </c>
      <c r="G2456" s="8" t="s">
        <v>15</v>
      </c>
    </row>
    <row r="2457" spans="1:7" hidden="1" x14ac:dyDescent="0.25">
      <c r="A2457" s="21">
        <v>2456</v>
      </c>
      <c r="B2457" s="7" t="s">
        <v>5668</v>
      </c>
      <c r="C2457" s="7" t="s">
        <v>5669</v>
      </c>
      <c r="G2457" s="8" t="s">
        <v>15</v>
      </c>
    </row>
    <row r="2458" spans="1:7" hidden="1" x14ac:dyDescent="0.25">
      <c r="A2458" s="21">
        <v>2457</v>
      </c>
      <c r="B2458" s="7" t="s">
        <v>5670</v>
      </c>
      <c r="C2458" s="7" t="s">
        <v>5671</v>
      </c>
      <c r="G2458" s="8" t="s">
        <v>15</v>
      </c>
    </row>
    <row r="2459" spans="1:7" hidden="1" x14ac:dyDescent="0.25">
      <c r="A2459" s="21">
        <v>2458</v>
      </c>
      <c r="B2459" s="7" t="s">
        <v>5672</v>
      </c>
      <c r="C2459" s="7" t="s">
        <v>5673</v>
      </c>
      <c r="G2459" s="8" t="s">
        <v>15</v>
      </c>
    </row>
    <row r="2460" spans="1:7" hidden="1" x14ac:dyDescent="0.25">
      <c r="A2460" s="21">
        <v>2459</v>
      </c>
      <c r="B2460" s="7" t="s">
        <v>5674</v>
      </c>
      <c r="C2460" s="7" t="s">
        <v>5675</v>
      </c>
      <c r="G2460" s="8" t="s">
        <v>15</v>
      </c>
    </row>
    <row r="2461" spans="1:7" hidden="1" x14ac:dyDescent="0.25">
      <c r="A2461" s="21">
        <v>2460</v>
      </c>
      <c r="B2461" s="7" t="s">
        <v>5676</v>
      </c>
      <c r="C2461" s="7" t="s">
        <v>5677</v>
      </c>
      <c r="G2461" s="8" t="s">
        <v>15</v>
      </c>
    </row>
    <row r="2462" spans="1:7" hidden="1" x14ac:dyDescent="0.25">
      <c r="A2462" s="21">
        <v>2461</v>
      </c>
      <c r="B2462" s="7" t="s">
        <v>5678</v>
      </c>
      <c r="C2462" s="7" t="s">
        <v>5679</v>
      </c>
      <c r="G2462" s="8" t="s">
        <v>15</v>
      </c>
    </row>
    <row r="2463" spans="1:7" hidden="1" x14ac:dyDescent="0.25">
      <c r="A2463" s="21">
        <v>2462</v>
      </c>
      <c r="B2463" s="7" t="s">
        <v>5680</v>
      </c>
      <c r="C2463" s="7" t="s">
        <v>5681</v>
      </c>
      <c r="G2463" s="8" t="s">
        <v>15</v>
      </c>
    </row>
    <row r="2464" spans="1:7" hidden="1" x14ac:dyDescent="0.25">
      <c r="A2464" s="21">
        <v>2463</v>
      </c>
      <c r="B2464" s="7" t="s">
        <v>5682</v>
      </c>
      <c r="C2464" s="7" t="s">
        <v>5683</v>
      </c>
      <c r="G2464" s="8" t="s">
        <v>15</v>
      </c>
    </row>
    <row r="2465" spans="1:7" hidden="1" x14ac:dyDescent="0.25">
      <c r="A2465" s="21">
        <v>2464</v>
      </c>
      <c r="B2465" s="7" t="s">
        <v>5684</v>
      </c>
      <c r="C2465" s="7" t="s">
        <v>5685</v>
      </c>
      <c r="G2465" s="8" t="s">
        <v>15</v>
      </c>
    </row>
    <row r="2466" spans="1:7" hidden="1" x14ac:dyDescent="0.25">
      <c r="A2466" s="21">
        <v>2465</v>
      </c>
      <c r="B2466" s="7" t="s">
        <v>5686</v>
      </c>
      <c r="C2466" s="7" t="s">
        <v>5687</v>
      </c>
      <c r="G2466" s="8" t="s">
        <v>15</v>
      </c>
    </row>
    <row r="2467" spans="1:7" hidden="1" x14ac:dyDescent="0.25">
      <c r="A2467" s="21">
        <v>2466</v>
      </c>
      <c r="B2467" s="7" t="s">
        <v>5688</v>
      </c>
      <c r="C2467" s="7" t="s">
        <v>5689</v>
      </c>
      <c r="G2467" s="8" t="s">
        <v>15</v>
      </c>
    </row>
    <row r="2468" spans="1:7" hidden="1" x14ac:dyDescent="0.25">
      <c r="A2468" s="21">
        <v>2467</v>
      </c>
      <c r="B2468" s="7" t="s">
        <v>5690</v>
      </c>
      <c r="C2468" s="7" t="s">
        <v>5691</v>
      </c>
      <c r="G2468" s="8" t="s">
        <v>15</v>
      </c>
    </row>
    <row r="2469" spans="1:7" hidden="1" x14ac:dyDescent="0.25">
      <c r="A2469" s="21">
        <v>2468</v>
      </c>
      <c r="B2469" s="7" t="s">
        <v>5692</v>
      </c>
      <c r="C2469" s="7" t="s">
        <v>5693</v>
      </c>
      <c r="G2469" s="8" t="s">
        <v>15</v>
      </c>
    </row>
    <row r="2470" spans="1:7" hidden="1" x14ac:dyDescent="0.25">
      <c r="A2470" s="21">
        <v>2469</v>
      </c>
      <c r="B2470" s="7" t="s">
        <v>5694</v>
      </c>
      <c r="C2470" s="7" t="s">
        <v>5695</v>
      </c>
      <c r="G2470" s="8" t="s">
        <v>15</v>
      </c>
    </row>
    <row r="2471" spans="1:7" hidden="1" x14ac:dyDescent="0.25">
      <c r="A2471" s="21">
        <v>2470</v>
      </c>
      <c r="B2471" s="7" t="s">
        <v>5696</v>
      </c>
      <c r="C2471" s="7" t="s">
        <v>5697</v>
      </c>
      <c r="G2471" s="8" t="s">
        <v>15</v>
      </c>
    </row>
    <row r="2472" spans="1:7" hidden="1" x14ac:dyDescent="0.25">
      <c r="A2472" s="21">
        <v>2471</v>
      </c>
      <c r="B2472" s="7" t="s">
        <v>5698</v>
      </c>
      <c r="C2472" s="7" t="s">
        <v>5699</v>
      </c>
      <c r="G2472" s="8" t="s">
        <v>15</v>
      </c>
    </row>
    <row r="2473" spans="1:7" hidden="1" x14ac:dyDescent="0.25">
      <c r="A2473" s="21">
        <v>2472</v>
      </c>
      <c r="B2473" s="7" t="s">
        <v>5700</v>
      </c>
      <c r="C2473" s="7" t="s">
        <v>5701</v>
      </c>
      <c r="G2473" s="8" t="s">
        <v>15</v>
      </c>
    </row>
    <row r="2474" spans="1:7" hidden="1" x14ac:dyDescent="0.25">
      <c r="A2474" s="21">
        <v>2473</v>
      </c>
      <c r="B2474" s="7" t="s">
        <v>5702</v>
      </c>
      <c r="C2474" s="7" t="s">
        <v>5703</v>
      </c>
      <c r="G2474" s="8" t="s">
        <v>15</v>
      </c>
    </row>
    <row r="2475" spans="1:7" hidden="1" x14ac:dyDescent="0.25">
      <c r="A2475" s="21">
        <v>2474</v>
      </c>
      <c r="B2475" s="7" t="s">
        <v>5704</v>
      </c>
      <c r="C2475" s="7" t="s">
        <v>5705</v>
      </c>
      <c r="G2475" s="8" t="s">
        <v>15</v>
      </c>
    </row>
    <row r="2476" spans="1:7" hidden="1" x14ac:dyDescent="0.25">
      <c r="A2476" s="21">
        <v>2475</v>
      </c>
      <c r="B2476" s="7" t="s">
        <v>5706</v>
      </c>
      <c r="C2476" s="7" t="s">
        <v>5707</v>
      </c>
      <c r="G2476" s="8" t="s">
        <v>15</v>
      </c>
    </row>
    <row r="2477" spans="1:7" hidden="1" x14ac:dyDescent="0.25">
      <c r="A2477" s="21">
        <v>2476</v>
      </c>
      <c r="B2477" s="7" t="s">
        <v>5708</v>
      </c>
      <c r="C2477" s="7" t="s">
        <v>5709</v>
      </c>
      <c r="G2477" s="8" t="s">
        <v>15</v>
      </c>
    </row>
    <row r="2478" spans="1:7" hidden="1" x14ac:dyDescent="0.25">
      <c r="A2478" s="21">
        <v>2477</v>
      </c>
      <c r="B2478" s="7" t="s">
        <v>5710</v>
      </c>
      <c r="C2478" s="7" t="s">
        <v>5711</v>
      </c>
      <c r="G2478" s="8" t="s">
        <v>15</v>
      </c>
    </row>
    <row r="2479" spans="1:7" hidden="1" x14ac:dyDescent="0.25">
      <c r="A2479" s="21">
        <v>2478</v>
      </c>
      <c r="B2479" s="7" t="s">
        <v>5712</v>
      </c>
      <c r="C2479" s="7" t="s">
        <v>5713</v>
      </c>
      <c r="G2479" s="8" t="s">
        <v>15</v>
      </c>
    </row>
    <row r="2480" spans="1:7" hidden="1" x14ac:dyDescent="0.25">
      <c r="A2480" s="21">
        <v>2479</v>
      </c>
      <c r="B2480" s="7" t="s">
        <v>5714</v>
      </c>
      <c r="C2480" s="7" t="s">
        <v>5715</v>
      </c>
      <c r="G2480" s="8" t="s">
        <v>15</v>
      </c>
    </row>
    <row r="2481" spans="1:7" hidden="1" x14ac:dyDescent="0.25">
      <c r="A2481" s="21">
        <v>2480</v>
      </c>
      <c r="B2481" s="7" t="s">
        <v>5716</v>
      </c>
      <c r="C2481" s="7" t="s">
        <v>5717</v>
      </c>
      <c r="G2481" s="8" t="s">
        <v>15</v>
      </c>
    </row>
    <row r="2482" spans="1:7" hidden="1" x14ac:dyDescent="0.25">
      <c r="A2482" s="21">
        <v>2481</v>
      </c>
      <c r="B2482" s="7" t="s">
        <v>5718</v>
      </c>
      <c r="C2482" s="7" t="s">
        <v>5719</v>
      </c>
      <c r="G2482" s="8" t="s">
        <v>15</v>
      </c>
    </row>
    <row r="2483" spans="1:7" hidden="1" x14ac:dyDescent="0.25">
      <c r="A2483" s="21">
        <v>2482</v>
      </c>
      <c r="B2483" s="7" t="s">
        <v>5720</v>
      </c>
      <c r="C2483" s="7" t="s">
        <v>5721</v>
      </c>
      <c r="G2483" s="8" t="s">
        <v>15</v>
      </c>
    </row>
    <row r="2484" spans="1:7" hidden="1" x14ac:dyDescent="0.25">
      <c r="A2484" s="21">
        <v>2483</v>
      </c>
      <c r="B2484" s="7" t="s">
        <v>5722</v>
      </c>
      <c r="C2484" s="7" t="s">
        <v>5723</v>
      </c>
      <c r="G2484" s="8" t="s">
        <v>15</v>
      </c>
    </row>
    <row r="2485" spans="1:7" hidden="1" x14ac:dyDescent="0.25">
      <c r="A2485" s="21">
        <v>2484</v>
      </c>
      <c r="B2485" s="7" t="s">
        <v>5724</v>
      </c>
      <c r="C2485" s="7" t="s">
        <v>5725</v>
      </c>
      <c r="G2485" s="8" t="s">
        <v>15</v>
      </c>
    </row>
    <row r="2486" spans="1:7" hidden="1" x14ac:dyDescent="0.25">
      <c r="A2486" s="21">
        <v>2485</v>
      </c>
      <c r="B2486" s="7" t="s">
        <v>5726</v>
      </c>
      <c r="C2486" s="7" t="s">
        <v>5727</v>
      </c>
      <c r="G2486" s="8" t="s">
        <v>15</v>
      </c>
    </row>
    <row r="2487" spans="1:7" hidden="1" x14ac:dyDescent="0.25">
      <c r="A2487" s="21">
        <v>2486</v>
      </c>
      <c r="B2487" s="7" t="s">
        <v>5728</v>
      </c>
      <c r="C2487" s="7" t="s">
        <v>5729</v>
      </c>
      <c r="G2487" s="8" t="s">
        <v>15</v>
      </c>
    </row>
    <row r="2488" spans="1:7" hidden="1" x14ac:dyDescent="0.25">
      <c r="A2488" s="21">
        <v>2487</v>
      </c>
      <c r="B2488" s="7" t="s">
        <v>5730</v>
      </c>
      <c r="C2488" s="7" t="s">
        <v>5731</v>
      </c>
      <c r="G2488" s="8" t="s">
        <v>15</v>
      </c>
    </row>
    <row r="2489" spans="1:7" hidden="1" x14ac:dyDescent="0.25">
      <c r="A2489" s="21">
        <v>2488</v>
      </c>
      <c r="B2489" s="7" t="s">
        <v>5732</v>
      </c>
      <c r="C2489" s="7" t="s">
        <v>5733</v>
      </c>
      <c r="G2489" s="8" t="s">
        <v>15</v>
      </c>
    </row>
    <row r="2490" spans="1:7" hidden="1" x14ac:dyDescent="0.25">
      <c r="A2490" s="21">
        <v>2489</v>
      </c>
      <c r="B2490" s="7" t="s">
        <v>5734</v>
      </c>
      <c r="C2490" s="7" t="s">
        <v>5735</v>
      </c>
      <c r="G2490" s="8" t="s">
        <v>15</v>
      </c>
    </row>
    <row r="2491" spans="1:7" hidden="1" x14ac:dyDescent="0.25">
      <c r="A2491" s="21">
        <v>2490</v>
      </c>
      <c r="B2491" s="7" t="s">
        <v>5736</v>
      </c>
      <c r="C2491" s="7" t="s">
        <v>5737</v>
      </c>
      <c r="G2491" s="8" t="s">
        <v>15</v>
      </c>
    </row>
    <row r="2492" spans="1:7" hidden="1" x14ac:dyDescent="0.25">
      <c r="A2492" s="21">
        <v>2491</v>
      </c>
      <c r="B2492" s="7" t="s">
        <v>5738</v>
      </c>
      <c r="C2492" s="7" t="s">
        <v>5739</v>
      </c>
      <c r="G2492" s="8" t="s">
        <v>15</v>
      </c>
    </row>
    <row r="2493" spans="1:7" hidden="1" x14ac:dyDescent="0.25">
      <c r="A2493" s="21">
        <v>2492</v>
      </c>
      <c r="B2493" s="7" t="s">
        <v>5740</v>
      </c>
      <c r="C2493" s="7" t="s">
        <v>5741</v>
      </c>
      <c r="G2493" s="8" t="s">
        <v>15</v>
      </c>
    </row>
    <row r="2494" spans="1:7" hidden="1" x14ac:dyDescent="0.25">
      <c r="A2494" s="21">
        <v>2493</v>
      </c>
      <c r="B2494" s="7" t="s">
        <v>5742</v>
      </c>
      <c r="C2494" s="7" t="s">
        <v>5743</v>
      </c>
      <c r="G2494" s="8" t="s">
        <v>15</v>
      </c>
    </row>
    <row r="2495" spans="1:7" hidden="1" x14ac:dyDescent="0.25">
      <c r="A2495" s="21">
        <v>2494</v>
      </c>
      <c r="B2495" s="7" t="s">
        <v>5744</v>
      </c>
      <c r="C2495" s="7" t="s">
        <v>5745</v>
      </c>
      <c r="G2495" s="8" t="s">
        <v>15</v>
      </c>
    </row>
    <row r="2496" spans="1:7" hidden="1" x14ac:dyDescent="0.25">
      <c r="A2496" s="21">
        <v>2495</v>
      </c>
      <c r="B2496" s="7" t="s">
        <v>5746</v>
      </c>
      <c r="C2496" s="7" t="s">
        <v>5747</v>
      </c>
      <c r="G2496" s="8" t="s">
        <v>15</v>
      </c>
    </row>
    <row r="2497" spans="1:7" hidden="1" x14ac:dyDescent="0.25">
      <c r="A2497" s="21">
        <v>2496</v>
      </c>
      <c r="B2497" s="7" t="s">
        <v>5748</v>
      </c>
      <c r="C2497" s="7" t="s">
        <v>5749</v>
      </c>
      <c r="G2497" s="8" t="s">
        <v>15</v>
      </c>
    </row>
    <row r="2498" spans="1:7" hidden="1" x14ac:dyDescent="0.25">
      <c r="A2498" s="21">
        <v>2497</v>
      </c>
      <c r="B2498" s="7" t="s">
        <v>5750</v>
      </c>
      <c r="C2498" s="7" t="s">
        <v>5751</v>
      </c>
      <c r="G2498" s="8" t="s">
        <v>15</v>
      </c>
    </row>
    <row r="2499" spans="1:7" hidden="1" x14ac:dyDescent="0.25">
      <c r="A2499" s="21">
        <v>2498</v>
      </c>
      <c r="B2499" s="7" t="s">
        <v>5752</v>
      </c>
      <c r="C2499" s="7" t="s">
        <v>5753</v>
      </c>
      <c r="G2499" s="8" t="s">
        <v>15</v>
      </c>
    </row>
    <row r="2500" spans="1:7" hidden="1" x14ac:dyDescent="0.25">
      <c r="A2500" s="21">
        <v>2499</v>
      </c>
      <c r="B2500" s="7" t="s">
        <v>5754</v>
      </c>
      <c r="C2500" s="7" t="s">
        <v>5755</v>
      </c>
      <c r="G2500" s="8" t="s">
        <v>15</v>
      </c>
    </row>
    <row r="2501" spans="1:7" hidden="1" x14ac:dyDescent="0.25">
      <c r="A2501" s="21">
        <v>2500</v>
      </c>
      <c r="B2501" s="7" t="s">
        <v>5756</v>
      </c>
      <c r="C2501" s="7" t="s">
        <v>5757</v>
      </c>
      <c r="G2501" s="8" t="s">
        <v>15</v>
      </c>
    </row>
    <row r="2502" spans="1:7" hidden="1" x14ac:dyDescent="0.25">
      <c r="A2502" s="21">
        <v>2501</v>
      </c>
      <c r="B2502" s="7" t="s">
        <v>5758</v>
      </c>
      <c r="C2502" s="7" t="s">
        <v>5759</v>
      </c>
      <c r="G2502" s="8" t="s">
        <v>15</v>
      </c>
    </row>
    <row r="2503" spans="1:7" hidden="1" x14ac:dyDescent="0.25">
      <c r="A2503" s="21">
        <v>2502</v>
      </c>
      <c r="B2503" s="7" t="s">
        <v>5760</v>
      </c>
      <c r="C2503" s="7" t="s">
        <v>5761</v>
      </c>
      <c r="G2503" s="8" t="s">
        <v>15</v>
      </c>
    </row>
    <row r="2504" spans="1:7" hidden="1" x14ac:dyDescent="0.25">
      <c r="A2504" s="21">
        <v>2503</v>
      </c>
      <c r="B2504" s="7" t="s">
        <v>5762</v>
      </c>
      <c r="C2504" s="7" t="s">
        <v>5763</v>
      </c>
      <c r="G2504" s="8" t="s">
        <v>15</v>
      </c>
    </row>
    <row r="2505" spans="1:7" hidden="1" x14ac:dyDescent="0.25">
      <c r="A2505" s="21">
        <v>2504</v>
      </c>
      <c r="B2505" s="7" t="s">
        <v>5764</v>
      </c>
      <c r="C2505" s="7" t="s">
        <v>5765</v>
      </c>
      <c r="G2505" s="8" t="s">
        <v>15</v>
      </c>
    </row>
    <row r="2506" spans="1:7" hidden="1" x14ac:dyDescent="0.25">
      <c r="A2506" s="21">
        <v>2505</v>
      </c>
      <c r="B2506" s="7" t="s">
        <v>5766</v>
      </c>
      <c r="C2506" s="7" t="s">
        <v>5767</v>
      </c>
      <c r="G2506" s="8" t="s">
        <v>15</v>
      </c>
    </row>
    <row r="2507" spans="1:7" hidden="1" x14ac:dyDescent="0.25">
      <c r="A2507" s="21">
        <v>2506</v>
      </c>
      <c r="B2507" s="7" t="s">
        <v>5768</v>
      </c>
      <c r="C2507" s="7" t="s">
        <v>5769</v>
      </c>
      <c r="G2507" s="8" t="s">
        <v>15</v>
      </c>
    </row>
    <row r="2508" spans="1:7" hidden="1" x14ac:dyDescent="0.25">
      <c r="A2508" s="21">
        <v>2507</v>
      </c>
      <c r="B2508" s="7" t="s">
        <v>5770</v>
      </c>
      <c r="C2508" s="7" t="s">
        <v>5771</v>
      </c>
      <c r="G2508" s="8" t="s">
        <v>15</v>
      </c>
    </row>
    <row r="2509" spans="1:7" hidden="1" x14ac:dyDescent="0.25">
      <c r="A2509" s="21">
        <v>2508</v>
      </c>
      <c r="B2509" s="7" t="s">
        <v>5772</v>
      </c>
      <c r="C2509" s="7" t="s">
        <v>5773</v>
      </c>
      <c r="F2509" t="s">
        <v>1603</v>
      </c>
      <c r="G2509" s="8" t="s">
        <v>15</v>
      </c>
    </row>
    <row r="2510" spans="1:7" hidden="1" x14ac:dyDescent="0.25">
      <c r="A2510" s="21">
        <v>2509</v>
      </c>
      <c r="B2510" s="7" t="s">
        <v>5774</v>
      </c>
      <c r="C2510" s="7" t="s">
        <v>5775</v>
      </c>
      <c r="F2510" t="s">
        <v>1603</v>
      </c>
      <c r="G2510" s="8" t="s">
        <v>15</v>
      </c>
    </row>
    <row r="2511" spans="1:7" hidden="1" x14ac:dyDescent="0.25">
      <c r="A2511" s="21">
        <v>2510</v>
      </c>
      <c r="B2511" s="7" t="s">
        <v>5776</v>
      </c>
      <c r="C2511" s="7" t="s">
        <v>5777</v>
      </c>
      <c r="F2511" t="s">
        <v>1603</v>
      </c>
      <c r="G2511" s="8" t="s">
        <v>15</v>
      </c>
    </row>
    <row r="2512" spans="1:7" hidden="1" x14ac:dyDescent="0.25">
      <c r="A2512" s="21">
        <v>2511</v>
      </c>
      <c r="B2512" s="7" t="s">
        <v>5778</v>
      </c>
      <c r="C2512" s="7" t="s">
        <v>5779</v>
      </c>
      <c r="F2512" t="s">
        <v>1603</v>
      </c>
      <c r="G2512" s="8" t="s">
        <v>15</v>
      </c>
    </row>
    <row r="2513" spans="1:7" hidden="1" x14ac:dyDescent="0.25">
      <c r="A2513" s="21">
        <v>2512</v>
      </c>
      <c r="B2513" s="7" t="s">
        <v>5780</v>
      </c>
      <c r="C2513" s="7" t="s">
        <v>5781</v>
      </c>
      <c r="F2513" t="s">
        <v>1603</v>
      </c>
      <c r="G2513" s="8" t="s">
        <v>15</v>
      </c>
    </row>
    <row r="2514" spans="1:7" hidden="1" x14ac:dyDescent="0.25">
      <c r="A2514" s="21">
        <v>2513</v>
      </c>
      <c r="B2514" s="7" t="s">
        <v>5782</v>
      </c>
      <c r="C2514" s="7" t="s">
        <v>5783</v>
      </c>
      <c r="F2514" t="s">
        <v>1603</v>
      </c>
      <c r="G2514" s="8" t="s">
        <v>15</v>
      </c>
    </row>
    <row r="2515" spans="1:7" hidden="1" x14ac:dyDescent="0.25">
      <c r="A2515" s="21">
        <v>2514</v>
      </c>
      <c r="B2515" s="7" t="s">
        <v>5784</v>
      </c>
      <c r="C2515" s="7" t="s">
        <v>5785</v>
      </c>
      <c r="F2515" t="s">
        <v>1603</v>
      </c>
      <c r="G2515" s="8" t="s">
        <v>15</v>
      </c>
    </row>
    <row r="2516" spans="1:7" hidden="1" x14ac:dyDescent="0.25">
      <c r="A2516" s="21">
        <v>2515</v>
      </c>
      <c r="B2516" s="7" t="s">
        <v>5786</v>
      </c>
      <c r="C2516" s="7" t="s">
        <v>5787</v>
      </c>
      <c r="F2516" t="s">
        <v>1603</v>
      </c>
      <c r="G2516" s="8" t="s">
        <v>15</v>
      </c>
    </row>
    <row r="2517" spans="1:7" hidden="1" x14ac:dyDescent="0.25">
      <c r="A2517" s="21">
        <v>2516</v>
      </c>
      <c r="B2517" s="7" t="s">
        <v>5788</v>
      </c>
      <c r="C2517" s="7" t="s">
        <v>5789</v>
      </c>
      <c r="F2517" t="s">
        <v>1603</v>
      </c>
      <c r="G2517" s="8" t="s">
        <v>15</v>
      </c>
    </row>
    <row r="2518" spans="1:7" hidden="1" x14ac:dyDescent="0.25">
      <c r="A2518" s="21">
        <v>2517</v>
      </c>
      <c r="B2518" s="7" t="s">
        <v>5790</v>
      </c>
      <c r="C2518" s="7" t="s">
        <v>5791</v>
      </c>
      <c r="F2518" t="s">
        <v>1603</v>
      </c>
      <c r="G2518" s="8" t="s">
        <v>15</v>
      </c>
    </row>
    <row r="2519" spans="1:7" hidden="1" x14ac:dyDescent="0.25">
      <c r="A2519" s="21">
        <v>2518</v>
      </c>
      <c r="B2519" s="7" t="s">
        <v>5792</v>
      </c>
      <c r="C2519" s="7" t="s">
        <v>5793</v>
      </c>
      <c r="F2519" t="s">
        <v>1603</v>
      </c>
      <c r="G2519" s="8" t="s">
        <v>15</v>
      </c>
    </row>
    <row r="2520" spans="1:7" hidden="1" x14ac:dyDescent="0.25">
      <c r="A2520" s="21">
        <v>2519</v>
      </c>
      <c r="B2520" s="7" t="s">
        <v>5794</v>
      </c>
      <c r="C2520" s="7" t="s">
        <v>5795</v>
      </c>
      <c r="F2520" t="s">
        <v>1603</v>
      </c>
      <c r="G2520" s="8" t="s">
        <v>15</v>
      </c>
    </row>
    <row r="2521" spans="1:7" hidden="1" x14ac:dyDescent="0.25">
      <c r="A2521" s="21">
        <v>2520</v>
      </c>
      <c r="B2521" s="7" t="s">
        <v>5796</v>
      </c>
      <c r="C2521" s="7" t="s">
        <v>5797</v>
      </c>
      <c r="F2521" t="s">
        <v>1603</v>
      </c>
      <c r="G2521" s="8" t="s">
        <v>15</v>
      </c>
    </row>
    <row r="2522" spans="1:7" hidden="1" x14ac:dyDescent="0.25">
      <c r="A2522" s="21">
        <v>2521</v>
      </c>
      <c r="B2522" s="7" t="s">
        <v>5798</v>
      </c>
      <c r="C2522" s="7" t="s">
        <v>5799</v>
      </c>
      <c r="F2522" t="s">
        <v>1603</v>
      </c>
      <c r="G2522" s="8" t="s">
        <v>15</v>
      </c>
    </row>
    <row r="2523" spans="1:7" hidden="1" x14ac:dyDescent="0.25">
      <c r="A2523" s="21">
        <v>2522</v>
      </c>
      <c r="B2523" s="7" t="s">
        <v>5800</v>
      </c>
      <c r="C2523" s="7" t="s">
        <v>5801</v>
      </c>
      <c r="F2523" t="s">
        <v>1603</v>
      </c>
      <c r="G2523" s="8" t="s">
        <v>15</v>
      </c>
    </row>
    <row r="2524" spans="1:7" hidden="1" x14ac:dyDescent="0.25">
      <c r="A2524" s="21">
        <v>2523</v>
      </c>
      <c r="B2524" s="7" t="s">
        <v>5802</v>
      </c>
      <c r="C2524" s="7" t="s">
        <v>5803</v>
      </c>
      <c r="F2524" t="s">
        <v>1603</v>
      </c>
      <c r="G2524" s="8" t="s">
        <v>15</v>
      </c>
    </row>
    <row r="2525" spans="1:7" hidden="1" x14ac:dyDescent="0.25">
      <c r="A2525" s="21">
        <v>2524</v>
      </c>
      <c r="B2525" s="7" t="s">
        <v>5804</v>
      </c>
      <c r="C2525" s="7" t="s">
        <v>5805</v>
      </c>
      <c r="F2525" t="s">
        <v>1603</v>
      </c>
      <c r="G2525" s="8" t="s">
        <v>15</v>
      </c>
    </row>
    <row r="2526" spans="1:7" hidden="1" x14ac:dyDescent="0.25">
      <c r="A2526" s="21">
        <v>2525</v>
      </c>
      <c r="B2526" s="7" t="s">
        <v>5806</v>
      </c>
      <c r="C2526" s="7" t="s">
        <v>5807</v>
      </c>
      <c r="F2526" t="s">
        <v>1603</v>
      </c>
      <c r="G2526" s="8" t="s">
        <v>15</v>
      </c>
    </row>
    <row r="2527" spans="1:7" hidden="1" x14ac:dyDescent="0.25">
      <c r="A2527" s="21">
        <v>2526</v>
      </c>
      <c r="B2527" s="7" t="s">
        <v>5808</v>
      </c>
      <c r="C2527" s="7" t="s">
        <v>5809</v>
      </c>
      <c r="F2527" t="s">
        <v>1603</v>
      </c>
      <c r="G2527" s="8" t="s">
        <v>15</v>
      </c>
    </row>
    <row r="2528" spans="1:7" hidden="1" x14ac:dyDescent="0.25">
      <c r="A2528" s="21">
        <v>2527</v>
      </c>
      <c r="B2528" s="7" t="s">
        <v>5810</v>
      </c>
      <c r="C2528" s="7" t="s">
        <v>5811</v>
      </c>
      <c r="F2528" t="s">
        <v>1603</v>
      </c>
      <c r="G2528" s="8" t="s">
        <v>15</v>
      </c>
    </row>
    <row r="2529" spans="1:7" hidden="1" x14ac:dyDescent="0.25">
      <c r="A2529" s="21">
        <v>2528</v>
      </c>
      <c r="B2529" s="7" t="s">
        <v>5812</v>
      </c>
      <c r="C2529" s="7" t="s">
        <v>5813</v>
      </c>
      <c r="F2529" t="s">
        <v>1603</v>
      </c>
      <c r="G2529" s="8" t="s">
        <v>15</v>
      </c>
    </row>
    <row r="2530" spans="1:7" hidden="1" x14ac:dyDescent="0.25">
      <c r="A2530" s="21">
        <v>2529</v>
      </c>
      <c r="B2530" s="7" t="s">
        <v>5814</v>
      </c>
      <c r="C2530" s="7" t="s">
        <v>5815</v>
      </c>
      <c r="F2530" t="s">
        <v>1603</v>
      </c>
      <c r="G2530" s="8" t="s">
        <v>15</v>
      </c>
    </row>
    <row r="2531" spans="1:7" hidden="1" x14ac:dyDescent="0.25">
      <c r="A2531" s="21">
        <v>2530</v>
      </c>
      <c r="B2531" s="7" t="s">
        <v>5816</v>
      </c>
      <c r="C2531" s="7" t="s">
        <v>5817</v>
      </c>
      <c r="F2531" t="s">
        <v>1603</v>
      </c>
      <c r="G2531" s="8" t="s">
        <v>15</v>
      </c>
    </row>
    <row r="2532" spans="1:7" hidden="1" x14ac:dyDescent="0.25">
      <c r="A2532" s="21">
        <v>2531</v>
      </c>
      <c r="B2532" s="7" t="s">
        <v>5818</v>
      </c>
      <c r="C2532" s="7" t="s">
        <v>5819</v>
      </c>
      <c r="F2532" t="s">
        <v>1603</v>
      </c>
      <c r="G2532" s="8" t="s">
        <v>15</v>
      </c>
    </row>
    <row r="2533" spans="1:7" hidden="1" x14ac:dyDescent="0.25">
      <c r="A2533" s="21">
        <v>2532</v>
      </c>
      <c r="B2533" s="7" t="s">
        <v>5820</v>
      </c>
      <c r="C2533" s="7" t="s">
        <v>5821</v>
      </c>
      <c r="G2533" s="8" t="s">
        <v>15</v>
      </c>
    </row>
    <row r="2534" spans="1:7" hidden="1" x14ac:dyDescent="0.25">
      <c r="A2534" s="21">
        <v>2533</v>
      </c>
      <c r="B2534" s="7" t="s">
        <v>5822</v>
      </c>
      <c r="C2534" s="7" t="s">
        <v>5823</v>
      </c>
      <c r="G2534" s="8" t="s">
        <v>15</v>
      </c>
    </row>
    <row r="2535" spans="1:7" hidden="1" x14ac:dyDescent="0.25">
      <c r="A2535" s="21">
        <v>2534</v>
      </c>
      <c r="B2535" s="7" t="s">
        <v>5824</v>
      </c>
      <c r="C2535" s="7" t="s">
        <v>5825</v>
      </c>
      <c r="G2535" s="8" t="s">
        <v>15</v>
      </c>
    </row>
    <row r="2536" spans="1:7" hidden="1" x14ac:dyDescent="0.25">
      <c r="A2536" s="21">
        <v>2535</v>
      </c>
      <c r="B2536" s="7" t="s">
        <v>5826</v>
      </c>
      <c r="C2536" s="7" t="s">
        <v>5827</v>
      </c>
      <c r="G2536" s="8" t="s">
        <v>15</v>
      </c>
    </row>
    <row r="2537" spans="1:7" hidden="1" x14ac:dyDescent="0.25">
      <c r="A2537" s="21">
        <v>2536</v>
      </c>
      <c r="B2537" s="7" t="s">
        <v>5828</v>
      </c>
      <c r="C2537" s="7" t="s">
        <v>5829</v>
      </c>
      <c r="G2537" s="8" t="s">
        <v>15</v>
      </c>
    </row>
    <row r="2538" spans="1:7" hidden="1" x14ac:dyDescent="0.25">
      <c r="A2538" s="21">
        <v>2537</v>
      </c>
      <c r="B2538" s="7" t="s">
        <v>5830</v>
      </c>
      <c r="C2538" s="7" t="s">
        <v>5831</v>
      </c>
      <c r="G2538" s="8" t="s">
        <v>15</v>
      </c>
    </row>
    <row r="2539" spans="1:7" hidden="1" x14ac:dyDescent="0.25">
      <c r="A2539" s="21">
        <v>2538</v>
      </c>
      <c r="B2539" s="7" t="s">
        <v>5832</v>
      </c>
      <c r="C2539" s="7" t="s">
        <v>5833</v>
      </c>
      <c r="G2539" s="8" t="s">
        <v>15</v>
      </c>
    </row>
    <row r="2540" spans="1:7" hidden="1" x14ac:dyDescent="0.25">
      <c r="A2540" s="21">
        <v>2539</v>
      </c>
      <c r="B2540" s="7" t="s">
        <v>5834</v>
      </c>
      <c r="C2540" s="7" t="s">
        <v>5835</v>
      </c>
      <c r="G2540" s="8" t="s">
        <v>15</v>
      </c>
    </row>
    <row r="2541" spans="1:7" hidden="1" x14ac:dyDescent="0.25">
      <c r="A2541" s="21">
        <v>2540</v>
      </c>
      <c r="B2541" s="7" t="s">
        <v>5836</v>
      </c>
      <c r="C2541" s="7" t="s">
        <v>5837</v>
      </c>
      <c r="G2541" s="8" t="s">
        <v>15</v>
      </c>
    </row>
    <row r="2542" spans="1:7" hidden="1" x14ac:dyDescent="0.25">
      <c r="A2542" s="21">
        <v>2541</v>
      </c>
      <c r="B2542" s="7" t="s">
        <v>5838</v>
      </c>
      <c r="C2542" s="7" t="s">
        <v>5839</v>
      </c>
      <c r="G2542" s="8" t="s">
        <v>15</v>
      </c>
    </row>
    <row r="2543" spans="1:7" hidden="1" x14ac:dyDescent="0.25">
      <c r="A2543" s="21">
        <v>2542</v>
      </c>
      <c r="B2543" s="7" t="s">
        <v>5840</v>
      </c>
      <c r="C2543" s="7" t="s">
        <v>5841</v>
      </c>
      <c r="G2543" s="8" t="s">
        <v>15</v>
      </c>
    </row>
    <row r="2544" spans="1:7" hidden="1" x14ac:dyDescent="0.25">
      <c r="A2544" s="21">
        <v>2543</v>
      </c>
      <c r="B2544" s="7" t="s">
        <v>5842</v>
      </c>
      <c r="C2544" s="7" t="s">
        <v>5843</v>
      </c>
      <c r="G2544" s="8" t="s">
        <v>15</v>
      </c>
    </row>
    <row r="2545" spans="1:7" hidden="1" x14ac:dyDescent="0.25">
      <c r="A2545" s="21">
        <v>2544</v>
      </c>
      <c r="B2545" s="7" t="s">
        <v>5844</v>
      </c>
      <c r="C2545" s="7" t="s">
        <v>5845</v>
      </c>
      <c r="G2545" s="8" t="s">
        <v>15</v>
      </c>
    </row>
    <row r="2546" spans="1:7" hidden="1" x14ac:dyDescent="0.25">
      <c r="A2546" s="21">
        <v>2545</v>
      </c>
      <c r="B2546" s="7" t="s">
        <v>5846</v>
      </c>
      <c r="C2546" s="7" t="s">
        <v>5847</v>
      </c>
      <c r="G2546" s="8" t="s">
        <v>15</v>
      </c>
    </row>
    <row r="2547" spans="1:7" hidden="1" x14ac:dyDescent="0.25">
      <c r="A2547" s="21">
        <v>2546</v>
      </c>
      <c r="B2547" s="7" t="s">
        <v>5848</v>
      </c>
      <c r="C2547" s="7" t="s">
        <v>5849</v>
      </c>
      <c r="G2547" s="8" t="s">
        <v>15</v>
      </c>
    </row>
    <row r="2548" spans="1:7" hidden="1" x14ac:dyDescent="0.25">
      <c r="A2548" s="21">
        <v>2547</v>
      </c>
      <c r="B2548" s="7" t="s">
        <v>5850</v>
      </c>
      <c r="C2548" s="7" t="s">
        <v>5851</v>
      </c>
      <c r="G2548" s="8" t="s">
        <v>15</v>
      </c>
    </row>
    <row r="2549" spans="1:7" hidden="1" x14ac:dyDescent="0.25">
      <c r="A2549" s="21">
        <v>2548</v>
      </c>
      <c r="B2549" s="7" t="s">
        <v>5852</v>
      </c>
      <c r="C2549" s="7" t="s">
        <v>5853</v>
      </c>
      <c r="G2549" s="8" t="s">
        <v>15</v>
      </c>
    </row>
    <row r="2550" spans="1:7" hidden="1" x14ac:dyDescent="0.25">
      <c r="A2550" s="21">
        <v>2549</v>
      </c>
      <c r="B2550" s="7" t="s">
        <v>5854</v>
      </c>
      <c r="C2550" s="7" t="s">
        <v>5855</v>
      </c>
      <c r="G2550" s="8" t="s">
        <v>15</v>
      </c>
    </row>
    <row r="2551" spans="1:7" hidden="1" x14ac:dyDescent="0.25">
      <c r="A2551" s="21">
        <v>2550</v>
      </c>
      <c r="B2551" s="7" t="s">
        <v>5856</v>
      </c>
      <c r="C2551" s="7" t="s">
        <v>5857</v>
      </c>
      <c r="G2551" s="8" t="s">
        <v>15</v>
      </c>
    </row>
    <row r="2552" spans="1:7" hidden="1" x14ac:dyDescent="0.25">
      <c r="A2552" s="21">
        <v>2551</v>
      </c>
      <c r="B2552" s="7" t="s">
        <v>5858</v>
      </c>
      <c r="C2552" s="7" t="s">
        <v>5859</v>
      </c>
      <c r="G2552" s="8" t="s">
        <v>15</v>
      </c>
    </row>
    <row r="2553" spans="1:7" hidden="1" x14ac:dyDescent="0.25">
      <c r="A2553" s="21">
        <v>2552</v>
      </c>
      <c r="B2553" s="7" t="s">
        <v>5860</v>
      </c>
      <c r="C2553" s="7" t="s">
        <v>5861</v>
      </c>
      <c r="G2553" s="8" t="s">
        <v>15</v>
      </c>
    </row>
    <row r="2554" spans="1:7" hidden="1" x14ac:dyDescent="0.25">
      <c r="A2554" s="21">
        <v>2553</v>
      </c>
      <c r="B2554" s="7" t="s">
        <v>5862</v>
      </c>
      <c r="C2554" s="7" t="s">
        <v>5863</v>
      </c>
      <c r="G2554" s="8" t="s">
        <v>15</v>
      </c>
    </row>
    <row r="2555" spans="1:7" hidden="1" x14ac:dyDescent="0.25">
      <c r="A2555" s="21">
        <v>2554</v>
      </c>
      <c r="B2555" s="7" t="s">
        <v>5864</v>
      </c>
      <c r="C2555" s="7" t="s">
        <v>5865</v>
      </c>
      <c r="G2555" s="8" t="s">
        <v>15</v>
      </c>
    </row>
    <row r="2556" spans="1:7" hidden="1" x14ac:dyDescent="0.25">
      <c r="A2556" s="21">
        <v>2555</v>
      </c>
      <c r="B2556" s="7" t="s">
        <v>5866</v>
      </c>
      <c r="C2556" s="7" t="s">
        <v>5867</v>
      </c>
      <c r="G2556" s="8" t="s">
        <v>15</v>
      </c>
    </row>
    <row r="2557" spans="1:7" hidden="1" x14ac:dyDescent="0.25">
      <c r="A2557" s="21">
        <v>2556</v>
      </c>
      <c r="B2557" s="7" t="s">
        <v>5868</v>
      </c>
      <c r="C2557" s="7" t="s">
        <v>5869</v>
      </c>
      <c r="G2557" s="8" t="s">
        <v>15</v>
      </c>
    </row>
    <row r="2558" spans="1:7" hidden="1" x14ac:dyDescent="0.25">
      <c r="A2558" s="21">
        <v>2557</v>
      </c>
      <c r="B2558" s="7" t="s">
        <v>5870</v>
      </c>
      <c r="C2558" s="7" t="s">
        <v>5871</v>
      </c>
      <c r="G2558" s="8" t="s">
        <v>15</v>
      </c>
    </row>
    <row r="2559" spans="1:7" hidden="1" x14ac:dyDescent="0.25">
      <c r="A2559" s="21">
        <v>2558</v>
      </c>
      <c r="B2559" s="7" t="s">
        <v>5872</v>
      </c>
      <c r="C2559" s="7" t="s">
        <v>5873</v>
      </c>
      <c r="G2559" s="8" t="s">
        <v>15</v>
      </c>
    </row>
    <row r="2560" spans="1:7" hidden="1" x14ac:dyDescent="0.25">
      <c r="A2560" s="21">
        <v>2559</v>
      </c>
      <c r="B2560" s="7" t="s">
        <v>5874</v>
      </c>
      <c r="C2560" s="7" t="s">
        <v>5875</v>
      </c>
      <c r="G2560" s="8" t="s">
        <v>15</v>
      </c>
    </row>
    <row r="2561" spans="1:7" hidden="1" x14ac:dyDescent="0.25">
      <c r="A2561" s="21">
        <v>2560</v>
      </c>
      <c r="B2561" s="7" t="s">
        <v>5876</v>
      </c>
      <c r="C2561" s="7" t="s">
        <v>5877</v>
      </c>
      <c r="G2561" s="8" t="s">
        <v>15</v>
      </c>
    </row>
    <row r="2562" spans="1:7" hidden="1" x14ac:dyDescent="0.25">
      <c r="A2562" s="21">
        <v>2561</v>
      </c>
      <c r="B2562" s="7" t="s">
        <v>5878</v>
      </c>
      <c r="C2562" s="7" t="s">
        <v>5879</v>
      </c>
      <c r="G2562" s="8" t="s">
        <v>15</v>
      </c>
    </row>
    <row r="2563" spans="1:7" hidden="1" x14ac:dyDescent="0.25">
      <c r="A2563" s="21">
        <v>2562</v>
      </c>
      <c r="B2563" s="7" t="s">
        <v>5880</v>
      </c>
      <c r="C2563" s="7" t="s">
        <v>5881</v>
      </c>
      <c r="G2563" s="8" t="s">
        <v>15</v>
      </c>
    </row>
    <row r="2564" spans="1:7" hidden="1" x14ac:dyDescent="0.25">
      <c r="A2564" s="21">
        <v>2563</v>
      </c>
      <c r="B2564" s="7" t="s">
        <v>5882</v>
      </c>
      <c r="C2564" s="7" t="s">
        <v>5883</v>
      </c>
      <c r="G2564" s="8" t="s">
        <v>15</v>
      </c>
    </row>
    <row r="2565" spans="1:7" hidden="1" x14ac:dyDescent="0.25">
      <c r="A2565" s="21">
        <v>2564</v>
      </c>
      <c r="B2565" s="7" t="s">
        <v>5884</v>
      </c>
      <c r="C2565" s="7" t="s">
        <v>5885</v>
      </c>
      <c r="G2565" s="8" t="s">
        <v>15</v>
      </c>
    </row>
    <row r="2566" spans="1:7" hidden="1" x14ac:dyDescent="0.25">
      <c r="A2566" s="21">
        <v>2565</v>
      </c>
      <c r="B2566" s="7" t="s">
        <v>5886</v>
      </c>
      <c r="C2566" s="7" t="s">
        <v>5887</v>
      </c>
      <c r="G2566" s="8" t="s">
        <v>15</v>
      </c>
    </row>
    <row r="2567" spans="1:7" hidden="1" x14ac:dyDescent="0.25">
      <c r="A2567" s="21">
        <v>2566</v>
      </c>
      <c r="B2567" s="7" t="s">
        <v>5888</v>
      </c>
      <c r="C2567" s="7" t="s">
        <v>5889</v>
      </c>
      <c r="G2567" s="8" t="s">
        <v>15</v>
      </c>
    </row>
    <row r="2568" spans="1:7" hidden="1" x14ac:dyDescent="0.25">
      <c r="A2568" s="21">
        <v>2567</v>
      </c>
      <c r="B2568" s="7" t="s">
        <v>5890</v>
      </c>
      <c r="C2568" s="7" t="s">
        <v>5891</v>
      </c>
      <c r="G2568" s="8" t="s">
        <v>15</v>
      </c>
    </row>
    <row r="2569" spans="1:7" hidden="1" x14ac:dyDescent="0.25">
      <c r="A2569" s="21">
        <v>2568</v>
      </c>
      <c r="B2569" s="7" t="s">
        <v>5892</v>
      </c>
      <c r="C2569" s="7" t="s">
        <v>5893</v>
      </c>
      <c r="G2569" s="8" t="s">
        <v>15</v>
      </c>
    </row>
    <row r="2570" spans="1:7" hidden="1" x14ac:dyDescent="0.25">
      <c r="A2570" s="21">
        <v>2569</v>
      </c>
      <c r="B2570" s="7" t="s">
        <v>5894</v>
      </c>
      <c r="C2570" s="7" t="s">
        <v>5895</v>
      </c>
      <c r="G2570" s="8" t="s">
        <v>15</v>
      </c>
    </row>
    <row r="2571" spans="1:7" hidden="1" x14ac:dyDescent="0.25">
      <c r="A2571" s="21">
        <v>2570</v>
      </c>
      <c r="B2571" s="7" t="s">
        <v>5896</v>
      </c>
      <c r="C2571" s="7" t="s">
        <v>5897</v>
      </c>
      <c r="G2571" s="8" t="s">
        <v>15</v>
      </c>
    </row>
    <row r="2572" spans="1:7" hidden="1" x14ac:dyDescent="0.25">
      <c r="A2572" s="21">
        <v>2571</v>
      </c>
      <c r="B2572" s="7" t="s">
        <v>5898</v>
      </c>
      <c r="C2572" s="7" t="s">
        <v>5899</v>
      </c>
      <c r="G2572" s="8" t="s">
        <v>15</v>
      </c>
    </row>
    <row r="2573" spans="1:7" hidden="1" x14ac:dyDescent="0.25">
      <c r="A2573" s="21">
        <v>2572</v>
      </c>
      <c r="B2573" s="7" t="s">
        <v>5900</v>
      </c>
      <c r="C2573" s="7" t="s">
        <v>5901</v>
      </c>
      <c r="G2573" s="8" t="s">
        <v>15</v>
      </c>
    </row>
    <row r="2574" spans="1:7" hidden="1" x14ac:dyDescent="0.25">
      <c r="A2574" s="21">
        <v>2573</v>
      </c>
      <c r="B2574" s="7" t="s">
        <v>5902</v>
      </c>
      <c r="C2574" s="7" t="s">
        <v>5903</v>
      </c>
      <c r="G2574" s="8" t="s">
        <v>15</v>
      </c>
    </row>
    <row r="2575" spans="1:7" hidden="1" x14ac:dyDescent="0.25">
      <c r="A2575" s="21">
        <v>2574</v>
      </c>
      <c r="B2575" s="7" t="s">
        <v>5904</v>
      </c>
      <c r="C2575" s="7" t="s">
        <v>5905</v>
      </c>
      <c r="G2575" s="8" t="s">
        <v>15</v>
      </c>
    </row>
    <row r="2576" spans="1:7" hidden="1" x14ac:dyDescent="0.25">
      <c r="A2576" s="21">
        <v>2575</v>
      </c>
      <c r="B2576" s="7" t="s">
        <v>5906</v>
      </c>
      <c r="C2576" s="7" t="s">
        <v>5907</v>
      </c>
      <c r="G2576" s="8" t="s">
        <v>15</v>
      </c>
    </row>
    <row r="2577" spans="1:7" hidden="1" x14ac:dyDescent="0.25">
      <c r="A2577" s="21">
        <v>2576</v>
      </c>
      <c r="B2577" s="7" t="s">
        <v>5908</v>
      </c>
      <c r="C2577" s="7" t="s">
        <v>5909</v>
      </c>
      <c r="G2577" s="8" t="s">
        <v>15</v>
      </c>
    </row>
    <row r="2578" spans="1:7" hidden="1" x14ac:dyDescent="0.25">
      <c r="A2578" s="21">
        <v>2577</v>
      </c>
      <c r="B2578" s="7" t="s">
        <v>5910</v>
      </c>
      <c r="C2578" s="7" t="s">
        <v>5911</v>
      </c>
      <c r="G2578" s="8" t="s">
        <v>15</v>
      </c>
    </row>
    <row r="2579" spans="1:7" hidden="1" x14ac:dyDescent="0.25">
      <c r="A2579" s="21">
        <v>2578</v>
      </c>
      <c r="B2579" s="7" t="s">
        <v>5912</v>
      </c>
      <c r="C2579" s="7" t="s">
        <v>5913</v>
      </c>
      <c r="G2579" s="8" t="s">
        <v>15</v>
      </c>
    </row>
    <row r="2580" spans="1:7" hidden="1" x14ac:dyDescent="0.25">
      <c r="A2580" s="21">
        <v>2579</v>
      </c>
      <c r="B2580" s="7" t="s">
        <v>5914</v>
      </c>
      <c r="C2580" s="7" t="s">
        <v>5915</v>
      </c>
      <c r="G2580" s="8" t="s">
        <v>15</v>
      </c>
    </row>
    <row r="2581" spans="1:7" hidden="1" x14ac:dyDescent="0.25">
      <c r="A2581" s="21">
        <v>2580</v>
      </c>
      <c r="B2581" s="7" t="s">
        <v>5916</v>
      </c>
      <c r="C2581" s="7" t="s">
        <v>5917</v>
      </c>
      <c r="G2581" s="8" t="s">
        <v>15</v>
      </c>
    </row>
    <row r="2582" spans="1:7" hidden="1" x14ac:dyDescent="0.25">
      <c r="A2582" s="21">
        <v>2581</v>
      </c>
      <c r="B2582" s="7" t="s">
        <v>5918</v>
      </c>
      <c r="C2582" s="7" t="s">
        <v>5919</v>
      </c>
      <c r="G2582" s="8" t="s">
        <v>15</v>
      </c>
    </row>
    <row r="2583" spans="1:7" hidden="1" x14ac:dyDescent="0.25">
      <c r="A2583" s="21">
        <v>2582</v>
      </c>
      <c r="B2583" s="7" t="s">
        <v>5920</v>
      </c>
      <c r="C2583" s="7" t="s">
        <v>5921</v>
      </c>
      <c r="G2583" s="8" t="s">
        <v>15</v>
      </c>
    </row>
    <row r="2584" spans="1:7" hidden="1" x14ac:dyDescent="0.25">
      <c r="A2584" s="21">
        <v>2583</v>
      </c>
      <c r="B2584" s="7" t="s">
        <v>5922</v>
      </c>
      <c r="C2584" s="7" t="s">
        <v>5923</v>
      </c>
      <c r="G2584" s="8" t="s">
        <v>15</v>
      </c>
    </row>
    <row r="2585" spans="1:7" hidden="1" x14ac:dyDescent="0.25">
      <c r="A2585" s="21">
        <v>2584</v>
      </c>
      <c r="B2585" s="7" t="s">
        <v>5924</v>
      </c>
      <c r="C2585" s="7" t="s">
        <v>5925</v>
      </c>
      <c r="G2585" s="8" t="s">
        <v>15</v>
      </c>
    </row>
    <row r="2586" spans="1:7" hidden="1" x14ac:dyDescent="0.25">
      <c r="A2586" s="21">
        <v>2585</v>
      </c>
      <c r="B2586" s="7" t="s">
        <v>5926</v>
      </c>
      <c r="C2586" s="7" t="s">
        <v>5927</v>
      </c>
      <c r="G2586" s="8" t="s">
        <v>15</v>
      </c>
    </row>
    <row r="2587" spans="1:7" hidden="1" x14ac:dyDescent="0.25">
      <c r="A2587" s="21">
        <v>2586</v>
      </c>
      <c r="B2587" s="7" t="s">
        <v>5928</v>
      </c>
      <c r="C2587" s="7" t="s">
        <v>5929</v>
      </c>
      <c r="G2587" s="8" t="s">
        <v>15</v>
      </c>
    </row>
    <row r="2588" spans="1:7" hidden="1" x14ac:dyDescent="0.25">
      <c r="A2588" s="21">
        <v>2587</v>
      </c>
      <c r="B2588" s="7" t="s">
        <v>5930</v>
      </c>
      <c r="C2588" s="7" t="s">
        <v>5931</v>
      </c>
      <c r="G2588" s="8" t="s">
        <v>15</v>
      </c>
    </row>
    <row r="2589" spans="1:7" hidden="1" x14ac:dyDescent="0.25">
      <c r="A2589" s="21">
        <v>2588</v>
      </c>
      <c r="B2589" s="7" t="s">
        <v>5932</v>
      </c>
      <c r="C2589" s="7" t="s">
        <v>5933</v>
      </c>
      <c r="G2589" s="8" t="s">
        <v>15</v>
      </c>
    </row>
    <row r="2590" spans="1:7" hidden="1" x14ac:dyDescent="0.25">
      <c r="A2590" s="21">
        <v>2589</v>
      </c>
      <c r="B2590" s="7" t="s">
        <v>5934</v>
      </c>
      <c r="C2590" s="7" t="s">
        <v>5935</v>
      </c>
      <c r="G2590" s="8" t="s">
        <v>15</v>
      </c>
    </row>
    <row r="2591" spans="1:7" hidden="1" x14ac:dyDescent="0.25">
      <c r="A2591" s="21">
        <v>2590</v>
      </c>
      <c r="B2591" s="7" t="s">
        <v>5936</v>
      </c>
      <c r="C2591" s="7" t="s">
        <v>5937</v>
      </c>
      <c r="G2591" s="8" t="s">
        <v>15</v>
      </c>
    </row>
    <row r="2592" spans="1:7" hidden="1" x14ac:dyDescent="0.25">
      <c r="A2592" s="21">
        <v>2591</v>
      </c>
      <c r="B2592" s="7" t="s">
        <v>5938</v>
      </c>
      <c r="C2592" s="7" t="s">
        <v>5939</v>
      </c>
      <c r="G2592" s="8" t="s">
        <v>15</v>
      </c>
    </row>
    <row r="2593" spans="1:7" hidden="1" x14ac:dyDescent="0.25">
      <c r="A2593" s="21">
        <v>2592</v>
      </c>
      <c r="B2593" s="7" t="s">
        <v>5940</v>
      </c>
      <c r="C2593" s="7" t="s">
        <v>5941</v>
      </c>
      <c r="G2593" s="8" t="s">
        <v>15</v>
      </c>
    </row>
    <row r="2594" spans="1:7" hidden="1" x14ac:dyDescent="0.25">
      <c r="A2594" s="21">
        <v>2593</v>
      </c>
      <c r="B2594" s="7" t="s">
        <v>5942</v>
      </c>
      <c r="C2594" s="7" t="s">
        <v>5943</v>
      </c>
      <c r="G2594" s="8" t="s">
        <v>15</v>
      </c>
    </row>
    <row r="2595" spans="1:7" hidden="1" x14ac:dyDescent="0.25">
      <c r="A2595" s="21">
        <v>2594</v>
      </c>
      <c r="B2595" s="7" t="s">
        <v>5944</v>
      </c>
      <c r="C2595" s="7" t="s">
        <v>5945</v>
      </c>
      <c r="G2595" s="8" t="s">
        <v>15</v>
      </c>
    </row>
    <row r="2596" spans="1:7" hidden="1" x14ac:dyDescent="0.25">
      <c r="A2596" s="21">
        <v>2595</v>
      </c>
      <c r="B2596" s="7" t="s">
        <v>5946</v>
      </c>
      <c r="C2596" s="7" t="s">
        <v>5947</v>
      </c>
      <c r="G2596" s="8" t="s">
        <v>15</v>
      </c>
    </row>
    <row r="2597" spans="1:7" hidden="1" x14ac:dyDescent="0.25">
      <c r="A2597" s="21">
        <v>2596</v>
      </c>
      <c r="B2597" s="7" t="s">
        <v>5948</v>
      </c>
      <c r="C2597" s="7" t="s">
        <v>5949</v>
      </c>
      <c r="G2597" s="8" t="s">
        <v>15</v>
      </c>
    </row>
    <row r="2598" spans="1:7" hidden="1" x14ac:dyDescent="0.25">
      <c r="A2598" s="21">
        <v>2597</v>
      </c>
      <c r="B2598" s="7" t="s">
        <v>5950</v>
      </c>
      <c r="C2598" s="7" t="s">
        <v>5951</v>
      </c>
      <c r="G2598" s="8" t="s">
        <v>15</v>
      </c>
    </row>
    <row r="2599" spans="1:7" hidden="1" x14ac:dyDescent="0.25">
      <c r="A2599" s="21">
        <v>2598</v>
      </c>
      <c r="B2599" s="7" t="s">
        <v>5952</v>
      </c>
      <c r="C2599" s="7" t="s">
        <v>5953</v>
      </c>
      <c r="G2599" s="8" t="s">
        <v>15</v>
      </c>
    </row>
    <row r="2600" spans="1:7" hidden="1" x14ac:dyDescent="0.25">
      <c r="A2600" s="21">
        <v>2599</v>
      </c>
      <c r="B2600" s="7" t="s">
        <v>5954</v>
      </c>
      <c r="C2600" s="7" t="s">
        <v>5955</v>
      </c>
      <c r="G2600" s="8" t="s">
        <v>15</v>
      </c>
    </row>
    <row r="2601" spans="1:7" hidden="1" x14ac:dyDescent="0.25">
      <c r="A2601" s="21">
        <v>2600</v>
      </c>
      <c r="B2601" s="7" t="s">
        <v>5956</v>
      </c>
      <c r="C2601" s="7" t="s">
        <v>5957</v>
      </c>
      <c r="G2601" s="8" t="s">
        <v>15</v>
      </c>
    </row>
    <row r="2602" spans="1:7" hidden="1" x14ac:dyDescent="0.25">
      <c r="A2602" s="21">
        <v>2601</v>
      </c>
      <c r="B2602" s="7" t="s">
        <v>5958</v>
      </c>
      <c r="C2602" s="7" t="s">
        <v>5959</v>
      </c>
      <c r="G2602" s="8" t="s">
        <v>15</v>
      </c>
    </row>
    <row r="2603" spans="1:7" hidden="1" x14ac:dyDescent="0.25">
      <c r="A2603" s="21">
        <v>2602</v>
      </c>
      <c r="B2603" s="7" t="s">
        <v>5960</v>
      </c>
      <c r="C2603" s="7" t="s">
        <v>5961</v>
      </c>
      <c r="G2603" s="8" t="s">
        <v>15</v>
      </c>
    </row>
    <row r="2604" spans="1:7" hidden="1" x14ac:dyDescent="0.25">
      <c r="A2604" s="21">
        <v>2603</v>
      </c>
      <c r="B2604" s="7" t="s">
        <v>5962</v>
      </c>
      <c r="C2604" s="7" t="s">
        <v>5963</v>
      </c>
      <c r="G2604" s="8" t="s">
        <v>15</v>
      </c>
    </row>
    <row r="2605" spans="1:7" hidden="1" x14ac:dyDescent="0.25">
      <c r="A2605" s="21">
        <v>2604</v>
      </c>
      <c r="B2605" s="7" t="s">
        <v>5964</v>
      </c>
      <c r="C2605" s="7" t="s">
        <v>5965</v>
      </c>
      <c r="G2605" s="8" t="s">
        <v>15</v>
      </c>
    </row>
    <row r="2606" spans="1:7" hidden="1" x14ac:dyDescent="0.25">
      <c r="A2606" s="21">
        <v>2605</v>
      </c>
      <c r="B2606" s="7" t="s">
        <v>5966</v>
      </c>
      <c r="C2606" s="7" t="s">
        <v>5967</v>
      </c>
      <c r="G2606" s="8" t="s">
        <v>15</v>
      </c>
    </row>
    <row r="2607" spans="1:7" hidden="1" x14ac:dyDescent="0.25">
      <c r="A2607" s="21">
        <v>2606</v>
      </c>
      <c r="B2607" s="7" t="s">
        <v>5968</v>
      </c>
      <c r="C2607" s="7" t="s">
        <v>5969</v>
      </c>
      <c r="G2607" s="8" t="s">
        <v>15</v>
      </c>
    </row>
    <row r="2608" spans="1:7" hidden="1" x14ac:dyDescent="0.25">
      <c r="A2608" s="21">
        <v>2607</v>
      </c>
      <c r="B2608" s="7" t="s">
        <v>5970</v>
      </c>
      <c r="C2608" s="7" t="s">
        <v>5971</v>
      </c>
      <c r="G2608" s="8" t="s">
        <v>15</v>
      </c>
    </row>
    <row r="2609" spans="1:7" hidden="1" x14ac:dyDescent="0.25">
      <c r="A2609" s="21">
        <v>2608</v>
      </c>
      <c r="B2609" s="7" t="s">
        <v>5972</v>
      </c>
      <c r="C2609" s="7" t="s">
        <v>5973</v>
      </c>
      <c r="G2609" s="8" t="s">
        <v>15</v>
      </c>
    </row>
    <row r="2610" spans="1:7" hidden="1" x14ac:dyDescent="0.25">
      <c r="A2610" s="21">
        <v>2609</v>
      </c>
      <c r="B2610" s="7" t="s">
        <v>5974</v>
      </c>
      <c r="C2610" s="7" t="s">
        <v>5975</v>
      </c>
      <c r="G2610" s="8" t="s">
        <v>15</v>
      </c>
    </row>
    <row r="2611" spans="1:7" hidden="1" x14ac:dyDescent="0.25">
      <c r="A2611" s="21">
        <v>2610</v>
      </c>
      <c r="B2611" s="7" t="s">
        <v>5976</v>
      </c>
      <c r="C2611" s="7" t="s">
        <v>5977</v>
      </c>
      <c r="G2611" s="8" t="s">
        <v>15</v>
      </c>
    </row>
    <row r="2612" spans="1:7" hidden="1" x14ac:dyDescent="0.25">
      <c r="A2612" s="21">
        <v>2611</v>
      </c>
      <c r="B2612" s="7" t="s">
        <v>5978</v>
      </c>
      <c r="C2612" s="7" t="s">
        <v>5979</v>
      </c>
      <c r="G2612" s="8" t="s">
        <v>15</v>
      </c>
    </row>
    <row r="2613" spans="1:7" hidden="1" x14ac:dyDescent="0.25">
      <c r="A2613" s="21">
        <v>2612</v>
      </c>
      <c r="B2613" s="7" t="s">
        <v>5980</v>
      </c>
      <c r="C2613" s="7" t="s">
        <v>5981</v>
      </c>
      <c r="G2613" s="8" t="s">
        <v>15</v>
      </c>
    </row>
    <row r="2614" spans="1:7" hidden="1" x14ac:dyDescent="0.25">
      <c r="A2614" s="21">
        <v>2613</v>
      </c>
      <c r="B2614" s="7" t="s">
        <v>5982</v>
      </c>
      <c r="C2614" s="7" t="s">
        <v>5983</v>
      </c>
      <c r="G2614" s="8" t="s">
        <v>15</v>
      </c>
    </row>
    <row r="2615" spans="1:7" hidden="1" x14ac:dyDescent="0.25">
      <c r="A2615" s="21">
        <v>2614</v>
      </c>
      <c r="B2615" s="7" t="s">
        <v>5984</v>
      </c>
      <c r="C2615" s="7" t="s">
        <v>5985</v>
      </c>
      <c r="G2615" s="8" t="s">
        <v>15</v>
      </c>
    </row>
    <row r="2616" spans="1:7" hidden="1" x14ac:dyDescent="0.25">
      <c r="A2616" s="21">
        <v>2615</v>
      </c>
      <c r="B2616" s="7" t="s">
        <v>5986</v>
      </c>
      <c r="C2616" s="7" t="s">
        <v>5987</v>
      </c>
      <c r="G2616" s="8" t="s">
        <v>15</v>
      </c>
    </row>
    <row r="2617" spans="1:7" hidden="1" x14ac:dyDescent="0.25">
      <c r="A2617" s="21">
        <v>2616</v>
      </c>
      <c r="B2617" s="7" t="s">
        <v>5988</v>
      </c>
      <c r="C2617" s="7" t="s">
        <v>5989</v>
      </c>
      <c r="G2617" s="8" t="s">
        <v>15</v>
      </c>
    </row>
    <row r="2618" spans="1:7" hidden="1" x14ac:dyDescent="0.25">
      <c r="A2618" s="21">
        <v>2617</v>
      </c>
      <c r="B2618" s="7" t="s">
        <v>5990</v>
      </c>
      <c r="C2618" s="7" t="s">
        <v>5991</v>
      </c>
      <c r="G2618" s="8" t="s">
        <v>15</v>
      </c>
    </row>
    <row r="2619" spans="1:7" hidden="1" x14ac:dyDescent="0.25">
      <c r="A2619" s="21">
        <v>2618</v>
      </c>
      <c r="B2619" s="7" t="s">
        <v>5992</v>
      </c>
      <c r="C2619" s="7" t="s">
        <v>5993</v>
      </c>
      <c r="G2619" s="8" t="s">
        <v>15</v>
      </c>
    </row>
    <row r="2620" spans="1:7" hidden="1" x14ac:dyDescent="0.25">
      <c r="A2620" s="21">
        <v>2619</v>
      </c>
      <c r="B2620" s="7" t="s">
        <v>5994</v>
      </c>
      <c r="C2620" s="7" t="s">
        <v>5995</v>
      </c>
      <c r="G2620" s="8" t="s">
        <v>15</v>
      </c>
    </row>
    <row r="2621" spans="1:7" hidden="1" x14ac:dyDescent="0.25">
      <c r="A2621" s="21">
        <v>2620</v>
      </c>
      <c r="B2621" s="7" t="s">
        <v>5996</v>
      </c>
      <c r="C2621" s="7" t="s">
        <v>5997</v>
      </c>
      <c r="G2621" s="8" t="s">
        <v>15</v>
      </c>
    </row>
    <row r="2622" spans="1:7" hidden="1" x14ac:dyDescent="0.25">
      <c r="A2622" s="21">
        <v>2621</v>
      </c>
      <c r="B2622" s="7" t="s">
        <v>5998</v>
      </c>
      <c r="C2622" s="7" t="s">
        <v>5999</v>
      </c>
      <c r="G2622" s="8" t="s">
        <v>15</v>
      </c>
    </row>
    <row r="2623" spans="1:7" hidden="1" x14ac:dyDescent="0.25">
      <c r="A2623" s="21">
        <v>2622</v>
      </c>
      <c r="B2623" s="7" t="s">
        <v>6000</v>
      </c>
      <c r="C2623" s="7" t="s">
        <v>6001</v>
      </c>
      <c r="G2623" s="8" t="s">
        <v>15</v>
      </c>
    </row>
    <row r="2624" spans="1:7" hidden="1" x14ac:dyDescent="0.25">
      <c r="A2624" s="21">
        <v>2623</v>
      </c>
      <c r="B2624" s="7" t="s">
        <v>6002</v>
      </c>
      <c r="C2624" s="7" t="s">
        <v>6003</v>
      </c>
      <c r="G2624" s="8" t="s">
        <v>15</v>
      </c>
    </row>
    <row r="2625" spans="1:7" hidden="1" x14ac:dyDescent="0.25">
      <c r="A2625" s="21">
        <v>2624</v>
      </c>
      <c r="B2625" s="7" t="s">
        <v>6004</v>
      </c>
      <c r="C2625" s="7" t="s">
        <v>6005</v>
      </c>
      <c r="G2625" s="8" t="s">
        <v>15</v>
      </c>
    </row>
    <row r="2626" spans="1:7" hidden="1" x14ac:dyDescent="0.25">
      <c r="A2626" s="21">
        <v>2625</v>
      </c>
      <c r="B2626" s="7" t="s">
        <v>6006</v>
      </c>
      <c r="C2626" s="7" t="s">
        <v>6007</v>
      </c>
      <c r="G2626" s="8" t="s">
        <v>15</v>
      </c>
    </row>
    <row r="2627" spans="1:7" hidden="1" x14ac:dyDescent="0.25">
      <c r="A2627" s="21">
        <v>2626</v>
      </c>
      <c r="B2627" s="7" t="s">
        <v>6008</v>
      </c>
      <c r="C2627" s="7" t="s">
        <v>6009</v>
      </c>
      <c r="G2627" s="8" t="s">
        <v>15</v>
      </c>
    </row>
    <row r="2628" spans="1:7" hidden="1" x14ac:dyDescent="0.25">
      <c r="A2628" s="21">
        <v>2627</v>
      </c>
      <c r="B2628" s="7" t="s">
        <v>6010</v>
      </c>
      <c r="C2628" s="7" t="s">
        <v>6011</v>
      </c>
      <c r="G2628" s="8" t="s">
        <v>15</v>
      </c>
    </row>
    <row r="2629" spans="1:7" hidden="1" x14ac:dyDescent="0.25">
      <c r="A2629" s="21">
        <v>2628</v>
      </c>
      <c r="B2629" s="7" t="s">
        <v>6012</v>
      </c>
      <c r="C2629" s="7" t="s">
        <v>6013</v>
      </c>
      <c r="G2629" s="8" t="s">
        <v>15</v>
      </c>
    </row>
    <row r="2630" spans="1:7" hidden="1" x14ac:dyDescent="0.25">
      <c r="A2630" s="21">
        <v>2629</v>
      </c>
      <c r="B2630" s="7" t="s">
        <v>6014</v>
      </c>
      <c r="C2630" s="7" t="s">
        <v>6015</v>
      </c>
      <c r="G2630" s="8" t="s">
        <v>15</v>
      </c>
    </row>
    <row r="2631" spans="1:7" hidden="1" x14ac:dyDescent="0.25">
      <c r="A2631" s="21">
        <v>2630</v>
      </c>
      <c r="B2631" s="7" t="s">
        <v>6016</v>
      </c>
      <c r="C2631" s="7" t="s">
        <v>6017</v>
      </c>
      <c r="G2631" s="8" t="s">
        <v>15</v>
      </c>
    </row>
    <row r="2632" spans="1:7" hidden="1" x14ac:dyDescent="0.25">
      <c r="A2632" s="21">
        <v>2631</v>
      </c>
      <c r="B2632" s="7" t="s">
        <v>6018</v>
      </c>
      <c r="C2632" s="7" t="s">
        <v>6019</v>
      </c>
      <c r="G2632" s="8" t="s">
        <v>15</v>
      </c>
    </row>
    <row r="2633" spans="1:7" hidden="1" x14ac:dyDescent="0.25">
      <c r="A2633" s="21">
        <v>2632</v>
      </c>
      <c r="B2633" s="7" t="s">
        <v>6020</v>
      </c>
      <c r="C2633" s="7" t="s">
        <v>6021</v>
      </c>
      <c r="G2633" s="8" t="s">
        <v>15</v>
      </c>
    </row>
    <row r="2634" spans="1:7" hidden="1" x14ac:dyDescent="0.25">
      <c r="A2634" s="21">
        <v>2633</v>
      </c>
      <c r="B2634" s="7" t="s">
        <v>6022</v>
      </c>
      <c r="C2634" s="7" t="s">
        <v>6023</v>
      </c>
      <c r="G2634" s="8" t="s">
        <v>15</v>
      </c>
    </row>
    <row r="2635" spans="1:7" hidden="1" x14ac:dyDescent="0.25">
      <c r="A2635" s="21">
        <v>2634</v>
      </c>
      <c r="B2635" s="7" t="s">
        <v>6024</v>
      </c>
      <c r="C2635" s="7" t="s">
        <v>6025</v>
      </c>
      <c r="G2635" s="8" t="s">
        <v>15</v>
      </c>
    </row>
    <row r="2636" spans="1:7" hidden="1" x14ac:dyDescent="0.25">
      <c r="A2636" s="21">
        <v>2635</v>
      </c>
      <c r="B2636" s="7" t="s">
        <v>6026</v>
      </c>
      <c r="C2636" s="7" t="s">
        <v>6027</v>
      </c>
      <c r="G2636" s="8" t="s">
        <v>15</v>
      </c>
    </row>
    <row r="2637" spans="1:7" hidden="1" x14ac:dyDescent="0.25">
      <c r="A2637" s="21">
        <v>2636</v>
      </c>
      <c r="B2637" s="7" t="s">
        <v>6028</v>
      </c>
      <c r="C2637" s="7" t="s">
        <v>6029</v>
      </c>
      <c r="G2637" s="8" t="s">
        <v>15</v>
      </c>
    </row>
    <row r="2638" spans="1:7" hidden="1" x14ac:dyDescent="0.25">
      <c r="A2638" s="21">
        <v>2637</v>
      </c>
      <c r="B2638" s="7" t="s">
        <v>6030</v>
      </c>
      <c r="C2638" s="7" t="s">
        <v>6031</v>
      </c>
      <c r="G2638" s="8" t="s">
        <v>15</v>
      </c>
    </row>
    <row r="2639" spans="1:7" hidden="1" x14ac:dyDescent="0.25">
      <c r="A2639" s="21">
        <v>2638</v>
      </c>
      <c r="B2639" s="7" t="s">
        <v>6032</v>
      </c>
      <c r="C2639" s="7" t="s">
        <v>6033</v>
      </c>
      <c r="G2639" s="8" t="s">
        <v>15</v>
      </c>
    </row>
    <row r="2640" spans="1:7" hidden="1" x14ac:dyDescent="0.25">
      <c r="A2640" s="21">
        <v>2639</v>
      </c>
      <c r="B2640" s="7" t="s">
        <v>6034</v>
      </c>
      <c r="C2640" s="7" t="s">
        <v>6035</v>
      </c>
      <c r="G2640" s="8" t="s">
        <v>15</v>
      </c>
    </row>
    <row r="2641" spans="1:7" hidden="1" x14ac:dyDescent="0.25">
      <c r="A2641" s="21">
        <v>2640</v>
      </c>
      <c r="B2641" s="7" t="s">
        <v>6036</v>
      </c>
      <c r="C2641" s="7" t="s">
        <v>6037</v>
      </c>
      <c r="G2641" s="8" t="s">
        <v>15</v>
      </c>
    </row>
    <row r="2642" spans="1:7" hidden="1" x14ac:dyDescent="0.25">
      <c r="A2642" s="21">
        <v>2641</v>
      </c>
      <c r="B2642" s="7" t="s">
        <v>6038</v>
      </c>
      <c r="C2642" s="7" t="s">
        <v>6039</v>
      </c>
      <c r="G2642" s="8" t="s">
        <v>15</v>
      </c>
    </row>
    <row r="2643" spans="1:7" hidden="1" x14ac:dyDescent="0.25">
      <c r="A2643" s="21">
        <v>2642</v>
      </c>
      <c r="B2643" s="7" t="s">
        <v>6040</v>
      </c>
      <c r="C2643" s="7" t="s">
        <v>6041</v>
      </c>
      <c r="G2643" s="8" t="s">
        <v>15</v>
      </c>
    </row>
    <row r="2644" spans="1:7" hidden="1" x14ac:dyDescent="0.25">
      <c r="A2644" s="21">
        <v>2643</v>
      </c>
      <c r="B2644" s="7" t="s">
        <v>6042</v>
      </c>
      <c r="C2644" s="7" t="s">
        <v>6043</v>
      </c>
      <c r="G2644" s="8" t="s">
        <v>15</v>
      </c>
    </row>
    <row r="2645" spans="1:7" hidden="1" x14ac:dyDescent="0.25">
      <c r="A2645" s="21">
        <v>2644</v>
      </c>
      <c r="B2645" s="7" t="s">
        <v>6044</v>
      </c>
      <c r="C2645" s="7" t="s">
        <v>6045</v>
      </c>
      <c r="G2645" s="8" t="s">
        <v>15</v>
      </c>
    </row>
    <row r="2646" spans="1:7" hidden="1" x14ac:dyDescent="0.25">
      <c r="A2646" s="21">
        <v>2645</v>
      </c>
      <c r="B2646" s="7" t="s">
        <v>6046</v>
      </c>
      <c r="C2646" s="7" t="s">
        <v>6047</v>
      </c>
      <c r="G2646" s="8" t="s">
        <v>15</v>
      </c>
    </row>
    <row r="2647" spans="1:7" hidden="1" x14ac:dyDescent="0.25">
      <c r="A2647" s="21">
        <v>2646</v>
      </c>
      <c r="B2647" s="7" t="s">
        <v>6048</v>
      </c>
      <c r="C2647" s="7" t="s">
        <v>6049</v>
      </c>
      <c r="G2647" s="8" t="s">
        <v>15</v>
      </c>
    </row>
    <row r="2648" spans="1:7" hidden="1" x14ac:dyDescent="0.25">
      <c r="A2648" s="21">
        <v>2647</v>
      </c>
      <c r="B2648" s="7" t="s">
        <v>6050</v>
      </c>
      <c r="C2648" s="7" t="s">
        <v>6051</v>
      </c>
      <c r="G2648" s="8" t="s">
        <v>15</v>
      </c>
    </row>
    <row r="2649" spans="1:7" hidden="1" x14ac:dyDescent="0.25">
      <c r="A2649" s="21">
        <v>2648</v>
      </c>
      <c r="B2649" s="7" t="s">
        <v>6052</v>
      </c>
      <c r="C2649" s="7" t="s">
        <v>6053</v>
      </c>
      <c r="G2649" s="8" t="s">
        <v>15</v>
      </c>
    </row>
    <row r="2650" spans="1:7" hidden="1" x14ac:dyDescent="0.25">
      <c r="A2650" s="21">
        <v>2649</v>
      </c>
      <c r="B2650" s="7" t="s">
        <v>6054</v>
      </c>
      <c r="C2650" s="7" t="s">
        <v>6055</v>
      </c>
      <c r="G2650" s="8" t="s">
        <v>15</v>
      </c>
    </row>
    <row r="2651" spans="1:7" hidden="1" x14ac:dyDescent="0.25">
      <c r="A2651" s="21">
        <v>2650</v>
      </c>
      <c r="B2651" s="7" t="s">
        <v>6056</v>
      </c>
      <c r="C2651" s="7" t="s">
        <v>6057</v>
      </c>
      <c r="G2651" s="8" t="s">
        <v>15</v>
      </c>
    </row>
    <row r="2652" spans="1:7" hidden="1" x14ac:dyDescent="0.25">
      <c r="A2652" s="21">
        <v>2651</v>
      </c>
      <c r="B2652" s="7" t="s">
        <v>6058</v>
      </c>
      <c r="C2652" s="7" t="s">
        <v>6059</v>
      </c>
      <c r="G2652" s="8" t="s">
        <v>15</v>
      </c>
    </row>
    <row r="2653" spans="1:7" hidden="1" x14ac:dyDescent="0.25">
      <c r="A2653" s="21">
        <v>2652</v>
      </c>
      <c r="B2653" s="7" t="s">
        <v>6060</v>
      </c>
      <c r="C2653" s="7" t="s">
        <v>6061</v>
      </c>
      <c r="G2653" s="8" t="s">
        <v>15</v>
      </c>
    </row>
    <row r="2654" spans="1:7" hidden="1" x14ac:dyDescent="0.25">
      <c r="A2654" s="21">
        <v>2653</v>
      </c>
      <c r="B2654" s="7" t="s">
        <v>6062</v>
      </c>
      <c r="C2654" s="7" t="s">
        <v>6063</v>
      </c>
      <c r="G2654" s="8" t="s">
        <v>15</v>
      </c>
    </row>
    <row r="2655" spans="1:7" hidden="1" x14ac:dyDescent="0.25">
      <c r="A2655" s="21">
        <v>2654</v>
      </c>
      <c r="B2655" s="7" t="s">
        <v>6064</v>
      </c>
      <c r="C2655" s="7" t="s">
        <v>6065</v>
      </c>
      <c r="G2655" s="8" t="s">
        <v>15</v>
      </c>
    </row>
    <row r="2656" spans="1:7" hidden="1" x14ac:dyDescent="0.25">
      <c r="A2656" s="21">
        <v>2655</v>
      </c>
      <c r="B2656" s="7" t="s">
        <v>6066</v>
      </c>
      <c r="C2656" s="7" t="s">
        <v>6067</v>
      </c>
      <c r="G2656" s="8" t="s">
        <v>15</v>
      </c>
    </row>
    <row r="2657" spans="1:7" hidden="1" x14ac:dyDescent="0.25">
      <c r="A2657" s="21">
        <v>2656</v>
      </c>
      <c r="B2657" s="7" t="s">
        <v>6068</v>
      </c>
      <c r="C2657" s="7" t="s">
        <v>6069</v>
      </c>
      <c r="G2657" s="8" t="s">
        <v>15</v>
      </c>
    </row>
    <row r="2658" spans="1:7" hidden="1" x14ac:dyDescent="0.25">
      <c r="A2658" s="21">
        <v>2657</v>
      </c>
      <c r="B2658" s="7" t="s">
        <v>6070</v>
      </c>
      <c r="C2658" s="7" t="s">
        <v>6071</v>
      </c>
      <c r="G2658" s="8" t="s">
        <v>15</v>
      </c>
    </row>
    <row r="2659" spans="1:7" hidden="1" x14ac:dyDescent="0.25">
      <c r="A2659" s="21">
        <v>2658</v>
      </c>
      <c r="B2659" s="7" t="s">
        <v>6072</v>
      </c>
      <c r="C2659" s="7" t="s">
        <v>6073</v>
      </c>
      <c r="G2659" s="8" t="s">
        <v>15</v>
      </c>
    </row>
    <row r="2660" spans="1:7" hidden="1" x14ac:dyDescent="0.25">
      <c r="A2660" s="21">
        <v>2659</v>
      </c>
      <c r="B2660" s="7" t="s">
        <v>6074</v>
      </c>
      <c r="C2660" s="7" t="s">
        <v>6075</v>
      </c>
      <c r="G2660" s="8" t="s">
        <v>15</v>
      </c>
    </row>
    <row r="2661" spans="1:7" hidden="1" x14ac:dyDescent="0.25">
      <c r="A2661" s="21">
        <v>2660</v>
      </c>
      <c r="B2661" s="7" t="s">
        <v>6076</v>
      </c>
      <c r="C2661" s="7" t="s">
        <v>6077</v>
      </c>
      <c r="G2661" s="8" t="s">
        <v>15</v>
      </c>
    </row>
    <row r="2662" spans="1:7" hidden="1" x14ac:dyDescent="0.25">
      <c r="A2662" s="21">
        <v>2661</v>
      </c>
      <c r="B2662" s="7" t="s">
        <v>6078</v>
      </c>
      <c r="C2662" s="7" t="s">
        <v>6079</v>
      </c>
      <c r="G2662" s="8" t="s">
        <v>15</v>
      </c>
    </row>
    <row r="2663" spans="1:7" hidden="1" x14ac:dyDescent="0.25">
      <c r="A2663" s="21">
        <v>2662</v>
      </c>
      <c r="B2663" s="7" t="s">
        <v>6080</v>
      </c>
      <c r="C2663" s="7" t="s">
        <v>6081</v>
      </c>
      <c r="G2663" s="8" t="s">
        <v>15</v>
      </c>
    </row>
    <row r="2664" spans="1:7" hidden="1" x14ac:dyDescent="0.25">
      <c r="A2664" s="21">
        <v>2663</v>
      </c>
      <c r="B2664" s="7" t="s">
        <v>6082</v>
      </c>
      <c r="C2664" s="7" t="s">
        <v>6083</v>
      </c>
      <c r="G2664" s="8" t="s">
        <v>15</v>
      </c>
    </row>
    <row r="2665" spans="1:7" hidden="1" x14ac:dyDescent="0.25">
      <c r="A2665" s="21">
        <v>2664</v>
      </c>
      <c r="B2665" s="7" t="s">
        <v>6084</v>
      </c>
      <c r="C2665" s="7" t="s">
        <v>6085</v>
      </c>
      <c r="G2665" s="8" t="s">
        <v>15</v>
      </c>
    </row>
    <row r="2666" spans="1:7" hidden="1" x14ac:dyDescent="0.25">
      <c r="A2666" s="21">
        <v>2665</v>
      </c>
      <c r="B2666" s="7" t="s">
        <v>6086</v>
      </c>
      <c r="C2666" s="7" t="s">
        <v>6087</v>
      </c>
      <c r="G2666" s="8" t="s">
        <v>15</v>
      </c>
    </row>
    <row r="2667" spans="1:7" hidden="1" x14ac:dyDescent="0.25">
      <c r="A2667" s="21">
        <v>2666</v>
      </c>
      <c r="B2667" s="7" t="s">
        <v>6088</v>
      </c>
      <c r="C2667" s="7" t="s">
        <v>6089</v>
      </c>
      <c r="G2667" s="8" t="s">
        <v>15</v>
      </c>
    </row>
    <row r="2668" spans="1:7" hidden="1" x14ac:dyDescent="0.25">
      <c r="A2668" s="21">
        <v>2667</v>
      </c>
      <c r="B2668" s="7" t="s">
        <v>6090</v>
      </c>
      <c r="C2668" s="7" t="s">
        <v>6091</v>
      </c>
      <c r="G2668" s="8" t="s">
        <v>15</v>
      </c>
    </row>
    <row r="2669" spans="1:7" hidden="1" x14ac:dyDescent="0.25">
      <c r="A2669" s="21">
        <v>2668</v>
      </c>
      <c r="B2669" s="7" t="s">
        <v>6092</v>
      </c>
      <c r="C2669" s="7" t="s">
        <v>6093</v>
      </c>
      <c r="G2669" s="8" t="s">
        <v>15</v>
      </c>
    </row>
    <row r="2670" spans="1:7" hidden="1" x14ac:dyDescent="0.25">
      <c r="A2670" s="21">
        <v>2669</v>
      </c>
      <c r="B2670" s="7" t="s">
        <v>6094</v>
      </c>
      <c r="C2670" s="7" t="s">
        <v>6095</v>
      </c>
      <c r="G2670" s="8" t="s">
        <v>15</v>
      </c>
    </row>
    <row r="2671" spans="1:7" hidden="1" x14ac:dyDescent="0.25">
      <c r="A2671" s="21">
        <v>2670</v>
      </c>
      <c r="B2671" s="7" t="s">
        <v>6096</v>
      </c>
      <c r="C2671" s="7" t="s">
        <v>6097</v>
      </c>
      <c r="G2671" s="8" t="s">
        <v>15</v>
      </c>
    </row>
    <row r="2672" spans="1:7" hidden="1" x14ac:dyDescent="0.25">
      <c r="A2672" s="21">
        <v>2671</v>
      </c>
      <c r="B2672" s="7" t="s">
        <v>6098</v>
      </c>
      <c r="C2672" s="7" t="s">
        <v>6099</v>
      </c>
      <c r="G2672" s="8" t="s">
        <v>15</v>
      </c>
    </row>
    <row r="2673" spans="1:7" hidden="1" x14ac:dyDescent="0.25">
      <c r="A2673" s="21">
        <v>2672</v>
      </c>
      <c r="B2673" s="7" t="s">
        <v>6100</v>
      </c>
      <c r="C2673" s="7" t="s">
        <v>6101</v>
      </c>
      <c r="G2673" s="8" t="s">
        <v>15</v>
      </c>
    </row>
    <row r="2674" spans="1:7" hidden="1" x14ac:dyDescent="0.25">
      <c r="A2674" s="21">
        <v>2673</v>
      </c>
      <c r="B2674" s="7" t="s">
        <v>6102</v>
      </c>
      <c r="C2674" s="7" t="s">
        <v>6103</v>
      </c>
      <c r="G2674" s="8" t="s">
        <v>15</v>
      </c>
    </row>
    <row r="2675" spans="1:7" hidden="1" x14ac:dyDescent="0.25">
      <c r="A2675" s="21">
        <v>2674</v>
      </c>
      <c r="B2675" s="7" t="s">
        <v>6104</v>
      </c>
      <c r="C2675" s="7" t="s">
        <v>6105</v>
      </c>
      <c r="G2675" s="8" t="s">
        <v>15</v>
      </c>
    </row>
    <row r="2676" spans="1:7" hidden="1" x14ac:dyDescent="0.25">
      <c r="A2676" s="21">
        <v>2675</v>
      </c>
      <c r="B2676" s="7" t="s">
        <v>6106</v>
      </c>
      <c r="C2676" s="7" t="s">
        <v>6107</v>
      </c>
      <c r="G2676" s="8" t="s">
        <v>15</v>
      </c>
    </row>
    <row r="2677" spans="1:7" hidden="1" x14ac:dyDescent="0.25">
      <c r="A2677" s="21">
        <v>2676</v>
      </c>
      <c r="B2677" s="7" t="s">
        <v>6108</v>
      </c>
      <c r="C2677" s="7" t="s">
        <v>6109</v>
      </c>
      <c r="G2677" s="8" t="s">
        <v>15</v>
      </c>
    </row>
    <row r="2678" spans="1:7" hidden="1" x14ac:dyDescent="0.25">
      <c r="A2678" s="21">
        <v>2677</v>
      </c>
      <c r="B2678" s="7" t="s">
        <v>6110</v>
      </c>
      <c r="C2678" s="7" t="s">
        <v>6111</v>
      </c>
      <c r="G2678" s="8" t="s">
        <v>15</v>
      </c>
    </row>
    <row r="2679" spans="1:7" hidden="1" x14ac:dyDescent="0.25">
      <c r="A2679" s="21">
        <v>2678</v>
      </c>
      <c r="B2679" s="7" t="s">
        <v>6112</v>
      </c>
      <c r="C2679" s="7" t="s">
        <v>6113</v>
      </c>
      <c r="G2679" s="8" t="s">
        <v>15</v>
      </c>
    </row>
    <row r="2680" spans="1:7" hidden="1" x14ac:dyDescent="0.25">
      <c r="A2680" s="21">
        <v>2679</v>
      </c>
      <c r="B2680" s="7" t="s">
        <v>6114</v>
      </c>
      <c r="C2680" s="7" t="s">
        <v>6115</v>
      </c>
      <c r="G2680" s="8" t="s">
        <v>15</v>
      </c>
    </row>
    <row r="2681" spans="1:7" hidden="1" x14ac:dyDescent="0.25">
      <c r="A2681" s="21">
        <v>2680</v>
      </c>
      <c r="B2681" s="7" t="s">
        <v>6116</v>
      </c>
      <c r="C2681" s="7" t="s">
        <v>6117</v>
      </c>
      <c r="G2681" s="8" t="s">
        <v>15</v>
      </c>
    </row>
    <row r="2682" spans="1:7" hidden="1" x14ac:dyDescent="0.25">
      <c r="A2682" s="21">
        <v>2681</v>
      </c>
      <c r="B2682" s="7" t="s">
        <v>6118</v>
      </c>
      <c r="C2682" s="7" t="s">
        <v>6119</v>
      </c>
      <c r="G2682" s="8" t="s">
        <v>15</v>
      </c>
    </row>
    <row r="2683" spans="1:7" hidden="1" x14ac:dyDescent="0.25">
      <c r="A2683" s="21">
        <v>2682</v>
      </c>
      <c r="B2683" s="7" t="s">
        <v>6120</v>
      </c>
      <c r="C2683" s="7" t="s">
        <v>6121</v>
      </c>
      <c r="G2683" s="8" t="s">
        <v>15</v>
      </c>
    </row>
    <row r="2684" spans="1:7" hidden="1" x14ac:dyDescent="0.25">
      <c r="A2684" s="21">
        <v>2683</v>
      </c>
      <c r="B2684" s="7" t="s">
        <v>6122</v>
      </c>
      <c r="C2684" s="7" t="s">
        <v>6123</v>
      </c>
      <c r="G2684" s="8" t="s">
        <v>15</v>
      </c>
    </row>
    <row r="2685" spans="1:7" hidden="1" x14ac:dyDescent="0.25">
      <c r="A2685" s="21">
        <v>2684</v>
      </c>
      <c r="B2685" s="7" t="s">
        <v>6124</v>
      </c>
      <c r="C2685" s="7" t="s">
        <v>6125</v>
      </c>
      <c r="G2685" s="8" t="s">
        <v>15</v>
      </c>
    </row>
    <row r="2686" spans="1:7" hidden="1" x14ac:dyDescent="0.25">
      <c r="A2686" s="21">
        <v>2685</v>
      </c>
      <c r="B2686" s="7" t="s">
        <v>6126</v>
      </c>
      <c r="C2686" s="7" t="s">
        <v>6127</v>
      </c>
      <c r="G2686" s="8" t="s">
        <v>15</v>
      </c>
    </row>
    <row r="2687" spans="1:7" hidden="1" x14ac:dyDescent="0.25">
      <c r="A2687" s="21">
        <v>2686</v>
      </c>
      <c r="B2687" s="7" t="s">
        <v>6128</v>
      </c>
      <c r="C2687" s="7" t="s">
        <v>6129</v>
      </c>
      <c r="G2687" s="8" t="s">
        <v>15</v>
      </c>
    </row>
    <row r="2688" spans="1:7" hidden="1" x14ac:dyDescent="0.25">
      <c r="A2688" s="21">
        <v>2687</v>
      </c>
      <c r="B2688" s="7" t="s">
        <v>6130</v>
      </c>
      <c r="C2688" s="7" t="s">
        <v>6131</v>
      </c>
      <c r="G2688" s="8" t="s">
        <v>15</v>
      </c>
    </row>
    <row r="2689" spans="1:7" hidden="1" x14ac:dyDescent="0.25">
      <c r="A2689" s="21">
        <v>2688</v>
      </c>
      <c r="B2689" s="7" t="s">
        <v>6132</v>
      </c>
      <c r="C2689" s="7" t="s">
        <v>6133</v>
      </c>
      <c r="G2689" s="8" t="s">
        <v>15</v>
      </c>
    </row>
    <row r="2690" spans="1:7" hidden="1" x14ac:dyDescent="0.25">
      <c r="A2690" s="21">
        <v>2689</v>
      </c>
      <c r="B2690" s="7" t="s">
        <v>6134</v>
      </c>
      <c r="C2690" s="7" t="s">
        <v>6135</v>
      </c>
      <c r="G2690" s="8" t="s">
        <v>15</v>
      </c>
    </row>
    <row r="2691" spans="1:7" hidden="1" x14ac:dyDescent="0.25">
      <c r="A2691" s="21">
        <v>2690</v>
      </c>
      <c r="B2691" s="7" t="s">
        <v>6136</v>
      </c>
      <c r="C2691" s="7" t="s">
        <v>6137</v>
      </c>
      <c r="G2691" s="8" t="s">
        <v>15</v>
      </c>
    </row>
    <row r="2692" spans="1:7" hidden="1" x14ac:dyDescent="0.25">
      <c r="A2692" s="21">
        <v>2691</v>
      </c>
      <c r="B2692" s="7" t="s">
        <v>6138</v>
      </c>
      <c r="C2692" s="7" t="s">
        <v>6139</v>
      </c>
      <c r="G2692" s="8" t="s">
        <v>15</v>
      </c>
    </row>
    <row r="2693" spans="1:7" hidden="1" x14ac:dyDescent="0.25">
      <c r="A2693" s="21">
        <v>2692</v>
      </c>
      <c r="B2693" s="7" t="s">
        <v>6140</v>
      </c>
      <c r="C2693" s="7" t="s">
        <v>6141</v>
      </c>
      <c r="G2693" s="8" t="s">
        <v>15</v>
      </c>
    </row>
    <row r="2694" spans="1:7" hidden="1" x14ac:dyDescent="0.25">
      <c r="A2694" s="21">
        <v>2693</v>
      </c>
      <c r="B2694" s="7" t="s">
        <v>6142</v>
      </c>
      <c r="C2694" s="7" t="s">
        <v>6143</v>
      </c>
      <c r="G2694" s="8" t="s">
        <v>15</v>
      </c>
    </row>
    <row r="2695" spans="1:7" hidden="1" x14ac:dyDescent="0.25">
      <c r="A2695" s="21">
        <v>2694</v>
      </c>
      <c r="B2695" s="7" t="s">
        <v>6144</v>
      </c>
      <c r="C2695" s="7" t="s">
        <v>6145</v>
      </c>
      <c r="G2695" s="8" t="s">
        <v>15</v>
      </c>
    </row>
    <row r="2696" spans="1:7" hidden="1" x14ac:dyDescent="0.25">
      <c r="A2696" s="21">
        <v>2695</v>
      </c>
      <c r="B2696" s="7" t="s">
        <v>6146</v>
      </c>
      <c r="C2696" s="7" t="s">
        <v>6147</v>
      </c>
      <c r="G2696" s="8" t="s">
        <v>15</v>
      </c>
    </row>
    <row r="2697" spans="1:7" hidden="1" x14ac:dyDescent="0.25">
      <c r="A2697" s="21">
        <v>2696</v>
      </c>
      <c r="B2697" s="7" t="s">
        <v>6148</v>
      </c>
      <c r="C2697" s="7" t="s">
        <v>6149</v>
      </c>
      <c r="G2697" s="8" t="s">
        <v>15</v>
      </c>
    </row>
    <row r="2698" spans="1:7" hidden="1" x14ac:dyDescent="0.25">
      <c r="A2698" s="21">
        <v>2697</v>
      </c>
      <c r="B2698" s="7" t="s">
        <v>6150</v>
      </c>
      <c r="C2698" s="7" t="s">
        <v>6151</v>
      </c>
      <c r="G2698" s="8" t="s">
        <v>15</v>
      </c>
    </row>
    <row r="2699" spans="1:7" hidden="1" x14ac:dyDescent="0.25">
      <c r="A2699" s="21">
        <v>2698</v>
      </c>
      <c r="B2699" s="7" t="s">
        <v>6152</v>
      </c>
      <c r="C2699" s="7" t="s">
        <v>6153</v>
      </c>
      <c r="G2699" s="8" t="s">
        <v>15</v>
      </c>
    </row>
    <row r="2700" spans="1:7" hidden="1" x14ac:dyDescent="0.25">
      <c r="A2700" s="21">
        <v>2699</v>
      </c>
      <c r="B2700" s="7" t="s">
        <v>6154</v>
      </c>
      <c r="C2700" s="7" t="s">
        <v>6155</v>
      </c>
      <c r="G2700" s="8" t="s">
        <v>15</v>
      </c>
    </row>
    <row r="2701" spans="1:7" hidden="1" x14ac:dyDescent="0.25">
      <c r="A2701" s="21">
        <v>2700</v>
      </c>
      <c r="B2701" s="7" t="s">
        <v>6156</v>
      </c>
      <c r="C2701" s="7" t="s">
        <v>6157</v>
      </c>
      <c r="G2701" s="8" t="s">
        <v>15</v>
      </c>
    </row>
    <row r="2702" spans="1:7" hidden="1" x14ac:dyDescent="0.25">
      <c r="A2702" s="21">
        <v>2701</v>
      </c>
      <c r="B2702" s="7" t="s">
        <v>6158</v>
      </c>
      <c r="C2702" s="7" t="s">
        <v>6159</v>
      </c>
      <c r="G2702" s="8" t="s">
        <v>15</v>
      </c>
    </row>
    <row r="2703" spans="1:7" hidden="1" x14ac:dyDescent="0.25">
      <c r="A2703" s="21">
        <v>2702</v>
      </c>
      <c r="B2703" s="7" t="s">
        <v>6160</v>
      </c>
      <c r="C2703" s="7" t="s">
        <v>6161</v>
      </c>
      <c r="G2703" s="8" t="s">
        <v>15</v>
      </c>
    </row>
    <row r="2704" spans="1:7" hidden="1" x14ac:dyDescent="0.25">
      <c r="A2704" s="21">
        <v>2703</v>
      </c>
      <c r="B2704" s="7" t="s">
        <v>6162</v>
      </c>
      <c r="C2704" s="7" t="s">
        <v>6163</v>
      </c>
      <c r="G2704" s="8" t="s">
        <v>15</v>
      </c>
    </row>
    <row r="2705" spans="1:7" hidden="1" x14ac:dyDescent="0.25">
      <c r="A2705" s="21">
        <v>2704</v>
      </c>
      <c r="B2705" s="7" t="s">
        <v>6164</v>
      </c>
      <c r="C2705" s="7" t="s">
        <v>6165</v>
      </c>
      <c r="G2705" s="8" t="s">
        <v>15</v>
      </c>
    </row>
    <row r="2706" spans="1:7" hidden="1" x14ac:dyDescent="0.25">
      <c r="A2706" s="21">
        <v>2705</v>
      </c>
      <c r="B2706" s="7" t="s">
        <v>6166</v>
      </c>
      <c r="C2706" s="7" t="s">
        <v>6167</v>
      </c>
      <c r="G2706" s="8" t="s">
        <v>15</v>
      </c>
    </row>
    <row r="2707" spans="1:7" hidden="1" x14ac:dyDescent="0.25">
      <c r="A2707" s="21">
        <v>2706</v>
      </c>
      <c r="B2707" s="7" t="s">
        <v>6168</v>
      </c>
      <c r="C2707" s="7" t="s">
        <v>6169</v>
      </c>
      <c r="G2707" s="8" t="s">
        <v>15</v>
      </c>
    </row>
    <row r="2708" spans="1:7" hidden="1" x14ac:dyDescent="0.25">
      <c r="A2708" s="21">
        <v>2707</v>
      </c>
      <c r="B2708" s="7" t="s">
        <v>6170</v>
      </c>
      <c r="C2708" s="7" t="s">
        <v>6171</v>
      </c>
      <c r="G2708" s="8" t="s">
        <v>15</v>
      </c>
    </row>
    <row r="2709" spans="1:7" hidden="1" x14ac:dyDescent="0.25">
      <c r="A2709" s="21">
        <v>2708</v>
      </c>
      <c r="B2709" s="7" t="s">
        <v>6172</v>
      </c>
      <c r="C2709" s="7" t="s">
        <v>6173</v>
      </c>
      <c r="G2709" s="8" t="s">
        <v>15</v>
      </c>
    </row>
    <row r="2710" spans="1:7" hidden="1" x14ac:dyDescent="0.25">
      <c r="A2710" s="21">
        <v>2709</v>
      </c>
      <c r="B2710" s="7" t="s">
        <v>6174</v>
      </c>
      <c r="C2710" s="7" t="s">
        <v>6175</v>
      </c>
      <c r="G2710" s="8" t="s">
        <v>15</v>
      </c>
    </row>
    <row r="2711" spans="1:7" hidden="1" x14ac:dyDescent="0.25">
      <c r="A2711" s="21">
        <v>2710</v>
      </c>
      <c r="B2711" s="7" t="s">
        <v>6176</v>
      </c>
      <c r="C2711" s="7" t="s">
        <v>6177</v>
      </c>
      <c r="G2711" s="8" t="s">
        <v>15</v>
      </c>
    </row>
    <row r="2712" spans="1:7" hidden="1" x14ac:dyDescent="0.25">
      <c r="A2712" s="21">
        <v>2711</v>
      </c>
      <c r="B2712" s="7" t="s">
        <v>6178</v>
      </c>
      <c r="C2712" s="7" t="s">
        <v>6179</v>
      </c>
      <c r="G2712" s="8" t="s">
        <v>15</v>
      </c>
    </row>
    <row r="2713" spans="1:7" hidden="1" x14ac:dyDescent="0.25">
      <c r="A2713" s="21">
        <v>2712</v>
      </c>
      <c r="B2713" s="7" t="s">
        <v>6180</v>
      </c>
      <c r="C2713" s="7" t="s">
        <v>6181</v>
      </c>
      <c r="G2713" s="8" t="s">
        <v>15</v>
      </c>
    </row>
    <row r="2714" spans="1:7" hidden="1" x14ac:dyDescent="0.25">
      <c r="A2714" s="21">
        <v>2713</v>
      </c>
      <c r="B2714" s="7" t="s">
        <v>6182</v>
      </c>
      <c r="C2714" s="7" t="s">
        <v>6183</v>
      </c>
      <c r="G2714" s="8" t="s">
        <v>15</v>
      </c>
    </row>
    <row r="2715" spans="1:7" hidden="1" x14ac:dyDescent="0.25">
      <c r="A2715" s="21">
        <v>2714</v>
      </c>
      <c r="B2715" s="7" t="s">
        <v>6184</v>
      </c>
      <c r="C2715" s="7" t="s">
        <v>6185</v>
      </c>
      <c r="G2715" s="8" t="s">
        <v>15</v>
      </c>
    </row>
    <row r="2716" spans="1:7" hidden="1" x14ac:dyDescent="0.25">
      <c r="A2716" s="21">
        <v>2715</v>
      </c>
      <c r="B2716" s="7" t="s">
        <v>6186</v>
      </c>
      <c r="C2716" s="7" t="s">
        <v>6187</v>
      </c>
      <c r="G2716" s="8" t="s">
        <v>15</v>
      </c>
    </row>
    <row r="2717" spans="1:7" hidden="1" x14ac:dyDescent="0.25">
      <c r="A2717" s="21">
        <v>2716</v>
      </c>
      <c r="B2717" s="7" t="s">
        <v>6188</v>
      </c>
      <c r="C2717" s="7" t="s">
        <v>6189</v>
      </c>
      <c r="G2717" s="8" t="s">
        <v>15</v>
      </c>
    </row>
    <row r="2718" spans="1:7" hidden="1" x14ac:dyDescent="0.25">
      <c r="A2718" s="21">
        <v>2717</v>
      </c>
      <c r="B2718" s="7" t="s">
        <v>6190</v>
      </c>
      <c r="C2718" s="7" t="s">
        <v>6191</v>
      </c>
      <c r="G2718" s="8" t="s">
        <v>15</v>
      </c>
    </row>
    <row r="2719" spans="1:7" hidden="1" x14ac:dyDescent="0.25">
      <c r="A2719" s="21">
        <v>2718</v>
      </c>
      <c r="B2719" s="7" t="s">
        <v>6192</v>
      </c>
      <c r="C2719" s="7" t="s">
        <v>6193</v>
      </c>
      <c r="G2719" s="8" t="s">
        <v>15</v>
      </c>
    </row>
    <row r="2720" spans="1:7" hidden="1" x14ac:dyDescent="0.25">
      <c r="A2720" s="21">
        <v>2719</v>
      </c>
      <c r="B2720" s="7" t="s">
        <v>6194</v>
      </c>
      <c r="C2720" s="7" t="s">
        <v>6195</v>
      </c>
      <c r="G2720" s="8" t="s">
        <v>15</v>
      </c>
    </row>
    <row r="2721" spans="1:7" hidden="1" x14ac:dyDescent="0.25">
      <c r="A2721" s="21">
        <v>2720</v>
      </c>
      <c r="B2721" s="7" t="s">
        <v>6196</v>
      </c>
      <c r="C2721" s="7" t="s">
        <v>6197</v>
      </c>
      <c r="G2721" s="8" t="s">
        <v>15</v>
      </c>
    </row>
    <row r="2722" spans="1:7" hidden="1" x14ac:dyDescent="0.25">
      <c r="A2722" s="21">
        <v>2721</v>
      </c>
      <c r="B2722" s="7" t="s">
        <v>6198</v>
      </c>
      <c r="C2722" s="7" t="s">
        <v>6199</v>
      </c>
      <c r="G2722" s="8" t="s">
        <v>15</v>
      </c>
    </row>
    <row r="2723" spans="1:7" hidden="1" x14ac:dyDescent="0.25">
      <c r="A2723" s="21">
        <v>2722</v>
      </c>
      <c r="B2723" s="7" t="s">
        <v>6200</v>
      </c>
      <c r="C2723" s="7" t="s">
        <v>6201</v>
      </c>
      <c r="G2723" s="8" t="s">
        <v>15</v>
      </c>
    </row>
    <row r="2724" spans="1:7" hidden="1" x14ac:dyDescent="0.25">
      <c r="A2724" s="21">
        <v>2723</v>
      </c>
      <c r="B2724" s="7" t="s">
        <v>6202</v>
      </c>
      <c r="C2724" s="7" t="s">
        <v>6203</v>
      </c>
      <c r="G2724" s="8" t="s">
        <v>15</v>
      </c>
    </row>
    <row r="2725" spans="1:7" hidden="1" x14ac:dyDescent="0.25">
      <c r="A2725" s="21">
        <v>2724</v>
      </c>
      <c r="B2725" s="7" t="s">
        <v>6204</v>
      </c>
      <c r="C2725" s="7" t="s">
        <v>6205</v>
      </c>
      <c r="G2725" s="8" t="s">
        <v>15</v>
      </c>
    </row>
    <row r="2726" spans="1:7" hidden="1" x14ac:dyDescent="0.25">
      <c r="A2726" s="21">
        <v>2725</v>
      </c>
      <c r="B2726" s="7" t="s">
        <v>6206</v>
      </c>
      <c r="C2726" s="7" t="s">
        <v>6207</v>
      </c>
      <c r="G2726" s="8" t="s">
        <v>15</v>
      </c>
    </row>
    <row r="2727" spans="1:7" hidden="1" x14ac:dyDescent="0.25">
      <c r="A2727" s="21">
        <v>2726</v>
      </c>
      <c r="B2727" s="7" t="s">
        <v>6208</v>
      </c>
      <c r="C2727" s="7" t="s">
        <v>6209</v>
      </c>
      <c r="G2727" s="8" t="s">
        <v>15</v>
      </c>
    </row>
    <row r="2728" spans="1:7" hidden="1" x14ac:dyDescent="0.25">
      <c r="A2728" s="21">
        <v>2727</v>
      </c>
      <c r="B2728" s="7" t="s">
        <v>6210</v>
      </c>
      <c r="C2728" s="7" t="s">
        <v>6211</v>
      </c>
      <c r="G2728" s="8" t="s">
        <v>15</v>
      </c>
    </row>
    <row r="2729" spans="1:7" hidden="1" x14ac:dyDescent="0.25">
      <c r="A2729" s="21">
        <v>2728</v>
      </c>
      <c r="B2729" s="7" t="s">
        <v>6212</v>
      </c>
      <c r="C2729" s="7" t="s">
        <v>6213</v>
      </c>
      <c r="G2729" s="8" t="s">
        <v>15</v>
      </c>
    </row>
    <row r="2730" spans="1:7" hidden="1" x14ac:dyDescent="0.25">
      <c r="A2730" s="21">
        <v>2729</v>
      </c>
      <c r="B2730" s="7" t="s">
        <v>6214</v>
      </c>
      <c r="C2730" s="7" t="s">
        <v>6215</v>
      </c>
      <c r="G2730" s="8" t="s">
        <v>15</v>
      </c>
    </row>
    <row r="2731" spans="1:7" hidden="1" x14ac:dyDescent="0.25">
      <c r="A2731" s="21">
        <v>2730</v>
      </c>
      <c r="B2731" s="7" t="s">
        <v>6216</v>
      </c>
      <c r="C2731" s="7" t="s">
        <v>6217</v>
      </c>
      <c r="G2731" s="8" t="s">
        <v>15</v>
      </c>
    </row>
    <row r="2732" spans="1:7" hidden="1" x14ac:dyDescent="0.25">
      <c r="A2732" s="21">
        <v>2731</v>
      </c>
      <c r="B2732" s="7" t="s">
        <v>6218</v>
      </c>
      <c r="C2732" s="7" t="s">
        <v>6219</v>
      </c>
      <c r="G2732" s="8" t="s">
        <v>15</v>
      </c>
    </row>
    <row r="2733" spans="1:7" hidden="1" x14ac:dyDescent="0.25">
      <c r="A2733" s="21">
        <v>2732</v>
      </c>
      <c r="B2733" s="7" t="s">
        <v>6220</v>
      </c>
      <c r="C2733" s="7" t="s">
        <v>6221</v>
      </c>
      <c r="G2733" s="8" t="s">
        <v>15</v>
      </c>
    </row>
    <row r="2734" spans="1:7" hidden="1" x14ac:dyDescent="0.25">
      <c r="A2734" s="21">
        <v>2733</v>
      </c>
      <c r="B2734" s="7" t="s">
        <v>6222</v>
      </c>
      <c r="C2734" s="7" t="s">
        <v>6223</v>
      </c>
      <c r="G2734" s="8" t="s">
        <v>15</v>
      </c>
    </row>
    <row r="2735" spans="1:7" hidden="1" x14ac:dyDescent="0.25">
      <c r="A2735" s="21">
        <v>2734</v>
      </c>
      <c r="B2735" s="7" t="s">
        <v>6224</v>
      </c>
      <c r="C2735" s="7" t="s">
        <v>6225</v>
      </c>
      <c r="G2735" s="8" t="s">
        <v>15</v>
      </c>
    </row>
    <row r="2736" spans="1:7" hidden="1" x14ac:dyDescent="0.25">
      <c r="A2736" s="21">
        <v>2735</v>
      </c>
      <c r="B2736" s="7" t="s">
        <v>6226</v>
      </c>
      <c r="C2736" s="7" t="s">
        <v>6227</v>
      </c>
      <c r="G2736" s="8" t="s">
        <v>15</v>
      </c>
    </row>
    <row r="2737" spans="1:7" hidden="1" x14ac:dyDescent="0.25">
      <c r="A2737" s="21">
        <v>2736</v>
      </c>
      <c r="B2737" s="7" t="s">
        <v>6228</v>
      </c>
      <c r="C2737" s="7" t="s">
        <v>6229</v>
      </c>
      <c r="G2737" s="8" t="s">
        <v>15</v>
      </c>
    </row>
    <row r="2738" spans="1:7" hidden="1" x14ac:dyDescent="0.25">
      <c r="A2738" s="21">
        <v>2737</v>
      </c>
      <c r="B2738" s="7" t="s">
        <v>6230</v>
      </c>
      <c r="C2738" s="7" t="s">
        <v>6231</v>
      </c>
      <c r="G2738" s="8" t="s">
        <v>15</v>
      </c>
    </row>
    <row r="2739" spans="1:7" hidden="1" x14ac:dyDescent="0.25">
      <c r="A2739" s="21">
        <v>2738</v>
      </c>
      <c r="B2739" s="7" t="s">
        <v>6232</v>
      </c>
      <c r="C2739" s="7" t="s">
        <v>6233</v>
      </c>
      <c r="G2739" s="8" t="s">
        <v>15</v>
      </c>
    </row>
    <row r="2740" spans="1:7" hidden="1" x14ac:dyDescent="0.25">
      <c r="A2740" s="21">
        <v>2739</v>
      </c>
      <c r="B2740" s="7" t="s">
        <v>6234</v>
      </c>
      <c r="C2740" s="7" t="s">
        <v>6235</v>
      </c>
      <c r="G2740" s="8" t="s">
        <v>15</v>
      </c>
    </row>
    <row r="2741" spans="1:7" hidden="1" x14ac:dyDescent="0.25">
      <c r="A2741" s="21">
        <v>2740</v>
      </c>
      <c r="B2741" s="7" t="s">
        <v>6236</v>
      </c>
      <c r="C2741" s="7" t="s">
        <v>6237</v>
      </c>
      <c r="G2741" s="8" t="s">
        <v>15</v>
      </c>
    </row>
    <row r="2742" spans="1:7" hidden="1" x14ac:dyDescent="0.25">
      <c r="A2742" s="21">
        <v>2741</v>
      </c>
      <c r="B2742" s="7" t="s">
        <v>6238</v>
      </c>
      <c r="C2742" s="7" t="s">
        <v>6239</v>
      </c>
      <c r="G2742" s="8" t="s">
        <v>15</v>
      </c>
    </row>
    <row r="2743" spans="1:7" hidden="1" x14ac:dyDescent="0.25">
      <c r="A2743" s="21">
        <v>2742</v>
      </c>
      <c r="B2743" s="7" t="s">
        <v>6240</v>
      </c>
      <c r="C2743" s="7" t="s">
        <v>6241</v>
      </c>
      <c r="G2743" s="8" t="s">
        <v>15</v>
      </c>
    </row>
    <row r="2744" spans="1:7" hidden="1" x14ac:dyDescent="0.25">
      <c r="A2744" s="21">
        <v>2743</v>
      </c>
      <c r="B2744" s="7" t="s">
        <v>6242</v>
      </c>
      <c r="C2744" s="7" t="s">
        <v>6243</v>
      </c>
      <c r="G2744" s="8" t="s">
        <v>15</v>
      </c>
    </row>
    <row r="2745" spans="1:7" hidden="1" x14ac:dyDescent="0.25">
      <c r="A2745" s="21">
        <v>2744</v>
      </c>
      <c r="B2745" s="7" t="s">
        <v>6244</v>
      </c>
      <c r="C2745" s="7" t="s">
        <v>6245</v>
      </c>
      <c r="G2745" s="8" t="s">
        <v>15</v>
      </c>
    </row>
    <row r="2746" spans="1:7" hidden="1" x14ac:dyDescent="0.25">
      <c r="A2746" s="21">
        <v>2745</v>
      </c>
      <c r="B2746" s="7" t="s">
        <v>6246</v>
      </c>
      <c r="C2746" s="7" t="s">
        <v>6247</v>
      </c>
      <c r="G2746" s="8" t="s">
        <v>15</v>
      </c>
    </row>
    <row r="2747" spans="1:7" hidden="1" x14ac:dyDescent="0.25">
      <c r="A2747" s="21">
        <v>2746</v>
      </c>
      <c r="B2747" s="7" t="s">
        <v>6248</v>
      </c>
      <c r="C2747" s="7" t="s">
        <v>6249</v>
      </c>
      <c r="G2747" s="8" t="s">
        <v>15</v>
      </c>
    </row>
    <row r="2748" spans="1:7" hidden="1" x14ac:dyDescent="0.25">
      <c r="A2748" s="21">
        <v>2747</v>
      </c>
      <c r="B2748" s="7" t="s">
        <v>6250</v>
      </c>
      <c r="C2748" s="7" t="s">
        <v>6251</v>
      </c>
      <c r="G2748" s="8" t="s">
        <v>15</v>
      </c>
    </row>
    <row r="2749" spans="1:7" hidden="1" x14ac:dyDescent="0.25">
      <c r="A2749" s="21">
        <v>2748</v>
      </c>
      <c r="B2749" s="7" t="s">
        <v>6252</v>
      </c>
      <c r="C2749" s="7" t="s">
        <v>6253</v>
      </c>
      <c r="G2749" s="8" t="s">
        <v>15</v>
      </c>
    </row>
    <row r="2750" spans="1:7" hidden="1" x14ac:dyDescent="0.25">
      <c r="A2750" s="21">
        <v>2749</v>
      </c>
      <c r="B2750" s="7" t="s">
        <v>6254</v>
      </c>
      <c r="C2750" s="7" t="s">
        <v>6255</v>
      </c>
      <c r="G2750" s="8" t="s">
        <v>15</v>
      </c>
    </row>
    <row r="2751" spans="1:7" hidden="1" x14ac:dyDescent="0.25">
      <c r="A2751" s="21">
        <v>2750</v>
      </c>
      <c r="B2751" s="7" t="s">
        <v>6256</v>
      </c>
      <c r="C2751" s="7" t="s">
        <v>6257</v>
      </c>
      <c r="G2751" s="8" t="s">
        <v>15</v>
      </c>
    </row>
    <row r="2752" spans="1:7" hidden="1" x14ac:dyDescent="0.25">
      <c r="A2752" s="21">
        <v>2751</v>
      </c>
      <c r="B2752" s="7" t="s">
        <v>6258</v>
      </c>
      <c r="C2752" s="7" t="s">
        <v>6259</v>
      </c>
      <c r="G2752" s="8" t="s">
        <v>15</v>
      </c>
    </row>
    <row r="2753" spans="1:7" hidden="1" x14ac:dyDescent="0.25">
      <c r="A2753" s="21">
        <v>2752</v>
      </c>
      <c r="B2753" s="7" t="s">
        <v>6260</v>
      </c>
      <c r="C2753" s="7" t="s">
        <v>6261</v>
      </c>
      <c r="G2753" s="8" t="s">
        <v>15</v>
      </c>
    </row>
    <row r="2754" spans="1:7" hidden="1" x14ac:dyDescent="0.25">
      <c r="A2754" s="21">
        <v>2753</v>
      </c>
      <c r="B2754" s="7" t="s">
        <v>6262</v>
      </c>
      <c r="C2754" s="7" t="s">
        <v>6263</v>
      </c>
      <c r="G2754" s="8" t="s">
        <v>15</v>
      </c>
    </row>
    <row r="2755" spans="1:7" hidden="1" x14ac:dyDescent="0.25">
      <c r="A2755" s="21">
        <v>2754</v>
      </c>
      <c r="B2755" s="7" t="s">
        <v>6264</v>
      </c>
      <c r="C2755" s="7" t="s">
        <v>6265</v>
      </c>
      <c r="G2755" s="8" t="s">
        <v>15</v>
      </c>
    </row>
    <row r="2756" spans="1:7" hidden="1" x14ac:dyDescent="0.25">
      <c r="A2756" s="21">
        <v>2755</v>
      </c>
      <c r="B2756" s="7" t="s">
        <v>6266</v>
      </c>
      <c r="C2756" s="7" t="s">
        <v>6267</v>
      </c>
      <c r="G2756" s="8" t="s">
        <v>15</v>
      </c>
    </row>
    <row r="2757" spans="1:7" hidden="1" x14ac:dyDescent="0.25">
      <c r="A2757" s="21">
        <v>2756</v>
      </c>
      <c r="B2757" s="7" t="s">
        <v>6268</v>
      </c>
      <c r="C2757" s="7" t="s">
        <v>6269</v>
      </c>
      <c r="G2757" s="8" t="s">
        <v>15</v>
      </c>
    </row>
    <row r="2758" spans="1:7" hidden="1" x14ac:dyDescent="0.25">
      <c r="A2758" s="21">
        <v>2757</v>
      </c>
      <c r="B2758" s="7" t="s">
        <v>6270</v>
      </c>
      <c r="C2758" s="7" t="s">
        <v>6271</v>
      </c>
      <c r="G2758" s="8" t="s">
        <v>15</v>
      </c>
    </row>
    <row r="2759" spans="1:7" hidden="1" x14ac:dyDescent="0.25">
      <c r="A2759" s="21">
        <v>2758</v>
      </c>
      <c r="B2759" s="7" t="s">
        <v>6272</v>
      </c>
      <c r="C2759" s="7" t="s">
        <v>6273</v>
      </c>
      <c r="G2759" s="8" t="s">
        <v>15</v>
      </c>
    </row>
    <row r="2760" spans="1:7" hidden="1" x14ac:dyDescent="0.25">
      <c r="A2760" s="21">
        <v>2759</v>
      </c>
      <c r="B2760" s="7" t="s">
        <v>6274</v>
      </c>
      <c r="C2760" s="7" t="s">
        <v>6275</v>
      </c>
      <c r="G2760" s="8" t="s">
        <v>15</v>
      </c>
    </row>
    <row r="2761" spans="1:7" hidden="1" x14ac:dyDescent="0.25">
      <c r="A2761" s="21">
        <v>2760</v>
      </c>
      <c r="B2761" s="7" t="s">
        <v>6276</v>
      </c>
      <c r="C2761" s="7" t="s">
        <v>6277</v>
      </c>
      <c r="G2761" s="8" t="s">
        <v>15</v>
      </c>
    </row>
    <row r="2762" spans="1:7" hidden="1" x14ac:dyDescent="0.25">
      <c r="A2762" s="21">
        <v>2761</v>
      </c>
      <c r="B2762" s="7" t="s">
        <v>6278</v>
      </c>
      <c r="C2762" s="7" t="s">
        <v>6279</v>
      </c>
      <c r="G2762" s="8" t="s">
        <v>15</v>
      </c>
    </row>
    <row r="2763" spans="1:7" hidden="1" x14ac:dyDescent="0.25">
      <c r="A2763" s="21">
        <v>2762</v>
      </c>
      <c r="B2763" s="7" t="s">
        <v>6280</v>
      </c>
      <c r="C2763" s="7" t="s">
        <v>6281</v>
      </c>
      <c r="G2763" s="8" t="s">
        <v>15</v>
      </c>
    </row>
    <row r="2764" spans="1:7" hidden="1" x14ac:dyDescent="0.25">
      <c r="A2764" s="21">
        <v>2763</v>
      </c>
      <c r="B2764" s="7" t="s">
        <v>6282</v>
      </c>
      <c r="C2764" s="7" t="s">
        <v>6283</v>
      </c>
      <c r="G2764" s="8" t="s">
        <v>15</v>
      </c>
    </row>
    <row r="2765" spans="1:7" hidden="1" x14ac:dyDescent="0.25">
      <c r="A2765" s="21">
        <v>2764</v>
      </c>
      <c r="B2765" s="7" t="s">
        <v>6284</v>
      </c>
      <c r="C2765" s="7" t="s">
        <v>6285</v>
      </c>
      <c r="G2765" s="8" t="s">
        <v>15</v>
      </c>
    </row>
    <row r="2766" spans="1:7" hidden="1" x14ac:dyDescent="0.25">
      <c r="A2766" s="21">
        <v>2765</v>
      </c>
      <c r="B2766" s="7" t="s">
        <v>6286</v>
      </c>
      <c r="C2766" s="7" t="s">
        <v>6287</v>
      </c>
      <c r="G2766" s="8" t="s">
        <v>15</v>
      </c>
    </row>
    <row r="2767" spans="1:7" hidden="1" x14ac:dyDescent="0.25">
      <c r="A2767" s="21">
        <v>2766</v>
      </c>
      <c r="B2767" s="7" t="s">
        <v>6288</v>
      </c>
      <c r="C2767" s="7" t="s">
        <v>6289</v>
      </c>
      <c r="G2767" s="8" t="s">
        <v>15</v>
      </c>
    </row>
    <row r="2768" spans="1:7" hidden="1" x14ac:dyDescent="0.25">
      <c r="A2768" s="21">
        <v>2767</v>
      </c>
      <c r="B2768" s="7" t="s">
        <v>6290</v>
      </c>
      <c r="C2768" s="7" t="s">
        <v>6291</v>
      </c>
      <c r="G2768" s="8" t="s">
        <v>15</v>
      </c>
    </row>
    <row r="2769" spans="1:7" hidden="1" x14ac:dyDescent="0.25">
      <c r="A2769" s="21">
        <v>2768</v>
      </c>
      <c r="B2769" s="7" t="s">
        <v>6292</v>
      </c>
      <c r="C2769" s="7" t="s">
        <v>6293</v>
      </c>
      <c r="G2769" s="8" t="s">
        <v>15</v>
      </c>
    </row>
    <row r="2770" spans="1:7" hidden="1" x14ac:dyDescent="0.25">
      <c r="A2770" s="21">
        <v>2769</v>
      </c>
      <c r="B2770" s="7" t="s">
        <v>6294</v>
      </c>
      <c r="C2770" s="7" t="s">
        <v>6295</v>
      </c>
      <c r="G2770" s="8" t="s">
        <v>15</v>
      </c>
    </row>
    <row r="2771" spans="1:7" hidden="1" x14ac:dyDescent="0.25">
      <c r="A2771" s="21">
        <v>2770</v>
      </c>
      <c r="B2771" s="7" t="s">
        <v>6296</v>
      </c>
      <c r="C2771" s="7" t="s">
        <v>6297</v>
      </c>
      <c r="G2771" s="8" t="s">
        <v>15</v>
      </c>
    </row>
    <row r="2772" spans="1:7" hidden="1" x14ac:dyDescent="0.25">
      <c r="A2772" s="21">
        <v>2771</v>
      </c>
      <c r="B2772" s="7" t="s">
        <v>6298</v>
      </c>
      <c r="C2772" s="7" t="s">
        <v>6299</v>
      </c>
      <c r="G2772" s="8" t="s">
        <v>15</v>
      </c>
    </row>
    <row r="2773" spans="1:7" hidden="1" x14ac:dyDescent="0.25">
      <c r="A2773" s="21">
        <v>2772</v>
      </c>
      <c r="B2773" s="7" t="s">
        <v>6300</v>
      </c>
      <c r="C2773" s="7" t="s">
        <v>6301</v>
      </c>
      <c r="G2773" s="8" t="s">
        <v>15</v>
      </c>
    </row>
    <row r="2774" spans="1:7" hidden="1" x14ac:dyDescent="0.25">
      <c r="A2774" s="21">
        <v>2773</v>
      </c>
      <c r="B2774" s="7" t="s">
        <v>6302</v>
      </c>
      <c r="C2774" s="7" t="s">
        <v>6303</v>
      </c>
      <c r="G2774" s="8" t="s">
        <v>15</v>
      </c>
    </row>
    <row r="2775" spans="1:7" hidden="1" x14ac:dyDescent="0.25">
      <c r="A2775" s="21">
        <v>2774</v>
      </c>
      <c r="B2775" s="7" t="s">
        <v>6304</v>
      </c>
      <c r="C2775" s="7" t="s">
        <v>6305</v>
      </c>
      <c r="G2775" s="8" t="s">
        <v>15</v>
      </c>
    </row>
    <row r="2776" spans="1:7" hidden="1" x14ac:dyDescent="0.25">
      <c r="A2776" s="21">
        <v>2775</v>
      </c>
      <c r="B2776" s="7" t="s">
        <v>6306</v>
      </c>
      <c r="C2776" s="7" t="s">
        <v>6307</v>
      </c>
      <c r="G2776" s="8" t="s">
        <v>15</v>
      </c>
    </row>
    <row r="2777" spans="1:7" hidden="1" x14ac:dyDescent="0.25">
      <c r="A2777" s="21">
        <v>2776</v>
      </c>
      <c r="B2777" s="7" t="s">
        <v>6308</v>
      </c>
      <c r="C2777" s="7" t="s">
        <v>6309</v>
      </c>
      <c r="G2777" s="8" t="s">
        <v>15</v>
      </c>
    </row>
    <row r="2778" spans="1:7" hidden="1" x14ac:dyDescent="0.25">
      <c r="A2778" s="21">
        <v>2777</v>
      </c>
      <c r="B2778" s="7" t="s">
        <v>6310</v>
      </c>
      <c r="C2778" s="7" t="s">
        <v>6311</v>
      </c>
      <c r="G2778" s="8" t="s">
        <v>15</v>
      </c>
    </row>
    <row r="2779" spans="1:7" hidden="1" x14ac:dyDescent="0.25">
      <c r="A2779" s="21">
        <v>2778</v>
      </c>
      <c r="B2779" s="7" t="s">
        <v>6312</v>
      </c>
      <c r="C2779" s="7" t="s">
        <v>6313</v>
      </c>
      <c r="G2779" s="8" t="s">
        <v>15</v>
      </c>
    </row>
    <row r="2780" spans="1:7" hidden="1" x14ac:dyDescent="0.25">
      <c r="A2780" s="21">
        <v>2779</v>
      </c>
      <c r="B2780" s="7" t="s">
        <v>6314</v>
      </c>
      <c r="C2780" s="7" t="s">
        <v>6315</v>
      </c>
      <c r="G2780" s="8" t="s">
        <v>15</v>
      </c>
    </row>
    <row r="2781" spans="1:7" hidden="1" x14ac:dyDescent="0.25">
      <c r="A2781" s="21">
        <v>2780</v>
      </c>
      <c r="B2781" s="7" t="s">
        <v>6316</v>
      </c>
      <c r="C2781" s="7" t="s">
        <v>6317</v>
      </c>
      <c r="G2781" s="8" t="s">
        <v>15</v>
      </c>
    </row>
    <row r="2782" spans="1:7" hidden="1" x14ac:dyDescent="0.25">
      <c r="A2782" s="21">
        <v>2781</v>
      </c>
      <c r="B2782" s="7" t="s">
        <v>6318</v>
      </c>
      <c r="C2782" s="7" t="s">
        <v>6319</v>
      </c>
      <c r="G2782" s="8" t="s">
        <v>15</v>
      </c>
    </row>
    <row r="2783" spans="1:7" hidden="1" x14ac:dyDescent="0.25">
      <c r="A2783" s="21">
        <v>2782</v>
      </c>
      <c r="B2783" s="7" t="s">
        <v>6320</v>
      </c>
      <c r="C2783" s="7" t="s">
        <v>6321</v>
      </c>
      <c r="G2783" s="8" t="s">
        <v>15</v>
      </c>
    </row>
    <row r="2784" spans="1:7" hidden="1" x14ac:dyDescent="0.25">
      <c r="A2784" s="21">
        <v>2783</v>
      </c>
      <c r="B2784" s="7" t="s">
        <v>6322</v>
      </c>
      <c r="C2784" s="7" t="s">
        <v>6323</v>
      </c>
      <c r="G2784" s="8" t="s">
        <v>15</v>
      </c>
    </row>
    <row r="2785" spans="1:8" hidden="1" x14ac:dyDescent="0.25">
      <c r="A2785" s="21">
        <v>2784</v>
      </c>
      <c r="B2785" s="7" t="s">
        <v>6324</v>
      </c>
      <c r="C2785" s="7" t="s">
        <v>6325</v>
      </c>
      <c r="G2785" s="8" t="s">
        <v>15</v>
      </c>
    </row>
    <row r="2786" spans="1:8" hidden="1" x14ac:dyDescent="0.25">
      <c r="A2786" s="21">
        <v>2785</v>
      </c>
      <c r="B2786" s="7" t="s">
        <v>6326</v>
      </c>
      <c r="C2786" s="7" t="s">
        <v>6327</v>
      </c>
      <c r="G2786" s="8" t="s">
        <v>15</v>
      </c>
    </row>
    <row r="2787" spans="1:8" hidden="1" x14ac:dyDescent="0.25">
      <c r="A2787" s="21">
        <v>2786</v>
      </c>
      <c r="B2787" s="7" t="s">
        <v>6328</v>
      </c>
      <c r="C2787" s="7" t="s">
        <v>6329</v>
      </c>
      <c r="G2787" s="8" t="s">
        <v>15</v>
      </c>
    </row>
    <row r="2788" spans="1:8" hidden="1" x14ac:dyDescent="0.25">
      <c r="A2788" s="21">
        <v>2787</v>
      </c>
      <c r="B2788" s="7" t="s">
        <v>6330</v>
      </c>
      <c r="C2788" s="7" t="s">
        <v>6331</v>
      </c>
      <c r="G2788" s="8" t="s">
        <v>15</v>
      </c>
    </row>
    <row r="2789" spans="1:8" hidden="1" x14ac:dyDescent="0.25">
      <c r="A2789" s="21">
        <v>2788</v>
      </c>
      <c r="B2789" s="7" t="s">
        <v>6332</v>
      </c>
      <c r="C2789" s="7" t="s">
        <v>6333</v>
      </c>
      <c r="G2789" s="8" t="s">
        <v>15</v>
      </c>
    </row>
    <row r="2790" spans="1:8" hidden="1" x14ac:dyDescent="0.25">
      <c r="A2790" s="21">
        <v>2789</v>
      </c>
      <c r="B2790" s="7" t="s">
        <v>6334</v>
      </c>
      <c r="C2790" s="7" t="s">
        <v>6335</v>
      </c>
      <c r="G2790" s="8" t="s">
        <v>15</v>
      </c>
    </row>
    <row r="2791" spans="1:8" hidden="1" x14ac:dyDescent="0.25">
      <c r="A2791" s="21">
        <v>2790</v>
      </c>
      <c r="B2791" s="7" t="s">
        <v>6336</v>
      </c>
      <c r="C2791" s="7" t="s">
        <v>6337</v>
      </c>
      <c r="G2791" s="8" t="s">
        <v>15</v>
      </c>
    </row>
    <row r="2792" spans="1:8" hidden="1" x14ac:dyDescent="0.25">
      <c r="A2792" s="21">
        <v>2791</v>
      </c>
      <c r="B2792" s="7" t="s">
        <v>6338</v>
      </c>
      <c r="C2792" s="7" t="s">
        <v>6339</v>
      </c>
      <c r="G2792" s="8" t="s">
        <v>15</v>
      </c>
    </row>
    <row r="2793" spans="1:8" hidden="1" x14ac:dyDescent="0.25">
      <c r="A2793" s="21">
        <v>2792</v>
      </c>
      <c r="B2793" s="7" t="s">
        <v>6340</v>
      </c>
      <c r="C2793" s="7" t="s">
        <v>6341</v>
      </c>
      <c r="G2793" s="8" t="s">
        <v>15</v>
      </c>
    </row>
    <row r="2794" spans="1:8" hidden="1" x14ac:dyDescent="0.25">
      <c r="A2794" s="21">
        <v>2793</v>
      </c>
      <c r="B2794" s="7" t="s">
        <v>6342</v>
      </c>
      <c r="C2794" s="7" t="s">
        <v>6343</v>
      </c>
      <c r="G2794" s="8" t="s">
        <v>15</v>
      </c>
    </row>
    <row r="2795" spans="1:8" hidden="1" x14ac:dyDescent="0.25">
      <c r="A2795" s="21">
        <v>2794</v>
      </c>
      <c r="B2795" s="7" t="s">
        <v>6344</v>
      </c>
      <c r="C2795" s="7" t="s">
        <v>6345</v>
      </c>
      <c r="G2795" s="8" t="s">
        <v>15</v>
      </c>
    </row>
    <row r="2796" spans="1:8" hidden="1" x14ac:dyDescent="0.25">
      <c r="A2796" s="21">
        <v>2795</v>
      </c>
      <c r="B2796" s="7" t="s">
        <v>6346</v>
      </c>
      <c r="C2796" s="7" t="s">
        <v>6347</v>
      </c>
      <c r="G2796" s="8" t="s">
        <v>15</v>
      </c>
    </row>
    <row r="2797" spans="1:8" hidden="1" x14ac:dyDescent="0.25">
      <c r="A2797" s="21">
        <v>2796</v>
      </c>
      <c r="B2797" s="7" t="s">
        <v>6348</v>
      </c>
      <c r="C2797" s="7" t="s">
        <v>6349</v>
      </c>
      <c r="G2797" s="8" t="s">
        <v>15</v>
      </c>
    </row>
    <row r="2798" spans="1:8" hidden="1" x14ac:dyDescent="0.25">
      <c r="A2798" s="21">
        <v>2797</v>
      </c>
      <c r="B2798" s="7" t="s">
        <v>6350</v>
      </c>
      <c r="C2798" s="7" t="s">
        <v>6351</v>
      </c>
      <c r="G2798" s="8" t="s">
        <v>15</v>
      </c>
      <c r="H2798" t="str">
        <f>_xlfn.XLOOKUP(B2798,Data!T:T,Data!F:F)</f>
        <v>Pack of 12 Amp</v>
      </c>
    </row>
    <row r="2799" spans="1:8" hidden="1" x14ac:dyDescent="0.25">
      <c r="A2799" s="21">
        <v>2798</v>
      </c>
      <c r="B2799" s="7" t="s">
        <v>6352</v>
      </c>
      <c r="C2799" s="7" t="s">
        <v>6353</v>
      </c>
      <c r="G2799" s="8" t="s">
        <v>15</v>
      </c>
    </row>
    <row r="2800" spans="1:8" hidden="1" x14ac:dyDescent="0.25">
      <c r="A2800" s="21">
        <v>2799</v>
      </c>
      <c r="B2800" s="7" t="s">
        <v>6354</v>
      </c>
      <c r="C2800" s="7" t="s">
        <v>6355</v>
      </c>
      <c r="G2800" s="8" t="s">
        <v>15</v>
      </c>
    </row>
    <row r="2801" spans="1:7" hidden="1" x14ac:dyDescent="0.25">
      <c r="A2801" s="21">
        <v>2800</v>
      </c>
      <c r="B2801" s="7" t="s">
        <v>6356</v>
      </c>
      <c r="C2801" s="7" t="s">
        <v>6357</v>
      </c>
      <c r="G2801" s="8" t="s">
        <v>15</v>
      </c>
    </row>
    <row r="2802" spans="1:7" hidden="1" x14ac:dyDescent="0.25">
      <c r="A2802" s="21">
        <v>2801</v>
      </c>
      <c r="B2802" s="7" t="s">
        <v>6358</v>
      </c>
      <c r="C2802" s="7" t="s">
        <v>6359</v>
      </c>
      <c r="G2802" s="8" t="s">
        <v>15</v>
      </c>
    </row>
    <row r="2803" spans="1:7" hidden="1" x14ac:dyDescent="0.25">
      <c r="A2803" s="21">
        <v>2802</v>
      </c>
      <c r="B2803" s="7" t="s">
        <v>6360</v>
      </c>
      <c r="C2803" s="7" t="s">
        <v>6361</v>
      </c>
      <c r="G2803" s="8" t="s">
        <v>15</v>
      </c>
    </row>
    <row r="2804" spans="1:7" hidden="1" x14ac:dyDescent="0.25">
      <c r="A2804" s="21">
        <v>2803</v>
      </c>
      <c r="B2804" s="7" t="s">
        <v>6362</v>
      </c>
      <c r="C2804" s="7" t="s">
        <v>6363</v>
      </c>
      <c r="G2804" s="8" t="s">
        <v>15</v>
      </c>
    </row>
    <row r="2805" spans="1:7" hidden="1" x14ac:dyDescent="0.25">
      <c r="A2805" s="21">
        <v>2804</v>
      </c>
      <c r="B2805" s="7" t="s">
        <v>6364</v>
      </c>
      <c r="C2805" s="7" t="s">
        <v>6365</v>
      </c>
      <c r="G2805" s="8" t="s">
        <v>15</v>
      </c>
    </row>
    <row r="2806" spans="1:7" hidden="1" x14ac:dyDescent="0.25">
      <c r="A2806" s="21">
        <v>2805</v>
      </c>
      <c r="B2806" s="7" t="s">
        <v>6366</v>
      </c>
      <c r="C2806" s="7" t="s">
        <v>6367</v>
      </c>
      <c r="G2806" s="8" t="s">
        <v>15</v>
      </c>
    </row>
    <row r="2807" spans="1:7" hidden="1" x14ac:dyDescent="0.25">
      <c r="A2807" s="21">
        <v>2806</v>
      </c>
      <c r="B2807" s="7" t="s">
        <v>6368</v>
      </c>
      <c r="C2807" s="7" t="s">
        <v>6369</v>
      </c>
      <c r="G2807" s="8" t="s">
        <v>15</v>
      </c>
    </row>
    <row r="2808" spans="1:7" hidden="1" x14ac:dyDescent="0.25">
      <c r="A2808" s="21">
        <v>2807</v>
      </c>
      <c r="B2808" s="7" t="s">
        <v>6370</v>
      </c>
      <c r="C2808" s="7" t="s">
        <v>6371</v>
      </c>
      <c r="G2808" s="8" t="s">
        <v>15</v>
      </c>
    </row>
    <row r="2809" spans="1:7" hidden="1" x14ac:dyDescent="0.25">
      <c r="A2809" s="21">
        <v>2808</v>
      </c>
      <c r="B2809" s="7" t="s">
        <v>6372</v>
      </c>
      <c r="C2809" s="7" t="s">
        <v>6373</v>
      </c>
      <c r="F2809" t="s">
        <v>1409</v>
      </c>
      <c r="G2809" s="8" t="s">
        <v>15</v>
      </c>
    </row>
    <row r="2810" spans="1:7" hidden="1" x14ac:dyDescent="0.25">
      <c r="A2810" s="21">
        <v>2809</v>
      </c>
      <c r="B2810" s="7" t="s">
        <v>6374</v>
      </c>
      <c r="C2810" s="7" t="s">
        <v>6375</v>
      </c>
      <c r="F2810" t="s">
        <v>1409</v>
      </c>
      <c r="G2810" s="8" t="s">
        <v>15</v>
      </c>
    </row>
    <row r="2811" spans="1:7" hidden="1" x14ac:dyDescent="0.25">
      <c r="A2811" s="21">
        <v>2810</v>
      </c>
      <c r="B2811" s="7" t="s">
        <v>6376</v>
      </c>
      <c r="C2811" s="7" t="s">
        <v>6377</v>
      </c>
      <c r="F2811" t="s">
        <v>1409</v>
      </c>
      <c r="G2811" s="8" t="s">
        <v>15</v>
      </c>
    </row>
    <row r="2812" spans="1:7" hidden="1" x14ac:dyDescent="0.25">
      <c r="A2812" s="21">
        <v>2811</v>
      </c>
      <c r="B2812" s="7" t="s">
        <v>6378</v>
      </c>
      <c r="C2812" s="7" t="s">
        <v>6379</v>
      </c>
      <c r="F2812" t="s">
        <v>1409</v>
      </c>
      <c r="G2812" s="8" t="s">
        <v>15</v>
      </c>
    </row>
    <row r="2813" spans="1:7" hidden="1" x14ac:dyDescent="0.25">
      <c r="A2813" s="21">
        <v>2812</v>
      </c>
      <c r="B2813" s="7" t="s">
        <v>6380</v>
      </c>
      <c r="C2813" s="7" t="s">
        <v>6381</v>
      </c>
      <c r="G2813" s="8" t="s">
        <v>15</v>
      </c>
    </row>
    <row r="2814" spans="1:7" hidden="1" x14ac:dyDescent="0.25">
      <c r="A2814" s="21">
        <v>2813</v>
      </c>
      <c r="B2814" s="7" t="s">
        <v>6382</v>
      </c>
      <c r="C2814" s="7" t="s">
        <v>6383</v>
      </c>
      <c r="G2814" s="8" t="s">
        <v>15</v>
      </c>
    </row>
    <row r="2815" spans="1:7" hidden="1" x14ac:dyDescent="0.25">
      <c r="A2815" s="21">
        <v>2814</v>
      </c>
      <c r="B2815" s="7" t="s">
        <v>6384</v>
      </c>
      <c r="C2815" s="7" t="s">
        <v>6385</v>
      </c>
      <c r="G2815" s="8" t="s">
        <v>15</v>
      </c>
    </row>
    <row r="2816" spans="1:7" hidden="1" x14ac:dyDescent="0.25">
      <c r="A2816" s="21">
        <v>2815</v>
      </c>
      <c r="B2816" s="7" t="s">
        <v>6386</v>
      </c>
      <c r="C2816" s="7" t="s">
        <v>6387</v>
      </c>
      <c r="G2816" s="8" t="s">
        <v>15</v>
      </c>
    </row>
    <row r="2817" spans="1:7" hidden="1" x14ac:dyDescent="0.25">
      <c r="A2817" s="21">
        <v>2816</v>
      </c>
      <c r="B2817" s="7" t="s">
        <v>6388</v>
      </c>
      <c r="C2817" s="7" t="s">
        <v>6389</v>
      </c>
      <c r="G2817" s="8" t="s">
        <v>15</v>
      </c>
    </row>
    <row r="2818" spans="1:7" hidden="1" x14ac:dyDescent="0.25">
      <c r="A2818" s="21">
        <v>2817</v>
      </c>
      <c r="B2818" s="7" t="s">
        <v>6390</v>
      </c>
      <c r="C2818" s="7" t="s">
        <v>6391</v>
      </c>
      <c r="G2818" s="8" t="s">
        <v>15</v>
      </c>
    </row>
    <row r="2819" spans="1:7" hidden="1" x14ac:dyDescent="0.25">
      <c r="A2819" s="21">
        <v>2818</v>
      </c>
      <c r="B2819" s="7" t="s">
        <v>6392</v>
      </c>
      <c r="C2819" s="7" t="s">
        <v>6393</v>
      </c>
      <c r="G2819" s="8" t="s">
        <v>15</v>
      </c>
    </row>
    <row r="2820" spans="1:7" hidden="1" x14ac:dyDescent="0.25">
      <c r="A2820" s="21">
        <v>2819</v>
      </c>
      <c r="B2820" s="7" t="s">
        <v>6394</v>
      </c>
      <c r="C2820" s="7" t="s">
        <v>6395</v>
      </c>
      <c r="G2820" s="8" t="s">
        <v>15</v>
      </c>
    </row>
    <row r="2821" spans="1:7" hidden="1" x14ac:dyDescent="0.25">
      <c r="A2821" s="21">
        <v>2820</v>
      </c>
      <c r="B2821" s="7" t="s">
        <v>6396</v>
      </c>
      <c r="C2821" s="7" t="s">
        <v>6397</v>
      </c>
      <c r="G2821" s="8" t="s">
        <v>15</v>
      </c>
    </row>
    <row r="2822" spans="1:7" hidden="1" x14ac:dyDescent="0.25">
      <c r="A2822" s="21">
        <v>2821</v>
      </c>
      <c r="B2822" s="7" t="s">
        <v>6398</v>
      </c>
      <c r="C2822" s="7" t="s">
        <v>6399</v>
      </c>
      <c r="G2822" s="8" t="s">
        <v>15</v>
      </c>
    </row>
    <row r="2823" spans="1:7" hidden="1" x14ac:dyDescent="0.25">
      <c r="A2823" s="21">
        <v>2822</v>
      </c>
      <c r="B2823" s="7" t="s">
        <v>6400</v>
      </c>
      <c r="C2823" s="7" t="s">
        <v>6401</v>
      </c>
      <c r="G2823" s="8" t="s">
        <v>15</v>
      </c>
    </row>
    <row r="2824" spans="1:7" hidden="1" x14ac:dyDescent="0.25">
      <c r="A2824" s="21">
        <v>2823</v>
      </c>
      <c r="B2824" s="7" t="s">
        <v>6402</v>
      </c>
      <c r="C2824" s="7" t="s">
        <v>6403</v>
      </c>
      <c r="G2824" s="8" t="s">
        <v>15</v>
      </c>
    </row>
    <row r="2825" spans="1:7" hidden="1" x14ac:dyDescent="0.25">
      <c r="A2825" s="21">
        <v>2824</v>
      </c>
      <c r="B2825" s="7" t="s">
        <v>6404</v>
      </c>
      <c r="C2825" s="7" t="s">
        <v>6405</v>
      </c>
      <c r="G2825" s="8" t="s">
        <v>15</v>
      </c>
    </row>
    <row r="2826" spans="1:7" hidden="1" x14ac:dyDescent="0.25">
      <c r="A2826" s="21">
        <v>2825</v>
      </c>
      <c r="B2826" s="7" t="s">
        <v>6406</v>
      </c>
      <c r="C2826" s="7" t="s">
        <v>6407</v>
      </c>
      <c r="G2826" s="8" t="s">
        <v>15</v>
      </c>
    </row>
    <row r="2827" spans="1:7" hidden="1" x14ac:dyDescent="0.25">
      <c r="A2827" s="21">
        <v>2826</v>
      </c>
      <c r="B2827" s="7" t="s">
        <v>6408</v>
      </c>
      <c r="C2827" s="7" t="s">
        <v>6409</v>
      </c>
      <c r="G2827" s="8" t="s">
        <v>15</v>
      </c>
    </row>
    <row r="2828" spans="1:7" hidden="1" x14ac:dyDescent="0.25">
      <c r="A2828" s="21">
        <v>2827</v>
      </c>
      <c r="B2828" s="7" t="s">
        <v>6410</v>
      </c>
      <c r="C2828" s="7" t="s">
        <v>6411</v>
      </c>
      <c r="G2828" s="8" t="s">
        <v>15</v>
      </c>
    </row>
    <row r="2829" spans="1:7" hidden="1" x14ac:dyDescent="0.25">
      <c r="A2829" s="21">
        <v>2828</v>
      </c>
      <c r="B2829" s="7" t="s">
        <v>6412</v>
      </c>
      <c r="C2829" s="7" t="s">
        <v>6413</v>
      </c>
      <c r="G2829" s="8" t="s">
        <v>15</v>
      </c>
    </row>
    <row r="2830" spans="1:7" hidden="1" x14ac:dyDescent="0.25">
      <c r="A2830" s="21">
        <v>2829</v>
      </c>
      <c r="B2830" s="7" t="s">
        <v>6414</v>
      </c>
      <c r="C2830" s="7" t="s">
        <v>6415</v>
      </c>
      <c r="G2830" s="8" t="s">
        <v>15</v>
      </c>
    </row>
    <row r="2831" spans="1:7" hidden="1" x14ac:dyDescent="0.25">
      <c r="A2831" s="21">
        <v>2830</v>
      </c>
      <c r="B2831" s="7" t="s">
        <v>6416</v>
      </c>
      <c r="C2831" s="7" t="s">
        <v>6417</v>
      </c>
      <c r="G2831" s="8" t="s">
        <v>15</v>
      </c>
    </row>
    <row r="2832" spans="1:7" hidden="1" x14ac:dyDescent="0.25">
      <c r="A2832" s="21">
        <v>2831</v>
      </c>
      <c r="B2832" s="7" t="s">
        <v>6418</v>
      </c>
      <c r="C2832" s="7" t="s">
        <v>6419</v>
      </c>
      <c r="G2832" s="8" t="s">
        <v>15</v>
      </c>
    </row>
    <row r="2833" spans="1:7" hidden="1" x14ac:dyDescent="0.25">
      <c r="A2833" s="21">
        <v>2832</v>
      </c>
      <c r="B2833" s="7" t="s">
        <v>6420</v>
      </c>
      <c r="C2833" s="7" t="s">
        <v>6421</v>
      </c>
      <c r="G2833" s="8" t="s">
        <v>15</v>
      </c>
    </row>
    <row r="2834" spans="1:7" hidden="1" x14ac:dyDescent="0.25">
      <c r="A2834" s="21">
        <v>2833</v>
      </c>
      <c r="B2834" s="7" t="s">
        <v>6422</v>
      </c>
      <c r="C2834" s="7" t="s">
        <v>6423</v>
      </c>
      <c r="G2834" s="8" t="s">
        <v>15</v>
      </c>
    </row>
    <row r="2835" spans="1:7" hidden="1" x14ac:dyDescent="0.25">
      <c r="A2835" s="21">
        <v>2834</v>
      </c>
      <c r="B2835" s="7" t="s">
        <v>6424</v>
      </c>
      <c r="C2835" s="7" t="s">
        <v>6425</v>
      </c>
      <c r="G2835" s="8" t="s">
        <v>15</v>
      </c>
    </row>
    <row r="2836" spans="1:7" hidden="1" x14ac:dyDescent="0.25">
      <c r="A2836" s="21">
        <v>2835</v>
      </c>
      <c r="B2836" s="7" t="s">
        <v>6426</v>
      </c>
      <c r="C2836" s="7" t="s">
        <v>6427</v>
      </c>
      <c r="G2836" s="8" t="s">
        <v>15</v>
      </c>
    </row>
    <row r="2837" spans="1:7" hidden="1" x14ac:dyDescent="0.25">
      <c r="A2837" s="21">
        <v>2836</v>
      </c>
      <c r="B2837" s="7" t="s">
        <v>6428</v>
      </c>
      <c r="C2837" s="7" t="s">
        <v>6429</v>
      </c>
      <c r="G2837" s="8" t="s">
        <v>15</v>
      </c>
    </row>
    <row r="2838" spans="1:7" hidden="1" x14ac:dyDescent="0.25">
      <c r="A2838" s="21">
        <v>2837</v>
      </c>
      <c r="B2838" s="7" t="s">
        <v>6430</v>
      </c>
      <c r="C2838" s="7" t="s">
        <v>6431</v>
      </c>
      <c r="G2838" s="8" t="s">
        <v>15</v>
      </c>
    </row>
    <row r="2839" spans="1:7" hidden="1" x14ac:dyDescent="0.25">
      <c r="A2839" s="21">
        <v>2838</v>
      </c>
      <c r="B2839" s="7" t="s">
        <v>6432</v>
      </c>
      <c r="C2839" s="7" t="s">
        <v>6433</v>
      </c>
      <c r="G2839" s="8" t="s">
        <v>15</v>
      </c>
    </row>
    <row r="2840" spans="1:7" hidden="1" x14ac:dyDescent="0.25">
      <c r="A2840" s="21">
        <v>2839</v>
      </c>
      <c r="B2840" s="7" t="s">
        <v>6434</v>
      </c>
      <c r="C2840" s="7" t="s">
        <v>6435</v>
      </c>
      <c r="G2840" s="8" t="s">
        <v>15</v>
      </c>
    </row>
    <row r="2841" spans="1:7" hidden="1" x14ac:dyDescent="0.25">
      <c r="A2841" s="21">
        <v>2840</v>
      </c>
      <c r="B2841" s="7" t="s">
        <v>6436</v>
      </c>
      <c r="C2841" s="7" t="s">
        <v>6437</v>
      </c>
      <c r="G2841" s="8" t="s">
        <v>15</v>
      </c>
    </row>
    <row r="2842" spans="1:7" hidden="1" x14ac:dyDescent="0.25">
      <c r="A2842" s="21">
        <v>2841</v>
      </c>
      <c r="B2842" s="7" t="s">
        <v>6438</v>
      </c>
      <c r="C2842" s="7" t="s">
        <v>6439</v>
      </c>
      <c r="G2842" s="8" t="s">
        <v>15</v>
      </c>
    </row>
    <row r="2843" spans="1:7" hidden="1" x14ac:dyDescent="0.25">
      <c r="A2843" s="21">
        <v>2842</v>
      </c>
      <c r="B2843" s="7" t="s">
        <v>6440</v>
      </c>
      <c r="C2843" s="7" t="s">
        <v>6441</v>
      </c>
      <c r="G2843" s="8" t="s">
        <v>15</v>
      </c>
    </row>
    <row r="2844" spans="1:7" hidden="1" x14ac:dyDescent="0.25">
      <c r="A2844" s="21">
        <v>2843</v>
      </c>
      <c r="B2844" s="7" t="s">
        <v>6442</v>
      </c>
      <c r="C2844" s="7" t="s">
        <v>6443</v>
      </c>
      <c r="G2844" s="8" t="s">
        <v>15</v>
      </c>
    </row>
    <row r="2845" spans="1:7" hidden="1" x14ac:dyDescent="0.25">
      <c r="A2845" s="21">
        <v>2844</v>
      </c>
      <c r="B2845" s="7" t="s">
        <v>6444</v>
      </c>
      <c r="C2845" s="7" t="s">
        <v>6445</v>
      </c>
      <c r="G2845" s="8" t="s">
        <v>15</v>
      </c>
    </row>
    <row r="2846" spans="1:7" hidden="1" x14ac:dyDescent="0.25">
      <c r="A2846" s="21">
        <v>2845</v>
      </c>
      <c r="B2846" s="7" t="s">
        <v>6446</v>
      </c>
      <c r="C2846" s="7" t="s">
        <v>6447</v>
      </c>
      <c r="G2846" s="8" t="s">
        <v>15</v>
      </c>
    </row>
    <row r="2847" spans="1:7" hidden="1" x14ac:dyDescent="0.25">
      <c r="A2847" s="21">
        <v>2846</v>
      </c>
      <c r="B2847" s="7" t="s">
        <v>6448</v>
      </c>
      <c r="C2847" s="7" t="s">
        <v>6449</v>
      </c>
      <c r="G2847" s="8" t="s">
        <v>15</v>
      </c>
    </row>
    <row r="2848" spans="1:7" hidden="1" x14ac:dyDescent="0.25">
      <c r="A2848" s="21">
        <v>2847</v>
      </c>
      <c r="B2848" s="7" t="s">
        <v>6450</v>
      </c>
      <c r="C2848" s="7" t="s">
        <v>6451</v>
      </c>
      <c r="G2848" s="8" t="s">
        <v>15</v>
      </c>
    </row>
    <row r="2849" spans="1:7" hidden="1" x14ac:dyDescent="0.25">
      <c r="A2849" s="21">
        <v>2848</v>
      </c>
      <c r="B2849" s="7" t="s">
        <v>6452</v>
      </c>
      <c r="C2849" s="7" t="s">
        <v>6453</v>
      </c>
      <c r="G2849" s="8" t="s">
        <v>15</v>
      </c>
    </row>
    <row r="2850" spans="1:7" hidden="1" x14ac:dyDescent="0.25">
      <c r="A2850" s="21">
        <v>2849</v>
      </c>
      <c r="B2850" s="7" t="s">
        <v>6454</v>
      </c>
      <c r="C2850" s="7" t="s">
        <v>6455</v>
      </c>
      <c r="G2850" s="8" t="s">
        <v>15</v>
      </c>
    </row>
    <row r="2851" spans="1:7" hidden="1" x14ac:dyDescent="0.25">
      <c r="A2851" s="21">
        <v>2850</v>
      </c>
      <c r="B2851" s="7" t="s">
        <v>6456</v>
      </c>
      <c r="C2851" s="7" t="s">
        <v>6457</v>
      </c>
      <c r="G2851" s="8" t="s">
        <v>15</v>
      </c>
    </row>
    <row r="2852" spans="1:7" hidden="1" x14ac:dyDescent="0.25">
      <c r="A2852" s="21">
        <v>2851</v>
      </c>
      <c r="B2852" s="7" t="s">
        <v>6458</v>
      </c>
      <c r="C2852" s="7" t="s">
        <v>6459</v>
      </c>
      <c r="G2852" s="8" t="s">
        <v>15</v>
      </c>
    </row>
    <row r="2853" spans="1:7" hidden="1" x14ac:dyDescent="0.25">
      <c r="A2853" s="21">
        <v>2852</v>
      </c>
      <c r="B2853" s="7" t="s">
        <v>6460</v>
      </c>
      <c r="C2853" s="7" t="s">
        <v>6461</v>
      </c>
      <c r="G2853" s="8" t="s">
        <v>15</v>
      </c>
    </row>
    <row r="2854" spans="1:7" hidden="1" x14ac:dyDescent="0.25">
      <c r="A2854" s="21">
        <v>2853</v>
      </c>
      <c r="B2854" s="7" t="s">
        <v>6462</v>
      </c>
      <c r="C2854" s="7" t="s">
        <v>6463</v>
      </c>
      <c r="G2854" s="8" t="s">
        <v>15</v>
      </c>
    </row>
    <row r="2855" spans="1:7" hidden="1" x14ac:dyDescent="0.25">
      <c r="A2855" s="21">
        <v>2854</v>
      </c>
      <c r="B2855" s="7" t="s">
        <v>6464</v>
      </c>
      <c r="C2855" s="7" t="s">
        <v>6465</v>
      </c>
      <c r="G2855" s="8" t="s">
        <v>15</v>
      </c>
    </row>
    <row r="2856" spans="1:7" hidden="1" x14ac:dyDescent="0.25">
      <c r="A2856" s="21">
        <v>2855</v>
      </c>
      <c r="B2856" s="7" t="s">
        <v>6466</v>
      </c>
      <c r="C2856" s="7" t="s">
        <v>6467</v>
      </c>
      <c r="G2856" s="8" t="s">
        <v>15</v>
      </c>
    </row>
    <row r="2857" spans="1:7" hidden="1" x14ac:dyDescent="0.25">
      <c r="A2857" s="21">
        <v>2856</v>
      </c>
      <c r="B2857" s="7" t="s">
        <v>6468</v>
      </c>
      <c r="C2857" s="7" t="s">
        <v>6469</v>
      </c>
      <c r="G2857" s="8" t="s">
        <v>15</v>
      </c>
    </row>
    <row r="2858" spans="1:7" hidden="1" x14ac:dyDescent="0.25">
      <c r="A2858" s="21">
        <v>2857</v>
      </c>
      <c r="B2858" s="7" t="s">
        <v>6470</v>
      </c>
      <c r="C2858" s="7" t="s">
        <v>6471</v>
      </c>
      <c r="G2858" s="8" t="s">
        <v>15</v>
      </c>
    </row>
    <row r="2859" spans="1:7" hidden="1" x14ac:dyDescent="0.25">
      <c r="A2859" s="21">
        <v>2858</v>
      </c>
      <c r="B2859" s="7" t="s">
        <v>6472</v>
      </c>
      <c r="C2859" s="7" t="s">
        <v>6473</v>
      </c>
      <c r="G2859" s="8" t="s">
        <v>15</v>
      </c>
    </row>
    <row r="2860" spans="1:7" hidden="1" x14ac:dyDescent="0.25">
      <c r="A2860" s="21">
        <v>2859</v>
      </c>
      <c r="B2860" s="7" t="s">
        <v>6474</v>
      </c>
      <c r="C2860" s="7" t="s">
        <v>6475</v>
      </c>
      <c r="G2860" s="8" t="s">
        <v>15</v>
      </c>
    </row>
    <row r="2861" spans="1:7" hidden="1" x14ac:dyDescent="0.25">
      <c r="A2861" s="21">
        <v>2860</v>
      </c>
      <c r="B2861" s="7" t="s">
        <v>6476</v>
      </c>
      <c r="C2861" s="7" t="s">
        <v>6477</v>
      </c>
      <c r="G2861" s="8" t="s">
        <v>15</v>
      </c>
    </row>
    <row r="2862" spans="1:7" hidden="1" x14ac:dyDescent="0.25">
      <c r="A2862" s="21">
        <v>2861</v>
      </c>
      <c r="B2862" s="7" t="s">
        <v>6478</v>
      </c>
      <c r="C2862" s="7" t="s">
        <v>6479</v>
      </c>
      <c r="G2862" s="8" t="s">
        <v>15</v>
      </c>
    </row>
    <row r="2863" spans="1:7" hidden="1" x14ac:dyDescent="0.25">
      <c r="A2863" s="21">
        <v>2862</v>
      </c>
      <c r="B2863" s="7" t="s">
        <v>6480</v>
      </c>
      <c r="C2863" s="7" t="s">
        <v>6481</v>
      </c>
      <c r="G2863" s="8" t="s">
        <v>15</v>
      </c>
    </row>
    <row r="2864" spans="1:7" hidden="1" x14ac:dyDescent="0.25">
      <c r="A2864" s="21">
        <v>2863</v>
      </c>
      <c r="B2864" s="7" t="s">
        <v>6482</v>
      </c>
      <c r="C2864" s="7" t="s">
        <v>6483</v>
      </c>
      <c r="G2864" s="8" t="s">
        <v>15</v>
      </c>
    </row>
    <row r="2865" spans="1:7" hidden="1" x14ac:dyDescent="0.25">
      <c r="A2865" s="21">
        <v>2864</v>
      </c>
      <c r="B2865" s="7" t="s">
        <v>6484</v>
      </c>
      <c r="C2865" s="7" t="s">
        <v>6485</v>
      </c>
      <c r="G2865" s="8" t="s">
        <v>15</v>
      </c>
    </row>
    <row r="2866" spans="1:7" hidden="1" x14ac:dyDescent="0.25">
      <c r="A2866" s="21">
        <v>2865</v>
      </c>
      <c r="B2866" s="7" t="s">
        <v>6486</v>
      </c>
      <c r="C2866" s="7" t="s">
        <v>6487</v>
      </c>
      <c r="G2866" s="8" t="s">
        <v>15</v>
      </c>
    </row>
    <row r="2867" spans="1:7" hidden="1" x14ac:dyDescent="0.25">
      <c r="A2867" s="21">
        <v>2866</v>
      </c>
      <c r="B2867" s="7" t="s">
        <v>6488</v>
      </c>
      <c r="C2867" s="7" t="s">
        <v>6489</v>
      </c>
      <c r="G2867" s="8" t="s">
        <v>15</v>
      </c>
    </row>
    <row r="2868" spans="1:7" hidden="1" x14ac:dyDescent="0.25">
      <c r="A2868" s="21">
        <v>2867</v>
      </c>
      <c r="B2868" s="7" t="s">
        <v>6490</v>
      </c>
      <c r="C2868" s="7" t="s">
        <v>6491</v>
      </c>
      <c r="G2868" s="8" t="s">
        <v>15</v>
      </c>
    </row>
    <row r="2869" spans="1:7" hidden="1" x14ac:dyDescent="0.25">
      <c r="A2869" s="21">
        <v>2868</v>
      </c>
      <c r="B2869" s="7" t="s">
        <v>6492</v>
      </c>
      <c r="C2869" s="7" t="s">
        <v>6493</v>
      </c>
      <c r="G2869" s="8" t="s">
        <v>15</v>
      </c>
    </row>
    <row r="2870" spans="1:7" hidden="1" x14ac:dyDescent="0.25">
      <c r="A2870" s="21">
        <v>2869</v>
      </c>
      <c r="B2870" s="7" t="s">
        <v>6494</v>
      </c>
      <c r="C2870" s="7" t="s">
        <v>6495</v>
      </c>
      <c r="G2870" s="8" t="s">
        <v>15</v>
      </c>
    </row>
    <row r="2871" spans="1:7" hidden="1" x14ac:dyDescent="0.25">
      <c r="A2871" s="21">
        <v>2870</v>
      </c>
      <c r="B2871" s="7" t="s">
        <v>6496</v>
      </c>
      <c r="C2871" s="7" t="s">
        <v>6497</v>
      </c>
      <c r="G2871" s="8" t="s">
        <v>15</v>
      </c>
    </row>
    <row r="2872" spans="1:7" hidden="1" x14ac:dyDescent="0.25">
      <c r="A2872" s="21">
        <v>2871</v>
      </c>
      <c r="B2872" s="7" t="s">
        <v>6498</v>
      </c>
      <c r="C2872" s="7" t="s">
        <v>6499</v>
      </c>
      <c r="G2872" s="8" t="s">
        <v>15</v>
      </c>
    </row>
    <row r="2873" spans="1:7" hidden="1" x14ac:dyDescent="0.25">
      <c r="A2873" s="21">
        <v>2872</v>
      </c>
      <c r="B2873" s="7" t="s">
        <v>6500</v>
      </c>
      <c r="C2873" s="7" t="s">
        <v>6501</v>
      </c>
      <c r="G2873" s="8" t="s">
        <v>15</v>
      </c>
    </row>
    <row r="2874" spans="1:7" hidden="1" x14ac:dyDescent="0.25">
      <c r="A2874" s="21">
        <v>2873</v>
      </c>
      <c r="B2874" s="7" t="s">
        <v>6502</v>
      </c>
      <c r="C2874" s="7" t="s">
        <v>6503</v>
      </c>
      <c r="G2874" s="8" t="s">
        <v>15</v>
      </c>
    </row>
    <row r="2875" spans="1:7" hidden="1" x14ac:dyDescent="0.25">
      <c r="A2875" s="21">
        <v>2874</v>
      </c>
      <c r="B2875" s="7" t="s">
        <v>6504</v>
      </c>
      <c r="C2875" s="7" t="s">
        <v>6505</v>
      </c>
      <c r="G2875" s="8" t="s">
        <v>15</v>
      </c>
    </row>
    <row r="2876" spans="1:7" hidden="1" x14ac:dyDescent="0.25">
      <c r="A2876" s="21">
        <v>2875</v>
      </c>
      <c r="B2876" s="7" t="s">
        <v>6506</v>
      </c>
      <c r="C2876" s="7" t="s">
        <v>6507</v>
      </c>
      <c r="G2876" s="8" t="s">
        <v>15</v>
      </c>
    </row>
    <row r="2877" spans="1:7" hidden="1" x14ac:dyDescent="0.25">
      <c r="A2877" s="21">
        <v>2876</v>
      </c>
      <c r="B2877" s="7" t="s">
        <v>6508</v>
      </c>
      <c r="C2877" s="7" t="s">
        <v>6509</v>
      </c>
      <c r="G2877" s="8" t="s">
        <v>15</v>
      </c>
    </row>
    <row r="2878" spans="1:7" hidden="1" x14ac:dyDescent="0.25">
      <c r="A2878" s="21">
        <v>2877</v>
      </c>
      <c r="B2878" s="7" t="s">
        <v>6510</v>
      </c>
      <c r="C2878" s="7" t="s">
        <v>6511</v>
      </c>
      <c r="G2878" s="8" t="s">
        <v>15</v>
      </c>
    </row>
    <row r="2879" spans="1:7" hidden="1" x14ac:dyDescent="0.25">
      <c r="A2879" s="21">
        <v>2878</v>
      </c>
      <c r="B2879" s="7" t="s">
        <v>6512</v>
      </c>
      <c r="C2879" s="7" t="s">
        <v>6513</v>
      </c>
      <c r="G2879" s="8" t="s">
        <v>15</v>
      </c>
    </row>
    <row r="2880" spans="1:7" hidden="1" x14ac:dyDescent="0.25">
      <c r="A2880" s="21">
        <v>2879</v>
      </c>
      <c r="B2880" s="7" t="s">
        <v>6514</v>
      </c>
      <c r="C2880" s="7" t="s">
        <v>6515</v>
      </c>
      <c r="G2880" s="8" t="s">
        <v>15</v>
      </c>
    </row>
    <row r="2881" spans="1:7" hidden="1" x14ac:dyDescent="0.25">
      <c r="A2881" s="21">
        <v>2880</v>
      </c>
      <c r="B2881" s="7" t="s">
        <v>6516</v>
      </c>
      <c r="C2881" s="7" t="s">
        <v>6517</v>
      </c>
      <c r="G2881" s="8" t="s">
        <v>15</v>
      </c>
    </row>
    <row r="2882" spans="1:7" hidden="1" x14ac:dyDescent="0.25">
      <c r="A2882" s="21">
        <v>2881</v>
      </c>
      <c r="B2882" s="7" t="s">
        <v>6518</v>
      </c>
      <c r="C2882" s="7" t="s">
        <v>6519</v>
      </c>
      <c r="G2882" s="8" t="s">
        <v>15</v>
      </c>
    </row>
    <row r="2883" spans="1:7" hidden="1" x14ac:dyDescent="0.25">
      <c r="A2883" s="21">
        <v>2882</v>
      </c>
      <c r="B2883" s="7" t="s">
        <v>6520</v>
      </c>
      <c r="C2883" s="7" t="s">
        <v>6521</v>
      </c>
      <c r="G2883" s="8" t="s">
        <v>15</v>
      </c>
    </row>
    <row r="2884" spans="1:7" hidden="1" x14ac:dyDescent="0.25">
      <c r="A2884" s="21">
        <v>2883</v>
      </c>
      <c r="B2884" s="7" t="s">
        <v>6522</v>
      </c>
      <c r="C2884" s="7" t="s">
        <v>6523</v>
      </c>
      <c r="G2884" s="8" t="s">
        <v>15</v>
      </c>
    </row>
    <row r="2885" spans="1:7" hidden="1" x14ac:dyDescent="0.25">
      <c r="A2885" s="21">
        <v>2884</v>
      </c>
      <c r="B2885" s="7" t="s">
        <v>6524</v>
      </c>
      <c r="C2885" s="7" t="s">
        <v>6525</v>
      </c>
      <c r="G2885" s="8" t="s">
        <v>15</v>
      </c>
    </row>
    <row r="2886" spans="1:7" hidden="1" x14ac:dyDescent="0.25">
      <c r="A2886" s="21">
        <v>2885</v>
      </c>
      <c r="B2886" s="7" t="s">
        <v>6526</v>
      </c>
      <c r="C2886" s="7" t="s">
        <v>6527</v>
      </c>
      <c r="G2886" s="8" t="s">
        <v>15</v>
      </c>
    </row>
    <row r="2887" spans="1:7" hidden="1" x14ac:dyDescent="0.25">
      <c r="A2887" s="21">
        <v>2886</v>
      </c>
      <c r="B2887" s="7" t="s">
        <v>6528</v>
      </c>
      <c r="C2887" s="7" t="s">
        <v>6529</v>
      </c>
      <c r="G2887" s="8" t="s">
        <v>15</v>
      </c>
    </row>
    <row r="2888" spans="1:7" hidden="1" x14ac:dyDescent="0.25">
      <c r="A2888" s="21">
        <v>2887</v>
      </c>
      <c r="B2888" s="7" t="s">
        <v>6530</v>
      </c>
      <c r="C2888" s="7" t="s">
        <v>6531</v>
      </c>
      <c r="G2888" s="8" t="s">
        <v>15</v>
      </c>
    </row>
    <row r="2889" spans="1:7" hidden="1" x14ac:dyDescent="0.25">
      <c r="A2889" s="21">
        <v>2888</v>
      </c>
      <c r="B2889" s="7" t="s">
        <v>6532</v>
      </c>
      <c r="C2889" s="7" t="s">
        <v>6533</v>
      </c>
      <c r="G2889" s="8" t="s">
        <v>15</v>
      </c>
    </row>
    <row r="2890" spans="1:7" hidden="1" x14ac:dyDescent="0.25">
      <c r="A2890" s="21">
        <v>2889</v>
      </c>
      <c r="B2890" s="7" t="s">
        <v>6534</v>
      </c>
      <c r="C2890" s="7" t="s">
        <v>6535</v>
      </c>
      <c r="G2890" s="8" t="s">
        <v>15</v>
      </c>
    </row>
    <row r="2891" spans="1:7" hidden="1" x14ac:dyDescent="0.25">
      <c r="A2891" s="21">
        <v>2890</v>
      </c>
      <c r="B2891" s="7" t="s">
        <v>6536</v>
      </c>
      <c r="C2891" s="7" t="s">
        <v>6537</v>
      </c>
      <c r="G2891" s="8" t="s">
        <v>15</v>
      </c>
    </row>
    <row r="2892" spans="1:7" hidden="1" x14ac:dyDescent="0.25">
      <c r="A2892" s="21">
        <v>2891</v>
      </c>
      <c r="B2892" s="7" t="s">
        <v>6538</v>
      </c>
      <c r="C2892" s="7" t="s">
        <v>6539</v>
      </c>
      <c r="G2892" s="8" t="s">
        <v>15</v>
      </c>
    </row>
    <row r="2893" spans="1:7" hidden="1" x14ac:dyDescent="0.25">
      <c r="A2893" s="21">
        <v>2892</v>
      </c>
      <c r="B2893" s="7" t="s">
        <v>6540</v>
      </c>
      <c r="C2893" s="7" t="s">
        <v>6541</v>
      </c>
      <c r="G2893" s="8" t="s">
        <v>15</v>
      </c>
    </row>
    <row r="2894" spans="1:7" hidden="1" x14ac:dyDescent="0.25">
      <c r="A2894" s="21">
        <v>2893</v>
      </c>
      <c r="B2894" s="7" t="s">
        <v>6542</v>
      </c>
      <c r="C2894" s="7" t="s">
        <v>6543</v>
      </c>
      <c r="G2894" s="8" t="s">
        <v>15</v>
      </c>
    </row>
    <row r="2895" spans="1:7" hidden="1" x14ac:dyDescent="0.25">
      <c r="A2895" s="21">
        <v>2894</v>
      </c>
      <c r="B2895" s="7" t="s">
        <v>6544</v>
      </c>
      <c r="C2895" s="7" t="s">
        <v>6545</v>
      </c>
      <c r="G2895" s="8" t="s">
        <v>15</v>
      </c>
    </row>
    <row r="2896" spans="1:7" hidden="1" x14ac:dyDescent="0.25">
      <c r="A2896" s="21">
        <v>2895</v>
      </c>
      <c r="B2896" s="7" t="s">
        <v>6546</v>
      </c>
      <c r="C2896" s="7" t="s">
        <v>6547</v>
      </c>
      <c r="G2896" s="8" t="s">
        <v>15</v>
      </c>
    </row>
    <row r="2897" spans="1:7" hidden="1" x14ac:dyDescent="0.25">
      <c r="A2897" s="21">
        <v>2896</v>
      </c>
      <c r="B2897" s="7" t="s">
        <v>6548</v>
      </c>
      <c r="C2897" s="7" t="s">
        <v>6549</v>
      </c>
      <c r="G2897" s="8" t="s">
        <v>15</v>
      </c>
    </row>
    <row r="2898" spans="1:7" hidden="1" x14ac:dyDescent="0.25">
      <c r="A2898" s="21">
        <v>2897</v>
      </c>
      <c r="B2898" s="7" t="s">
        <v>6550</v>
      </c>
      <c r="C2898" s="7" t="s">
        <v>6551</v>
      </c>
      <c r="G2898" s="8" t="s">
        <v>15</v>
      </c>
    </row>
    <row r="2899" spans="1:7" hidden="1" x14ac:dyDescent="0.25">
      <c r="A2899" s="21">
        <v>2898</v>
      </c>
      <c r="B2899" s="7" t="s">
        <v>6552</v>
      </c>
      <c r="C2899" s="7" t="s">
        <v>6553</v>
      </c>
      <c r="G2899" s="8" t="s">
        <v>15</v>
      </c>
    </row>
    <row r="2900" spans="1:7" hidden="1" x14ac:dyDescent="0.25">
      <c r="A2900" s="21">
        <v>2899</v>
      </c>
      <c r="B2900" s="7" t="s">
        <v>6554</v>
      </c>
      <c r="C2900" s="7" t="s">
        <v>6555</v>
      </c>
      <c r="G2900" s="8" t="s">
        <v>15</v>
      </c>
    </row>
    <row r="2901" spans="1:7" hidden="1" x14ac:dyDescent="0.25">
      <c r="A2901" s="21">
        <v>2900</v>
      </c>
      <c r="B2901" s="7" t="s">
        <v>6556</v>
      </c>
      <c r="C2901" s="7" t="s">
        <v>6557</v>
      </c>
      <c r="G2901" s="8" t="s">
        <v>15</v>
      </c>
    </row>
    <row r="2902" spans="1:7" hidden="1" x14ac:dyDescent="0.25">
      <c r="A2902" s="21">
        <v>2901</v>
      </c>
      <c r="B2902" s="7" t="s">
        <v>6558</v>
      </c>
      <c r="C2902" s="7" t="s">
        <v>6559</v>
      </c>
      <c r="G2902" s="8" t="s">
        <v>15</v>
      </c>
    </row>
    <row r="2903" spans="1:7" hidden="1" x14ac:dyDescent="0.25">
      <c r="A2903" s="21">
        <v>2902</v>
      </c>
      <c r="B2903" s="7" t="s">
        <v>6560</v>
      </c>
      <c r="C2903" s="7" t="s">
        <v>6561</v>
      </c>
      <c r="G2903" s="8" t="s">
        <v>15</v>
      </c>
    </row>
    <row r="2904" spans="1:7" hidden="1" x14ac:dyDescent="0.25">
      <c r="A2904" s="21">
        <v>2903</v>
      </c>
      <c r="B2904" s="7" t="s">
        <v>6562</v>
      </c>
      <c r="C2904" s="7" t="s">
        <v>6563</v>
      </c>
      <c r="G2904" s="8" t="s">
        <v>15</v>
      </c>
    </row>
    <row r="2905" spans="1:7" hidden="1" x14ac:dyDescent="0.25">
      <c r="A2905" s="21">
        <v>2904</v>
      </c>
      <c r="B2905" s="7" t="s">
        <v>6564</v>
      </c>
      <c r="C2905" s="7" t="s">
        <v>6565</v>
      </c>
      <c r="G2905" s="8" t="s">
        <v>15</v>
      </c>
    </row>
    <row r="2906" spans="1:7" hidden="1" x14ac:dyDescent="0.25">
      <c r="A2906" s="21">
        <v>2905</v>
      </c>
      <c r="B2906" s="7" t="s">
        <v>6566</v>
      </c>
      <c r="C2906" s="7" t="s">
        <v>6567</v>
      </c>
      <c r="G2906" s="8" t="s">
        <v>15</v>
      </c>
    </row>
    <row r="2907" spans="1:7" hidden="1" x14ac:dyDescent="0.25">
      <c r="A2907" s="21">
        <v>2906</v>
      </c>
      <c r="B2907" s="7" t="s">
        <v>6568</v>
      </c>
      <c r="C2907" s="7" t="s">
        <v>6569</v>
      </c>
      <c r="G2907" s="8" t="s">
        <v>15</v>
      </c>
    </row>
    <row r="2908" spans="1:7" hidden="1" x14ac:dyDescent="0.25">
      <c r="A2908" s="21">
        <v>2907</v>
      </c>
      <c r="B2908" s="7" t="s">
        <v>6570</v>
      </c>
      <c r="C2908" s="7" t="s">
        <v>6571</v>
      </c>
      <c r="G2908" s="8" t="s">
        <v>15</v>
      </c>
    </row>
    <row r="2909" spans="1:7" hidden="1" x14ac:dyDescent="0.25">
      <c r="A2909" s="21">
        <v>2908</v>
      </c>
      <c r="B2909" s="7" t="s">
        <v>6572</v>
      </c>
      <c r="C2909" s="7" t="s">
        <v>6573</v>
      </c>
      <c r="G2909" s="8" t="s">
        <v>15</v>
      </c>
    </row>
    <row r="2910" spans="1:7" hidden="1" x14ac:dyDescent="0.25">
      <c r="A2910" s="21">
        <v>2909</v>
      </c>
      <c r="B2910" s="7" t="s">
        <v>6574</v>
      </c>
      <c r="C2910" s="7" t="s">
        <v>6575</v>
      </c>
      <c r="G2910" s="8" t="s">
        <v>15</v>
      </c>
    </row>
    <row r="2911" spans="1:7" hidden="1" x14ac:dyDescent="0.25">
      <c r="A2911" s="21">
        <v>2910</v>
      </c>
      <c r="B2911" s="7" t="s">
        <v>6576</v>
      </c>
      <c r="C2911" s="7" t="s">
        <v>6577</v>
      </c>
      <c r="G2911" s="8" t="s">
        <v>15</v>
      </c>
    </row>
    <row r="2912" spans="1:7" hidden="1" x14ac:dyDescent="0.25">
      <c r="A2912" s="21">
        <v>2911</v>
      </c>
      <c r="B2912" s="7" t="s">
        <v>6578</v>
      </c>
      <c r="C2912" s="7" t="s">
        <v>6579</v>
      </c>
      <c r="G2912" s="8" t="s">
        <v>15</v>
      </c>
    </row>
    <row r="2913" spans="1:7" hidden="1" x14ac:dyDescent="0.25">
      <c r="A2913" s="21">
        <v>2912</v>
      </c>
      <c r="B2913" s="7" t="s">
        <v>6580</v>
      </c>
      <c r="C2913" s="7" t="s">
        <v>6581</v>
      </c>
      <c r="G2913" s="8" t="s">
        <v>15</v>
      </c>
    </row>
    <row r="2914" spans="1:7" hidden="1" x14ac:dyDescent="0.25">
      <c r="A2914" s="21">
        <v>2913</v>
      </c>
      <c r="B2914" s="7" t="s">
        <v>6582</v>
      </c>
      <c r="C2914" s="7" t="s">
        <v>6583</v>
      </c>
      <c r="G2914" s="8" t="s">
        <v>15</v>
      </c>
    </row>
    <row r="2915" spans="1:7" hidden="1" x14ac:dyDescent="0.25">
      <c r="A2915" s="21">
        <v>2914</v>
      </c>
      <c r="B2915" s="7" t="s">
        <v>6584</v>
      </c>
      <c r="C2915" s="7" t="s">
        <v>6585</v>
      </c>
      <c r="G2915" s="8" t="s">
        <v>15</v>
      </c>
    </row>
    <row r="2916" spans="1:7" hidden="1" x14ac:dyDescent="0.25">
      <c r="A2916" s="21">
        <v>2915</v>
      </c>
      <c r="B2916" s="7" t="s">
        <v>6586</v>
      </c>
      <c r="C2916" s="7" t="s">
        <v>6587</v>
      </c>
      <c r="G2916" s="8" t="s">
        <v>15</v>
      </c>
    </row>
    <row r="2917" spans="1:7" hidden="1" x14ac:dyDescent="0.25">
      <c r="A2917" s="21">
        <v>2916</v>
      </c>
      <c r="B2917" s="7" t="s">
        <v>6588</v>
      </c>
      <c r="C2917" s="7" t="s">
        <v>6589</v>
      </c>
      <c r="G2917" s="8" t="s">
        <v>15</v>
      </c>
    </row>
    <row r="2918" spans="1:7" hidden="1" x14ac:dyDescent="0.25">
      <c r="A2918" s="21">
        <v>2917</v>
      </c>
      <c r="B2918" s="7" t="s">
        <v>6590</v>
      </c>
      <c r="C2918" s="7" t="s">
        <v>6591</v>
      </c>
      <c r="G2918" s="8" t="s">
        <v>15</v>
      </c>
    </row>
    <row r="2919" spans="1:7" hidden="1" x14ac:dyDescent="0.25">
      <c r="A2919" s="21">
        <v>2918</v>
      </c>
      <c r="B2919" s="7" t="s">
        <v>6592</v>
      </c>
      <c r="C2919" s="7" t="s">
        <v>6593</v>
      </c>
      <c r="G2919" s="8" t="s">
        <v>15</v>
      </c>
    </row>
    <row r="2920" spans="1:7" hidden="1" x14ac:dyDescent="0.25">
      <c r="A2920" s="21">
        <v>2919</v>
      </c>
      <c r="B2920" s="7" t="s">
        <v>6594</v>
      </c>
      <c r="C2920" s="7" t="s">
        <v>6595</v>
      </c>
      <c r="G2920" s="8" t="s">
        <v>15</v>
      </c>
    </row>
    <row r="2921" spans="1:7" hidden="1" x14ac:dyDescent="0.25">
      <c r="A2921" s="21">
        <v>2920</v>
      </c>
      <c r="B2921" s="7" t="s">
        <v>6596</v>
      </c>
      <c r="C2921" s="7" t="s">
        <v>6597</v>
      </c>
      <c r="G2921" s="8" t="s">
        <v>15</v>
      </c>
    </row>
    <row r="2922" spans="1:7" hidden="1" x14ac:dyDescent="0.25">
      <c r="A2922" s="21">
        <v>2921</v>
      </c>
      <c r="B2922" s="7" t="s">
        <v>6598</v>
      </c>
      <c r="C2922" s="7" t="s">
        <v>6599</v>
      </c>
      <c r="G2922" s="8" t="s">
        <v>15</v>
      </c>
    </row>
    <row r="2923" spans="1:7" hidden="1" x14ac:dyDescent="0.25">
      <c r="A2923" s="21">
        <v>2922</v>
      </c>
      <c r="B2923" s="7" t="s">
        <v>6600</v>
      </c>
      <c r="C2923" s="7" t="s">
        <v>6601</v>
      </c>
      <c r="G2923" s="8" t="s">
        <v>15</v>
      </c>
    </row>
    <row r="2924" spans="1:7" hidden="1" x14ac:dyDescent="0.25">
      <c r="A2924" s="21">
        <v>2923</v>
      </c>
      <c r="B2924" s="7" t="s">
        <v>6602</v>
      </c>
      <c r="C2924" s="7" t="s">
        <v>6603</v>
      </c>
      <c r="G2924" s="8" t="s">
        <v>15</v>
      </c>
    </row>
    <row r="2925" spans="1:7" hidden="1" x14ac:dyDescent="0.25">
      <c r="A2925" s="21">
        <v>2924</v>
      </c>
      <c r="B2925" s="7" t="s">
        <v>6604</v>
      </c>
      <c r="C2925" s="7" t="s">
        <v>6605</v>
      </c>
      <c r="G2925" s="8" t="s">
        <v>15</v>
      </c>
    </row>
    <row r="2926" spans="1:7" hidden="1" x14ac:dyDescent="0.25">
      <c r="A2926" s="21">
        <v>2925</v>
      </c>
      <c r="B2926" s="7" t="s">
        <v>6606</v>
      </c>
      <c r="C2926" s="7" t="s">
        <v>6607</v>
      </c>
      <c r="G2926" s="8" t="s">
        <v>15</v>
      </c>
    </row>
    <row r="2927" spans="1:7" hidden="1" x14ac:dyDescent="0.25">
      <c r="A2927" s="21">
        <v>2926</v>
      </c>
      <c r="B2927" s="7" t="s">
        <v>6608</v>
      </c>
      <c r="C2927" s="7" t="s">
        <v>6609</v>
      </c>
      <c r="G2927" s="8" t="s">
        <v>15</v>
      </c>
    </row>
    <row r="2928" spans="1:7" hidden="1" x14ac:dyDescent="0.25">
      <c r="A2928" s="21">
        <v>2927</v>
      </c>
      <c r="B2928" s="7" t="s">
        <v>6610</v>
      </c>
      <c r="C2928" s="7" t="s">
        <v>6611</v>
      </c>
      <c r="G2928" s="8" t="s">
        <v>15</v>
      </c>
    </row>
    <row r="2929" spans="1:7" hidden="1" x14ac:dyDescent="0.25">
      <c r="A2929" s="21">
        <v>2928</v>
      </c>
      <c r="B2929" s="7" t="s">
        <v>6612</v>
      </c>
      <c r="C2929" s="7" t="s">
        <v>6613</v>
      </c>
      <c r="G2929" s="8" t="s">
        <v>15</v>
      </c>
    </row>
    <row r="2930" spans="1:7" hidden="1" x14ac:dyDescent="0.25">
      <c r="A2930" s="21">
        <v>2929</v>
      </c>
      <c r="B2930" s="7" t="s">
        <v>6614</v>
      </c>
      <c r="C2930" s="7" t="s">
        <v>6615</v>
      </c>
      <c r="G2930" s="8" t="s">
        <v>15</v>
      </c>
    </row>
    <row r="2931" spans="1:7" hidden="1" x14ac:dyDescent="0.25">
      <c r="A2931" s="21">
        <v>2930</v>
      </c>
      <c r="B2931" s="7" t="s">
        <v>6616</v>
      </c>
      <c r="C2931" s="7" t="s">
        <v>6617</v>
      </c>
      <c r="G2931" s="8" t="s">
        <v>15</v>
      </c>
    </row>
    <row r="2932" spans="1:7" hidden="1" x14ac:dyDescent="0.25">
      <c r="A2932" s="21">
        <v>2931</v>
      </c>
      <c r="B2932" s="7" t="s">
        <v>6618</v>
      </c>
      <c r="C2932" s="7" t="s">
        <v>6619</v>
      </c>
      <c r="G2932" s="8" t="s">
        <v>15</v>
      </c>
    </row>
    <row r="2933" spans="1:7" hidden="1" x14ac:dyDescent="0.25">
      <c r="A2933" s="21">
        <v>2932</v>
      </c>
      <c r="B2933" s="7" t="s">
        <v>6620</v>
      </c>
      <c r="C2933" s="7" t="s">
        <v>6621</v>
      </c>
      <c r="G2933" s="8" t="s">
        <v>15</v>
      </c>
    </row>
    <row r="2934" spans="1:7" hidden="1" x14ac:dyDescent="0.25">
      <c r="A2934" s="21">
        <v>2933</v>
      </c>
      <c r="B2934" s="7" t="s">
        <v>6622</v>
      </c>
      <c r="C2934" s="7" t="s">
        <v>6623</v>
      </c>
      <c r="G2934" s="8" t="s">
        <v>15</v>
      </c>
    </row>
    <row r="2935" spans="1:7" hidden="1" x14ac:dyDescent="0.25">
      <c r="A2935" s="21">
        <v>2934</v>
      </c>
      <c r="B2935" s="7" t="s">
        <v>6624</v>
      </c>
      <c r="C2935" s="7" t="s">
        <v>6625</v>
      </c>
      <c r="G2935" s="8" t="s">
        <v>15</v>
      </c>
    </row>
    <row r="2936" spans="1:7" hidden="1" x14ac:dyDescent="0.25">
      <c r="A2936" s="21">
        <v>2935</v>
      </c>
      <c r="B2936" s="7" t="s">
        <v>6626</v>
      </c>
      <c r="C2936" s="7" t="s">
        <v>6627</v>
      </c>
      <c r="G2936" s="8" t="s">
        <v>15</v>
      </c>
    </row>
    <row r="2937" spans="1:7" hidden="1" x14ac:dyDescent="0.25">
      <c r="A2937" s="21">
        <v>2936</v>
      </c>
      <c r="B2937" s="7" t="s">
        <v>6628</v>
      </c>
      <c r="C2937" s="7" t="s">
        <v>6629</v>
      </c>
      <c r="G2937" s="8" t="s">
        <v>15</v>
      </c>
    </row>
    <row r="2938" spans="1:7" hidden="1" x14ac:dyDescent="0.25">
      <c r="A2938" s="21">
        <v>2937</v>
      </c>
      <c r="B2938" s="7" t="s">
        <v>6630</v>
      </c>
      <c r="C2938" s="7" t="s">
        <v>6631</v>
      </c>
      <c r="G2938" s="8" t="s">
        <v>15</v>
      </c>
    </row>
    <row r="2939" spans="1:7" hidden="1" x14ac:dyDescent="0.25">
      <c r="A2939" s="21">
        <v>2938</v>
      </c>
      <c r="B2939" s="7" t="s">
        <v>6632</v>
      </c>
      <c r="C2939" s="7" t="s">
        <v>6633</v>
      </c>
      <c r="G2939" s="8" t="s">
        <v>15</v>
      </c>
    </row>
    <row r="2940" spans="1:7" hidden="1" x14ac:dyDescent="0.25">
      <c r="A2940" s="21">
        <v>2939</v>
      </c>
      <c r="B2940" s="7" t="s">
        <v>6634</v>
      </c>
      <c r="C2940" s="7" t="s">
        <v>6635</v>
      </c>
      <c r="G2940" s="8" t="s">
        <v>15</v>
      </c>
    </row>
    <row r="2941" spans="1:7" hidden="1" x14ac:dyDescent="0.25">
      <c r="A2941" s="21">
        <v>2940</v>
      </c>
      <c r="B2941" s="7" t="s">
        <v>6636</v>
      </c>
      <c r="C2941" s="7" t="s">
        <v>6637</v>
      </c>
      <c r="G2941" s="8" t="s">
        <v>15</v>
      </c>
    </row>
    <row r="2942" spans="1:7" hidden="1" x14ac:dyDescent="0.25">
      <c r="A2942" s="21">
        <v>2941</v>
      </c>
      <c r="B2942" s="7" t="s">
        <v>6638</v>
      </c>
      <c r="C2942" s="7" t="s">
        <v>6639</v>
      </c>
      <c r="G2942" s="8" t="s">
        <v>15</v>
      </c>
    </row>
    <row r="2943" spans="1:7" hidden="1" x14ac:dyDescent="0.25">
      <c r="A2943" s="21">
        <v>2942</v>
      </c>
      <c r="B2943" s="7" t="s">
        <v>6640</v>
      </c>
      <c r="C2943" s="7" t="s">
        <v>6641</v>
      </c>
      <c r="G2943" s="8" t="s">
        <v>15</v>
      </c>
    </row>
    <row r="2944" spans="1:7" hidden="1" x14ac:dyDescent="0.25">
      <c r="A2944" s="21">
        <v>2943</v>
      </c>
      <c r="B2944" s="7" t="s">
        <v>6642</v>
      </c>
      <c r="C2944" s="7" t="s">
        <v>6643</v>
      </c>
      <c r="G2944" s="8" t="s">
        <v>15</v>
      </c>
    </row>
    <row r="2945" spans="1:7" hidden="1" x14ac:dyDescent="0.25">
      <c r="A2945" s="21">
        <v>2944</v>
      </c>
      <c r="B2945" s="7" t="s">
        <v>6644</v>
      </c>
      <c r="C2945" s="7" t="s">
        <v>6645</v>
      </c>
      <c r="G2945" s="8" t="s">
        <v>15</v>
      </c>
    </row>
    <row r="2946" spans="1:7" hidden="1" x14ac:dyDescent="0.25">
      <c r="A2946" s="21">
        <v>2945</v>
      </c>
      <c r="B2946" s="7" t="s">
        <v>6646</v>
      </c>
      <c r="C2946" s="7" t="s">
        <v>6647</v>
      </c>
      <c r="G2946" s="8" t="s">
        <v>15</v>
      </c>
    </row>
    <row r="2947" spans="1:7" hidden="1" x14ac:dyDescent="0.25">
      <c r="A2947" s="21">
        <v>2946</v>
      </c>
      <c r="B2947" s="7" t="s">
        <v>6648</v>
      </c>
      <c r="C2947" s="7" t="s">
        <v>6649</v>
      </c>
      <c r="G2947" s="8" t="s">
        <v>15</v>
      </c>
    </row>
    <row r="2948" spans="1:7" hidden="1" x14ac:dyDescent="0.25">
      <c r="A2948" s="21">
        <v>2947</v>
      </c>
      <c r="B2948" s="7" t="s">
        <v>6650</v>
      </c>
      <c r="C2948" s="7" t="s">
        <v>6651</v>
      </c>
      <c r="G2948" s="8" t="s">
        <v>15</v>
      </c>
    </row>
    <row r="2949" spans="1:7" hidden="1" x14ac:dyDescent="0.25">
      <c r="A2949" s="21">
        <v>2948</v>
      </c>
      <c r="B2949" s="7" t="s">
        <v>6652</v>
      </c>
      <c r="C2949" s="7" t="s">
        <v>6653</v>
      </c>
      <c r="G2949" s="8" t="s">
        <v>15</v>
      </c>
    </row>
    <row r="2950" spans="1:7" hidden="1" x14ac:dyDescent="0.25">
      <c r="A2950" s="21">
        <v>2949</v>
      </c>
      <c r="B2950" s="7" t="s">
        <v>6654</v>
      </c>
      <c r="C2950" s="7" t="s">
        <v>6655</v>
      </c>
      <c r="G2950" s="8" t="s">
        <v>15</v>
      </c>
    </row>
    <row r="2951" spans="1:7" hidden="1" x14ac:dyDescent="0.25">
      <c r="A2951" s="21">
        <v>2950</v>
      </c>
      <c r="B2951" s="7" t="s">
        <v>6656</v>
      </c>
      <c r="C2951" s="7" t="s">
        <v>6657</v>
      </c>
      <c r="G2951" s="8" t="s">
        <v>15</v>
      </c>
    </row>
    <row r="2952" spans="1:7" hidden="1" x14ac:dyDescent="0.25">
      <c r="A2952" s="21">
        <v>2951</v>
      </c>
      <c r="B2952" s="7" t="s">
        <v>6658</v>
      </c>
      <c r="C2952" s="7" t="s">
        <v>6659</v>
      </c>
      <c r="G2952" s="8" t="s">
        <v>15</v>
      </c>
    </row>
    <row r="2953" spans="1:7" hidden="1" x14ac:dyDescent="0.25">
      <c r="A2953" s="21">
        <v>2952</v>
      </c>
      <c r="B2953" s="7" t="s">
        <v>6660</v>
      </c>
      <c r="C2953" s="7" t="s">
        <v>6661</v>
      </c>
      <c r="G2953" s="8" t="s">
        <v>15</v>
      </c>
    </row>
    <row r="2954" spans="1:7" hidden="1" x14ac:dyDescent="0.25">
      <c r="A2954" s="21">
        <v>2953</v>
      </c>
      <c r="B2954" s="7" t="s">
        <v>6662</v>
      </c>
      <c r="C2954" s="7" t="s">
        <v>6663</v>
      </c>
      <c r="G2954" s="8" t="s">
        <v>15</v>
      </c>
    </row>
    <row r="2955" spans="1:7" hidden="1" x14ac:dyDescent="0.25">
      <c r="A2955" s="21">
        <v>2954</v>
      </c>
      <c r="B2955" s="7" t="s">
        <v>6664</v>
      </c>
      <c r="C2955" s="7" t="s">
        <v>6665</v>
      </c>
      <c r="G2955" s="8" t="s">
        <v>15</v>
      </c>
    </row>
    <row r="2956" spans="1:7" hidden="1" x14ac:dyDescent="0.25">
      <c r="A2956" s="21">
        <v>2955</v>
      </c>
      <c r="B2956" s="7" t="s">
        <v>6666</v>
      </c>
      <c r="C2956" s="7" t="s">
        <v>6667</v>
      </c>
      <c r="G2956" s="8" t="s">
        <v>15</v>
      </c>
    </row>
    <row r="2957" spans="1:7" hidden="1" x14ac:dyDescent="0.25">
      <c r="A2957" s="21">
        <v>2956</v>
      </c>
      <c r="B2957" s="7" t="s">
        <v>6668</v>
      </c>
      <c r="C2957" s="7" t="s">
        <v>6669</v>
      </c>
      <c r="G2957" s="8" t="s">
        <v>15</v>
      </c>
    </row>
    <row r="2958" spans="1:7" hidden="1" x14ac:dyDescent="0.25">
      <c r="A2958" s="21">
        <v>2957</v>
      </c>
      <c r="B2958" s="7" t="s">
        <v>6670</v>
      </c>
      <c r="C2958" s="7" t="s">
        <v>6671</v>
      </c>
      <c r="G2958" s="8" t="s">
        <v>15</v>
      </c>
    </row>
    <row r="2959" spans="1:7" hidden="1" x14ac:dyDescent="0.25">
      <c r="A2959" s="21">
        <v>2958</v>
      </c>
      <c r="B2959" s="7" t="s">
        <v>6672</v>
      </c>
      <c r="C2959" s="7" t="s">
        <v>6673</v>
      </c>
      <c r="G2959" s="8" t="s">
        <v>15</v>
      </c>
    </row>
    <row r="2960" spans="1:7" hidden="1" x14ac:dyDescent="0.25">
      <c r="A2960" s="21">
        <v>2959</v>
      </c>
      <c r="B2960" s="7" t="s">
        <v>6674</v>
      </c>
      <c r="C2960" s="7" t="s">
        <v>6675</v>
      </c>
      <c r="G2960" s="8" t="s">
        <v>15</v>
      </c>
    </row>
    <row r="2961" spans="1:7" hidden="1" x14ac:dyDescent="0.25">
      <c r="A2961" s="21">
        <v>2960</v>
      </c>
      <c r="B2961" s="7" t="s">
        <v>6676</v>
      </c>
      <c r="C2961" s="7" t="s">
        <v>6677</v>
      </c>
      <c r="G2961" s="8" t="s">
        <v>15</v>
      </c>
    </row>
    <row r="2962" spans="1:7" hidden="1" x14ac:dyDescent="0.25">
      <c r="A2962" s="21">
        <v>2961</v>
      </c>
      <c r="B2962" s="7" t="s">
        <v>6678</v>
      </c>
      <c r="C2962" s="7" t="s">
        <v>6679</v>
      </c>
      <c r="G2962" s="8" t="s">
        <v>15</v>
      </c>
    </row>
    <row r="2963" spans="1:7" hidden="1" x14ac:dyDescent="0.25">
      <c r="A2963" s="21">
        <v>2962</v>
      </c>
      <c r="B2963" s="7" t="s">
        <v>6680</v>
      </c>
      <c r="C2963" s="7" t="s">
        <v>6681</v>
      </c>
      <c r="G2963" s="8" t="s">
        <v>15</v>
      </c>
    </row>
    <row r="2964" spans="1:7" hidden="1" x14ac:dyDescent="0.25">
      <c r="A2964" s="21">
        <v>2963</v>
      </c>
      <c r="B2964" s="7" t="s">
        <v>6682</v>
      </c>
      <c r="C2964" s="7" t="s">
        <v>6683</v>
      </c>
      <c r="G2964" s="8" t="s">
        <v>15</v>
      </c>
    </row>
    <row r="2965" spans="1:7" hidden="1" x14ac:dyDescent="0.25">
      <c r="A2965" s="21">
        <v>2964</v>
      </c>
      <c r="B2965" s="7" t="s">
        <v>6684</v>
      </c>
      <c r="C2965" s="7" t="s">
        <v>6685</v>
      </c>
      <c r="G2965" s="8" t="s">
        <v>15</v>
      </c>
    </row>
    <row r="2966" spans="1:7" hidden="1" x14ac:dyDescent="0.25">
      <c r="A2966" s="21">
        <v>2965</v>
      </c>
      <c r="B2966" s="7" t="s">
        <v>6686</v>
      </c>
      <c r="C2966" s="7" t="s">
        <v>6687</v>
      </c>
      <c r="F2966" t="s">
        <v>733</v>
      </c>
      <c r="G2966" s="8" t="s">
        <v>15</v>
      </c>
    </row>
    <row r="2967" spans="1:7" hidden="1" x14ac:dyDescent="0.25">
      <c r="A2967" s="21">
        <v>2966</v>
      </c>
      <c r="B2967" s="7" t="s">
        <v>6688</v>
      </c>
      <c r="C2967" s="7" t="s">
        <v>6689</v>
      </c>
      <c r="G2967" s="8" t="s">
        <v>15</v>
      </c>
    </row>
    <row r="2968" spans="1:7" hidden="1" x14ac:dyDescent="0.25">
      <c r="A2968" s="21">
        <v>2967</v>
      </c>
      <c r="B2968" s="7" t="s">
        <v>6690</v>
      </c>
      <c r="C2968" s="7" t="s">
        <v>6691</v>
      </c>
      <c r="G2968" s="8" t="s">
        <v>15</v>
      </c>
    </row>
    <row r="2969" spans="1:7" hidden="1" x14ac:dyDescent="0.25">
      <c r="A2969" s="21">
        <v>2968</v>
      </c>
      <c r="B2969" s="7" t="s">
        <v>6692</v>
      </c>
      <c r="C2969" s="7" t="s">
        <v>6693</v>
      </c>
      <c r="G2969" s="8" t="s">
        <v>15</v>
      </c>
    </row>
    <row r="2970" spans="1:7" hidden="1" x14ac:dyDescent="0.25">
      <c r="A2970" s="21">
        <v>2969</v>
      </c>
      <c r="B2970" s="7" t="s">
        <v>6694</v>
      </c>
      <c r="C2970" s="7" t="s">
        <v>6695</v>
      </c>
      <c r="G2970" s="8" t="s">
        <v>15</v>
      </c>
    </row>
    <row r="2971" spans="1:7" hidden="1" x14ac:dyDescent="0.25">
      <c r="A2971" s="21">
        <v>2970</v>
      </c>
      <c r="B2971" s="7" t="s">
        <v>6696</v>
      </c>
      <c r="C2971" s="7" t="s">
        <v>6697</v>
      </c>
      <c r="G2971" s="8" t="s">
        <v>15</v>
      </c>
    </row>
    <row r="2972" spans="1:7" hidden="1" x14ac:dyDescent="0.25">
      <c r="A2972" s="21">
        <v>2971</v>
      </c>
      <c r="B2972" s="7" t="s">
        <v>6698</v>
      </c>
      <c r="C2972" s="7" t="s">
        <v>6699</v>
      </c>
      <c r="G2972" s="8" t="s">
        <v>15</v>
      </c>
    </row>
    <row r="2973" spans="1:7" hidden="1" x14ac:dyDescent="0.25">
      <c r="A2973" s="21">
        <v>2972</v>
      </c>
      <c r="B2973" s="7" t="s">
        <v>6700</v>
      </c>
      <c r="C2973" s="7" t="s">
        <v>6701</v>
      </c>
      <c r="G2973" s="8" t="s">
        <v>15</v>
      </c>
    </row>
    <row r="2974" spans="1:7" hidden="1" x14ac:dyDescent="0.25">
      <c r="A2974" s="21">
        <v>2973</v>
      </c>
      <c r="B2974" s="7" t="s">
        <v>6702</v>
      </c>
      <c r="C2974" s="7" t="s">
        <v>6703</v>
      </c>
      <c r="G2974" s="8" t="s">
        <v>15</v>
      </c>
    </row>
    <row r="2975" spans="1:7" hidden="1" x14ac:dyDescent="0.25">
      <c r="A2975" s="21">
        <v>2974</v>
      </c>
      <c r="B2975" s="7" t="s">
        <v>6704</v>
      </c>
      <c r="C2975" s="7" t="s">
        <v>6705</v>
      </c>
      <c r="G2975" s="8" t="s">
        <v>15</v>
      </c>
    </row>
    <row r="2976" spans="1:7" hidden="1" x14ac:dyDescent="0.25">
      <c r="A2976" s="21">
        <v>2975</v>
      </c>
      <c r="B2976" s="7" t="s">
        <v>6706</v>
      </c>
      <c r="C2976" s="7" t="s">
        <v>6707</v>
      </c>
      <c r="G2976" s="8" t="s">
        <v>15</v>
      </c>
    </row>
    <row r="2977" spans="1:7" hidden="1" x14ac:dyDescent="0.25">
      <c r="A2977" s="21">
        <v>2976</v>
      </c>
      <c r="B2977" s="7" t="s">
        <v>6708</v>
      </c>
      <c r="C2977" s="7" t="s">
        <v>6709</v>
      </c>
      <c r="G2977" s="8" t="s">
        <v>15</v>
      </c>
    </row>
    <row r="2978" spans="1:7" hidden="1" x14ac:dyDescent="0.25">
      <c r="A2978" s="21">
        <v>2977</v>
      </c>
      <c r="B2978" s="7" t="s">
        <v>6710</v>
      </c>
      <c r="C2978" s="7" t="s">
        <v>6711</v>
      </c>
      <c r="G2978" s="8" t="s">
        <v>15</v>
      </c>
    </row>
    <row r="2979" spans="1:7" hidden="1" x14ac:dyDescent="0.25">
      <c r="A2979" s="21">
        <v>2978</v>
      </c>
      <c r="B2979" s="7" t="s">
        <v>6712</v>
      </c>
      <c r="C2979" s="7" t="s">
        <v>6713</v>
      </c>
      <c r="G2979" s="8" t="s">
        <v>15</v>
      </c>
    </row>
    <row r="2980" spans="1:7" hidden="1" x14ac:dyDescent="0.25">
      <c r="A2980" s="21">
        <v>2979</v>
      </c>
      <c r="B2980" s="7" t="s">
        <v>6714</v>
      </c>
      <c r="C2980" s="7" t="s">
        <v>6715</v>
      </c>
      <c r="G2980" s="8" t="s">
        <v>15</v>
      </c>
    </row>
    <row r="2981" spans="1:7" hidden="1" x14ac:dyDescent="0.25">
      <c r="A2981" s="21">
        <v>2980</v>
      </c>
      <c r="B2981" s="7" t="s">
        <v>6716</v>
      </c>
      <c r="C2981" s="7" t="s">
        <v>6717</v>
      </c>
      <c r="G2981" s="8" t="s">
        <v>15</v>
      </c>
    </row>
    <row r="2982" spans="1:7" hidden="1" x14ac:dyDescent="0.25">
      <c r="A2982" s="21">
        <v>2981</v>
      </c>
      <c r="B2982" s="7" t="s">
        <v>6718</v>
      </c>
      <c r="C2982" s="7" t="s">
        <v>6719</v>
      </c>
      <c r="G2982" s="8" t="s">
        <v>15</v>
      </c>
    </row>
    <row r="2983" spans="1:7" hidden="1" x14ac:dyDescent="0.25">
      <c r="A2983" s="21">
        <v>2982</v>
      </c>
      <c r="B2983" s="7" t="s">
        <v>6720</v>
      </c>
      <c r="C2983" s="7" t="s">
        <v>6721</v>
      </c>
      <c r="G2983" s="8" t="s">
        <v>15</v>
      </c>
    </row>
    <row r="2984" spans="1:7" hidden="1" x14ac:dyDescent="0.25">
      <c r="A2984" s="21">
        <v>2983</v>
      </c>
      <c r="B2984" s="7" t="s">
        <v>6722</v>
      </c>
      <c r="C2984" s="7" t="s">
        <v>6723</v>
      </c>
      <c r="G2984" s="8" t="s">
        <v>15</v>
      </c>
    </row>
    <row r="2985" spans="1:7" hidden="1" x14ac:dyDescent="0.25">
      <c r="A2985" s="21">
        <v>2984</v>
      </c>
      <c r="B2985" s="7" t="s">
        <v>6724</v>
      </c>
      <c r="C2985" s="7" t="s">
        <v>6725</v>
      </c>
      <c r="G2985" s="8" t="s">
        <v>15</v>
      </c>
    </row>
    <row r="2986" spans="1:7" hidden="1" x14ac:dyDescent="0.25">
      <c r="A2986" s="21">
        <v>2985</v>
      </c>
      <c r="B2986" s="7" t="s">
        <v>6726</v>
      </c>
      <c r="C2986" s="7" t="s">
        <v>6727</v>
      </c>
      <c r="G2986" s="8" t="s">
        <v>15</v>
      </c>
    </row>
    <row r="2987" spans="1:7" hidden="1" x14ac:dyDescent="0.25">
      <c r="A2987" s="21">
        <v>2986</v>
      </c>
      <c r="B2987" s="7" t="s">
        <v>6728</v>
      </c>
      <c r="C2987" s="7" t="s">
        <v>6729</v>
      </c>
      <c r="G2987" s="8" t="s">
        <v>15</v>
      </c>
    </row>
    <row r="2988" spans="1:7" hidden="1" x14ac:dyDescent="0.25">
      <c r="A2988" s="21">
        <v>2987</v>
      </c>
      <c r="B2988" s="7" t="s">
        <v>6730</v>
      </c>
      <c r="C2988" s="7" t="s">
        <v>6731</v>
      </c>
      <c r="G2988" s="8" t="s">
        <v>15</v>
      </c>
    </row>
    <row r="2989" spans="1:7" hidden="1" x14ac:dyDescent="0.25">
      <c r="A2989" s="21">
        <v>2988</v>
      </c>
      <c r="B2989" s="7" t="s">
        <v>6732</v>
      </c>
      <c r="C2989" s="7" t="s">
        <v>6733</v>
      </c>
      <c r="G2989" s="8" t="s">
        <v>15</v>
      </c>
    </row>
    <row r="2990" spans="1:7" hidden="1" x14ac:dyDescent="0.25">
      <c r="A2990" s="21">
        <v>2989</v>
      </c>
      <c r="B2990" s="7" t="s">
        <v>6734</v>
      </c>
      <c r="C2990" s="7" t="s">
        <v>6735</v>
      </c>
      <c r="G2990" s="8" t="s">
        <v>15</v>
      </c>
    </row>
    <row r="2991" spans="1:7" hidden="1" x14ac:dyDescent="0.25">
      <c r="A2991" s="21">
        <v>2990</v>
      </c>
      <c r="B2991" s="7" t="s">
        <v>6736</v>
      </c>
      <c r="C2991" s="7" t="s">
        <v>6737</v>
      </c>
      <c r="G2991" s="8" t="s">
        <v>15</v>
      </c>
    </row>
    <row r="2992" spans="1:7" hidden="1" x14ac:dyDescent="0.25">
      <c r="A2992" s="21">
        <v>2991</v>
      </c>
      <c r="B2992" s="7" t="s">
        <v>6738</v>
      </c>
      <c r="C2992" s="7" t="s">
        <v>6739</v>
      </c>
      <c r="G2992" s="8" t="s">
        <v>15</v>
      </c>
    </row>
    <row r="2993" spans="1:7" hidden="1" x14ac:dyDescent="0.25">
      <c r="A2993" s="21">
        <v>2992</v>
      </c>
      <c r="B2993" s="7" t="s">
        <v>6740</v>
      </c>
      <c r="C2993" s="7" t="s">
        <v>6741</v>
      </c>
      <c r="G2993" s="8" t="s">
        <v>15</v>
      </c>
    </row>
    <row r="2994" spans="1:7" hidden="1" x14ac:dyDescent="0.25">
      <c r="A2994" s="21">
        <v>2993</v>
      </c>
      <c r="B2994" s="7" t="s">
        <v>6742</v>
      </c>
      <c r="C2994" s="7" t="s">
        <v>6743</v>
      </c>
      <c r="G2994" s="8" t="s">
        <v>15</v>
      </c>
    </row>
    <row r="2995" spans="1:7" hidden="1" x14ac:dyDescent="0.25">
      <c r="A2995" s="21">
        <v>2994</v>
      </c>
      <c r="B2995" s="7" t="s">
        <v>6744</v>
      </c>
      <c r="C2995" s="7" t="s">
        <v>6745</v>
      </c>
      <c r="G2995" s="8" t="s">
        <v>15</v>
      </c>
    </row>
    <row r="2996" spans="1:7" hidden="1" x14ac:dyDescent="0.25">
      <c r="A2996" s="21">
        <v>2995</v>
      </c>
      <c r="B2996" s="7" t="s">
        <v>6746</v>
      </c>
      <c r="C2996" s="7" t="s">
        <v>6747</v>
      </c>
      <c r="G2996" s="8" t="s">
        <v>15</v>
      </c>
    </row>
    <row r="2997" spans="1:7" hidden="1" x14ac:dyDescent="0.25">
      <c r="A2997" s="21">
        <v>2996</v>
      </c>
      <c r="B2997" s="7" t="s">
        <v>6748</v>
      </c>
      <c r="C2997" s="7" t="s">
        <v>6749</v>
      </c>
      <c r="G2997" s="8" t="s">
        <v>15</v>
      </c>
    </row>
    <row r="2998" spans="1:7" hidden="1" x14ac:dyDescent="0.25">
      <c r="A2998" s="21">
        <v>2997</v>
      </c>
      <c r="B2998" s="7" t="s">
        <v>6750</v>
      </c>
      <c r="C2998" s="7" t="s">
        <v>6751</v>
      </c>
      <c r="G2998" s="8" t="s">
        <v>15</v>
      </c>
    </row>
    <row r="2999" spans="1:7" hidden="1" x14ac:dyDescent="0.25">
      <c r="A2999" s="21">
        <v>2998</v>
      </c>
      <c r="B2999" s="7" t="s">
        <v>6752</v>
      </c>
      <c r="C2999" s="7" t="s">
        <v>6753</v>
      </c>
      <c r="G2999" s="8" t="s">
        <v>15</v>
      </c>
    </row>
    <row r="3000" spans="1:7" hidden="1" x14ac:dyDescent="0.25">
      <c r="A3000" s="21">
        <v>2999</v>
      </c>
      <c r="B3000" s="7" t="s">
        <v>6754</v>
      </c>
      <c r="C3000" s="7" t="s">
        <v>6755</v>
      </c>
      <c r="G3000" s="8" t="s">
        <v>15</v>
      </c>
    </row>
    <row r="3001" spans="1:7" hidden="1" x14ac:dyDescent="0.25">
      <c r="A3001" s="21">
        <v>3000</v>
      </c>
      <c r="B3001" s="7" t="s">
        <v>6756</v>
      </c>
      <c r="C3001" s="7" t="s">
        <v>6757</v>
      </c>
      <c r="G3001" s="8" t="s">
        <v>15</v>
      </c>
    </row>
    <row r="3002" spans="1:7" hidden="1" x14ac:dyDescent="0.25">
      <c r="A3002" s="21">
        <v>3001</v>
      </c>
      <c r="B3002" s="7" t="s">
        <v>6758</v>
      </c>
      <c r="C3002" s="7" t="s">
        <v>6759</v>
      </c>
      <c r="G3002" s="8" t="s">
        <v>15</v>
      </c>
    </row>
    <row r="3003" spans="1:7" hidden="1" x14ac:dyDescent="0.25">
      <c r="A3003" s="21">
        <v>3002</v>
      </c>
      <c r="B3003" s="7" t="s">
        <v>6760</v>
      </c>
      <c r="C3003" s="7" t="s">
        <v>6761</v>
      </c>
      <c r="G3003" s="8" t="s">
        <v>15</v>
      </c>
    </row>
    <row r="3004" spans="1:7" hidden="1" x14ac:dyDescent="0.25">
      <c r="A3004" s="21">
        <v>3003</v>
      </c>
      <c r="B3004" s="7" t="s">
        <v>6762</v>
      </c>
      <c r="C3004" s="7" t="s">
        <v>6763</v>
      </c>
      <c r="G3004" s="8" t="s">
        <v>15</v>
      </c>
    </row>
    <row r="3005" spans="1:7" hidden="1" x14ac:dyDescent="0.25">
      <c r="A3005" s="21">
        <v>3004</v>
      </c>
      <c r="B3005" s="7" t="s">
        <v>6764</v>
      </c>
      <c r="C3005" s="7" t="s">
        <v>6765</v>
      </c>
      <c r="G3005" s="8" t="s">
        <v>15</v>
      </c>
    </row>
    <row r="3006" spans="1:7" hidden="1" x14ac:dyDescent="0.25">
      <c r="A3006" s="21">
        <v>3005</v>
      </c>
      <c r="B3006" s="7" t="s">
        <v>6766</v>
      </c>
      <c r="C3006" s="7" t="s">
        <v>6767</v>
      </c>
      <c r="G3006" s="8" t="s">
        <v>15</v>
      </c>
    </row>
    <row r="3007" spans="1:7" hidden="1" x14ac:dyDescent="0.25">
      <c r="A3007" s="21">
        <v>3006</v>
      </c>
      <c r="B3007" s="7" t="s">
        <v>6768</v>
      </c>
      <c r="C3007" s="7" t="s">
        <v>6769</v>
      </c>
      <c r="G3007" s="8" t="s">
        <v>15</v>
      </c>
    </row>
    <row r="3008" spans="1:7" hidden="1" x14ac:dyDescent="0.25">
      <c r="A3008" s="21">
        <v>3007</v>
      </c>
      <c r="B3008" s="7" t="s">
        <v>6770</v>
      </c>
      <c r="C3008" s="7" t="s">
        <v>6771</v>
      </c>
      <c r="G3008" s="8" t="s">
        <v>15</v>
      </c>
    </row>
    <row r="3009" spans="1:7" hidden="1" x14ac:dyDescent="0.25">
      <c r="A3009" s="21">
        <v>3008</v>
      </c>
      <c r="B3009" s="7" t="s">
        <v>6772</v>
      </c>
      <c r="C3009" s="7" t="s">
        <v>6773</v>
      </c>
      <c r="G3009" s="8" t="s">
        <v>15</v>
      </c>
    </row>
    <row r="3010" spans="1:7" hidden="1" x14ac:dyDescent="0.25">
      <c r="A3010" s="21">
        <v>3009</v>
      </c>
      <c r="B3010" s="7" t="s">
        <v>6774</v>
      </c>
      <c r="C3010" s="7" t="s">
        <v>6775</v>
      </c>
      <c r="G3010" s="8" t="s">
        <v>15</v>
      </c>
    </row>
    <row r="3011" spans="1:7" hidden="1" x14ac:dyDescent="0.25">
      <c r="A3011" s="21">
        <v>3010</v>
      </c>
      <c r="B3011" s="7" t="s">
        <v>6776</v>
      </c>
      <c r="C3011" s="7" t="s">
        <v>6777</v>
      </c>
      <c r="G3011" s="8" t="s">
        <v>15</v>
      </c>
    </row>
    <row r="3012" spans="1:7" hidden="1" x14ac:dyDescent="0.25">
      <c r="A3012" s="21">
        <v>3011</v>
      </c>
      <c r="B3012" s="7" t="s">
        <v>6778</v>
      </c>
      <c r="C3012" s="7" t="s">
        <v>6779</v>
      </c>
      <c r="G3012" s="8" t="s">
        <v>15</v>
      </c>
    </row>
    <row r="3013" spans="1:7" hidden="1" x14ac:dyDescent="0.25">
      <c r="A3013" s="21">
        <v>3012</v>
      </c>
      <c r="B3013" s="7" t="s">
        <v>6780</v>
      </c>
      <c r="C3013" s="7" t="s">
        <v>6781</v>
      </c>
      <c r="G3013" s="8" t="s">
        <v>15</v>
      </c>
    </row>
    <row r="3014" spans="1:7" hidden="1" x14ac:dyDescent="0.25">
      <c r="A3014" s="21">
        <v>3013</v>
      </c>
      <c r="B3014" s="7" t="s">
        <v>6782</v>
      </c>
      <c r="C3014" s="7" t="s">
        <v>6783</v>
      </c>
      <c r="G3014" s="8" t="s">
        <v>15</v>
      </c>
    </row>
    <row r="3015" spans="1:7" hidden="1" x14ac:dyDescent="0.25">
      <c r="A3015" s="21">
        <v>3014</v>
      </c>
      <c r="B3015" s="7" t="s">
        <v>6784</v>
      </c>
      <c r="C3015" s="7" t="s">
        <v>6785</v>
      </c>
      <c r="G3015" s="8" t="s">
        <v>15</v>
      </c>
    </row>
    <row r="3016" spans="1:7" hidden="1" x14ac:dyDescent="0.25">
      <c r="A3016" s="21">
        <v>3015</v>
      </c>
      <c r="B3016" s="7" t="s">
        <v>6786</v>
      </c>
      <c r="C3016" s="7" t="s">
        <v>6787</v>
      </c>
      <c r="G3016" s="8" t="s">
        <v>15</v>
      </c>
    </row>
    <row r="3017" spans="1:7" hidden="1" x14ac:dyDescent="0.25">
      <c r="A3017" s="21">
        <v>3016</v>
      </c>
      <c r="B3017" s="7" t="s">
        <v>6788</v>
      </c>
      <c r="C3017" s="7" t="s">
        <v>6789</v>
      </c>
      <c r="G3017" s="8" t="s">
        <v>15</v>
      </c>
    </row>
    <row r="3018" spans="1:7" hidden="1" x14ac:dyDescent="0.25">
      <c r="A3018" s="21">
        <v>3017</v>
      </c>
      <c r="B3018" s="7" t="s">
        <v>6790</v>
      </c>
      <c r="C3018" s="7" t="s">
        <v>6791</v>
      </c>
      <c r="G3018" s="8" t="s">
        <v>15</v>
      </c>
    </row>
    <row r="3019" spans="1:7" hidden="1" x14ac:dyDescent="0.25">
      <c r="A3019" s="21">
        <v>3018</v>
      </c>
      <c r="B3019" s="7" t="s">
        <v>6792</v>
      </c>
      <c r="C3019" s="7" t="s">
        <v>6793</v>
      </c>
      <c r="G3019" s="8" t="s">
        <v>15</v>
      </c>
    </row>
    <row r="3020" spans="1:7" hidden="1" x14ac:dyDescent="0.25">
      <c r="A3020" s="21">
        <v>3019</v>
      </c>
      <c r="B3020" s="7" t="s">
        <v>6794</v>
      </c>
      <c r="C3020" s="7" t="s">
        <v>6795</v>
      </c>
      <c r="G3020" s="8" t="s">
        <v>15</v>
      </c>
    </row>
    <row r="3021" spans="1:7" hidden="1" x14ac:dyDescent="0.25">
      <c r="A3021" s="21">
        <v>3020</v>
      </c>
      <c r="B3021" s="7" t="s">
        <v>6796</v>
      </c>
      <c r="C3021" s="7" t="s">
        <v>6797</v>
      </c>
      <c r="G3021" s="8" t="s">
        <v>15</v>
      </c>
    </row>
    <row r="3022" spans="1:7" hidden="1" x14ac:dyDescent="0.25">
      <c r="A3022" s="21">
        <v>3021</v>
      </c>
      <c r="B3022" s="7" t="s">
        <v>6798</v>
      </c>
      <c r="C3022" s="7" t="s">
        <v>6799</v>
      </c>
      <c r="G3022" s="8" t="s">
        <v>15</v>
      </c>
    </row>
    <row r="3023" spans="1:7" hidden="1" x14ac:dyDescent="0.25">
      <c r="A3023" s="21">
        <v>3022</v>
      </c>
      <c r="B3023" s="7" t="s">
        <v>6800</v>
      </c>
      <c r="C3023" s="7" t="s">
        <v>6801</v>
      </c>
      <c r="G3023" s="8" t="s">
        <v>15</v>
      </c>
    </row>
    <row r="3024" spans="1:7" hidden="1" x14ac:dyDescent="0.25">
      <c r="A3024" s="21">
        <v>3023</v>
      </c>
      <c r="B3024" s="7" t="s">
        <v>6802</v>
      </c>
      <c r="C3024" s="7" t="s">
        <v>6803</v>
      </c>
      <c r="G3024" s="8" t="s">
        <v>15</v>
      </c>
    </row>
    <row r="3025" spans="1:7" hidden="1" x14ac:dyDescent="0.25">
      <c r="A3025" s="21">
        <v>3024</v>
      </c>
      <c r="B3025" s="7" t="s">
        <v>6804</v>
      </c>
      <c r="C3025" s="7" t="s">
        <v>6805</v>
      </c>
      <c r="G3025" s="8" t="s">
        <v>15</v>
      </c>
    </row>
    <row r="3026" spans="1:7" hidden="1" x14ac:dyDescent="0.25">
      <c r="A3026" s="21">
        <v>3025</v>
      </c>
      <c r="B3026" s="7" t="s">
        <v>6806</v>
      </c>
      <c r="C3026" s="7" t="s">
        <v>6807</v>
      </c>
      <c r="G3026" s="8" t="s">
        <v>15</v>
      </c>
    </row>
    <row r="3027" spans="1:7" hidden="1" x14ac:dyDescent="0.25">
      <c r="A3027" s="21">
        <v>3026</v>
      </c>
      <c r="B3027" s="7" t="s">
        <v>6808</v>
      </c>
      <c r="C3027" s="7" t="s">
        <v>6809</v>
      </c>
      <c r="G3027" s="8" t="s">
        <v>15</v>
      </c>
    </row>
    <row r="3028" spans="1:7" hidden="1" x14ac:dyDescent="0.25">
      <c r="A3028" s="21">
        <v>3027</v>
      </c>
      <c r="B3028" s="7" t="s">
        <v>6810</v>
      </c>
      <c r="C3028" s="7" t="s">
        <v>6811</v>
      </c>
      <c r="G3028" s="8" t="s">
        <v>15</v>
      </c>
    </row>
    <row r="3029" spans="1:7" hidden="1" x14ac:dyDescent="0.25">
      <c r="A3029" s="21">
        <v>3028</v>
      </c>
      <c r="B3029" s="7" t="s">
        <v>6812</v>
      </c>
      <c r="C3029" s="7" t="s">
        <v>6813</v>
      </c>
      <c r="G3029" s="8" t="s">
        <v>15</v>
      </c>
    </row>
    <row r="3030" spans="1:7" hidden="1" x14ac:dyDescent="0.25">
      <c r="A3030" s="21">
        <v>3029</v>
      </c>
      <c r="B3030" s="7" t="s">
        <v>6814</v>
      </c>
      <c r="C3030" s="7" t="s">
        <v>6815</v>
      </c>
      <c r="G3030" s="8" t="s">
        <v>15</v>
      </c>
    </row>
    <row r="3031" spans="1:7" hidden="1" x14ac:dyDescent="0.25">
      <c r="A3031" s="21">
        <v>3030</v>
      </c>
      <c r="B3031" s="7" t="s">
        <v>6816</v>
      </c>
      <c r="C3031" s="7" t="s">
        <v>6817</v>
      </c>
      <c r="G3031" s="8" t="s">
        <v>15</v>
      </c>
    </row>
    <row r="3032" spans="1:7" hidden="1" x14ac:dyDescent="0.25">
      <c r="A3032" s="21">
        <v>3031</v>
      </c>
      <c r="B3032" s="7" t="s">
        <v>6818</v>
      </c>
      <c r="C3032" s="7" t="s">
        <v>6819</v>
      </c>
      <c r="G3032" s="8" t="s">
        <v>15</v>
      </c>
    </row>
    <row r="3033" spans="1:7" hidden="1" x14ac:dyDescent="0.25">
      <c r="A3033" s="21">
        <v>3032</v>
      </c>
      <c r="B3033" s="7" t="s">
        <v>6820</v>
      </c>
      <c r="C3033" s="7" t="s">
        <v>6821</v>
      </c>
      <c r="G3033" s="8" t="s">
        <v>15</v>
      </c>
    </row>
    <row r="3034" spans="1:7" hidden="1" x14ac:dyDescent="0.25">
      <c r="A3034" s="21">
        <v>3033</v>
      </c>
      <c r="B3034" s="7" t="s">
        <v>6822</v>
      </c>
      <c r="C3034" s="7" t="s">
        <v>6823</v>
      </c>
      <c r="G3034" s="8" t="s">
        <v>15</v>
      </c>
    </row>
    <row r="3035" spans="1:7" hidden="1" x14ac:dyDescent="0.25">
      <c r="A3035" s="21">
        <v>3034</v>
      </c>
      <c r="B3035" s="7" t="s">
        <v>6824</v>
      </c>
      <c r="C3035" s="7" t="s">
        <v>6825</v>
      </c>
      <c r="G3035" s="8" t="s">
        <v>15</v>
      </c>
    </row>
    <row r="3036" spans="1:7" hidden="1" x14ac:dyDescent="0.25">
      <c r="A3036" s="21">
        <v>3035</v>
      </c>
      <c r="B3036" s="7" t="s">
        <v>6826</v>
      </c>
      <c r="C3036" s="7" t="s">
        <v>6827</v>
      </c>
      <c r="G3036" s="8" t="s">
        <v>15</v>
      </c>
    </row>
    <row r="3037" spans="1:7" hidden="1" x14ac:dyDescent="0.25">
      <c r="A3037" s="21">
        <v>3036</v>
      </c>
      <c r="B3037" s="7" t="s">
        <v>6828</v>
      </c>
      <c r="C3037" s="7" t="s">
        <v>6829</v>
      </c>
      <c r="G3037" s="8" t="s">
        <v>15</v>
      </c>
    </row>
    <row r="3038" spans="1:7" hidden="1" x14ac:dyDescent="0.25">
      <c r="A3038" s="21">
        <v>3037</v>
      </c>
      <c r="B3038" s="7" t="s">
        <v>6830</v>
      </c>
      <c r="C3038" s="7" t="s">
        <v>6831</v>
      </c>
      <c r="G3038" s="8" t="s">
        <v>15</v>
      </c>
    </row>
    <row r="3039" spans="1:7" hidden="1" x14ac:dyDescent="0.25">
      <c r="A3039" s="21">
        <v>3038</v>
      </c>
      <c r="B3039" s="7" t="s">
        <v>6832</v>
      </c>
      <c r="C3039" s="7" t="s">
        <v>6833</v>
      </c>
      <c r="G3039" s="8" t="s">
        <v>15</v>
      </c>
    </row>
    <row r="3040" spans="1:7" hidden="1" x14ac:dyDescent="0.25">
      <c r="A3040" s="21">
        <v>3039</v>
      </c>
      <c r="B3040" s="7" t="s">
        <v>6834</v>
      </c>
      <c r="C3040" s="7" t="s">
        <v>6835</v>
      </c>
      <c r="G3040" s="8" t="s">
        <v>15</v>
      </c>
    </row>
    <row r="3041" spans="1:7" hidden="1" x14ac:dyDescent="0.25">
      <c r="A3041" s="21">
        <v>3040</v>
      </c>
      <c r="B3041" s="7" t="s">
        <v>6836</v>
      </c>
      <c r="C3041" s="7" t="s">
        <v>6837</v>
      </c>
      <c r="G3041" s="8" t="s">
        <v>15</v>
      </c>
    </row>
    <row r="3042" spans="1:7" hidden="1" x14ac:dyDescent="0.25">
      <c r="A3042" s="21">
        <v>3041</v>
      </c>
      <c r="B3042" s="7" t="s">
        <v>6838</v>
      </c>
      <c r="C3042" s="7" t="s">
        <v>6839</v>
      </c>
      <c r="G3042" s="8" t="s">
        <v>15</v>
      </c>
    </row>
    <row r="3043" spans="1:7" hidden="1" x14ac:dyDescent="0.25">
      <c r="A3043" s="21">
        <v>3042</v>
      </c>
      <c r="B3043" s="7" t="s">
        <v>6840</v>
      </c>
      <c r="C3043" s="7" t="s">
        <v>6841</v>
      </c>
      <c r="G3043" s="8" t="s">
        <v>15</v>
      </c>
    </row>
    <row r="3044" spans="1:7" hidden="1" x14ac:dyDescent="0.25">
      <c r="A3044" s="21">
        <v>3043</v>
      </c>
      <c r="B3044" s="7" t="s">
        <v>6842</v>
      </c>
      <c r="C3044" s="7" t="s">
        <v>6843</v>
      </c>
      <c r="G3044" s="8" t="s">
        <v>15</v>
      </c>
    </row>
    <row r="3045" spans="1:7" hidden="1" x14ac:dyDescent="0.25">
      <c r="A3045" s="21">
        <v>3044</v>
      </c>
      <c r="B3045" s="7" t="s">
        <v>6844</v>
      </c>
      <c r="C3045" s="7" t="s">
        <v>6845</v>
      </c>
      <c r="G3045" s="8" t="s">
        <v>15</v>
      </c>
    </row>
    <row r="3046" spans="1:7" hidden="1" x14ac:dyDescent="0.25">
      <c r="A3046" s="21">
        <v>3045</v>
      </c>
      <c r="B3046" s="7" t="s">
        <v>6846</v>
      </c>
      <c r="C3046" s="7" t="s">
        <v>6847</v>
      </c>
      <c r="G3046" s="8" t="s">
        <v>15</v>
      </c>
    </row>
    <row r="3047" spans="1:7" hidden="1" x14ac:dyDescent="0.25">
      <c r="A3047" s="21">
        <v>3046</v>
      </c>
      <c r="B3047" s="7" t="s">
        <v>6848</v>
      </c>
      <c r="C3047" s="7" t="s">
        <v>6849</v>
      </c>
      <c r="G3047" s="8" t="s">
        <v>15</v>
      </c>
    </row>
    <row r="3048" spans="1:7" hidden="1" x14ac:dyDescent="0.25">
      <c r="A3048" s="21">
        <v>3047</v>
      </c>
      <c r="B3048" s="7" t="s">
        <v>6850</v>
      </c>
      <c r="C3048" s="7" t="s">
        <v>6851</v>
      </c>
      <c r="G3048" s="8" t="s">
        <v>15</v>
      </c>
    </row>
    <row r="3049" spans="1:7" hidden="1" x14ac:dyDescent="0.25">
      <c r="A3049" s="21">
        <v>3048</v>
      </c>
      <c r="B3049" s="7" t="s">
        <v>6852</v>
      </c>
      <c r="C3049" s="7" t="s">
        <v>6853</v>
      </c>
      <c r="G3049" s="8" t="s">
        <v>15</v>
      </c>
    </row>
    <row r="3050" spans="1:7" hidden="1" x14ac:dyDescent="0.25">
      <c r="A3050" s="21">
        <v>3049</v>
      </c>
      <c r="B3050" s="7" t="s">
        <v>6854</v>
      </c>
      <c r="C3050" s="7" t="s">
        <v>6855</v>
      </c>
      <c r="G3050" s="8" t="s">
        <v>15</v>
      </c>
    </row>
    <row r="3051" spans="1:7" hidden="1" x14ac:dyDescent="0.25">
      <c r="A3051" s="21">
        <v>3050</v>
      </c>
      <c r="B3051" s="7" t="s">
        <v>6856</v>
      </c>
      <c r="C3051" s="7" t="s">
        <v>6857</v>
      </c>
      <c r="G3051" s="8" t="s">
        <v>15</v>
      </c>
    </row>
    <row r="3052" spans="1:7" hidden="1" x14ac:dyDescent="0.25">
      <c r="A3052" s="21">
        <v>3051</v>
      </c>
      <c r="B3052" s="7" t="s">
        <v>6858</v>
      </c>
      <c r="C3052" s="7" t="s">
        <v>6859</v>
      </c>
      <c r="G3052" s="8" t="s">
        <v>15</v>
      </c>
    </row>
    <row r="3053" spans="1:7" hidden="1" x14ac:dyDescent="0.25">
      <c r="A3053" s="21">
        <v>3052</v>
      </c>
      <c r="B3053" s="7" t="s">
        <v>6860</v>
      </c>
      <c r="C3053" s="7" t="s">
        <v>6861</v>
      </c>
      <c r="G3053" s="8" t="s">
        <v>15</v>
      </c>
    </row>
    <row r="3054" spans="1:7" hidden="1" x14ac:dyDescent="0.25">
      <c r="A3054" s="21">
        <v>3053</v>
      </c>
      <c r="B3054" s="7" t="s">
        <v>6862</v>
      </c>
      <c r="C3054" s="7" t="s">
        <v>6863</v>
      </c>
      <c r="G3054" s="8" t="s">
        <v>15</v>
      </c>
    </row>
    <row r="3055" spans="1:7" hidden="1" x14ac:dyDescent="0.25">
      <c r="A3055" s="21">
        <v>3054</v>
      </c>
      <c r="B3055" s="7" t="s">
        <v>6864</v>
      </c>
      <c r="C3055" s="7" t="s">
        <v>6865</v>
      </c>
      <c r="G3055" s="8" t="s">
        <v>15</v>
      </c>
    </row>
    <row r="3056" spans="1:7" hidden="1" x14ac:dyDescent="0.25">
      <c r="A3056" s="21">
        <v>3055</v>
      </c>
      <c r="B3056" s="7" t="s">
        <v>6866</v>
      </c>
      <c r="C3056" s="7" t="s">
        <v>6867</v>
      </c>
      <c r="G3056" s="8" t="s">
        <v>15</v>
      </c>
    </row>
    <row r="3057" spans="1:7" hidden="1" x14ac:dyDescent="0.25">
      <c r="A3057" s="21">
        <v>3056</v>
      </c>
      <c r="B3057" s="7" t="s">
        <v>6868</v>
      </c>
      <c r="C3057" s="7" t="s">
        <v>6869</v>
      </c>
      <c r="G3057" s="8" t="s">
        <v>15</v>
      </c>
    </row>
    <row r="3058" spans="1:7" hidden="1" x14ac:dyDescent="0.25">
      <c r="A3058" s="21">
        <v>3057</v>
      </c>
      <c r="B3058" s="7" t="s">
        <v>6870</v>
      </c>
      <c r="C3058" s="7" t="s">
        <v>6871</v>
      </c>
      <c r="G3058" s="8" t="s">
        <v>15</v>
      </c>
    </row>
    <row r="3059" spans="1:7" hidden="1" x14ac:dyDescent="0.25">
      <c r="A3059" s="21">
        <v>3058</v>
      </c>
      <c r="B3059" s="7" t="s">
        <v>6872</v>
      </c>
      <c r="C3059" s="7" t="s">
        <v>6873</v>
      </c>
      <c r="G3059" s="8" t="s">
        <v>15</v>
      </c>
    </row>
    <row r="3060" spans="1:7" hidden="1" x14ac:dyDescent="0.25">
      <c r="A3060" s="21">
        <v>3059</v>
      </c>
      <c r="B3060" s="7" t="s">
        <v>6874</v>
      </c>
      <c r="C3060" s="7" t="s">
        <v>6875</v>
      </c>
      <c r="G3060" s="8" t="s">
        <v>15</v>
      </c>
    </row>
    <row r="3061" spans="1:7" hidden="1" x14ac:dyDescent="0.25">
      <c r="A3061" s="21">
        <v>3060</v>
      </c>
      <c r="B3061" s="7" t="s">
        <v>6876</v>
      </c>
      <c r="C3061" s="7" t="s">
        <v>6877</v>
      </c>
      <c r="G3061" s="8" t="s">
        <v>15</v>
      </c>
    </row>
    <row r="3062" spans="1:7" hidden="1" x14ac:dyDescent="0.25">
      <c r="A3062" s="21">
        <v>3061</v>
      </c>
      <c r="B3062" s="7" t="s">
        <v>6878</v>
      </c>
      <c r="C3062" s="7" t="s">
        <v>6879</v>
      </c>
      <c r="G3062" s="8" t="s">
        <v>15</v>
      </c>
    </row>
    <row r="3063" spans="1:7" hidden="1" x14ac:dyDescent="0.25">
      <c r="A3063" s="21">
        <v>3062</v>
      </c>
      <c r="B3063" s="7" t="s">
        <v>6880</v>
      </c>
      <c r="C3063" s="7" t="s">
        <v>6881</v>
      </c>
      <c r="G3063" s="8" t="s">
        <v>15</v>
      </c>
    </row>
    <row r="3064" spans="1:7" hidden="1" x14ac:dyDescent="0.25">
      <c r="A3064" s="21">
        <v>3063</v>
      </c>
      <c r="B3064" s="7" t="s">
        <v>6882</v>
      </c>
      <c r="C3064" s="7" t="s">
        <v>6883</v>
      </c>
      <c r="G3064" s="8" t="s">
        <v>15</v>
      </c>
    </row>
    <row r="3065" spans="1:7" hidden="1" x14ac:dyDescent="0.25">
      <c r="A3065" s="21">
        <v>3064</v>
      </c>
      <c r="B3065" s="7" t="s">
        <v>6884</v>
      </c>
      <c r="C3065" s="7" t="s">
        <v>6885</v>
      </c>
      <c r="G3065" s="8" t="s">
        <v>15</v>
      </c>
    </row>
    <row r="3066" spans="1:7" hidden="1" x14ac:dyDescent="0.25">
      <c r="A3066" s="21">
        <v>3065</v>
      </c>
      <c r="B3066" s="7" t="s">
        <v>6886</v>
      </c>
      <c r="C3066" s="7" t="s">
        <v>6887</v>
      </c>
      <c r="G3066" s="8" t="s">
        <v>15</v>
      </c>
    </row>
    <row r="3067" spans="1:7" hidden="1" x14ac:dyDescent="0.25">
      <c r="A3067" s="21">
        <v>3066</v>
      </c>
      <c r="B3067" s="7" t="s">
        <v>6888</v>
      </c>
      <c r="C3067" s="7" t="s">
        <v>6889</v>
      </c>
      <c r="G3067" s="8" t="s">
        <v>15</v>
      </c>
    </row>
    <row r="3068" spans="1:7" hidden="1" x14ac:dyDescent="0.25">
      <c r="A3068" s="21">
        <v>3067</v>
      </c>
      <c r="B3068" s="7" t="s">
        <v>6890</v>
      </c>
      <c r="C3068" s="7" t="s">
        <v>6891</v>
      </c>
      <c r="G3068" s="8" t="s">
        <v>15</v>
      </c>
    </row>
    <row r="3069" spans="1:7" hidden="1" x14ac:dyDescent="0.25">
      <c r="A3069" s="21">
        <v>3068</v>
      </c>
      <c r="B3069" s="7" t="s">
        <v>6892</v>
      </c>
      <c r="C3069" s="7" t="s">
        <v>6893</v>
      </c>
      <c r="G3069" s="8" t="s">
        <v>15</v>
      </c>
    </row>
    <row r="3070" spans="1:7" hidden="1" x14ac:dyDescent="0.25">
      <c r="A3070" s="21">
        <v>3069</v>
      </c>
      <c r="B3070" s="7" t="s">
        <v>6894</v>
      </c>
      <c r="C3070" s="7" t="s">
        <v>6895</v>
      </c>
      <c r="G3070" s="8" t="s">
        <v>15</v>
      </c>
    </row>
    <row r="3071" spans="1:7" hidden="1" x14ac:dyDescent="0.25">
      <c r="A3071" s="21">
        <v>3070</v>
      </c>
      <c r="B3071" s="7" t="s">
        <v>6896</v>
      </c>
      <c r="C3071" s="7" t="s">
        <v>6897</v>
      </c>
      <c r="G3071" s="8" t="s">
        <v>15</v>
      </c>
    </row>
    <row r="3072" spans="1:7" hidden="1" x14ac:dyDescent="0.25">
      <c r="A3072" s="21">
        <v>3071</v>
      </c>
      <c r="B3072" s="7" t="s">
        <v>6898</v>
      </c>
      <c r="C3072" s="7" t="s">
        <v>6899</v>
      </c>
      <c r="G3072" s="8" t="s">
        <v>15</v>
      </c>
    </row>
    <row r="3073" spans="1:7" hidden="1" x14ac:dyDescent="0.25">
      <c r="A3073" s="21">
        <v>3072</v>
      </c>
      <c r="B3073" s="7" t="s">
        <v>6900</v>
      </c>
      <c r="C3073" s="7" t="s">
        <v>6901</v>
      </c>
      <c r="G3073" s="8" t="s">
        <v>15</v>
      </c>
    </row>
    <row r="3074" spans="1:7" hidden="1" x14ac:dyDescent="0.25">
      <c r="A3074" s="21">
        <v>3073</v>
      </c>
      <c r="B3074" s="7" t="s">
        <v>6902</v>
      </c>
      <c r="C3074" s="7" t="s">
        <v>6903</v>
      </c>
      <c r="G3074" s="8" t="s">
        <v>15</v>
      </c>
    </row>
    <row r="3075" spans="1:7" hidden="1" x14ac:dyDescent="0.25">
      <c r="A3075" s="21">
        <v>3074</v>
      </c>
      <c r="B3075" s="7" t="s">
        <v>6904</v>
      </c>
      <c r="C3075" s="7" t="s">
        <v>6905</v>
      </c>
      <c r="G3075" s="8" t="s">
        <v>15</v>
      </c>
    </row>
    <row r="3076" spans="1:7" hidden="1" x14ac:dyDescent="0.25">
      <c r="A3076" s="21">
        <v>3075</v>
      </c>
      <c r="B3076" s="7" t="s">
        <v>6906</v>
      </c>
      <c r="C3076" s="7" t="s">
        <v>6907</v>
      </c>
      <c r="G3076" s="8" t="s">
        <v>15</v>
      </c>
    </row>
    <row r="3077" spans="1:7" hidden="1" x14ac:dyDescent="0.25">
      <c r="A3077" s="21">
        <v>3076</v>
      </c>
      <c r="B3077" s="7" t="s">
        <v>6908</v>
      </c>
      <c r="C3077" s="7" t="s">
        <v>6909</v>
      </c>
      <c r="G3077" s="8" t="s">
        <v>15</v>
      </c>
    </row>
    <row r="3078" spans="1:7" hidden="1" x14ac:dyDescent="0.25">
      <c r="A3078" s="21">
        <v>3077</v>
      </c>
      <c r="B3078" s="7" t="s">
        <v>6910</v>
      </c>
      <c r="C3078" s="7" t="s">
        <v>6911</v>
      </c>
      <c r="G3078" s="8" t="s">
        <v>15</v>
      </c>
    </row>
    <row r="3079" spans="1:7" hidden="1" x14ac:dyDescent="0.25">
      <c r="A3079" s="21">
        <v>3078</v>
      </c>
      <c r="B3079" s="7" t="s">
        <v>6912</v>
      </c>
      <c r="C3079" s="7" t="s">
        <v>6913</v>
      </c>
      <c r="G3079" s="8" t="s">
        <v>15</v>
      </c>
    </row>
    <row r="3080" spans="1:7" hidden="1" x14ac:dyDescent="0.25">
      <c r="A3080" s="21">
        <v>3079</v>
      </c>
      <c r="B3080" s="7" t="s">
        <v>6914</v>
      </c>
      <c r="C3080" s="7" t="s">
        <v>6915</v>
      </c>
      <c r="G3080" s="8" t="s">
        <v>15</v>
      </c>
    </row>
    <row r="3081" spans="1:7" hidden="1" x14ac:dyDescent="0.25">
      <c r="A3081" s="21">
        <v>3080</v>
      </c>
      <c r="B3081" s="7" t="s">
        <v>6916</v>
      </c>
      <c r="C3081" s="7" t="s">
        <v>6917</v>
      </c>
      <c r="G3081" s="8" t="s">
        <v>15</v>
      </c>
    </row>
    <row r="3082" spans="1:7" hidden="1" x14ac:dyDescent="0.25">
      <c r="A3082" s="21">
        <v>3081</v>
      </c>
      <c r="B3082" s="7" t="s">
        <v>6918</v>
      </c>
      <c r="C3082" s="7" t="s">
        <v>6919</v>
      </c>
      <c r="G3082" s="8" t="s">
        <v>15</v>
      </c>
    </row>
    <row r="3083" spans="1:7" hidden="1" x14ac:dyDescent="0.25">
      <c r="A3083" s="21">
        <v>3082</v>
      </c>
      <c r="B3083" s="7" t="s">
        <v>6920</v>
      </c>
      <c r="C3083" s="7" t="s">
        <v>6921</v>
      </c>
      <c r="G3083" s="8" t="s">
        <v>15</v>
      </c>
    </row>
    <row r="3084" spans="1:7" hidden="1" x14ac:dyDescent="0.25">
      <c r="A3084" s="21">
        <v>3083</v>
      </c>
      <c r="B3084" s="7" t="s">
        <v>6922</v>
      </c>
      <c r="C3084" s="7" t="s">
        <v>6923</v>
      </c>
      <c r="G3084" s="8" t="s">
        <v>15</v>
      </c>
    </row>
    <row r="3085" spans="1:7" hidden="1" x14ac:dyDescent="0.25">
      <c r="A3085" s="21">
        <v>3084</v>
      </c>
      <c r="B3085" s="7" t="s">
        <v>6924</v>
      </c>
      <c r="C3085" s="7" t="s">
        <v>6925</v>
      </c>
      <c r="G3085" s="8" t="s">
        <v>15</v>
      </c>
    </row>
    <row r="3086" spans="1:7" hidden="1" x14ac:dyDescent="0.25">
      <c r="A3086" s="21">
        <v>3085</v>
      </c>
      <c r="B3086" s="7" t="s">
        <v>6926</v>
      </c>
      <c r="C3086" s="7" t="s">
        <v>6927</v>
      </c>
      <c r="G3086" s="8" t="s">
        <v>15</v>
      </c>
    </row>
    <row r="3087" spans="1:7" hidden="1" x14ac:dyDescent="0.25">
      <c r="A3087" s="21">
        <v>3086</v>
      </c>
      <c r="B3087" s="7" t="s">
        <v>6928</v>
      </c>
      <c r="C3087" s="7" t="s">
        <v>6929</v>
      </c>
      <c r="G3087" s="8" t="s">
        <v>15</v>
      </c>
    </row>
    <row r="3088" spans="1:7" hidden="1" x14ac:dyDescent="0.25">
      <c r="A3088" s="21">
        <v>3087</v>
      </c>
      <c r="B3088" s="7" t="s">
        <v>6930</v>
      </c>
      <c r="C3088" s="7" t="s">
        <v>6931</v>
      </c>
      <c r="G3088" s="8" t="s">
        <v>15</v>
      </c>
    </row>
    <row r="3089" spans="1:7" hidden="1" x14ac:dyDescent="0.25">
      <c r="A3089" s="21">
        <v>3088</v>
      </c>
      <c r="B3089" s="7" t="s">
        <v>6932</v>
      </c>
      <c r="C3089" s="7" t="s">
        <v>6933</v>
      </c>
      <c r="G3089" s="8" t="s">
        <v>15</v>
      </c>
    </row>
    <row r="3090" spans="1:7" hidden="1" x14ac:dyDescent="0.25">
      <c r="A3090" s="21">
        <v>3089</v>
      </c>
      <c r="B3090" s="7" t="s">
        <v>6934</v>
      </c>
      <c r="C3090" s="7" t="s">
        <v>6935</v>
      </c>
      <c r="G3090" s="8" t="s">
        <v>15</v>
      </c>
    </row>
    <row r="3091" spans="1:7" hidden="1" x14ac:dyDescent="0.25">
      <c r="A3091" s="21">
        <v>3090</v>
      </c>
      <c r="B3091" s="7" t="s">
        <v>6936</v>
      </c>
      <c r="C3091" s="7" t="s">
        <v>6937</v>
      </c>
      <c r="G3091" s="8" t="s">
        <v>15</v>
      </c>
    </row>
    <row r="3092" spans="1:7" hidden="1" x14ac:dyDescent="0.25">
      <c r="A3092" s="21">
        <v>3091</v>
      </c>
      <c r="B3092" s="7" t="s">
        <v>6938</v>
      </c>
      <c r="C3092" s="7" t="s">
        <v>6939</v>
      </c>
      <c r="G3092" s="8" t="s">
        <v>15</v>
      </c>
    </row>
    <row r="3093" spans="1:7" hidden="1" x14ac:dyDescent="0.25">
      <c r="A3093" s="21">
        <v>3092</v>
      </c>
      <c r="B3093" s="7" t="s">
        <v>6940</v>
      </c>
      <c r="C3093" s="7" t="s">
        <v>6941</v>
      </c>
      <c r="G3093" s="8" t="s">
        <v>15</v>
      </c>
    </row>
    <row r="3094" spans="1:7" hidden="1" x14ac:dyDescent="0.25">
      <c r="A3094" s="21">
        <v>3093</v>
      </c>
      <c r="B3094" s="7" t="s">
        <v>6942</v>
      </c>
      <c r="C3094" s="7" t="s">
        <v>6943</v>
      </c>
      <c r="G3094" s="8" t="s">
        <v>15</v>
      </c>
    </row>
    <row r="3095" spans="1:7" hidden="1" x14ac:dyDescent="0.25">
      <c r="A3095" s="21">
        <v>3094</v>
      </c>
      <c r="B3095" s="7" t="s">
        <v>6944</v>
      </c>
      <c r="C3095" s="7" t="s">
        <v>6945</v>
      </c>
      <c r="G3095" s="8" t="s">
        <v>15</v>
      </c>
    </row>
    <row r="3096" spans="1:7" hidden="1" x14ac:dyDescent="0.25">
      <c r="A3096" s="21">
        <v>3095</v>
      </c>
      <c r="B3096" s="7" t="s">
        <v>6946</v>
      </c>
      <c r="C3096" s="7" t="s">
        <v>6947</v>
      </c>
      <c r="G3096" s="8" t="s">
        <v>15</v>
      </c>
    </row>
    <row r="3097" spans="1:7" hidden="1" x14ac:dyDescent="0.25">
      <c r="A3097" s="21">
        <v>3096</v>
      </c>
      <c r="B3097" s="7" t="s">
        <v>6948</v>
      </c>
      <c r="C3097" s="7" t="s">
        <v>6949</v>
      </c>
      <c r="G3097" s="8" t="s">
        <v>15</v>
      </c>
    </row>
    <row r="3098" spans="1:7" hidden="1" x14ac:dyDescent="0.25">
      <c r="A3098" s="21">
        <v>3097</v>
      </c>
      <c r="B3098" s="7" t="s">
        <v>6950</v>
      </c>
      <c r="C3098" s="7" t="s">
        <v>6951</v>
      </c>
      <c r="G3098" s="8" t="s">
        <v>15</v>
      </c>
    </row>
    <row r="3099" spans="1:7" hidden="1" x14ac:dyDescent="0.25">
      <c r="A3099" s="21">
        <v>3098</v>
      </c>
      <c r="B3099" s="7" t="s">
        <v>6952</v>
      </c>
      <c r="C3099" s="7" t="s">
        <v>6953</v>
      </c>
      <c r="G3099" s="8" t="s">
        <v>15</v>
      </c>
    </row>
    <row r="3100" spans="1:7" hidden="1" x14ac:dyDescent="0.25">
      <c r="A3100" s="21">
        <v>3099</v>
      </c>
      <c r="B3100" s="7" t="s">
        <v>6954</v>
      </c>
      <c r="C3100" s="7" t="s">
        <v>6955</v>
      </c>
      <c r="G3100" s="8" t="s">
        <v>15</v>
      </c>
    </row>
    <row r="3101" spans="1:7" hidden="1" x14ac:dyDescent="0.25">
      <c r="A3101" s="21">
        <v>3100</v>
      </c>
      <c r="B3101" s="7" t="s">
        <v>6956</v>
      </c>
      <c r="C3101" s="7" t="s">
        <v>6957</v>
      </c>
      <c r="G3101" s="8" t="s">
        <v>15</v>
      </c>
    </row>
    <row r="3102" spans="1:7" hidden="1" x14ac:dyDescent="0.25">
      <c r="A3102" s="21">
        <v>3101</v>
      </c>
      <c r="B3102" s="7" t="s">
        <v>6958</v>
      </c>
      <c r="C3102" s="7" t="s">
        <v>6959</v>
      </c>
      <c r="G3102" s="8" t="s">
        <v>15</v>
      </c>
    </row>
    <row r="3103" spans="1:7" hidden="1" x14ac:dyDescent="0.25">
      <c r="A3103" s="21">
        <v>3102</v>
      </c>
      <c r="B3103" s="7" t="s">
        <v>6960</v>
      </c>
      <c r="C3103" s="7" t="s">
        <v>6961</v>
      </c>
      <c r="G3103" s="8" t="s">
        <v>15</v>
      </c>
    </row>
    <row r="3104" spans="1:7" hidden="1" x14ac:dyDescent="0.25">
      <c r="A3104" s="21">
        <v>3103</v>
      </c>
      <c r="B3104" s="7" t="s">
        <v>6962</v>
      </c>
      <c r="C3104" s="7" t="s">
        <v>6963</v>
      </c>
      <c r="G3104" s="8" t="s">
        <v>15</v>
      </c>
    </row>
    <row r="3105" spans="1:7" hidden="1" x14ac:dyDescent="0.25">
      <c r="A3105" s="21">
        <v>3104</v>
      </c>
      <c r="B3105" s="7" t="s">
        <v>6964</v>
      </c>
      <c r="C3105" s="7" t="s">
        <v>6965</v>
      </c>
      <c r="G3105" s="8" t="s">
        <v>15</v>
      </c>
    </row>
    <row r="3106" spans="1:7" hidden="1" x14ac:dyDescent="0.25">
      <c r="A3106" s="21">
        <v>3105</v>
      </c>
      <c r="B3106" s="7" t="s">
        <v>6966</v>
      </c>
      <c r="C3106" s="7" t="s">
        <v>6967</v>
      </c>
      <c r="G3106" s="8" t="s">
        <v>15</v>
      </c>
    </row>
    <row r="3107" spans="1:7" hidden="1" x14ac:dyDescent="0.25">
      <c r="A3107" s="21">
        <v>3106</v>
      </c>
      <c r="B3107" s="7" t="s">
        <v>6968</v>
      </c>
      <c r="C3107" s="7" t="s">
        <v>6969</v>
      </c>
      <c r="G3107" s="8" t="s">
        <v>15</v>
      </c>
    </row>
    <row r="3108" spans="1:7" hidden="1" x14ac:dyDescent="0.25">
      <c r="A3108" s="21">
        <v>3107</v>
      </c>
      <c r="B3108" s="7" t="s">
        <v>6970</v>
      </c>
      <c r="C3108" s="7" t="s">
        <v>6971</v>
      </c>
      <c r="G3108" s="8" t="s">
        <v>15</v>
      </c>
    </row>
    <row r="3109" spans="1:7" hidden="1" x14ac:dyDescent="0.25">
      <c r="A3109" s="21">
        <v>3108</v>
      </c>
      <c r="B3109" s="7" t="s">
        <v>6972</v>
      </c>
      <c r="C3109" s="7" t="s">
        <v>6973</v>
      </c>
      <c r="G3109" s="8" t="s">
        <v>15</v>
      </c>
    </row>
    <row r="3110" spans="1:7" hidden="1" x14ac:dyDescent="0.25">
      <c r="A3110" s="21">
        <v>3109</v>
      </c>
      <c r="B3110" s="7" t="s">
        <v>6974</v>
      </c>
      <c r="C3110" s="7" t="s">
        <v>6975</v>
      </c>
      <c r="G3110" s="8" t="s">
        <v>15</v>
      </c>
    </row>
    <row r="3111" spans="1:7" hidden="1" x14ac:dyDescent="0.25">
      <c r="A3111" s="21">
        <v>3110</v>
      </c>
      <c r="B3111" s="7" t="s">
        <v>6976</v>
      </c>
      <c r="C3111" s="7" t="s">
        <v>6977</v>
      </c>
      <c r="G3111" s="8" t="s">
        <v>15</v>
      </c>
    </row>
    <row r="3112" spans="1:7" hidden="1" x14ac:dyDescent="0.25">
      <c r="A3112" s="21">
        <v>3111</v>
      </c>
      <c r="B3112" s="7" t="s">
        <v>6978</v>
      </c>
      <c r="C3112" s="7" t="s">
        <v>6979</v>
      </c>
      <c r="G3112" s="8" t="s">
        <v>15</v>
      </c>
    </row>
    <row r="3113" spans="1:7" hidden="1" x14ac:dyDescent="0.25">
      <c r="A3113" s="21">
        <v>3112</v>
      </c>
      <c r="B3113" s="7" t="s">
        <v>6980</v>
      </c>
      <c r="C3113" s="7" t="s">
        <v>6981</v>
      </c>
      <c r="G3113" s="8" t="s">
        <v>15</v>
      </c>
    </row>
    <row r="3114" spans="1:7" hidden="1" x14ac:dyDescent="0.25">
      <c r="A3114" s="21">
        <v>3113</v>
      </c>
      <c r="B3114" s="7" t="s">
        <v>6982</v>
      </c>
      <c r="C3114" s="7" t="s">
        <v>6983</v>
      </c>
      <c r="G3114" s="8" t="s">
        <v>15</v>
      </c>
    </row>
    <row r="3115" spans="1:7" hidden="1" x14ac:dyDescent="0.25">
      <c r="A3115" s="21">
        <v>3114</v>
      </c>
      <c r="B3115" s="7" t="s">
        <v>6984</v>
      </c>
      <c r="C3115" s="7" t="s">
        <v>6985</v>
      </c>
      <c r="G3115" s="8" t="s">
        <v>15</v>
      </c>
    </row>
    <row r="3116" spans="1:7" hidden="1" x14ac:dyDescent="0.25">
      <c r="A3116" s="21">
        <v>3115</v>
      </c>
      <c r="B3116" s="7" t="s">
        <v>6986</v>
      </c>
      <c r="C3116" s="7" t="s">
        <v>6987</v>
      </c>
      <c r="G3116" s="8" t="s">
        <v>15</v>
      </c>
    </row>
    <row r="3117" spans="1:7" hidden="1" x14ac:dyDescent="0.25">
      <c r="A3117" s="21">
        <v>3116</v>
      </c>
      <c r="B3117" s="7" t="s">
        <v>6988</v>
      </c>
      <c r="C3117" s="7" t="s">
        <v>6989</v>
      </c>
      <c r="G3117" s="8" t="s">
        <v>15</v>
      </c>
    </row>
    <row r="3118" spans="1:7" hidden="1" x14ac:dyDescent="0.25">
      <c r="A3118" s="21">
        <v>3117</v>
      </c>
      <c r="B3118" s="7" t="s">
        <v>6990</v>
      </c>
      <c r="C3118" s="7" t="s">
        <v>6991</v>
      </c>
      <c r="G3118" s="8" t="s">
        <v>15</v>
      </c>
    </row>
    <row r="3119" spans="1:7" hidden="1" x14ac:dyDescent="0.25">
      <c r="A3119" s="21">
        <v>3118</v>
      </c>
      <c r="B3119" s="7" t="s">
        <v>6992</v>
      </c>
      <c r="C3119" s="7" t="s">
        <v>6993</v>
      </c>
      <c r="G3119" s="8" t="s">
        <v>15</v>
      </c>
    </row>
    <row r="3120" spans="1:7" hidden="1" x14ac:dyDescent="0.25">
      <c r="A3120" s="21">
        <v>3119</v>
      </c>
      <c r="B3120" s="7" t="s">
        <v>6994</v>
      </c>
      <c r="C3120" s="7" t="s">
        <v>6995</v>
      </c>
      <c r="G3120" s="8" t="s">
        <v>15</v>
      </c>
    </row>
    <row r="3121" spans="1:7" hidden="1" x14ac:dyDescent="0.25">
      <c r="A3121" s="21">
        <v>3120</v>
      </c>
      <c r="B3121" s="7" t="s">
        <v>6996</v>
      </c>
      <c r="C3121" s="7" t="s">
        <v>6997</v>
      </c>
      <c r="G3121" s="8" t="s">
        <v>15</v>
      </c>
    </row>
    <row r="3122" spans="1:7" hidden="1" x14ac:dyDescent="0.25">
      <c r="A3122" s="21">
        <v>3121</v>
      </c>
      <c r="B3122" s="7" t="s">
        <v>6998</v>
      </c>
      <c r="C3122" s="7" t="s">
        <v>6999</v>
      </c>
      <c r="G3122" s="8" t="s">
        <v>15</v>
      </c>
    </row>
    <row r="3123" spans="1:7" hidden="1" x14ac:dyDescent="0.25">
      <c r="A3123" s="21">
        <v>3122</v>
      </c>
      <c r="B3123" s="7" t="s">
        <v>7000</v>
      </c>
      <c r="C3123" s="7" t="s">
        <v>7001</v>
      </c>
      <c r="G3123" s="8" t="s">
        <v>15</v>
      </c>
    </row>
    <row r="3124" spans="1:7" hidden="1" x14ac:dyDescent="0.25">
      <c r="A3124" s="21">
        <v>3123</v>
      </c>
      <c r="B3124" s="7" t="s">
        <v>7002</v>
      </c>
      <c r="C3124" s="7" t="s">
        <v>7003</v>
      </c>
      <c r="G3124" s="8" t="s">
        <v>15</v>
      </c>
    </row>
    <row r="3125" spans="1:7" hidden="1" x14ac:dyDescent="0.25">
      <c r="A3125" s="21">
        <v>3124</v>
      </c>
      <c r="B3125" s="7" t="s">
        <v>7004</v>
      </c>
      <c r="C3125" s="7" t="s">
        <v>7005</v>
      </c>
      <c r="G3125" s="8" t="s">
        <v>15</v>
      </c>
    </row>
    <row r="3126" spans="1:7" hidden="1" x14ac:dyDescent="0.25">
      <c r="A3126" s="21">
        <v>3125</v>
      </c>
      <c r="B3126" s="7" t="s">
        <v>7006</v>
      </c>
      <c r="C3126" s="7" t="s">
        <v>7007</v>
      </c>
      <c r="G3126" s="8" t="s">
        <v>15</v>
      </c>
    </row>
    <row r="3127" spans="1:7" hidden="1" x14ac:dyDescent="0.25">
      <c r="A3127" s="21">
        <v>3126</v>
      </c>
      <c r="B3127" s="7" t="s">
        <v>7008</v>
      </c>
      <c r="C3127" s="7" t="s">
        <v>7009</v>
      </c>
      <c r="G3127" s="8" t="s">
        <v>15</v>
      </c>
    </row>
    <row r="3128" spans="1:7" hidden="1" x14ac:dyDescent="0.25">
      <c r="A3128" s="21">
        <v>3127</v>
      </c>
      <c r="B3128" s="7" t="s">
        <v>7010</v>
      </c>
      <c r="C3128" s="7" t="s">
        <v>7011</v>
      </c>
      <c r="G3128" s="8" t="s">
        <v>15</v>
      </c>
    </row>
    <row r="3129" spans="1:7" hidden="1" x14ac:dyDescent="0.25">
      <c r="A3129" s="21">
        <v>3128</v>
      </c>
      <c r="B3129" s="7" t="s">
        <v>7012</v>
      </c>
      <c r="C3129" s="7" t="s">
        <v>7013</v>
      </c>
      <c r="G3129" s="8" t="s">
        <v>15</v>
      </c>
    </row>
    <row r="3130" spans="1:7" hidden="1" x14ac:dyDescent="0.25">
      <c r="A3130" s="21">
        <v>3129</v>
      </c>
      <c r="B3130" s="7" t="s">
        <v>7014</v>
      </c>
      <c r="C3130" s="7" t="s">
        <v>7015</v>
      </c>
      <c r="G3130" s="8" t="s">
        <v>15</v>
      </c>
    </row>
    <row r="3131" spans="1:7" hidden="1" x14ac:dyDescent="0.25">
      <c r="A3131" s="21">
        <v>3130</v>
      </c>
      <c r="B3131" s="7" t="s">
        <v>7016</v>
      </c>
      <c r="C3131" s="7" t="s">
        <v>7017</v>
      </c>
      <c r="G3131" s="8" t="s">
        <v>15</v>
      </c>
    </row>
    <row r="3132" spans="1:7" hidden="1" x14ac:dyDescent="0.25">
      <c r="A3132" s="21">
        <v>3131</v>
      </c>
      <c r="B3132" s="7" t="s">
        <v>7018</v>
      </c>
      <c r="C3132" s="7" t="s">
        <v>7019</v>
      </c>
      <c r="G3132" s="8" t="s">
        <v>15</v>
      </c>
    </row>
    <row r="3133" spans="1:7" hidden="1" x14ac:dyDescent="0.25">
      <c r="A3133" s="21">
        <v>3132</v>
      </c>
      <c r="B3133" s="7" t="s">
        <v>7020</v>
      </c>
      <c r="C3133" s="7" t="s">
        <v>7021</v>
      </c>
      <c r="G3133" s="8" t="s">
        <v>15</v>
      </c>
    </row>
    <row r="3134" spans="1:7" hidden="1" x14ac:dyDescent="0.25">
      <c r="A3134" s="21">
        <v>3133</v>
      </c>
      <c r="B3134" s="7" t="s">
        <v>7022</v>
      </c>
      <c r="C3134" s="7" t="s">
        <v>7023</v>
      </c>
      <c r="G3134" s="8" t="s">
        <v>15</v>
      </c>
    </row>
    <row r="3135" spans="1:7" hidden="1" x14ac:dyDescent="0.25">
      <c r="A3135" s="21">
        <v>3134</v>
      </c>
      <c r="B3135" s="7" t="s">
        <v>7024</v>
      </c>
      <c r="C3135" s="7" t="s">
        <v>7025</v>
      </c>
      <c r="G3135" s="8" t="s">
        <v>15</v>
      </c>
    </row>
    <row r="3136" spans="1:7" hidden="1" x14ac:dyDescent="0.25">
      <c r="A3136" s="21">
        <v>3135</v>
      </c>
      <c r="B3136" s="7" t="s">
        <v>7026</v>
      </c>
      <c r="C3136" s="7" t="s">
        <v>7027</v>
      </c>
      <c r="G3136" s="8" t="s">
        <v>15</v>
      </c>
    </row>
    <row r="3137" spans="1:7" hidden="1" x14ac:dyDescent="0.25">
      <c r="A3137" s="21">
        <v>3136</v>
      </c>
      <c r="B3137" s="7" t="s">
        <v>7028</v>
      </c>
      <c r="C3137" s="7" t="s">
        <v>7029</v>
      </c>
      <c r="G3137" s="8" t="s">
        <v>15</v>
      </c>
    </row>
    <row r="3138" spans="1:7" hidden="1" x14ac:dyDescent="0.25">
      <c r="A3138" s="21">
        <v>3137</v>
      </c>
      <c r="B3138" s="7" t="s">
        <v>7030</v>
      </c>
      <c r="C3138" s="7" t="s">
        <v>7031</v>
      </c>
      <c r="G3138" s="8" t="s">
        <v>15</v>
      </c>
    </row>
    <row r="3139" spans="1:7" hidden="1" x14ac:dyDescent="0.25">
      <c r="A3139" s="21">
        <v>3138</v>
      </c>
      <c r="B3139" s="7" t="s">
        <v>7032</v>
      </c>
      <c r="C3139" s="7" t="s">
        <v>7033</v>
      </c>
      <c r="G3139" s="8" t="s">
        <v>15</v>
      </c>
    </row>
    <row r="3140" spans="1:7" hidden="1" x14ac:dyDescent="0.25">
      <c r="A3140" s="21">
        <v>3139</v>
      </c>
      <c r="B3140" s="7" t="s">
        <v>7034</v>
      </c>
      <c r="C3140" s="7" t="s">
        <v>7035</v>
      </c>
      <c r="G3140" s="8" t="s">
        <v>15</v>
      </c>
    </row>
    <row r="3141" spans="1:7" hidden="1" x14ac:dyDescent="0.25">
      <c r="A3141" s="21">
        <v>3140</v>
      </c>
      <c r="B3141" s="7" t="s">
        <v>7036</v>
      </c>
      <c r="C3141" s="7" t="s">
        <v>7037</v>
      </c>
      <c r="G3141" s="8" t="s">
        <v>15</v>
      </c>
    </row>
    <row r="3142" spans="1:7" hidden="1" x14ac:dyDescent="0.25">
      <c r="A3142" s="21">
        <v>3141</v>
      </c>
      <c r="B3142" s="7" t="s">
        <v>7038</v>
      </c>
      <c r="C3142" s="7" t="s">
        <v>7039</v>
      </c>
      <c r="G3142" s="8" t="s">
        <v>15</v>
      </c>
    </row>
    <row r="3143" spans="1:7" hidden="1" x14ac:dyDescent="0.25">
      <c r="A3143" s="21">
        <v>3142</v>
      </c>
      <c r="B3143" s="7" t="s">
        <v>7040</v>
      </c>
      <c r="C3143" s="7" t="s">
        <v>7041</v>
      </c>
      <c r="G3143" s="8" t="s">
        <v>15</v>
      </c>
    </row>
    <row r="3144" spans="1:7" hidden="1" x14ac:dyDescent="0.25">
      <c r="A3144" s="21">
        <v>3143</v>
      </c>
      <c r="B3144" s="7" t="s">
        <v>7042</v>
      </c>
      <c r="C3144" s="7" t="s">
        <v>7043</v>
      </c>
      <c r="G3144" s="8" t="s">
        <v>15</v>
      </c>
    </row>
    <row r="3145" spans="1:7" hidden="1" x14ac:dyDescent="0.25">
      <c r="A3145" s="21">
        <v>3144</v>
      </c>
      <c r="B3145" s="7" t="s">
        <v>7044</v>
      </c>
      <c r="C3145" s="7" t="s">
        <v>7045</v>
      </c>
      <c r="G3145" s="8" t="s">
        <v>15</v>
      </c>
    </row>
    <row r="3146" spans="1:7" hidden="1" x14ac:dyDescent="0.25">
      <c r="A3146" s="21">
        <v>3145</v>
      </c>
      <c r="B3146" s="7" t="s">
        <v>7046</v>
      </c>
      <c r="C3146" s="7" t="s">
        <v>7047</v>
      </c>
      <c r="G3146" s="8" t="s">
        <v>15</v>
      </c>
    </row>
    <row r="3147" spans="1:7" hidden="1" x14ac:dyDescent="0.25">
      <c r="A3147" s="21">
        <v>3146</v>
      </c>
      <c r="B3147" s="7" t="s">
        <v>7048</v>
      </c>
      <c r="C3147" s="7" t="s">
        <v>7049</v>
      </c>
      <c r="G3147" s="8" t="s">
        <v>15</v>
      </c>
    </row>
    <row r="3148" spans="1:7" hidden="1" x14ac:dyDescent="0.25">
      <c r="A3148" s="21">
        <v>3147</v>
      </c>
      <c r="B3148" s="7" t="s">
        <v>7050</v>
      </c>
      <c r="C3148" s="7" t="s">
        <v>7051</v>
      </c>
      <c r="G3148" s="8" t="s">
        <v>15</v>
      </c>
    </row>
    <row r="3149" spans="1:7" hidden="1" x14ac:dyDescent="0.25">
      <c r="A3149" s="21">
        <v>3148</v>
      </c>
      <c r="B3149" s="7" t="s">
        <v>7052</v>
      </c>
      <c r="C3149" s="7" t="s">
        <v>7053</v>
      </c>
      <c r="G3149" s="8" t="s">
        <v>15</v>
      </c>
    </row>
    <row r="3150" spans="1:7" hidden="1" x14ac:dyDescent="0.25">
      <c r="A3150" s="21">
        <v>3149</v>
      </c>
      <c r="B3150" s="7" t="s">
        <v>7054</v>
      </c>
      <c r="C3150" s="7" t="s">
        <v>7055</v>
      </c>
      <c r="G3150" s="8" t="s">
        <v>15</v>
      </c>
    </row>
    <row r="3151" spans="1:7" hidden="1" x14ac:dyDescent="0.25">
      <c r="A3151" s="21">
        <v>3150</v>
      </c>
      <c r="B3151" s="7" t="s">
        <v>7056</v>
      </c>
      <c r="C3151" s="7" t="s">
        <v>7057</v>
      </c>
      <c r="G3151" s="8" t="s">
        <v>15</v>
      </c>
    </row>
    <row r="3152" spans="1:7" hidden="1" x14ac:dyDescent="0.25">
      <c r="A3152" s="21">
        <v>3151</v>
      </c>
      <c r="B3152" s="7" t="s">
        <v>7058</v>
      </c>
      <c r="C3152" s="7" t="s">
        <v>7059</v>
      </c>
      <c r="G3152" s="8" t="s">
        <v>15</v>
      </c>
    </row>
    <row r="3153" spans="1:7" hidden="1" x14ac:dyDescent="0.25">
      <c r="A3153" s="21">
        <v>3152</v>
      </c>
      <c r="B3153" s="7" t="s">
        <v>7060</v>
      </c>
      <c r="C3153" s="7" t="s">
        <v>7061</v>
      </c>
      <c r="G3153" s="8" t="s">
        <v>15</v>
      </c>
    </row>
    <row r="3154" spans="1:7" hidden="1" x14ac:dyDescent="0.25">
      <c r="A3154" s="21">
        <v>3153</v>
      </c>
      <c r="B3154" s="7" t="s">
        <v>7062</v>
      </c>
      <c r="C3154" s="7" t="s">
        <v>7063</v>
      </c>
      <c r="G3154" s="8" t="s">
        <v>15</v>
      </c>
    </row>
    <row r="3155" spans="1:7" hidden="1" x14ac:dyDescent="0.25">
      <c r="A3155" s="21">
        <v>3154</v>
      </c>
      <c r="B3155" s="7" t="s">
        <v>7064</v>
      </c>
      <c r="C3155" s="7" t="s">
        <v>7065</v>
      </c>
      <c r="G3155" s="8" t="s">
        <v>15</v>
      </c>
    </row>
    <row r="3156" spans="1:7" hidden="1" x14ac:dyDescent="0.25">
      <c r="A3156" s="21">
        <v>3155</v>
      </c>
      <c r="B3156" s="7" t="s">
        <v>7066</v>
      </c>
      <c r="C3156" s="7" t="s">
        <v>7067</v>
      </c>
      <c r="G3156" s="8" t="s">
        <v>15</v>
      </c>
    </row>
    <row r="3157" spans="1:7" hidden="1" x14ac:dyDescent="0.25">
      <c r="A3157" s="21">
        <v>3156</v>
      </c>
      <c r="B3157" s="7" t="s">
        <v>7068</v>
      </c>
      <c r="C3157" s="7" t="s">
        <v>7069</v>
      </c>
      <c r="G3157" s="8" t="s">
        <v>15</v>
      </c>
    </row>
    <row r="3158" spans="1:7" hidden="1" x14ac:dyDescent="0.25">
      <c r="A3158" s="21">
        <v>3157</v>
      </c>
      <c r="B3158" s="7" t="s">
        <v>7070</v>
      </c>
      <c r="C3158" s="7" t="s">
        <v>7071</v>
      </c>
      <c r="G3158" s="8" t="s">
        <v>15</v>
      </c>
    </row>
    <row r="3159" spans="1:7" hidden="1" x14ac:dyDescent="0.25">
      <c r="A3159" s="21">
        <v>3158</v>
      </c>
      <c r="B3159" s="7" t="s">
        <v>7072</v>
      </c>
      <c r="C3159" s="7" t="s">
        <v>7073</v>
      </c>
      <c r="G3159" s="8" t="s">
        <v>15</v>
      </c>
    </row>
    <row r="3160" spans="1:7" hidden="1" x14ac:dyDescent="0.25">
      <c r="A3160" s="21">
        <v>3159</v>
      </c>
      <c r="B3160" s="7" t="s">
        <v>7074</v>
      </c>
      <c r="C3160" s="7" t="s">
        <v>7075</v>
      </c>
      <c r="G3160" s="8" t="s">
        <v>15</v>
      </c>
    </row>
    <row r="3161" spans="1:7" hidden="1" x14ac:dyDescent="0.25">
      <c r="A3161" s="21">
        <v>3160</v>
      </c>
      <c r="B3161" s="7" t="s">
        <v>7076</v>
      </c>
      <c r="C3161" s="7" t="s">
        <v>7077</v>
      </c>
      <c r="G3161" s="8" t="s">
        <v>15</v>
      </c>
    </row>
    <row r="3162" spans="1:7" hidden="1" x14ac:dyDescent="0.25">
      <c r="A3162" s="21">
        <v>3161</v>
      </c>
      <c r="B3162" s="7" t="s">
        <v>7078</v>
      </c>
      <c r="C3162" s="7" t="s">
        <v>7079</v>
      </c>
      <c r="G3162" s="8" t="s">
        <v>15</v>
      </c>
    </row>
    <row r="3163" spans="1:7" hidden="1" x14ac:dyDescent="0.25">
      <c r="A3163" s="21">
        <v>3162</v>
      </c>
      <c r="B3163" s="7" t="s">
        <v>7080</v>
      </c>
      <c r="C3163" s="7" t="s">
        <v>7081</v>
      </c>
      <c r="G3163" s="8" t="s">
        <v>15</v>
      </c>
    </row>
    <row r="3164" spans="1:7" hidden="1" x14ac:dyDescent="0.25">
      <c r="A3164" s="21">
        <v>3163</v>
      </c>
      <c r="B3164" s="7" t="s">
        <v>7082</v>
      </c>
      <c r="C3164" s="7" t="s">
        <v>7083</v>
      </c>
      <c r="G3164" s="8" t="s">
        <v>15</v>
      </c>
    </row>
    <row r="3165" spans="1:7" hidden="1" x14ac:dyDescent="0.25">
      <c r="A3165" s="21">
        <v>3164</v>
      </c>
      <c r="B3165" s="7" t="s">
        <v>7084</v>
      </c>
      <c r="C3165" s="7" t="s">
        <v>7085</v>
      </c>
      <c r="G3165" s="8" t="s">
        <v>15</v>
      </c>
    </row>
    <row r="3166" spans="1:7" hidden="1" x14ac:dyDescent="0.25">
      <c r="A3166" s="21">
        <v>3165</v>
      </c>
      <c r="B3166" s="7" t="s">
        <v>7086</v>
      </c>
      <c r="C3166" s="7" t="s">
        <v>7087</v>
      </c>
      <c r="G3166" s="8" t="s">
        <v>15</v>
      </c>
    </row>
    <row r="3167" spans="1:7" hidden="1" x14ac:dyDescent="0.25">
      <c r="A3167" s="21">
        <v>3166</v>
      </c>
      <c r="B3167" s="7" t="s">
        <v>7088</v>
      </c>
      <c r="C3167" s="7" t="s">
        <v>7089</v>
      </c>
      <c r="G3167" s="8" t="s">
        <v>15</v>
      </c>
    </row>
    <row r="3168" spans="1:7" hidden="1" x14ac:dyDescent="0.25">
      <c r="A3168" s="21">
        <v>3167</v>
      </c>
      <c r="B3168" s="7" t="s">
        <v>7090</v>
      </c>
      <c r="C3168" s="7" t="s">
        <v>7091</v>
      </c>
      <c r="G3168" s="8" t="s">
        <v>15</v>
      </c>
    </row>
    <row r="3169" spans="1:7" hidden="1" x14ac:dyDescent="0.25">
      <c r="A3169" s="21">
        <v>3168</v>
      </c>
      <c r="B3169" s="7" t="s">
        <v>7092</v>
      </c>
      <c r="C3169" s="7" t="s">
        <v>7093</v>
      </c>
      <c r="G3169" s="8" t="s">
        <v>15</v>
      </c>
    </row>
    <row r="3170" spans="1:7" hidden="1" x14ac:dyDescent="0.25">
      <c r="A3170" s="21">
        <v>3169</v>
      </c>
      <c r="B3170" s="7" t="s">
        <v>7094</v>
      </c>
      <c r="C3170" s="7" t="s">
        <v>7095</v>
      </c>
      <c r="G3170" s="8" t="s">
        <v>15</v>
      </c>
    </row>
    <row r="3171" spans="1:7" hidden="1" x14ac:dyDescent="0.25">
      <c r="A3171" s="21">
        <v>3170</v>
      </c>
      <c r="B3171" s="7" t="s">
        <v>7096</v>
      </c>
      <c r="C3171" s="7" t="s">
        <v>7097</v>
      </c>
      <c r="G3171" s="8" t="s">
        <v>15</v>
      </c>
    </row>
    <row r="3172" spans="1:7" hidden="1" x14ac:dyDescent="0.25">
      <c r="A3172" s="21">
        <v>3171</v>
      </c>
      <c r="B3172" s="7" t="s">
        <v>7098</v>
      </c>
      <c r="C3172" s="7" t="s">
        <v>7099</v>
      </c>
      <c r="G3172" s="8" t="s">
        <v>15</v>
      </c>
    </row>
    <row r="3173" spans="1:7" hidden="1" x14ac:dyDescent="0.25">
      <c r="A3173" s="21">
        <v>3172</v>
      </c>
      <c r="B3173" s="7" t="s">
        <v>7100</v>
      </c>
      <c r="C3173" s="7" t="s">
        <v>7101</v>
      </c>
      <c r="G3173" s="8" t="s">
        <v>15</v>
      </c>
    </row>
    <row r="3174" spans="1:7" hidden="1" x14ac:dyDescent="0.25">
      <c r="A3174" s="21">
        <v>3173</v>
      </c>
      <c r="B3174" s="7" t="s">
        <v>7102</v>
      </c>
      <c r="C3174" s="7" t="s">
        <v>7103</v>
      </c>
      <c r="G3174" s="8" t="s">
        <v>15</v>
      </c>
    </row>
    <row r="3175" spans="1:7" hidden="1" x14ac:dyDescent="0.25">
      <c r="A3175" s="21">
        <v>3174</v>
      </c>
      <c r="B3175" s="7" t="s">
        <v>7104</v>
      </c>
      <c r="C3175" s="7" t="s">
        <v>7105</v>
      </c>
      <c r="G3175" s="8" t="s">
        <v>15</v>
      </c>
    </row>
    <row r="3176" spans="1:7" hidden="1" x14ac:dyDescent="0.25">
      <c r="A3176" s="21">
        <v>3175</v>
      </c>
      <c r="B3176" s="7" t="s">
        <v>7106</v>
      </c>
      <c r="C3176" s="7" t="s">
        <v>7107</v>
      </c>
      <c r="G3176" s="8" t="s">
        <v>15</v>
      </c>
    </row>
    <row r="3177" spans="1:7" hidden="1" x14ac:dyDescent="0.25">
      <c r="A3177" s="21">
        <v>3176</v>
      </c>
      <c r="B3177" s="7" t="s">
        <v>7108</v>
      </c>
      <c r="C3177" s="7" t="s">
        <v>7109</v>
      </c>
      <c r="G3177" s="8" t="s">
        <v>15</v>
      </c>
    </row>
    <row r="3178" spans="1:7" hidden="1" x14ac:dyDescent="0.25">
      <c r="A3178" s="21">
        <v>3177</v>
      </c>
      <c r="B3178" s="7" t="s">
        <v>7110</v>
      </c>
      <c r="C3178" s="7" t="s">
        <v>7111</v>
      </c>
      <c r="G3178" s="8" t="s">
        <v>15</v>
      </c>
    </row>
    <row r="3179" spans="1:7" hidden="1" x14ac:dyDescent="0.25">
      <c r="A3179" s="21">
        <v>3178</v>
      </c>
      <c r="B3179" s="7" t="s">
        <v>7112</v>
      </c>
      <c r="C3179" s="7" t="s">
        <v>7113</v>
      </c>
      <c r="G3179" s="8" t="s">
        <v>15</v>
      </c>
    </row>
    <row r="3180" spans="1:7" hidden="1" x14ac:dyDescent="0.25">
      <c r="A3180" s="21">
        <v>3179</v>
      </c>
      <c r="B3180" s="7" t="s">
        <v>7114</v>
      </c>
      <c r="C3180" s="7" t="s">
        <v>7115</v>
      </c>
      <c r="G3180" s="8" t="s">
        <v>15</v>
      </c>
    </row>
    <row r="3181" spans="1:7" hidden="1" x14ac:dyDescent="0.25">
      <c r="A3181" s="21">
        <v>3180</v>
      </c>
      <c r="B3181" s="7" t="s">
        <v>7116</v>
      </c>
      <c r="C3181" s="7" t="s">
        <v>7117</v>
      </c>
      <c r="G3181" s="8" t="s">
        <v>15</v>
      </c>
    </row>
    <row r="3182" spans="1:7" hidden="1" x14ac:dyDescent="0.25">
      <c r="A3182" s="21">
        <v>3181</v>
      </c>
      <c r="B3182" s="7" t="s">
        <v>7118</v>
      </c>
      <c r="C3182" s="7" t="s">
        <v>7119</v>
      </c>
      <c r="G3182" s="8" t="s">
        <v>15</v>
      </c>
    </row>
    <row r="3183" spans="1:7" hidden="1" x14ac:dyDescent="0.25">
      <c r="A3183" s="21">
        <v>3182</v>
      </c>
      <c r="B3183" s="7" t="s">
        <v>7120</v>
      </c>
      <c r="C3183" s="7" t="s">
        <v>7121</v>
      </c>
      <c r="G3183" s="8" t="s">
        <v>15</v>
      </c>
    </row>
    <row r="3184" spans="1:7" hidden="1" x14ac:dyDescent="0.25">
      <c r="A3184" s="21">
        <v>3183</v>
      </c>
      <c r="B3184" s="7" t="s">
        <v>7122</v>
      </c>
      <c r="C3184" s="7" t="s">
        <v>7123</v>
      </c>
      <c r="G3184" s="8" t="s">
        <v>15</v>
      </c>
    </row>
    <row r="3185" spans="1:7" hidden="1" x14ac:dyDescent="0.25">
      <c r="A3185" s="21">
        <v>3184</v>
      </c>
      <c r="B3185" s="7" t="s">
        <v>7124</v>
      </c>
      <c r="C3185" s="7" t="s">
        <v>7125</v>
      </c>
      <c r="G3185" s="8" t="s">
        <v>15</v>
      </c>
    </row>
    <row r="3186" spans="1:7" hidden="1" x14ac:dyDescent="0.25">
      <c r="A3186" s="21">
        <v>3185</v>
      </c>
      <c r="B3186" s="7" t="s">
        <v>7126</v>
      </c>
      <c r="C3186" s="7" t="s">
        <v>7127</v>
      </c>
      <c r="G3186" s="8" t="s">
        <v>15</v>
      </c>
    </row>
    <row r="3187" spans="1:7" hidden="1" x14ac:dyDescent="0.25">
      <c r="A3187" s="21">
        <v>3186</v>
      </c>
      <c r="B3187" s="7" t="s">
        <v>7128</v>
      </c>
      <c r="C3187" s="7" t="s">
        <v>7129</v>
      </c>
      <c r="G3187" s="8" t="s">
        <v>15</v>
      </c>
    </row>
    <row r="3188" spans="1:7" hidden="1" x14ac:dyDescent="0.25">
      <c r="A3188" s="21">
        <v>3187</v>
      </c>
      <c r="B3188" s="7" t="s">
        <v>7130</v>
      </c>
      <c r="C3188" s="7" t="s">
        <v>7131</v>
      </c>
      <c r="G3188" s="8" t="s">
        <v>15</v>
      </c>
    </row>
    <row r="3189" spans="1:7" hidden="1" x14ac:dyDescent="0.25">
      <c r="A3189" s="21">
        <v>3188</v>
      </c>
      <c r="B3189" s="7" t="s">
        <v>7132</v>
      </c>
      <c r="C3189" s="7" t="s">
        <v>7133</v>
      </c>
      <c r="G3189" s="8" t="s">
        <v>15</v>
      </c>
    </row>
    <row r="3190" spans="1:7" hidden="1" x14ac:dyDescent="0.25">
      <c r="A3190" s="21">
        <v>3189</v>
      </c>
      <c r="B3190" s="7" t="s">
        <v>7134</v>
      </c>
      <c r="C3190" s="7" t="s">
        <v>7135</v>
      </c>
      <c r="G3190" s="8" t="s">
        <v>15</v>
      </c>
    </row>
    <row r="3191" spans="1:7" hidden="1" x14ac:dyDescent="0.25">
      <c r="A3191" s="21">
        <v>3190</v>
      </c>
      <c r="B3191" s="7" t="s">
        <v>7136</v>
      </c>
      <c r="C3191" s="7" t="s">
        <v>7137</v>
      </c>
      <c r="G3191" s="8" t="s">
        <v>15</v>
      </c>
    </row>
    <row r="3192" spans="1:7" hidden="1" x14ac:dyDescent="0.25">
      <c r="A3192" s="21">
        <v>3191</v>
      </c>
      <c r="B3192" s="7" t="s">
        <v>7138</v>
      </c>
      <c r="C3192" s="7" t="s">
        <v>7139</v>
      </c>
      <c r="G3192" s="8" t="s">
        <v>15</v>
      </c>
    </row>
    <row r="3193" spans="1:7" hidden="1" x14ac:dyDescent="0.25">
      <c r="A3193" s="21">
        <v>3192</v>
      </c>
      <c r="B3193" s="7" t="s">
        <v>7140</v>
      </c>
      <c r="C3193" s="7" t="s">
        <v>7141</v>
      </c>
      <c r="G3193" s="8" t="s">
        <v>15</v>
      </c>
    </row>
    <row r="3194" spans="1:7" hidden="1" x14ac:dyDescent="0.25">
      <c r="A3194" s="21">
        <v>3193</v>
      </c>
      <c r="B3194" s="7" t="s">
        <v>7142</v>
      </c>
      <c r="C3194" s="7" t="s">
        <v>7143</v>
      </c>
      <c r="G3194" s="8" t="s">
        <v>15</v>
      </c>
    </row>
    <row r="3195" spans="1:7" hidden="1" x14ac:dyDescent="0.25">
      <c r="A3195" s="21">
        <v>3194</v>
      </c>
      <c r="B3195" s="7" t="s">
        <v>7144</v>
      </c>
      <c r="C3195" s="7" t="s">
        <v>7145</v>
      </c>
      <c r="G3195" s="8" t="s">
        <v>15</v>
      </c>
    </row>
    <row r="3196" spans="1:7" hidden="1" x14ac:dyDescent="0.25">
      <c r="A3196" s="21">
        <v>3195</v>
      </c>
      <c r="B3196" s="7" t="s">
        <v>7146</v>
      </c>
      <c r="C3196" s="7" t="s">
        <v>7147</v>
      </c>
      <c r="G3196" s="8" t="s">
        <v>15</v>
      </c>
    </row>
    <row r="3197" spans="1:7" hidden="1" x14ac:dyDescent="0.25">
      <c r="A3197" s="21">
        <v>3196</v>
      </c>
      <c r="B3197" s="7" t="s">
        <v>7148</v>
      </c>
      <c r="C3197" s="7" t="s">
        <v>7149</v>
      </c>
      <c r="G3197" s="8" t="s">
        <v>15</v>
      </c>
    </row>
    <row r="3198" spans="1:7" hidden="1" x14ac:dyDescent="0.25">
      <c r="A3198" s="21">
        <v>3197</v>
      </c>
      <c r="B3198" s="7" t="s">
        <v>7150</v>
      </c>
      <c r="C3198" s="7" t="s">
        <v>7151</v>
      </c>
      <c r="G3198" s="8" t="s">
        <v>15</v>
      </c>
    </row>
    <row r="3199" spans="1:7" hidden="1" x14ac:dyDescent="0.25">
      <c r="A3199" s="21">
        <v>3198</v>
      </c>
      <c r="B3199" s="7" t="s">
        <v>7152</v>
      </c>
      <c r="C3199" s="7" t="s">
        <v>7153</v>
      </c>
      <c r="G3199" s="8" t="s">
        <v>15</v>
      </c>
    </row>
    <row r="3200" spans="1:7" hidden="1" x14ac:dyDescent="0.25">
      <c r="A3200" s="21">
        <v>3199</v>
      </c>
      <c r="B3200" s="7" t="s">
        <v>7154</v>
      </c>
      <c r="C3200" s="7" t="s">
        <v>7155</v>
      </c>
      <c r="G3200" s="8" t="s">
        <v>15</v>
      </c>
    </row>
    <row r="3201" spans="1:7" hidden="1" x14ac:dyDescent="0.25">
      <c r="A3201" s="21">
        <v>3200</v>
      </c>
      <c r="B3201" s="7" t="s">
        <v>7156</v>
      </c>
      <c r="C3201" s="7" t="s">
        <v>7157</v>
      </c>
      <c r="G3201" s="8" t="s">
        <v>15</v>
      </c>
    </row>
    <row r="3202" spans="1:7" hidden="1" x14ac:dyDescent="0.25">
      <c r="A3202" s="21">
        <v>3201</v>
      </c>
      <c r="B3202" s="7" t="s">
        <v>7158</v>
      </c>
      <c r="C3202" s="7" t="s">
        <v>7159</v>
      </c>
      <c r="G3202" s="8" t="s">
        <v>15</v>
      </c>
    </row>
    <row r="3203" spans="1:7" hidden="1" x14ac:dyDescent="0.25">
      <c r="A3203" s="21">
        <v>3202</v>
      </c>
      <c r="B3203" s="7" t="s">
        <v>7160</v>
      </c>
      <c r="C3203" s="7" t="s">
        <v>7161</v>
      </c>
      <c r="G3203" s="8" t="s">
        <v>15</v>
      </c>
    </row>
    <row r="3204" spans="1:7" hidden="1" x14ac:dyDescent="0.25">
      <c r="A3204" s="21">
        <v>3203</v>
      </c>
      <c r="B3204" s="7" t="s">
        <v>7162</v>
      </c>
      <c r="C3204" s="7" t="s">
        <v>7163</v>
      </c>
      <c r="G3204" s="8" t="s">
        <v>15</v>
      </c>
    </row>
    <row r="3205" spans="1:7" hidden="1" x14ac:dyDescent="0.25">
      <c r="A3205" s="21">
        <v>3204</v>
      </c>
      <c r="B3205" s="7" t="s">
        <v>7164</v>
      </c>
      <c r="C3205" s="7" t="s">
        <v>7165</v>
      </c>
      <c r="G3205" s="8" t="s">
        <v>15</v>
      </c>
    </row>
    <row r="3206" spans="1:7" hidden="1" x14ac:dyDescent="0.25">
      <c r="A3206" s="21">
        <v>3205</v>
      </c>
      <c r="B3206" s="7" t="s">
        <v>7166</v>
      </c>
      <c r="C3206" s="7" t="s">
        <v>7167</v>
      </c>
      <c r="G3206" s="8" t="s">
        <v>15</v>
      </c>
    </row>
    <row r="3207" spans="1:7" hidden="1" x14ac:dyDescent="0.25">
      <c r="A3207" s="21">
        <v>3206</v>
      </c>
      <c r="B3207" s="7" t="s">
        <v>7168</v>
      </c>
      <c r="C3207" s="7" t="s">
        <v>7169</v>
      </c>
      <c r="G3207" s="8" t="s">
        <v>15</v>
      </c>
    </row>
    <row r="3208" spans="1:7" hidden="1" x14ac:dyDescent="0.25">
      <c r="A3208" s="21">
        <v>3207</v>
      </c>
      <c r="B3208" s="7" t="s">
        <v>7170</v>
      </c>
      <c r="C3208" s="7" t="s">
        <v>7171</v>
      </c>
      <c r="G3208" s="8" t="s">
        <v>15</v>
      </c>
    </row>
    <row r="3209" spans="1:7" hidden="1" x14ac:dyDescent="0.25">
      <c r="A3209" s="21">
        <v>3208</v>
      </c>
      <c r="B3209" s="7" t="s">
        <v>7172</v>
      </c>
      <c r="C3209" s="7" t="s">
        <v>7173</v>
      </c>
      <c r="G3209" s="8" t="s">
        <v>15</v>
      </c>
    </row>
    <row r="3210" spans="1:7" hidden="1" x14ac:dyDescent="0.25">
      <c r="A3210" s="21">
        <v>3209</v>
      </c>
      <c r="B3210" s="7" t="s">
        <v>7174</v>
      </c>
      <c r="C3210" s="7" t="s">
        <v>7175</v>
      </c>
      <c r="G3210" s="8" t="s">
        <v>15</v>
      </c>
    </row>
    <row r="3211" spans="1:7" hidden="1" x14ac:dyDescent="0.25">
      <c r="A3211" s="21">
        <v>3210</v>
      </c>
      <c r="B3211" s="7" t="s">
        <v>7176</v>
      </c>
      <c r="C3211" s="7" t="s">
        <v>7177</v>
      </c>
      <c r="G3211" s="8" t="s">
        <v>15</v>
      </c>
    </row>
    <row r="3212" spans="1:7" hidden="1" x14ac:dyDescent="0.25">
      <c r="A3212" s="21">
        <v>3211</v>
      </c>
      <c r="B3212" s="7" t="s">
        <v>7178</v>
      </c>
      <c r="C3212" s="7" t="s">
        <v>7179</v>
      </c>
      <c r="G3212" s="8" t="s">
        <v>15</v>
      </c>
    </row>
    <row r="3213" spans="1:7" hidden="1" x14ac:dyDescent="0.25">
      <c r="A3213" s="21">
        <v>3212</v>
      </c>
      <c r="B3213" s="7" t="s">
        <v>7180</v>
      </c>
      <c r="C3213" s="7" t="s">
        <v>7181</v>
      </c>
      <c r="G3213" s="8" t="s">
        <v>15</v>
      </c>
    </row>
    <row r="3214" spans="1:7" hidden="1" x14ac:dyDescent="0.25">
      <c r="A3214" s="21">
        <v>3213</v>
      </c>
      <c r="B3214" s="7" t="s">
        <v>7182</v>
      </c>
      <c r="C3214" s="7" t="s">
        <v>7183</v>
      </c>
      <c r="G3214" s="8" t="s">
        <v>15</v>
      </c>
    </row>
    <row r="3215" spans="1:7" hidden="1" x14ac:dyDescent="0.25">
      <c r="A3215" s="21">
        <v>3214</v>
      </c>
      <c r="B3215" s="7" t="s">
        <v>7184</v>
      </c>
      <c r="C3215" s="7" t="s">
        <v>7185</v>
      </c>
      <c r="G3215" s="8" t="s">
        <v>15</v>
      </c>
    </row>
    <row r="3216" spans="1:7" hidden="1" x14ac:dyDescent="0.25">
      <c r="A3216" s="21">
        <v>3215</v>
      </c>
      <c r="B3216" s="7" t="s">
        <v>7186</v>
      </c>
      <c r="C3216" s="7" t="s">
        <v>7187</v>
      </c>
      <c r="G3216" s="8" t="s">
        <v>15</v>
      </c>
    </row>
    <row r="3217" spans="1:7" hidden="1" x14ac:dyDescent="0.25">
      <c r="A3217" s="21">
        <v>3216</v>
      </c>
      <c r="B3217" s="7" t="s">
        <v>7188</v>
      </c>
      <c r="C3217" s="7" t="s">
        <v>7189</v>
      </c>
      <c r="G3217" s="8" t="s">
        <v>15</v>
      </c>
    </row>
    <row r="3218" spans="1:7" hidden="1" x14ac:dyDescent="0.25">
      <c r="A3218" s="21">
        <v>3217</v>
      </c>
      <c r="B3218" s="7" t="s">
        <v>7190</v>
      </c>
      <c r="C3218" s="7" t="s">
        <v>7191</v>
      </c>
      <c r="G3218" s="8" t="s">
        <v>15</v>
      </c>
    </row>
    <row r="3219" spans="1:7" hidden="1" x14ac:dyDescent="0.25">
      <c r="A3219" s="21">
        <v>3218</v>
      </c>
      <c r="B3219" s="7" t="s">
        <v>7192</v>
      </c>
      <c r="C3219" s="7" t="s">
        <v>7193</v>
      </c>
      <c r="G3219" s="8" t="s">
        <v>15</v>
      </c>
    </row>
    <row r="3220" spans="1:7" hidden="1" x14ac:dyDescent="0.25">
      <c r="A3220" s="21">
        <v>3219</v>
      </c>
      <c r="B3220" s="7" t="s">
        <v>7194</v>
      </c>
      <c r="C3220" s="7" t="s">
        <v>7195</v>
      </c>
      <c r="G3220" s="8" t="s">
        <v>15</v>
      </c>
    </row>
    <row r="3221" spans="1:7" hidden="1" x14ac:dyDescent="0.25">
      <c r="A3221" s="21">
        <v>3220</v>
      </c>
      <c r="B3221" s="7" t="s">
        <v>7196</v>
      </c>
      <c r="C3221" s="7" t="s">
        <v>7197</v>
      </c>
      <c r="G3221" s="8" t="s">
        <v>15</v>
      </c>
    </row>
    <row r="3222" spans="1:7" hidden="1" x14ac:dyDescent="0.25">
      <c r="A3222" s="21">
        <v>3221</v>
      </c>
      <c r="B3222" s="7" t="s">
        <v>7198</v>
      </c>
      <c r="C3222" s="7" t="s">
        <v>7199</v>
      </c>
      <c r="G3222" s="8" t="s">
        <v>15</v>
      </c>
    </row>
    <row r="3223" spans="1:7" hidden="1" x14ac:dyDescent="0.25">
      <c r="A3223" s="21">
        <v>3222</v>
      </c>
      <c r="B3223" s="7" t="s">
        <v>7200</v>
      </c>
      <c r="C3223" s="7" t="s">
        <v>7201</v>
      </c>
      <c r="G3223" s="8" t="s">
        <v>15</v>
      </c>
    </row>
    <row r="3224" spans="1:7" hidden="1" x14ac:dyDescent="0.25">
      <c r="A3224" s="21">
        <v>3223</v>
      </c>
      <c r="B3224" s="7" t="s">
        <v>7202</v>
      </c>
      <c r="C3224" s="7" t="s">
        <v>7203</v>
      </c>
      <c r="G3224" s="8" t="s">
        <v>15</v>
      </c>
    </row>
    <row r="3225" spans="1:7" hidden="1" x14ac:dyDescent="0.25">
      <c r="A3225" s="21">
        <v>3224</v>
      </c>
      <c r="B3225" s="7" t="s">
        <v>7204</v>
      </c>
      <c r="C3225" s="7" t="s">
        <v>7205</v>
      </c>
      <c r="G3225" s="8" t="s">
        <v>15</v>
      </c>
    </row>
    <row r="3226" spans="1:7" hidden="1" x14ac:dyDescent="0.25">
      <c r="A3226" s="21">
        <v>3225</v>
      </c>
      <c r="B3226" s="7" t="s">
        <v>7206</v>
      </c>
      <c r="C3226" s="7" t="s">
        <v>7207</v>
      </c>
      <c r="G3226" s="8" t="s">
        <v>15</v>
      </c>
    </row>
    <row r="3227" spans="1:7" hidden="1" x14ac:dyDescent="0.25">
      <c r="A3227" s="21">
        <v>3226</v>
      </c>
      <c r="B3227" s="7" t="s">
        <v>7208</v>
      </c>
      <c r="C3227" s="7" t="s">
        <v>7209</v>
      </c>
      <c r="G3227" s="8" t="s">
        <v>15</v>
      </c>
    </row>
    <row r="3228" spans="1:7" hidden="1" x14ac:dyDescent="0.25">
      <c r="A3228" s="21">
        <v>3227</v>
      </c>
      <c r="B3228" s="7" t="s">
        <v>7210</v>
      </c>
      <c r="C3228" s="7" t="s">
        <v>7211</v>
      </c>
      <c r="G3228" s="8" t="s">
        <v>15</v>
      </c>
    </row>
    <row r="3229" spans="1:7" hidden="1" x14ac:dyDescent="0.25">
      <c r="A3229" s="21">
        <v>3228</v>
      </c>
      <c r="B3229" s="7" t="s">
        <v>7212</v>
      </c>
      <c r="C3229" s="7" t="s">
        <v>7213</v>
      </c>
      <c r="G3229" s="8" t="s">
        <v>15</v>
      </c>
    </row>
    <row r="3230" spans="1:7" hidden="1" x14ac:dyDescent="0.25">
      <c r="A3230" s="21">
        <v>3229</v>
      </c>
      <c r="B3230" s="7" t="s">
        <v>7214</v>
      </c>
      <c r="C3230" s="7" t="s">
        <v>7215</v>
      </c>
      <c r="G3230" s="8" t="s">
        <v>15</v>
      </c>
    </row>
    <row r="3231" spans="1:7" hidden="1" x14ac:dyDescent="0.25">
      <c r="A3231" s="21">
        <v>3230</v>
      </c>
      <c r="B3231" s="7" t="s">
        <v>7216</v>
      </c>
      <c r="C3231" s="7" t="s">
        <v>7217</v>
      </c>
      <c r="G3231" s="8" t="s">
        <v>15</v>
      </c>
    </row>
    <row r="3232" spans="1:7" hidden="1" x14ac:dyDescent="0.25">
      <c r="A3232" s="21">
        <v>3231</v>
      </c>
      <c r="B3232" s="7" t="s">
        <v>7218</v>
      </c>
      <c r="C3232" s="7" t="s">
        <v>7219</v>
      </c>
      <c r="G3232" s="8" t="s">
        <v>15</v>
      </c>
    </row>
    <row r="3233" spans="1:7" hidden="1" x14ac:dyDescent="0.25">
      <c r="A3233" s="21">
        <v>3232</v>
      </c>
      <c r="B3233" s="7" t="s">
        <v>7220</v>
      </c>
      <c r="C3233" s="7" t="s">
        <v>7221</v>
      </c>
      <c r="G3233" s="8" t="s">
        <v>15</v>
      </c>
    </row>
    <row r="3234" spans="1:7" hidden="1" x14ac:dyDescent="0.25">
      <c r="A3234" s="21">
        <v>3233</v>
      </c>
      <c r="B3234" s="7" t="s">
        <v>7222</v>
      </c>
      <c r="C3234" s="7" t="s">
        <v>7223</v>
      </c>
      <c r="G3234" s="8" t="s">
        <v>15</v>
      </c>
    </row>
    <row r="3235" spans="1:7" hidden="1" x14ac:dyDescent="0.25">
      <c r="A3235" s="21">
        <v>3234</v>
      </c>
      <c r="B3235" s="7" t="s">
        <v>7224</v>
      </c>
      <c r="C3235" s="7" t="s">
        <v>7225</v>
      </c>
      <c r="G3235" s="8" t="s">
        <v>15</v>
      </c>
    </row>
    <row r="3236" spans="1:7" hidden="1" x14ac:dyDescent="0.25">
      <c r="A3236" s="21">
        <v>3235</v>
      </c>
      <c r="B3236" s="7" t="s">
        <v>7226</v>
      </c>
      <c r="C3236" s="7" t="s">
        <v>7227</v>
      </c>
      <c r="G3236" s="8" t="s">
        <v>15</v>
      </c>
    </row>
    <row r="3237" spans="1:7" hidden="1" x14ac:dyDescent="0.25">
      <c r="A3237" s="21">
        <v>3236</v>
      </c>
      <c r="B3237" s="7" t="s">
        <v>7228</v>
      </c>
      <c r="C3237" s="7" t="s">
        <v>7229</v>
      </c>
      <c r="G3237" s="8" t="s">
        <v>15</v>
      </c>
    </row>
    <row r="3238" spans="1:7" hidden="1" x14ac:dyDescent="0.25">
      <c r="A3238" s="21">
        <v>3237</v>
      </c>
      <c r="B3238" s="7" t="s">
        <v>7230</v>
      </c>
      <c r="C3238" s="7" t="s">
        <v>7231</v>
      </c>
      <c r="G3238" s="8" t="s">
        <v>15</v>
      </c>
    </row>
    <row r="3239" spans="1:7" hidden="1" x14ac:dyDescent="0.25">
      <c r="A3239" s="21">
        <v>3238</v>
      </c>
      <c r="B3239" s="7" t="s">
        <v>7232</v>
      </c>
      <c r="C3239" s="7" t="s">
        <v>7233</v>
      </c>
      <c r="G3239" s="8" t="s">
        <v>15</v>
      </c>
    </row>
    <row r="3240" spans="1:7" hidden="1" x14ac:dyDescent="0.25">
      <c r="A3240" s="21">
        <v>3239</v>
      </c>
      <c r="B3240" s="7" t="s">
        <v>7234</v>
      </c>
      <c r="C3240" s="7" t="s">
        <v>7235</v>
      </c>
      <c r="G3240" s="8" t="s">
        <v>15</v>
      </c>
    </row>
    <row r="3241" spans="1:7" hidden="1" x14ac:dyDescent="0.25">
      <c r="A3241" s="21">
        <v>3240</v>
      </c>
      <c r="B3241" s="7" t="s">
        <v>7236</v>
      </c>
      <c r="C3241" s="7" t="s">
        <v>7237</v>
      </c>
      <c r="G3241" s="8" t="s">
        <v>15</v>
      </c>
    </row>
    <row r="3242" spans="1:7" hidden="1" x14ac:dyDescent="0.25">
      <c r="A3242" s="21">
        <v>3241</v>
      </c>
      <c r="B3242" s="7" t="s">
        <v>7238</v>
      </c>
      <c r="C3242" s="7" t="s">
        <v>7239</v>
      </c>
      <c r="G3242" s="8" t="s">
        <v>15</v>
      </c>
    </row>
    <row r="3243" spans="1:7" hidden="1" x14ac:dyDescent="0.25">
      <c r="A3243" s="21">
        <v>3242</v>
      </c>
      <c r="B3243" s="7" t="s">
        <v>7240</v>
      </c>
      <c r="C3243" s="7" t="s">
        <v>7241</v>
      </c>
      <c r="G3243" s="8" t="s">
        <v>15</v>
      </c>
    </row>
    <row r="3244" spans="1:7" hidden="1" x14ac:dyDescent="0.25">
      <c r="A3244" s="21">
        <v>3243</v>
      </c>
      <c r="B3244" s="7" t="s">
        <v>7242</v>
      </c>
      <c r="C3244" s="7" t="s">
        <v>7243</v>
      </c>
      <c r="G3244" s="8" t="s">
        <v>15</v>
      </c>
    </row>
    <row r="3245" spans="1:7" hidden="1" x14ac:dyDescent="0.25">
      <c r="A3245" s="21">
        <v>3244</v>
      </c>
      <c r="B3245" s="7" t="s">
        <v>7244</v>
      </c>
      <c r="C3245" s="7" t="s">
        <v>7245</v>
      </c>
      <c r="G3245" s="8" t="s">
        <v>15</v>
      </c>
    </row>
    <row r="3246" spans="1:7" hidden="1" x14ac:dyDescent="0.25">
      <c r="A3246" s="21">
        <v>3245</v>
      </c>
      <c r="B3246" s="7" t="s">
        <v>7246</v>
      </c>
      <c r="C3246" s="7" t="s">
        <v>7247</v>
      </c>
      <c r="G3246" s="8" t="s">
        <v>15</v>
      </c>
    </row>
    <row r="3247" spans="1:7" hidden="1" x14ac:dyDescent="0.25">
      <c r="A3247" s="21">
        <v>3246</v>
      </c>
      <c r="B3247" s="7" t="s">
        <v>7248</v>
      </c>
      <c r="C3247" s="7" t="s">
        <v>7249</v>
      </c>
      <c r="G3247" s="8" t="s">
        <v>15</v>
      </c>
    </row>
    <row r="3248" spans="1:7" hidden="1" x14ac:dyDescent="0.25">
      <c r="A3248" s="21">
        <v>3247</v>
      </c>
      <c r="B3248" s="7" t="s">
        <v>7250</v>
      </c>
      <c r="C3248" s="7" t="s">
        <v>7251</v>
      </c>
      <c r="G3248" s="8" t="s">
        <v>15</v>
      </c>
    </row>
    <row r="3249" spans="1:7" hidden="1" x14ac:dyDescent="0.25">
      <c r="A3249" s="21">
        <v>3248</v>
      </c>
      <c r="B3249" s="7" t="s">
        <v>7252</v>
      </c>
      <c r="C3249" s="7" t="s">
        <v>7253</v>
      </c>
      <c r="G3249" s="8" t="s">
        <v>15</v>
      </c>
    </row>
    <row r="3250" spans="1:7" hidden="1" x14ac:dyDescent="0.25">
      <c r="A3250" s="21">
        <v>3249</v>
      </c>
      <c r="B3250" s="7" t="s">
        <v>7254</v>
      </c>
      <c r="C3250" s="7" t="s">
        <v>7255</v>
      </c>
      <c r="G3250" s="8" t="s">
        <v>15</v>
      </c>
    </row>
    <row r="3251" spans="1:7" hidden="1" x14ac:dyDescent="0.25">
      <c r="A3251" s="21">
        <v>3250</v>
      </c>
      <c r="B3251" s="7" t="s">
        <v>7256</v>
      </c>
      <c r="C3251" s="7" t="s">
        <v>7257</v>
      </c>
      <c r="G3251" s="8" t="s">
        <v>15</v>
      </c>
    </row>
    <row r="3252" spans="1:7" hidden="1" x14ac:dyDescent="0.25">
      <c r="A3252" s="21">
        <v>3251</v>
      </c>
      <c r="B3252" s="7" t="s">
        <v>7258</v>
      </c>
      <c r="C3252" s="7" t="s">
        <v>7259</v>
      </c>
      <c r="G3252" s="8" t="s">
        <v>15</v>
      </c>
    </row>
    <row r="3253" spans="1:7" hidden="1" x14ac:dyDescent="0.25">
      <c r="A3253" s="21">
        <v>3252</v>
      </c>
      <c r="B3253" s="7" t="s">
        <v>7260</v>
      </c>
      <c r="C3253" s="7" t="s">
        <v>7261</v>
      </c>
      <c r="G3253" s="8" t="s">
        <v>15</v>
      </c>
    </row>
    <row r="3254" spans="1:7" hidden="1" x14ac:dyDescent="0.25">
      <c r="A3254" s="21">
        <v>3253</v>
      </c>
      <c r="B3254" s="7" t="s">
        <v>7262</v>
      </c>
      <c r="C3254" s="7" t="s">
        <v>7263</v>
      </c>
      <c r="G3254" s="8" t="s">
        <v>15</v>
      </c>
    </row>
    <row r="3255" spans="1:7" hidden="1" x14ac:dyDescent="0.25">
      <c r="A3255" s="21">
        <v>3254</v>
      </c>
      <c r="B3255" s="7" t="s">
        <v>7264</v>
      </c>
      <c r="C3255" s="7" t="s">
        <v>7265</v>
      </c>
      <c r="G3255" s="8" t="s">
        <v>15</v>
      </c>
    </row>
    <row r="3256" spans="1:7" hidden="1" x14ac:dyDescent="0.25">
      <c r="A3256" s="21">
        <v>3255</v>
      </c>
      <c r="B3256" s="7" t="s">
        <v>7266</v>
      </c>
      <c r="C3256" s="7" t="s">
        <v>7267</v>
      </c>
      <c r="G3256" s="8" t="s">
        <v>15</v>
      </c>
    </row>
    <row r="3257" spans="1:7" hidden="1" x14ac:dyDescent="0.25">
      <c r="A3257" s="21">
        <v>3256</v>
      </c>
      <c r="B3257" s="7" t="s">
        <v>7268</v>
      </c>
      <c r="C3257" s="7" t="s">
        <v>7269</v>
      </c>
      <c r="G3257" s="8" t="s">
        <v>15</v>
      </c>
    </row>
    <row r="3258" spans="1:7" hidden="1" x14ac:dyDescent="0.25">
      <c r="A3258" s="21">
        <v>3257</v>
      </c>
      <c r="B3258" s="7" t="s">
        <v>7270</v>
      </c>
      <c r="C3258" s="7" t="s">
        <v>7271</v>
      </c>
      <c r="G3258" s="8" t="s">
        <v>15</v>
      </c>
    </row>
    <row r="3259" spans="1:7" hidden="1" x14ac:dyDescent="0.25">
      <c r="A3259" s="21">
        <v>3258</v>
      </c>
      <c r="B3259" s="7" t="s">
        <v>7272</v>
      </c>
      <c r="C3259" s="7" t="s">
        <v>7273</v>
      </c>
      <c r="G3259" s="8" t="s">
        <v>15</v>
      </c>
    </row>
    <row r="3260" spans="1:7" hidden="1" x14ac:dyDescent="0.25">
      <c r="A3260" s="21">
        <v>3259</v>
      </c>
      <c r="B3260" s="7" t="s">
        <v>7274</v>
      </c>
      <c r="C3260" s="7" t="s">
        <v>7275</v>
      </c>
      <c r="G3260" s="8" t="s">
        <v>15</v>
      </c>
    </row>
    <row r="3261" spans="1:7" hidden="1" x14ac:dyDescent="0.25">
      <c r="A3261" s="21">
        <v>3260</v>
      </c>
      <c r="B3261" s="7" t="s">
        <v>7276</v>
      </c>
      <c r="C3261" s="7" t="s">
        <v>7277</v>
      </c>
      <c r="G3261" s="8" t="s">
        <v>15</v>
      </c>
    </row>
    <row r="3262" spans="1:7" hidden="1" x14ac:dyDescent="0.25">
      <c r="A3262" s="21">
        <v>3261</v>
      </c>
      <c r="B3262" s="7" t="s">
        <v>7278</v>
      </c>
      <c r="C3262" s="7" t="s">
        <v>7279</v>
      </c>
      <c r="G3262" s="8" t="s">
        <v>15</v>
      </c>
    </row>
    <row r="3263" spans="1:7" hidden="1" x14ac:dyDescent="0.25">
      <c r="A3263" s="21">
        <v>3262</v>
      </c>
      <c r="B3263" s="7" t="s">
        <v>7280</v>
      </c>
      <c r="C3263" s="7" t="s">
        <v>7281</v>
      </c>
      <c r="G3263" s="8" t="s">
        <v>15</v>
      </c>
    </row>
    <row r="3264" spans="1:7" hidden="1" x14ac:dyDescent="0.25">
      <c r="A3264" s="21">
        <v>3263</v>
      </c>
      <c r="B3264" s="7" t="s">
        <v>7282</v>
      </c>
      <c r="C3264" s="7" t="s">
        <v>7283</v>
      </c>
      <c r="G3264" s="8" t="s">
        <v>15</v>
      </c>
    </row>
    <row r="3265" spans="1:7" hidden="1" x14ac:dyDescent="0.25">
      <c r="A3265" s="21">
        <v>3264</v>
      </c>
      <c r="B3265" s="7" t="s">
        <v>7284</v>
      </c>
      <c r="C3265" s="7" t="s">
        <v>7285</v>
      </c>
      <c r="G3265" s="8" t="s">
        <v>15</v>
      </c>
    </row>
    <row r="3266" spans="1:7" hidden="1" x14ac:dyDescent="0.25">
      <c r="A3266" s="21">
        <v>3265</v>
      </c>
      <c r="B3266" s="7" t="s">
        <v>7286</v>
      </c>
      <c r="C3266" s="7" t="s">
        <v>7287</v>
      </c>
      <c r="G3266" s="8" t="s">
        <v>15</v>
      </c>
    </row>
    <row r="3267" spans="1:7" hidden="1" x14ac:dyDescent="0.25">
      <c r="A3267" s="21">
        <v>3266</v>
      </c>
      <c r="B3267" s="7" t="s">
        <v>7288</v>
      </c>
      <c r="C3267" s="7" t="s">
        <v>7289</v>
      </c>
      <c r="G3267" s="8" t="s">
        <v>15</v>
      </c>
    </row>
    <row r="3268" spans="1:7" hidden="1" x14ac:dyDescent="0.25">
      <c r="A3268" s="21">
        <v>3267</v>
      </c>
      <c r="B3268" s="7" t="s">
        <v>7290</v>
      </c>
      <c r="C3268" s="7" t="s">
        <v>7291</v>
      </c>
      <c r="G3268" s="8" t="s">
        <v>15</v>
      </c>
    </row>
    <row r="3269" spans="1:7" hidden="1" x14ac:dyDescent="0.25">
      <c r="A3269" s="21">
        <v>3268</v>
      </c>
      <c r="B3269" s="7" t="s">
        <v>7292</v>
      </c>
      <c r="C3269" s="7" t="s">
        <v>7293</v>
      </c>
      <c r="G3269" s="8" t="s">
        <v>15</v>
      </c>
    </row>
    <row r="3270" spans="1:7" hidden="1" x14ac:dyDescent="0.25">
      <c r="A3270" s="21">
        <v>3269</v>
      </c>
      <c r="B3270" s="7" t="s">
        <v>7294</v>
      </c>
      <c r="C3270" s="7" t="s">
        <v>7295</v>
      </c>
      <c r="G3270" s="8" t="s">
        <v>15</v>
      </c>
    </row>
    <row r="3271" spans="1:7" hidden="1" x14ac:dyDescent="0.25">
      <c r="A3271" s="21">
        <v>3270</v>
      </c>
      <c r="B3271" s="7" t="s">
        <v>7296</v>
      </c>
      <c r="C3271" s="7" t="s">
        <v>7297</v>
      </c>
      <c r="G3271" s="8" t="s">
        <v>15</v>
      </c>
    </row>
    <row r="3272" spans="1:7" hidden="1" x14ac:dyDescent="0.25">
      <c r="A3272" s="21">
        <v>3271</v>
      </c>
      <c r="B3272" s="7" t="s">
        <v>7298</v>
      </c>
      <c r="C3272" s="7" t="s">
        <v>7299</v>
      </c>
      <c r="G3272" s="8" t="s">
        <v>15</v>
      </c>
    </row>
    <row r="3273" spans="1:7" hidden="1" x14ac:dyDescent="0.25">
      <c r="A3273" s="21">
        <v>3272</v>
      </c>
      <c r="B3273" s="7" t="s">
        <v>7300</v>
      </c>
      <c r="C3273" s="7" t="s">
        <v>7301</v>
      </c>
      <c r="G3273" s="8" t="s">
        <v>15</v>
      </c>
    </row>
    <row r="3274" spans="1:7" hidden="1" x14ac:dyDescent="0.25">
      <c r="A3274" s="21">
        <v>3273</v>
      </c>
      <c r="B3274" s="7" t="s">
        <v>7302</v>
      </c>
      <c r="C3274" s="7" t="s">
        <v>7303</v>
      </c>
      <c r="G3274" s="8" t="s">
        <v>15</v>
      </c>
    </row>
    <row r="3275" spans="1:7" hidden="1" x14ac:dyDescent="0.25">
      <c r="A3275" s="21">
        <v>3274</v>
      </c>
      <c r="B3275" s="7" t="s">
        <v>7304</v>
      </c>
      <c r="C3275" s="7" t="s">
        <v>7305</v>
      </c>
      <c r="G3275" s="8" t="s">
        <v>15</v>
      </c>
    </row>
    <row r="3276" spans="1:7" hidden="1" x14ac:dyDescent="0.25">
      <c r="A3276" s="21">
        <v>3275</v>
      </c>
      <c r="B3276" s="7" t="s">
        <v>7306</v>
      </c>
      <c r="C3276" s="7" t="s">
        <v>7307</v>
      </c>
      <c r="G3276" s="8" t="s">
        <v>15</v>
      </c>
    </row>
    <row r="3277" spans="1:7" hidden="1" x14ac:dyDescent="0.25">
      <c r="A3277" s="21">
        <v>3276</v>
      </c>
      <c r="B3277" s="7" t="s">
        <v>7308</v>
      </c>
      <c r="C3277" s="7" t="s">
        <v>7309</v>
      </c>
      <c r="G3277" s="8" t="s">
        <v>15</v>
      </c>
    </row>
    <row r="3278" spans="1:7" hidden="1" x14ac:dyDescent="0.25">
      <c r="A3278" s="21">
        <v>3277</v>
      </c>
      <c r="B3278" s="7" t="s">
        <v>7310</v>
      </c>
      <c r="C3278" s="7" t="s">
        <v>7311</v>
      </c>
      <c r="G3278" s="8" t="s">
        <v>15</v>
      </c>
    </row>
    <row r="3279" spans="1:7" hidden="1" x14ac:dyDescent="0.25">
      <c r="A3279" s="21">
        <v>3278</v>
      </c>
      <c r="B3279" s="7" t="s">
        <v>7312</v>
      </c>
      <c r="C3279" s="7" t="s">
        <v>7313</v>
      </c>
      <c r="G3279" s="8" t="s">
        <v>15</v>
      </c>
    </row>
    <row r="3280" spans="1:7" hidden="1" x14ac:dyDescent="0.25">
      <c r="A3280" s="21">
        <v>3279</v>
      </c>
      <c r="B3280" s="7" t="s">
        <v>7314</v>
      </c>
      <c r="C3280" s="7" t="s">
        <v>7315</v>
      </c>
      <c r="G3280" s="8" t="s">
        <v>15</v>
      </c>
    </row>
    <row r="3281" spans="1:7" hidden="1" x14ac:dyDescent="0.25">
      <c r="A3281" s="21">
        <v>3280</v>
      </c>
      <c r="B3281" s="7" t="s">
        <v>7316</v>
      </c>
      <c r="C3281" s="7" t="s">
        <v>7317</v>
      </c>
      <c r="G3281" s="8" t="s">
        <v>15</v>
      </c>
    </row>
    <row r="3282" spans="1:7" hidden="1" x14ac:dyDescent="0.25">
      <c r="A3282" s="21">
        <v>3281</v>
      </c>
      <c r="B3282" s="7" t="s">
        <v>7318</v>
      </c>
      <c r="C3282" s="7" t="s">
        <v>7319</v>
      </c>
      <c r="G3282" s="8" t="s">
        <v>15</v>
      </c>
    </row>
    <row r="3283" spans="1:7" hidden="1" x14ac:dyDescent="0.25">
      <c r="A3283" s="21">
        <v>3282</v>
      </c>
      <c r="B3283" s="7" t="s">
        <v>7320</v>
      </c>
      <c r="C3283" s="7" t="s">
        <v>7321</v>
      </c>
      <c r="G3283" s="8" t="s">
        <v>15</v>
      </c>
    </row>
    <row r="3284" spans="1:7" hidden="1" x14ac:dyDescent="0.25">
      <c r="A3284" s="21">
        <v>3283</v>
      </c>
      <c r="B3284" s="7" t="s">
        <v>7322</v>
      </c>
      <c r="C3284" s="7" t="s">
        <v>7323</v>
      </c>
      <c r="G3284" s="8" t="s">
        <v>15</v>
      </c>
    </row>
    <row r="3285" spans="1:7" hidden="1" x14ac:dyDescent="0.25">
      <c r="A3285" s="21">
        <v>3284</v>
      </c>
      <c r="B3285" s="7" t="s">
        <v>7324</v>
      </c>
      <c r="C3285" s="7" t="s">
        <v>7325</v>
      </c>
      <c r="G3285" s="8" t="s">
        <v>15</v>
      </c>
    </row>
    <row r="3286" spans="1:7" hidden="1" x14ac:dyDescent="0.25">
      <c r="A3286" s="21">
        <v>3285</v>
      </c>
      <c r="B3286" s="7" t="s">
        <v>7326</v>
      </c>
      <c r="C3286" s="7" t="s">
        <v>7327</v>
      </c>
      <c r="G3286" s="8" t="s">
        <v>15</v>
      </c>
    </row>
    <row r="3287" spans="1:7" hidden="1" x14ac:dyDescent="0.25">
      <c r="A3287" s="21">
        <v>3286</v>
      </c>
      <c r="B3287" s="7" t="s">
        <v>7328</v>
      </c>
      <c r="C3287" s="7" t="s">
        <v>7329</v>
      </c>
      <c r="G3287" s="8" t="s">
        <v>15</v>
      </c>
    </row>
    <row r="3288" spans="1:7" hidden="1" x14ac:dyDescent="0.25">
      <c r="A3288" s="21">
        <v>3287</v>
      </c>
      <c r="B3288" s="7" t="s">
        <v>7330</v>
      </c>
      <c r="C3288" s="7" t="s">
        <v>7331</v>
      </c>
      <c r="G3288" s="8" t="s">
        <v>15</v>
      </c>
    </row>
    <row r="3289" spans="1:7" hidden="1" x14ac:dyDescent="0.25">
      <c r="A3289" s="21">
        <v>3288</v>
      </c>
      <c r="B3289" s="7" t="s">
        <v>7332</v>
      </c>
      <c r="C3289" s="7" t="s">
        <v>7333</v>
      </c>
      <c r="G3289" s="8" t="s">
        <v>15</v>
      </c>
    </row>
    <row r="3290" spans="1:7" hidden="1" x14ac:dyDescent="0.25">
      <c r="A3290" s="21">
        <v>3289</v>
      </c>
      <c r="B3290" s="7" t="s">
        <v>7334</v>
      </c>
      <c r="C3290" s="7" t="s">
        <v>7335</v>
      </c>
      <c r="G3290" s="8" t="s">
        <v>15</v>
      </c>
    </row>
    <row r="3291" spans="1:7" hidden="1" x14ac:dyDescent="0.25">
      <c r="A3291" s="21">
        <v>3290</v>
      </c>
      <c r="B3291" s="7" t="s">
        <v>7336</v>
      </c>
      <c r="C3291" s="7" t="s">
        <v>7337</v>
      </c>
      <c r="G3291" s="8" t="s">
        <v>15</v>
      </c>
    </row>
    <row r="3292" spans="1:7" hidden="1" x14ac:dyDescent="0.25">
      <c r="A3292" s="21">
        <v>3291</v>
      </c>
      <c r="B3292" s="7" t="s">
        <v>7338</v>
      </c>
      <c r="C3292" s="7" t="s">
        <v>7339</v>
      </c>
      <c r="G3292" s="8" t="s">
        <v>15</v>
      </c>
    </row>
    <row r="3293" spans="1:7" hidden="1" x14ac:dyDescent="0.25">
      <c r="A3293" s="21">
        <v>3292</v>
      </c>
      <c r="B3293" s="7" t="s">
        <v>7340</v>
      </c>
      <c r="C3293" s="7" t="s">
        <v>7341</v>
      </c>
      <c r="G3293" s="8" t="s">
        <v>15</v>
      </c>
    </row>
    <row r="3294" spans="1:7" hidden="1" x14ac:dyDescent="0.25">
      <c r="A3294" s="21">
        <v>3293</v>
      </c>
      <c r="B3294" s="7" t="s">
        <v>7342</v>
      </c>
      <c r="C3294" s="7" t="s">
        <v>7343</v>
      </c>
      <c r="G3294" s="8" t="s">
        <v>15</v>
      </c>
    </row>
    <row r="3295" spans="1:7" hidden="1" x14ac:dyDescent="0.25">
      <c r="A3295" s="21">
        <v>3294</v>
      </c>
      <c r="B3295" s="7" t="s">
        <v>7344</v>
      </c>
      <c r="C3295" s="7" t="s">
        <v>7345</v>
      </c>
      <c r="G3295" s="8" t="s">
        <v>15</v>
      </c>
    </row>
    <row r="3296" spans="1:7" hidden="1" x14ac:dyDescent="0.25">
      <c r="A3296" s="21">
        <v>3295</v>
      </c>
      <c r="B3296" s="7" t="s">
        <v>7346</v>
      </c>
      <c r="C3296" s="7" t="s">
        <v>7347</v>
      </c>
      <c r="G3296" s="8" t="s">
        <v>15</v>
      </c>
    </row>
    <row r="3297" spans="1:7" hidden="1" x14ac:dyDescent="0.25">
      <c r="A3297" s="21">
        <v>3296</v>
      </c>
      <c r="B3297" s="7" t="s">
        <v>7348</v>
      </c>
      <c r="C3297" s="7" t="s">
        <v>7349</v>
      </c>
      <c r="G3297" s="8" t="s">
        <v>15</v>
      </c>
    </row>
    <row r="3298" spans="1:7" hidden="1" x14ac:dyDescent="0.25">
      <c r="A3298" s="21">
        <v>3297</v>
      </c>
      <c r="B3298" s="7" t="s">
        <v>7350</v>
      </c>
      <c r="C3298" s="7" t="s">
        <v>7351</v>
      </c>
      <c r="G3298" s="8" t="s">
        <v>15</v>
      </c>
    </row>
    <row r="3299" spans="1:7" hidden="1" x14ac:dyDescent="0.25">
      <c r="A3299" s="21">
        <v>3298</v>
      </c>
      <c r="B3299" s="7" t="s">
        <v>7352</v>
      </c>
      <c r="C3299" s="7" t="s">
        <v>7353</v>
      </c>
      <c r="G3299" s="8" t="s">
        <v>15</v>
      </c>
    </row>
    <row r="3300" spans="1:7" hidden="1" x14ac:dyDescent="0.25">
      <c r="A3300" s="21">
        <v>3299</v>
      </c>
      <c r="B3300" s="7" t="s">
        <v>7354</v>
      </c>
      <c r="C3300" s="7" t="s">
        <v>7355</v>
      </c>
      <c r="G3300" s="8" t="s">
        <v>15</v>
      </c>
    </row>
    <row r="3301" spans="1:7" hidden="1" x14ac:dyDescent="0.25">
      <c r="A3301" s="21">
        <v>3300</v>
      </c>
      <c r="B3301" s="7" t="s">
        <v>7356</v>
      </c>
      <c r="C3301" s="7" t="s">
        <v>7357</v>
      </c>
      <c r="G3301" s="8" t="s">
        <v>15</v>
      </c>
    </row>
    <row r="3302" spans="1:7" hidden="1" x14ac:dyDescent="0.25">
      <c r="A3302" s="21">
        <v>3301</v>
      </c>
      <c r="B3302" s="7" t="s">
        <v>7358</v>
      </c>
      <c r="C3302" s="7" t="s">
        <v>7359</v>
      </c>
      <c r="G3302" s="8" t="s">
        <v>15</v>
      </c>
    </row>
    <row r="3303" spans="1:7" hidden="1" x14ac:dyDescent="0.25">
      <c r="A3303" s="21">
        <v>3302</v>
      </c>
      <c r="B3303" s="7" t="s">
        <v>7360</v>
      </c>
      <c r="C3303" s="7" t="s">
        <v>7361</v>
      </c>
      <c r="G3303" s="8" t="s">
        <v>15</v>
      </c>
    </row>
    <row r="3304" spans="1:7" hidden="1" x14ac:dyDescent="0.25">
      <c r="A3304" s="21">
        <v>3303</v>
      </c>
      <c r="B3304" s="7" t="s">
        <v>7362</v>
      </c>
      <c r="C3304" s="7" t="s">
        <v>7363</v>
      </c>
      <c r="G3304" s="8" t="s">
        <v>15</v>
      </c>
    </row>
    <row r="3305" spans="1:7" hidden="1" x14ac:dyDescent="0.25">
      <c r="A3305" s="21">
        <v>3304</v>
      </c>
      <c r="B3305" s="7" t="s">
        <v>7364</v>
      </c>
      <c r="C3305" s="7" t="s">
        <v>7365</v>
      </c>
      <c r="G3305" s="8" t="s">
        <v>15</v>
      </c>
    </row>
    <row r="3306" spans="1:7" hidden="1" x14ac:dyDescent="0.25">
      <c r="A3306" s="21">
        <v>3305</v>
      </c>
      <c r="B3306" s="7" t="s">
        <v>7366</v>
      </c>
      <c r="C3306" s="7" t="s">
        <v>7367</v>
      </c>
      <c r="G3306" s="8" t="s">
        <v>15</v>
      </c>
    </row>
    <row r="3307" spans="1:7" hidden="1" x14ac:dyDescent="0.25">
      <c r="A3307" s="21">
        <v>3306</v>
      </c>
      <c r="B3307" s="7" t="s">
        <v>7368</v>
      </c>
      <c r="C3307" s="7" t="s">
        <v>7369</v>
      </c>
      <c r="G3307" s="8" t="s">
        <v>15</v>
      </c>
    </row>
    <row r="3308" spans="1:7" hidden="1" x14ac:dyDescent="0.25">
      <c r="A3308" s="21">
        <v>3307</v>
      </c>
      <c r="B3308" s="7" t="s">
        <v>7370</v>
      </c>
      <c r="C3308" s="7" t="s">
        <v>7371</v>
      </c>
      <c r="G3308" s="8" t="s">
        <v>15</v>
      </c>
    </row>
    <row r="3309" spans="1:7" hidden="1" x14ac:dyDescent="0.25">
      <c r="A3309" s="21">
        <v>3308</v>
      </c>
      <c r="B3309" s="7" t="s">
        <v>7372</v>
      </c>
      <c r="C3309" s="7" t="s">
        <v>7373</v>
      </c>
      <c r="G3309" s="8" t="s">
        <v>15</v>
      </c>
    </row>
    <row r="3310" spans="1:7" hidden="1" x14ac:dyDescent="0.25">
      <c r="A3310" s="21">
        <v>3309</v>
      </c>
      <c r="B3310" s="7" t="s">
        <v>7374</v>
      </c>
      <c r="C3310" s="7" t="s">
        <v>7375</v>
      </c>
      <c r="G3310" s="8" t="s">
        <v>15</v>
      </c>
    </row>
    <row r="3311" spans="1:7" hidden="1" x14ac:dyDescent="0.25">
      <c r="A3311" s="21">
        <v>3310</v>
      </c>
      <c r="B3311" s="7" t="s">
        <v>7376</v>
      </c>
      <c r="C3311" s="7" t="s">
        <v>7377</v>
      </c>
      <c r="G3311" s="8" t="s">
        <v>15</v>
      </c>
    </row>
    <row r="3312" spans="1:7" hidden="1" x14ac:dyDescent="0.25">
      <c r="A3312" s="21">
        <v>3311</v>
      </c>
      <c r="B3312" s="7" t="s">
        <v>7378</v>
      </c>
      <c r="C3312" s="7" t="s">
        <v>7379</v>
      </c>
      <c r="G3312" s="8" t="s">
        <v>15</v>
      </c>
    </row>
    <row r="3313" spans="1:7" hidden="1" x14ac:dyDescent="0.25">
      <c r="A3313" s="21">
        <v>3312</v>
      </c>
      <c r="B3313" s="7" t="s">
        <v>7380</v>
      </c>
      <c r="C3313" s="7" t="s">
        <v>7381</v>
      </c>
      <c r="G3313" s="8" t="s">
        <v>15</v>
      </c>
    </row>
    <row r="3314" spans="1:7" hidden="1" x14ac:dyDescent="0.25">
      <c r="A3314" s="21">
        <v>3313</v>
      </c>
      <c r="B3314" s="7" t="s">
        <v>7382</v>
      </c>
      <c r="C3314" s="7" t="s">
        <v>7383</v>
      </c>
      <c r="G3314" s="8" t="s">
        <v>15</v>
      </c>
    </row>
    <row r="3315" spans="1:7" hidden="1" x14ac:dyDescent="0.25">
      <c r="A3315" s="21">
        <v>3314</v>
      </c>
      <c r="B3315" s="7" t="s">
        <v>7384</v>
      </c>
      <c r="C3315" s="7" t="s">
        <v>7385</v>
      </c>
      <c r="G3315" s="8" t="s">
        <v>15</v>
      </c>
    </row>
    <row r="3316" spans="1:7" hidden="1" x14ac:dyDescent="0.25">
      <c r="A3316" s="21">
        <v>3315</v>
      </c>
      <c r="B3316" s="7" t="s">
        <v>7386</v>
      </c>
      <c r="C3316" s="7" t="s">
        <v>7387</v>
      </c>
      <c r="G3316" s="8" t="s">
        <v>15</v>
      </c>
    </row>
    <row r="3317" spans="1:7" hidden="1" x14ac:dyDescent="0.25">
      <c r="A3317" s="21">
        <v>3316</v>
      </c>
      <c r="B3317" s="7" t="s">
        <v>7388</v>
      </c>
      <c r="C3317" s="7" t="s">
        <v>7389</v>
      </c>
      <c r="G3317" s="8" t="s">
        <v>15</v>
      </c>
    </row>
    <row r="3318" spans="1:7" hidden="1" x14ac:dyDescent="0.25">
      <c r="A3318" s="21">
        <v>3317</v>
      </c>
      <c r="B3318" s="7" t="s">
        <v>7390</v>
      </c>
      <c r="C3318" s="7" t="s">
        <v>7391</v>
      </c>
      <c r="F3318" t="s">
        <v>1603</v>
      </c>
      <c r="G3318" s="8" t="s">
        <v>15</v>
      </c>
    </row>
    <row r="3319" spans="1:7" hidden="1" x14ac:dyDescent="0.25">
      <c r="A3319" s="21">
        <v>3318</v>
      </c>
      <c r="B3319" s="7" t="s">
        <v>7392</v>
      </c>
      <c r="C3319" s="7" t="s">
        <v>7393</v>
      </c>
      <c r="F3319" t="s">
        <v>1603</v>
      </c>
      <c r="G3319" s="8" t="s">
        <v>15</v>
      </c>
    </row>
    <row r="3320" spans="1:7" hidden="1" x14ac:dyDescent="0.25">
      <c r="A3320" s="21">
        <v>3319</v>
      </c>
      <c r="B3320" s="7" t="s">
        <v>7394</v>
      </c>
      <c r="C3320" s="7" t="s">
        <v>7395</v>
      </c>
      <c r="F3320" t="s">
        <v>1603</v>
      </c>
      <c r="G3320" s="8" t="s">
        <v>15</v>
      </c>
    </row>
    <row r="3321" spans="1:7" hidden="1" x14ac:dyDescent="0.25">
      <c r="A3321" s="21">
        <v>3320</v>
      </c>
      <c r="B3321" s="7" t="s">
        <v>7396</v>
      </c>
      <c r="C3321" s="7" t="s">
        <v>7397</v>
      </c>
      <c r="F3321" t="s">
        <v>1603</v>
      </c>
      <c r="G3321" s="8" t="s">
        <v>15</v>
      </c>
    </row>
    <row r="3322" spans="1:7" hidden="1" x14ac:dyDescent="0.25">
      <c r="A3322" s="21">
        <v>3321</v>
      </c>
      <c r="B3322" s="7" t="s">
        <v>7398</v>
      </c>
      <c r="C3322" s="7" t="s">
        <v>7399</v>
      </c>
      <c r="F3322" t="s">
        <v>1603</v>
      </c>
      <c r="G3322" s="8" t="s">
        <v>15</v>
      </c>
    </row>
    <row r="3323" spans="1:7" hidden="1" x14ac:dyDescent="0.25">
      <c r="A3323" s="21">
        <v>3322</v>
      </c>
      <c r="B3323" s="7" t="s">
        <v>7400</v>
      </c>
      <c r="C3323" s="7" t="s">
        <v>7401</v>
      </c>
      <c r="F3323" t="s">
        <v>1603</v>
      </c>
      <c r="G3323" s="8" t="s">
        <v>15</v>
      </c>
    </row>
    <row r="3324" spans="1:7" hidden="1" x14ac:dyDescent="0.25">
      <c r="A3324" s="21">
        <v>3323</v>
      </c>
      <c r="B3324" s="7" t="s">
        <v>7402</v>
      </c>
      <c r="C3324" s="7" t="s">
        <v>7403</v>
      </c>
      <c r="F3324" t="s">
        <v>1603</v>
      </c>
      <c r="G3324" s="8" t="s">
        <v>15</v>
      </c>
    </row>
    <row r="3325" spans="1:7" hidden="1" x14ac:dyDescent="0.25">
      <c r="A3325" s="21">
        <v>3324</v>
      </c>
      <c r="B3325" s="7" t="s">
        <v>7404</v>
      </c>
      <c r="C3325" s="7" t="s">
        <v>7405</v>
      </c>
      <c r="F3325" t="s">
        <v>1603</v>
      </c>
      <c r="G3325" s="8" t="s">
        <v>15</v>
      </c>
    </row>
    <row r="3326" spans="1:7" hidden="1" x14ac:dyDescent="0.25">
      <c r="A3326" s="21">
        <v>3325</v>
      </c>
      <c r="B3326" s="7" t="s">
        <v>7406</v>
      </c>
      <c r="C3326" s="7" t="s">
        <v>7407</v>
      </c>
      <c r="F3326" t="s">
        <v>1603</v>
      </c>
      <c r="G3326" s="8" t="s">
        <v>15</v>
      </c>
    </row>
    <row r="3327" spans="1:7" hidden="1" x14ac:dyDescent="0.25">
      <c r="A3327" s="21">
        <v>3326</v>
      </c>
      <c r="B3327" s="7" t="s">
        <v>7408</v>
      </c>
      <c r="C3327" s="7" t="s">
        <v>7409</v>
      </c>
      <c r="F3327" t="s">
        <v>1603</v>
      </c>
      <c r="G3327" s="8" t="s">
        <v>15</v>
      </c>
    </row>
    <row r="3328" spans="1:7" hidden="1" x14ac:dyDescent="0.25">
      <c r="A3328" s="21">
        <v>3327</v>
      </c>
      <c r="B3328" s="7" t="s">
        <v>7410</v>
      </c>
      <c r="C3328" s="7" t="s">
        <v>7411</v>
      </c>
      <c r="F3328" t="s">
        <v>1603</v>
      </c>
      <c r="G3328" s="8" t="s">
        <v>15</v>
      </c>
    </row>
    <row r="3329" spans="1:7" hidden="1" x14ac:dyDescent="0.25">
      <c r="A3329" s="21">
        <v>3328</v>
      </c>
      <c r="B3329" s="7" t="s">
        <v>7412</v>
      </c>
      <c r="C3329" s="7" t="s">
        <v>7413</v>
      </c>
      <c r="F3329" t="s">
        <v>1603</v>
      </c>
      <c r="G3329" s="8" t="s">
        <v>15</v>
      </c>
    </row>
    <row r="3330" spans="1:7" hidden="1" x14ac:dyDescent="0.25">
      <c r="A3330" s="21">
        <v>3329</v>
      </c>
      <c r="B3330" s="7" t="s">
        <v>7414</v>
      </c>
      <c r="C3330" s="7" t="s">
        <v>7415</v>
      </c>
      <c r="F3330" t="s">
        <v>1603</v>
      </c>
      <c r="G3330" s="8" t="s">
        <v>15</v>
      </c>
    </row>
    <row r="3331" spans="1:7" hidden="1" x14ac:dyDescent="0.25">
      <c r="A3331" s="21">
        <v>3330</v>
      </c>
      <c r="B3331" s="7" t="s">
        <v>7416</v>
      </c>
      <c r="C3331" s="7" t="s">
        <v>7417</v>
      </c>
      <c r="F3331" t="s">
        <v>1603</v>
      </c>
      <c r="G3331" s="8" t="s">
        <v>15</v>
      </c>
    </row>
    <row r="3332" spans="1:7" hidden="1" x14ac:dyDescent="0.25">
      <c r="A3332" s="21">
        <v>3331</v>
      </c>
      <c r="B3332" s="7" t="s">
        <v>7418</v>
      </c>
      <c r="C3332" s="7" t="s">
        <v>7419</v>
      </c>
      <c r="F3332" t="s">
        <v>1603</v>
      </c>
      <c r="G3332" s="8" t="s">
        <v>15</v>
      </c>
    </row>
    <row r="3333" spans="1:7" hidden="1" x14ac:dyDescent="0.25">
      <c r="A3333" s="21">
        <v>3332</v>
      </c>
      <c r="B3333" s="7" t="s">
        <v>7420</v>
      </c>
      <c r="C3333" s="7" t="s">
        <v>7421</v>
      </c>
      <c r="F3333" t="s">
        <v>1603</v>
      </c>
      <c r="G3333" s="8" t="s">
        <v>15</v>
      </c>
    </row>
    <row r="3334" spans="1:7" hidden="1" x14ac:dyDescent="0.25">
      <c r="A3334" s="21">
        <v>3333</v>
      </c>
      <c r="B3334" s="7" t="s">
        <v>7422</v>
      </c>
      <c r="C3334" s="7" t="s">
        <v>7423</v>
      </c>
      <c r="F3334" t="s">
        <v>1603</v>
      </c>
      <c r="G3334" s="8" t="s">
        <v>15</v>
      </c>
    </row>
    <row r="3335" spans="1:7" hidden="1" x14ac:dyDescent="0.25">
      <c r="A3335" s="21">
        <v>3334</v>
      </c>
      <c r="B3335" s="7" t="s">
        <v>7424</v>
      </c>
      <c r="C3335" s="7" t="s">
        <v>7425</v>
      </c>
      <c r="F3335" t="s">
        <v>1603</v>
      </c>
      <c r="G3335" s="8" t="s">
        <v>15</v>
      </c>
    </row>
    <row r="3336" spans="1:7" hidden="1" x14ac:dyDescent="0.25">
      <c r="A3336" s="21">
        <v>3335</v>
      </c>
      <c r="B3336" s="7" t="s">
        <v>7426</v>
      </c>
      <c r="C3336" s="7" t="s">
        <v>7427</v>
      </c>
      <c r="F3336" t="s">
        <v>1603</v>
      </c>
      <c r="G3336" s="8" t="s">
        <v>15</v>
      </c>
    </row>
    <row r="3337" spans="1:7" hidden="1" x14ac:dyDescent="0.25">
      <c r="A3337" s="21">
        <v>3336</v>
      </c>
      <c r="B3337" s="7" t="s">
        <v>7428</v>
      </c>
      <c r="C3337" s="7" t="s">
        <v>7429</v>
      </c>
      <c r="F3337" t="s">
        <v>1603</v>
      </c>
      <c r="G3337" s="8" t="s">
        <v>15</v>
      </c>
    </row>
    <row r="3338" spans="1:7" hidden="1" x14ac:dyDescent="0.25">
      <c r="A3338" s="21">
        <v>3337</v>
      </c>
      <c r="B3338" s="7" t="s">
        <v>7430</v>
      </c>
      <c r="C3338" s="7" t="s">
        <v>7431</v>
      </c>
      <c r="F3338" t="s">
        <v>1603</v>
      </c>
      <c r="G3338" s="8" t="s">
        <v>15</v>
      </c>
    </row>
    <row r="3339" spans="1:7" hidden="1" x14ac:dyDescent="0.25">
      <c r="A3339" s="21">
        <v>3338</v>
      </c>
      <c r="B3339" s="7" t="s">
        <v>7432</v>
      </c>
      <c r="C3339" s="7" t="s">
        <v>7433</v>
      </c>
      <c r="F3339" t="s">
        <v>1603</v>
      </c>
      <c r="G3339" s="8" t="s">
        <v>15</v>
      </c>
    </row>
    <row r="3340" spans="1:7" hidden="1" x14ac:dyDescent="0.25">
      <c r="A3340" s="21">
        <v>3339</v>
      </c>
      <c r="B3340" s="7" t="s">
        <v>7434</v>
      </c>
      <c r="C3340" s="7" t="s">
        <v>7435</v>
      </c>
      <c r="F3340" t="s">
        <v>1603</v>
      </c>
      <c r="G3340" s="8" t="s">
        <v>15</v>
      </c>
    </row>
    <row r="3341" spans="1:7" hidden="1" x14ac:dyDescent="0.25">
      <c r="A3341" s="21">
        <v>3340</v>
      </c>
      <c r="B3341" s="7" t="s">
        <v>7436</v>
      </c>
      <c r="C3341" s="7" t="s">
        <v>7437</v>
      </c>
      <c r="F3341" t="s">
        <v>1603</v>
      </c>
      <c r="G3341" s="8" t="s">
        <v>15</v>
      </c>
    </row>
    <row r="3342" spans="1:7" hidden="1" x14ac:dyDescent="0.25">
      <c r="A3342" s="21">
        <v>3341</v>
      </c>
      <c r="B3342" s="7" t="s">
        <v>7438</v>
      </c>
      <c r="C3342" s="7" t="s">
        <v>7439</v>
      </c>
      <c r="F3342" t="s">
        <v>1603</v>
      </c>
      <c r="G3342" s="8" t="s">
        <v>15</v>
      </c>
    </row>
    <row r="3343" spans="1:7" hidden="1" x14ac:dyDescent="0.25">
      <c r="A3343" s="21">
        <v>3342</v>
      </c>
      <c r="B3343" s="7" t="s">
        <v>7440</v>
      </c>
      <c r="C3343" s="7" t="s">
        <v>7441</v>
      </c>
      <c r="F3343" t="s">
        <v>1603</v>
      </c>
      <c r="G3343" s="8" t="s">
        <v>15</v>
      </c>
    </row>
    <row r="3344" spans="1:7" hidden="1" x14ac:dyDescent="0.25">
      <c r="A3344" s="21">
        <v>3343</v>
      </c>
      <c r="B3344" s="7" t="s">
        <v>7442</v>
      </c>
      <c r="C3344" s="7" t="s">
        <v>7443</v>
      </c>
      <c r="G3344" s="8" t="s">
        <v>15</v>
      </c>
    </row>
    <row r="3345" spans="1:7" hidden="1" x14ac:dyDescent="0.25">
      <c r="A3345" s="21">
        <v>3344</v>
      </c>
      <c r="B3345" s="7" t="s">
        <v>7444</v>
      </c>
      <c r="C3345" s="7" t="s">
        <v>7445</v>
      </c>
      <c r="G3345" s="8" t="s">
        <v>15</v>
      </c>
    </row>
    <row r="3346" spans="1:7" hidden="1" x14ac:dyDescent="0.25">
      <c r="A3346" s="21">
        <v>3345</v>
      </c>
      <c r="B3346" s="7" t="s">
        <v>7446</v>
      </c>
      <c r="C3346" s="7" t="s">
        <v>7447</v>
      </c>
      <c r="G3346" s="8" t="s">
        <v>15</v>
      </c>
    </row>
    <row r="3347" spans="1:7" hidden="1" x14ac:dyDescent="0.25">
      <c r="A3347" s="21">
        <v>3346</v>
      </c>
      <c r="B3347" s="7" t="s">
        <v>7448</v>
      </c>
      <c r="C3347" s="7" t="s">
        <v>7449</v>
      </c>
      <c r="F3347" t="s">
        <v>1603</v>
      </c>
      <c r="G3347" s="8" t="s">
        <v>15</v>
      </c>
    </row>
    <row r="3348" spans="1:7" hidden="1" x14ac:dyDescent="0.25">
      <c r="A3348" s="21">
        <v>3347</v>
      </c>
      <c r="B3348" s="7" t="s">
        <v>7450</v>
      </c>
      <c r="C3348" s="7" t="s">
        <v>7451</v>
      </c>
      <c r="F3348" t="s">
        <v>1603</v>
      </c>
      <c r="G3348" s="8" t="s">
        <v>15</v>
      </c>
    </row>
    <row r="3349" spans="1:7" hidden="1" x14ac:dyDescent="0.25">
      <c r="A3349" s="21">
        <v>3348</v>
      </c>
      <c r="B3349" s="7" t="s">
        <v>7452</v>
      </c>
      <c r="C3349" s="7" t="s">
        <v>7453</v>
      </c>
      <c r="F3349" t="s">
        <v>1603</v>
      </c>
      <c r="G3349" s="8" t="s">
        <v>15</v>
      </c>
    </row>
    <row r="3350" spans="1:7" hidden="1" x14ac:dyDescent="0.25">
      <c r="A3350" s="21">
        <v>3349</v>
      </c>
      <c r="B3350" s="7" t="s">
        <v>7454</v>
      </c>
      <c r="C3350" s="7" t="s">
        <v>7455</v>
      </c>
      <c r="F3350" t="s">
        <v>1603</v>
      </c>
      <c r="G3350" s="8" t="s">
        <v>15</v>
      </c>
    </row>
    <row r="3351" spans="1:7" hidden="1" x14ac:dyDescent="0.25">
      <c r="A3351" s="21">
        <v>3350</v>
      </c>
      <c r="B3351" s="7" t="s">
        <v>7456</v>
      </c>
      <c r="C3351" s="7" t="s">
        <v>7457</v>
      </c>
      <c r="F3351" t="s">
        <v>1603</v>
      </c>
      <c r="G3351" s="8" t="s">
        <v>15</v>
      </c>
    </row>
    <row r="3352" spans="1:7" hidden="1" x14ac:dyDescent="0.25">
      <c r="A3352" s="21">
        <v>3351</v>
      </c>
      <c r="B3352" s="7" t="s">
        <v>7458</v>
      </c>
      <c r="C3352" s="7" t="s">
        <v>7459</v>
      </c>
      <c r="F3352" t="s">
        <v>1603</v>
      </c>
      <c r="G3352" s="8" t="s">
        <v>15</v>
      </c>
    </row>
    <row r="3353" spans="1:7" hidden="1" x14ac:dyDescent="0.25">
      <c r="A3353" s="21">
        <v>3352</v>
      </c>
      <c r="B3353" s="7" t="s">
        <v>7460</v>
      </c>
      <c r="C3353" s="7" t="s">
        <v>7461</v>
      </c>
      <c r="F3353" t="s">
        <v>1603</v>
      </c>
      <c r="G3353" s="8" t="s">
        <v>15</v>
      </c>
    </row>
    <row r="3354" spans="1:7" hidden="1" x14ac:dyDescent="0.25">
      <c r="A3354" s="21">
        <v>3353</v>
      </c>
      <c r="B3354" s="7" t="s">
        <v>7462</v>
      </c>
      <c r="C3354" s="7" t="s">
        <v>7463</v>
      </c>
      <c r="F3354" t="s">
        <v>1603</v>
      </c>
      <c r="G3354" s="8" t="s">
        <v>15</v>
      </c>
    </row>
    <row r="3355" spans="1:7" hidden="1" x14ac:dyDescent="0.25">
      <c r="A3355" s="21">
        <v>3354</v>
      </c>
      <c r="B3355" s="7" t="s">
        <v>7464</v>
      </c>
      <c r="C3355" s="7" t="s">
        <v>7465</v>
      </c>
      <c r="F3355" t="s">
        <v>1603</v>
      </c>
      <c r="G3355" s="8" t="s">
        <v>15</v>
      </c>
    </row>
    <row r="3356" spans="1:7" hidden="1" x14ac:dyDescent="0.25">
      <c r="A3356" s="21">
        <v>3355</v>
      </c>
      <c r="B3356" s="7" t="s">
        <v>7466</v>
      </c>
      <c r="C3356" s="7" t="s">
        <v>7467</v>
      </c>
      <c r="F3356" t="s">
        <v>1603</v>
      </c>
      <c r="G3356" s="8" t="s">
        <v>15</v>
      </c>
    </row>
    <row r="3357" spans="1:7" hidden="1" x14ac:dyDescent="0.25">
      <c r="A3357" s="21">
        <v>3356</v>
      </c>
      <c r="B3357" s="7" t="s">
        <v>7468</v>
      </c>
      <c r="C3357" s="7" t="s">
        <v>7469</v>
      </c>
      <c r="F3357" t="s">
        <v>1603</v>
      </c>
      <c r="G3357" s="8" t="s">
        <v>15</v>
      </c>
    </row>
    <row r="3358" spans="1:7" hidden="1" x14ac:dyDescent="0.25">
      <c r="A3358" s="21">
        <v>3357</v>
      </c>
      <c r="B3358" s="7" t="s">
        <v>7470</v>
      </c>
      <c r="C3358" s="7" t="s">
        <v>7471</v>
      </c>
      <c r="F3358" t="s">
        <v>1603</v>
      </c>
      <c r="G3358" s="8" t="s">
        <v>15</v>
      </c>
    </row>
    <row r="3359" spans="1:7" hidden="1" x14ac:dyDescent="0.25">
      <c r="A3359" s="21">
        <v>3358</v>
      </c>
      <c r="B3359" s="7" t="s">
        <v>7472</v>
      </c>
      <c r="C3359" s="7" t="s">
        <v>7473</v>
      </c>
      <c r="F3359" t="s">
        <v>1603</v>
      </c>
      <c r="G3359" s="8" t="s">
        <v>15</v>
      </c>
    </row>
    <row r="3360" spans="1:7" hidden="1" x14ac:dyDescent="0.25">
      <c r="A3360" s="21">
        <v>3359</v>
      </c>
      <c r="B3360" s="7" t="s">
        <v>7474</v>
      </c>
      <c r="C3360" s="7" t="s">
        <v>7475</v>
      </c>
      <c r="F3360" t="s">
        <v>1603</v>
      </c>
      <c r="G3360" s="8" t="s">
        <v>15</v>
      </c>
    </row>
    <row r="3361" spans="1:7" hidden="1" x14ac:dyDescent="0.25">
      <c r="A3361" s="21">
        <v>3360</v>
      </c>
      <c r="B3361" s="7" t="s">
        <v>7476</v>
      </c>
      <c r="C3361" s="7" t="s">
        <v>7477</v>
      </c>
      <c r="F3361" t="s">
        <v>1603</v>
      </c>
      <c r="G3361" s="8" t="s">
        <v>15</v>
      </c>
    </row>
    <row r="3362" spans="1:7" hidden="1" x14ac:dyDescent="0.25">
      <c r="A3362" s="21">
        <v>3361</v>
      </c>
      <c r="B3362" s="7" t="s">
        <v>7478</v>
      </c>
      <c r="C3362" s="7" t="s">
        <v>7479</v>
      </c>
      <c r="F3362" t="s">
        <v>1603</v>
      </c>
      <c r="G3362" s="8" t="s">
        <v>15</v>
      </c>
    </row>
    <row r="3363" spans="1:7" hidden="1" x14ac:dyDescent="0.25">
      <c r="A3363" s="21">
        <v>3362</v>
      </c>
      <c r="B3363" s="7" t="s">
        <v>7480</v>
      </c>
      <c r="C3363" s="7" t="s">
        <v>7481</v>
      </c>
      <c r="F3363" t="s">
        <v>1603</v>
      </c>
      <c r="G3363" s="8" t="s">
        <v>15</v>
      </c>
    </row>
    <row r="3364" spans="1:7" hidden="1" x14ac:dyDescent="0.25">
      <c r="A3364" s="21">
        <v>3363</v>
      </c>
      <c r="B3364" s="7" t="s">
        <v>7482</v>
      </c>
      <c r="C3364" s="7" t="s">
        <v>7483</v>
      </c>
      <c r="F3364" t="s">
        <v>1603</v>
      </c>
      <c r="G3364" s="8" t="s">
        <v>15</v>
      </c>
    </row>
    <row r="3365" spans="1:7" hidden="1" x14ac:dyDescent="0.25">
      <c r="A3365" s="21">
        <v>3364</v>
      </c>
      <c r="B3365" s="7" t="s">
        <v>7484</v>
      </c>
      <c r="C3365" s="7" t="s">
        <v>7485</v>
      </c>
      <c r="F3365" t="s">
        <v>1603</v>
      </c>
      <c r="G3365" s="8" t="s">
        <v>15</v>
      </c>
    </row>
    <row r="3366" spans="1:7" hidden="1" x14ac:dyDescent="0.25">
      <c r="A3366" s="21">
        <v>3365</v>
      </c>
      <c r="B3366" s="7" t="s">
        <v>7486</v>
      </c>
      <c r="C3366" s="7" t="s">
        <v>7487</v>
      </c>
      <c r="F3366" t="s">
        <v>1603</v>
      </c>
      <c r="G3366" s="8" t="s">
        <v>15</v>
      </c>
    </row>
    <row r="3367" spans="1:7" hidden="1" x14ac:dyDescent="0.25">
      <c r="A3367" s="21">
        <v>3366</v>
      </c>
      <c r="B3367" s="7" t="s">
        <v>7488</v>
      </c>
      <c r="C3367" s="7" t="s">
        <v>7489</v>
      </c>
      <c r="F3367" t="s">
        <v>1603</v>
      </c>
      <c r="G3367" s="8" t="s">
        <v>15</v>
      </c>
    </row>
    <row r="3368" spans="1:7" hidden="1" x14ac:dyDescent="0.25">
      <c r="A3368" s="21">
        <v>3367</v>
      </c>
      <c r="B3368" s="7" t="s">
        <v>7490</v>
      </c>
      <c r="C3368" s="7" t="s">
        <v>7491</v>
      </c>
      <c r="F3368" t="s">
        <v>1603</v>
      </c>
      <c r="G3368" s="8" t="s">
        <v>15</v>
      </c>
    </row>
    <row r="3369" spans="1:7" hidden="1" x14ac:dyDescent="0.25">
      <c r="A3369" s="21">
        <v>3368</v>
      </c>
      <c r="B3369" s="7" t="s">
        <v>7492</v>
      </c>
      <c r="C3369" s="7" t="s">
        <v>7493</v>
      </c>
      <c r="F3369" t="s">
        <v>1603</v>
      </c>
      <c r="G3369" s="8" t="s">
        <v>15</v>
      </c>
    </row>
    <row r="3370" spans="1:7" hidden="1" x14ac:dyDescent="0.25">
      <c r="A3370" s="21">
        <v>3369</v>
      </c>
      <c r="B3370" s="7" t="s">
        <v>7494</v>
      </c>
      <c r="C3370" s="7" t="s">
        <v>7495</v>
      </c>
      <c r="F3370" t="s">
        <v>1603</v>
      </c>
      <c r="G3370" s="8" t="s">
        <v>15</v>
      </c>
    </row>
    <row r="3371" spans="1:7" hidden="1" x14ac:dyDescent="0.25">
      <c r="A3371" s="21">
        <v>3370</v>
      </c>
      <c r="B3371" s="7" t="s">
        <v>7496</v>
      </c>
      <c r="C3371" s="7" t="s">
        <v>7497</v>
      </c>
      <c r="F3371" t="s">
        <v>1603</v>
      </c>
      <c r="G3371" s="8" t="s">
        <v>15</v>
      </c>
    </row>
    <row r="3372" spans="1:7" hidden="1" x14ac:dyDescent="0.25">
      <c r="A3372" s="21">
        <v>3371</v>
      </c>
      <c r="B3372" s="7" t="s">
        <v>7498</v>
      </c>
      <c r="C3372" s="7" t="s">
        <v>7499</v>
      </c>
      <c r="F3372" t="s">
        <v>1603</v>
      </c>
      <c r="G3372" s="8" t="s">
        <v>15</v>
      </c>
    </row>
    <row r="3373" spans="1:7" hidden="1" x14ac:dyDescent="0.25">
      <c r="A3373" s="21">
        <v>3372</v>
      </c>
      <c r="B3373" s="7" t="s">
        <v>7500</v>
      </c>
      <c r="C3373" s="7" t="s">
        <v>7501</v>
      </c>
      <c r="F3373" t="s">
        <v>1603</v>
      </c>
      <c r="G3373" s="8" t="s">
        <v>15</v>
      </c>
    </row>
    <row r="3374" spans="1:7" hidden="1" x14ac:dyDescent="0.25">
      <c r="A3374" s="21">
        <v>3373</v>
      </c>
      <c r="B3374" s="7" t="s">
        <v>7502</v>
      </c>
      <c r="C3374" s="7" t="s">
        <v>7503</v>
      </c>
      <c r="F3374" t="s">
        <v>1603</v>
      </c>
      <c r="G3374" s="8" t="s">
        <v>15</v>
      </c>
    </row>
    <row r="3375" spans="1:7" hidden="1" x14ac:dyDescent="0.25">
      <c r="A3375" s="21">
        <v>3374</v>
      </c>
      <c r="B3375" s="7" t="s">
        <v>7504</v>
      </c>
      <c r="C3375" s="7" t="s">
        <v>7505</v>
      </c>
      <c r="F3375" t="s">
        <v>1603</v>
      </c>
      <c r="G3375" s="8" t="s">
        <v>15</v>
      </c>
    </row>
    <row r="3376" spans="1:7" hidden="1" x14ac:dyDescent="0.25">
      <c r="A3376" s="21">
        <v>3375</v>
      </c>
      <c r="B3376" s="7" t="s">
        <v>7506</v>
      </c>
      <c r="C3376" s="7" t="s">
        <v>7507</v>
      </c>
      <c r="F3376" t="s">
        <v>1603</v>
      </c>
      <c r="G3376" s="8" t="s">
        <v>15</v>
      </c>
    </row>
    <row r="3377" spans="1:7" hidden="1" x14ac:dyDescent="0.25">
      <c r="A3377" s="21">
        <v>3376</v>
      </c>
      <c r="B3377" s="7" t="s">
        <v>7508</v>
      </c>
      <c r="C3377" s="7" t="s">
        <v>7509</v>
      </c>
      <c r="F3377" t="s">
        <v>1603</v>
      </c>
      <c r="G3377" s="8" t="s">
        <v>15</v>
      </c>
    </row>
    <row r="3378" spans="1:7" hidden="1" x14ac:dyDescent="0.25">
      <c r="A3378" s="21">
        <v>3377</v>
      </c>
      <c r="B3378" s="7" t="s">
        <v>7510</v>
      </c>
      <c r="C3378" s="7" t="s">
        <v>7511</v>
      </c>
      <c r="F3378" t="s">
        <v>1603</v>
      </c>
      <c r="G3378" s="8" t="s">
        <v>15</v>
      </c>
    </row>
    <row r="3379" spans="1:7" hidden="1" x14ac:dyDescent="0.25">
      <c r="A3379" s="21">
        <v>3378</v>
      </c>
      <c r="B3379" s="7" t="s">
        <v>7512</v>
      </c>
      <c r="C3379" s="7" t="s">
        <v>7513</v>
      </c>
      <c r="F3379" t="s">
        <v>1603</v>
      </c>
      <c r="G3379" s="8" t="s">
        <v>15</v>
      </c>
    </row>
    <row r="3380" spans="1:7" hidden="1" x14ac:dyDescent="0.25">
      <c r="A3380" s="21">
        <v>3379</v>
      </c>
      <c r="B3380" s="7" t="s">
        <v>7514</v>
      </c>
      <c r="C3380" s="7" t="s">
        <v>7515</v>
      </c>
      <c r="F3380" t="s">
        <v>1603</v>
      </c>
      <c r="G3380" s="8" t="s">
        <v>15</v>
      </c>
    </row>
    <row r="3381" spans="1:7" hidden="1" x14ac:dyDescent="0.25">
      <c r="A3381" s="21">
        <v>3380</v>
      </c>
      <c r="B3381" s="7" t="s">
        <v>7516</v>
      </c>
      <c r="C3381" s="7" t="s">
        <v>7517</v>
      </c>
      <c r="F3381" t="s">
        <v>1603</v>
      </c>
      <c r="G3381" s="8" t="s">
        <v>15</v>
      </c>
    </row>
    <row r="3382" spans="1:7" hidden="1" x14ac:dyDescent="0.25">
      <c r="A3382" s="21">
        <v>3381</v>
      </c>
      <c r="B3382" s="7" t="s">
        <v>7518</v>
      </c>
      <c r="C3382" s="7" t="s">
        <v>7519</v>
      </c>
      <c r="F3382" t="s">
        <v>1603</v>
      </c>
      <c r="G3382" s="8" t="s">
        <v>15</v>
      </c>
    </row>
    <row r="3383" spans="1:7" hidden="1" x14ac:dyDescent="0.25">
      <c r="A3383" s="21">
        <v>3382</v>
      </c>
      <c r="B3383" s="7" t="s">
        <v>7520</v>
      </c>
      <c r="C3383" s="7" t="s">
        <v>7521</v>
      </c>
      <c r="F3383" t="s">
        <v>1603</v>
      </c>
      <c r="G3383" s="8" t="s">
        <v>15</v>
      </c>
    </row>
    <row r="3384" spans="1:7" hidden="1" x14ac:dyDescent="0.25">
      <c r="A3384" s="21">
        <v>3383</v>
      </c>
      <c r="B3384" s="7" t="s">
        <v>7522</v>
      </c>
      <c r="C3384" s="7" t="s">
        <v>7523</v>
      </c>
      <c r="F3384" t="s">
        <v>1603</v>
      </c>
      <c r="G3384" s="8" t="s">
        <v>15</v>
      </c>
    </row>
    <row r="3385" spans="1:7" hidden="1" x14ac:dyDescent="0.25">
      <c r="A3385" s="21">
        <v>3384</v>
      </c>
      <c r="B3385" s="7" t="s">
        <v>7524</v>
      </c>
      <c r="C3385" s="7" t="s">
        <v>7525</v>
      </c>
      <c r="F3385" t="s">
        <v>1603</v>
      </c>
      <c r="G3385" s="8" t="s">
        <v>15</v>
      </c>
    </row>
    <row r="3386" spans="1:7" hidden="1" x14ac:dyDescent="0.25">
      <c r="A3386" s="21">
        <v>3385</v>
      </c>
      <c r="B3386" s="7" t="s">
        <v>7526</v>
      </c>
      <c r="C3386" s="7" t="s">
        <v>7527</v>
      </c>
      <c r="F3386" t="s">
        <v>1603</v>
      </c>
      <c r="G3386" s="8" t="s">
        <v>15</v>
      </c>
    </row>
    <row r="3387" spans="1:7" hidden="1" x14ac:dyDescent="0.25">
      <c r="A3387" s="21">
        <v>3386</v>
      </c>
      <c r="B3387" s="7" t="s">
        <v>7528</v>
      </c>
      <c r="C3387" s="7" t="s">
        <v>7529</v>
      </c>
      <c r="F3387" t="s">
        <v>1603</v>
      </c>
      <c r="G3387" s="8" t="s">
        <v>15</v>
      </c>
    </row>
    <row r="3388" spans="1:7" hidden="1" x14ac:dyDescent="0.25">
      <c r="A3388" s="21">
        <v>3387</v>
      </c>
      <c r="B3388" s="7" t="s">
        <v>7530</v>
      </c>
      <c r="C3388" s="7" t="s">
        <v>7531</v>
      </c>
      <c r="F3388" t="s">
        <v>1603</v>
      </c>
      <c r="G3388" s="8" t="s">
        <v>15</v>
      </c>
    </row>
    <row r="3389" spans="1:7" hidden="1" x14ac:dyDescent="0.25">
      <c r="A3389" s="21">
        <v>3388</v>
      </c>
      <c r="B3389" s="7" t="s">
        <v>7532</v>
      </c>
      <c r="C3389" s="7" t="s">
        <v>7533</v>
      </c>
      <c r="F3389" t="s">
        <v>1603</v>
      </c>
      <c r="G3389" s="8" t="s">
        <v>15</v>
      </c>
    </row>
    <row r="3390" spans="1:7" hidden="1" x14ac:dyDescent="0.25">
      <c r="A3390" s="21">
        <v>3389</v>
      </c>
      <c r="B3390" s="7" t="s">
        <v>7534</v>
      </c>
      <c r="C3390" s="7" t="s">
        <v>7535</v>
      </c>
      <c r="F3390" t="s">
        <v>1603</v>
      </c>
      <c r="G3390" s="8" t="s">
        <v>15</v>
      </c>
    </row>
    <row r="3391" spans="1:7" hidden="1" x14ac:dyDescent="0.25">
      <c r="A3391" s="21">
        <v>3390</v>
      </c>
      <c r="B3391" s="7" t="s">
        <v>7536</v>
      </c>
      <c r="C3391" s="7" t="s">
        <v>7537</v>
      </c>
      <c r="F3391" t="s">
        <v>1603</v>
      </c>
      <c r="G3391" s="8" t="s">
        <v>15</v>
      </c>
    </row>
    <row r="3392" spans="1:7" hidden="1" x14ac:dyDescent="0.25">
      <c r="A3392" s="21">
        <v>3391</v>
      </c>
      <c r="B3392" s="7" t="s">
        <v>7538</v>
      </c>
      <c r="C3392" s="7" t="s">
        <v>7539</v>
      </c>
      <c r="F3392" t="s">
        <v>1603</v>
      </c>
      <c r="G3392" s="8" t="s">
        <v>15</v>
      </c>
    </row>
    <row r="3393" spans="1:7" hidden="1" x14ac:dyDescent="0.25">
      <c r="A3393" s="21">
        <v>3392</v>
      </c>
      <c r="B3393" s="7" t="s">
        <v>7540</v>
      </c>
      <c r="C3393" s="7" t="s">
        <v>7541</v>
      </c>
      <c r="F3393" t="s">
        <v>1603</v>
      </c>
      <c r="G3393" s="8" t="s">
        <v>15</v>
      </c>
    </row>
    <row r="3394" spans="1:7" hidden="1" x14ac:dyDescent="0.25">
      <c r="A3394" s="21">
        <v>3393</v>
      </c>
      <c r="B3394" s="7" t="s">
        <v>7542</v>
      </c>
      <c r="C3394" s="7" t="s">
        <v>7543</v>
      </c>
      <c r="G3394" s="8" t="s">
        <v>15</v>
      </c>
    </row>
    <row r="3395" spans="1:7" hidden="1" x14ac:dyDescent="0.25">
      <c r="A3395" s="21">
        <v>3394</v>
      </c>
      <c r="B3395" s="7" t="s">
        <v>7544</v>
      </c>
      <c r="C3395" s="7" t="s">
        <v>7545</v>
      </c>
      <c r="G3395" s="8" t="s">
        <v>15</v>
      </c>
    </row>
    <row r="3396" spans="1:7" hidden="1" x14ac:dyDescent="0.25">
      <c r="A3396" s="21">
        <v>3395</v>
      </c>
      <c r="B3396" s="7" t="s">
        <v>7546</v>
      </c>
      <c r="C3396" s="7" t="s">
        <v>7547</v>
      </c>
      <c r="G3396" s="8" t="s">
        <v>15</v>
      </c>
    </row>
    <row r="3397" spans="1:7" hidden="1" x14ac:dyDescent="0.25">
      <c r="A3397" s="21">
        <v>3396</v>
      </c>
      <c r="B3397" s="7" t="s">
        <v>7548</v>
      </c>
      <c r="C3397" s="7" t="s">
        <v>7549</v>
      </c>
      <c r="G3397" s="8" t="s">
        <v>15</v>
      </c>
    </row>
    <row r="3398" spans="1:7" hidden="1" x14ac:dyDescent="0.25">
      <c r="A3398" s="21">
        <v>3397</v>
      </c>
      <c r="B3398" s="7" t="s">
        <v>7550</v>
      </c>
      <c r="C3398" s="7" t="s">
        <v>7551</v>
      </c>
      <c r="G3398" s="8" t="s">
        <v>15</v>
      </c>
    </row>
    <row r="3399" spans="1:7" hidden="1" x14ac:dyDescent="0.25">
      <c r="A3399" s="21">
        <v>3398</v>
      </c>
      <c r="B3399" s="7" t="s">
        <v>7552</v>
      </c>
      <c r="C3399" s="7" t="s">
        <v>7553</v>
      </c>
      <c r="G3399" s="8" t="s">
        <v>15</v>
      </c>
    </row>
    <row r="3400" spans="1:7" hidden="1" x14ac:dyDescent="0.25">
      <c r="A3400" s="21">
        <v>3399</v>
      </c>
      <c r="B3400" s="7" t="s">
        <v>7554</v>
      </c>
      <c r="C3400" s="7" t="s">
        <v>7555</v>
      </c>
      <c r="G3400" s="8" t="s">
        <v>15</v>
      </c>
    </row>
    <row r="3401" spans="1:7" hidden="1" x14ac:dyDescent="0.25">
      <c r="A3401" s="21">
        <v>3400</v>
      </c>
      <c r="B3401" s="7" t="s">
        <v>7556</v>
      </c>
      <c r="C3401" s="7" t="s">
        <v>7557</v>
      </c>
      <c r="F3401" t="s">
        <v>1603</v>
      </c>
      <c r="G3401" s="8" t="s">
        <v>15</v>
      </c>
    </row>
    <row r="3402" spans="1:7" hidden="1" x14ac:dyDescent="0.25">
      <c r="A3402" s="21">
        <v>3401</v>
      </c>
      <c r="B3402" s="7" t="s">
        <v>7558</v>
      </c>
      <c r="C3402" s="7" t="s">
        <v>7559</v>
      </c>
      <c r="G3402" s="8" t="s">
        <v>15</v>
      </c>
    </row>
    <row r="3403" spans="1:7" hidden="1" x14ac:dyDescent="0.25">
      <c r="A3403" s="21">
        <v>3402</v>
      </c>
      <c r="B3403" s="7" t="s">
        <v>7560</v>
      </c>
      <c r="C3403" s="7" t="s">
        <v>7561</v>
      </c>
      <c r="G3403" s="8" t="s">
        <v>15</v>
      </c>
    </row>
    <row r="3404" spans="1:7" hidden="1" x14ac:dyDescent="0.25">
      <c r="A3404" s="21">
        <v>3403</v>
      </c>
      <c r="B3404" s="7" t="s">
        <v>7562</v>
      </c>
      <c r="C3404" s="7" t="s">
        <v>7563</v>
      </c>
      <c r="G3404" s="8" t="s">
        <v>15</v>
      </c>
    </row>
    <row r="3405" spans="1:7" hidden="1" x14ac:dyDescent="0.25">
      <c r="A3405" s="21">
        <v>3404</v>
      </c>
      <c r="B3405" s="7" t="s">
        <v>7564</v>
      </c>
      <c r="C3405" s="7" t="s">
        <v>7565</v>
      </c>
      <c r="G3405" s="8" t="s">
        <v>15</v>
      </c>
    </row>
    <row r="3406" spans="1:7" hidden="1" x14ac:dyDescent="0.25">
      <c r="A3406" s="21">
        <v>3405</v>
      </c>
      <c r="B3406" s="7" t="s">
        <v>7566</v>
      </c>
      <c r="C3406" s="7" t="s">
        <v>7567</v>
      </c>
      <c r="G3406" s="8" t="s">
        <v>15</v>
      </c>
    </row>
    <row r="3407" spans="1:7" hidden="1" x14ac:dyDescent="0.25">
      <c r="A3407" s="21">
        <v>3406</v>
      </c>
      <c r="B3407" s="7" t="s">
        <v>7568</v>
      </c>
      <c r="C3407" s="7" t="s">
        <v>7569</v>
      </c>
      <c r="G3407" s="8" t="s">
        <v>15</v>
      </c>
    </row>
    <row r="3408" spans="1:7" hidden="1" x14ac:dyDescent="0.25">
      <c r="A3408" s="21">
        <v>3407</v>
      </c>
      <c r="B3408" s="7" t="s">
        <v>7570</v>
      </c>
      <c r="C3408" s="7" t="s">
        <v>7571</v>
      </c>
      <c r="G3408" s="8" t="s">
        <v>15</v>
      </c>
    </row>
    <row r="3409" spans="1:7" hidden="1" x14ac:dyDescent="0.25">
      <c r="A3409" s="21">
        <v>3408</v>
      </c>
      <c r="B3409" s="7" t="s">
        <v>7572</v>
      </c>
      <c r="C3409" s="7" t="s">
        <v>7573</v>
      </c>
      <c r="G3409" s="8" t="s">
        <v>15</v>
      </c>
    </row>
    <row r="3410" spans="1:7" hidden="1" x14ac:dyDescent="0.25">
      <c r="A3410" s="21">
        <v>3409</v>
      </c>
      <c r="B3410" s="7" t="s">
        <v>7574</v>
      </c>
      <c r="C3410" s="7" t="s">
        <v>7575</v>
      </c>
      <c r="G3410" s="8" t="s">
        <v>15</v>
      </c>
    </row>
    <row r="3411" spans="1:7" hidden="1" x14ac:dyDescent="0.25">
      <c r="A3411" s="21">
        <v>3410</v>
      </c>
      <c r="B3411" s="7" t="s">
        <v>7576</v>
      </c>
      <c r="C3411" s="7" t="s">
        <v>7577</v>
      </c>
      <c r="G3411" s="8" t="s">
        <v>15</v>
      </c>
    </row>
    <row r="3412" spans="1:7" hidden="1" x14ac:dyDescent="0.25">
      <c r="A3412" s="21">
        <v>3411</v>
      </c>
      <c r="B3412" s="7" t="s">
        <v>7578</v>
      </c>
      <c r="C3412" s="7" t="s">
        <v>7579</v>
      </c>
      <c r="G3412" s="8" t="s">
        <v>15</v>
      </c>
    </row>
    <row r="3413" spans="1:7" hidden="1" x14ac:dyDescent="0.25">
      <c r="A3413" s="21">
        <v>3412</v>
      </c>
      <c r="B3413" s="7" t="s">
        <v>7580</v>
      </c>
      <c r="C3413" s="7" t="s">
        <v>7581</v>
      </c>
      <c r="G3413" s="8" t="s">
        <v>15</v>
      </c>
    </row>
    <row r="3414" spans="1:7" hidden="1" x14ac:dyDescent="0.25">
      <c r="A3414" s="21">
        <v>3413</v>
      </c>
      <c r="B3414" s="7" t="s">
        <v>7582</v>
      </c>
      <c r="C3414" s="7" t="s">
        <v>7583</v>
      </c>
      <c r="G3414" s="8" t="s">
        <v>15</v>
      </c>
    </row>
    <row r="3415" spans="1:7" hidden="1" x14ac:dyDescent="0.25">
      <c r="A3415" s="21">
        <v>3414</v>
      </c>
      <c r="B3415" s="7" t="s">
        <v>7584</v>
      </c>
      <c r="C3415" s="7" t="s">
        <v>7585</v>
      </c>
      <c r="G3415" s="8" t="s">
        <v>15</v>
      </c>
    </row>
    <row r="3416" spans="1:7" hidden="1" x14ac:dyDescent="0.25">
      <c r="A3416" s="21">
        <v>3415</v>
      </c>
      <c r="B3416" s="7" t="s">
        <v>7586</v>
      </c>
      <c r="C3416" s="7" t="s">
        <v>7587</v>
      </c>
      <c r="G3416" s="8" t="s">
        <v>15</v>
      </c>
    </row>
    <row r="3417" spans="1:7" hidden="1" x14ac:dyDescent="0.25">
      <c r="A3417" s="21">
        <v>3416</v>
      </c>
      <c r="B3417" s="7" t="s">
        <v>7588</v>
      </c>
      <c r="C3417" s="7" t="s">
        <v>7589</v>
      </c>
      <c r="G3417" s="8" t="s">
        <v>15</v>
      </c>
    </row>
    <row r="3418" spans="1:7" hidden="1" x14ac:dyDescent="0.25">
      <c r="A3418" s="21">
        <v>3417</v>
      </c>
      <c r="B3418" s="7" t="s">
        <v>7590</v>
      </c>
      <c r="C3418" s="7" t="s">
        <v>7591</v>
      </c>
      <c r="G3418" s="8" t="s">
        <v>15</v>
      </c>
    </row>
    <row r="3419" spans="1:7" hidden="1" x14ac:dyDescent="0.25">
      <c r="A3419" s="21">
        <v>3418</v>
      </c>
      <c r="B3419" s="7" t="s">
        <v>7592</v>
      </c>
      <c r="C3419" s="7" t="s">
        <v>7593</v>
      </c>
      <c r="G3419" s="8" t="s">
        <v>15</v>
      </c>
    </row>
    <row r="3420" spans="1:7" hidden="1" x14ac:dyDescent="0.25">
      <c r="A3420" s="21">
        <v>3419</v>
      </c>
      <c r="B3420" s="7" t="s">
        <v>7594</v>
      </c>
      <c r="C3420" s="7" t="s">
        <v>7595</v>
      </c>
      <c r="G3420" s="8" t="s">
        <v>15</v>
      </c>
    </row>
    <row r="3421" spans="1:7" hidden="1" x14ac:dyDescent="0.25">
      <c r="A3421" s="21">
        <v>3420</v>
      </c>
      <c r="B3421" s="7" t="s">
        <v>7596</v>
      </c>
      <c r="C3421" s="7" t="s">
        <v>7597</v>
      </c>
      <c r="G3421" s="8" t="s">
        <v>15</v>
      </c>
    </row>
    <row r="3422" spans="1:7" hidden="1" x14ac:dyDescent="0.25">
      <c r="A3422" s="21">
        <v>3421</v>
      </c>
      <c r="B3422" s="7" t="s">
        <v>7598</v>
      </c>
      <c r="C3422" s="7" t="s">
        <v>7599</v>
      </c>
      <c r="G3422" s="8" t="s">
        <v>15</v>
      </c>
    </row>
    <row r="3423" spans="1:7" hidden="1" x14ac:dyDescent="0.25">
      <c r="A3423" s="21">
        <v>3422</v>
      </c>
      <c r="B3423" s="7" t="s">
        <v>7600</v>
      </c>
      <c r="C3423" s="7" t="s">
        <v>7601</v>
      </c>
      <c r="G3423" s="8" t="s">
        <v>15</v>
      </c>
    </row>
    <row r="3424" spans="1:7" hidden="1" x14ac:dyDescent="0.25">
      <c r="A3424" s="21">
        <v>3423</v>
      </c>
      <c r="B3424" s="7" t="s">
        <v>7602</v>
      </c>
      <c r="C3424" s="7" t="s">
        <v>7603</v>
      </c>
      <c r="G3424" s="8" t="s">
        <v>15</v>
      </c>
    </row>
    <row r="3425" spans="1:7" hidden="1" x14ac:dyDescent="0.25">
      <c r="A3425" s="21">
        <v>3424</v>
      </c>
      <c r="B3425" s="7" t="s">
        <v>7604</v>
      </c>
      <c r="C3425" s="7" t="s">
        <v>7605</v>
      </c>
      <c r="G3425" s="8" t="s">
        <v>15</v>
      </c>
    </row>
    <row r="3426" spans="1:7" hidden="1" x14ac:dyDescent="0.25">
      <c r="A3426" s="21">
        <v>3425</v>
      </c>
      <c r="B3426" s="7" t="s">
        <v>7606</v>
      </c>
      <c r="C3426" s="7" t="s">
        <v>7607</v>
      </c>
      <c r="G3426" s="8" t="s">
        <v>15</v>
      </c>
    </row>
    <row r="3427" spans="1:7" hidden="1" x14ac:dyDescent="0.25">
      <c r="A3427" s="21">
        <v>3426</v>
      </c>
      <c r="B3427" s="7" t="s">
        <v>7608</v>
      </c>
      <c r="C3427" s="7" t="s">
        <v>7609</v>
      </c>
      <c r="G3427" s="8" t="s">
        <v>15</v>
      </c>
    </row>
    <row r="3428" spans="1:7" hidden="1" x14ac:dyDescent="0.25">
      <c r="A3428" s="21">
        <v>3427</v>
      </c>
      <c r="B3428" s="7" t="s">
        <v>7610</v>
      </c>
      <c r="C3428" s="7" t="s">
        <v>7611</v>
      </c>
      <c r="G3428" s="8" t="s">
        <v>15</v>
      </c>
    </row>
    <row r="3429" spans="1:7" hidden="1" x14ac:dyDescent="0.25">
      <c r="A3429" s="21">
        <v>3428</v>
      </c>
      <c r="B3429" s="7" t="s">
        <v>7612</v>
      </c>
      <c r="C3429" s="7" t="s">
        <v>7613</v>
      </c>
      <c r="G3429" s="8" t="s">
        <v>15</v>
      </c>
    </row>
    <row r="3430" spans="1:7" hidden="1" x14ac:dyDescent="0.25">
      <c r="A3430" s="21">
        <v>3429</v>
      </c>
      <c r="B3430" s="7" t="s">
        <v>7614</v>
      </c>
      <c r="C3430" s="7" t="s">
        <v>7615</v>
      </c>
      <c r="G3430" s="8" t="s">
        <v>15</v>
      </c>
    </row>
    <row r="3431" spans="1:7" hidden="1" x14ac:dyDescent="0.25">
      <c r="A3431" s="21">
        <v>3430</v>
      </c>
      <c r="B3431" s="7" t="s">
        <v>7616</v>
      </c>
      <c r="C3431" s="7" t="s">
        <v>7617</v>
      </c>
      <c r="G3431" s="8" t="s">
        <v>15</v>
      </c>
    </row>
    <row r="3432" spans="1:7" hidden="1" x14ac:dyDescent="0.25">
      <c r="A3432" s="21">
        <v>3431</v>
      </c>
      <c r="B3432" s="7" t="s">
        <v>7618</v>
      </c>
      <c r="C3432" s="7" t="s">
        <v>7619</v>
      </c>
      <c r="G3432" s="8" t="s">
        <v>15</v>
      </c>
    </row>
    <row r="3433" spans="1:7" hidden="1" x14ac:dyDescent="0.25">
      <c r="A3433" s="21">
        <v>3432</v>
      </c>
      <c r="B3433" s="7" t="s">
        <v>7620</v>
      </c>
      <c r="C3433" s="7" t="s">
        <v>7621</v>
      </c>
      <c r="G3433" s="8" t="s">
        <v>15</v>
      </c>
    </row>
    <row r="3434" spans="1:7" hidden="1" x14ac:dyDescent="0.25">
      <c r="A3434" s="21">
        <v>3433</v>
      </c>
      <c r="B3434" s="7" t="s">
        <v>7622</v>
      </c>
      <c r="C3434" s="7" t="s">
        <v>7623</v>
      </c>
      <c r="G3434" s="8" t="s">
        <v>15</v>
      </c>
    </row>
    <row r="3435" spans="1:7" hidden="1" x14ac:dyDescent="0.25">
      <c r="A3435" s="21">
        <v>3434</v>
      </c>
      <c r="B3435" s="7" t="s">
        <v>7624</v>
      </c>
      <c r="C3435" s="7" t="s">
        <v>7625</v>
      </c>
      <c r="G3435" s="8" t="s">
        <v>15</v>
      </c>
    </row>
    <row r="3436" spans="1:7" hidden="1" x14ac:dyDescent="0.25">
      <c r="A3436" s="21">
        <v>3435</v>
      </c>
      <c r="B3436" s="7" t="s">
        <v>7626</v>
      </c>
      <c r="C3436" s="7" t="s">
        <v>7627</v>
      </c>
      <c r="G3436" s="8" t="s">
        <v>15</v>
      </c>
    </row>
    <row r="3437" spans="1:7" hidden="1" x14ac:dyDescent="0.25">
      <c r="A3437" s="21">
        <v>3436</v>
      </c>
      <c r="B3437" s="7" t="s">
        <v>7628</v>
      </c>
      <c r="C3437" s="7" t="s">
        <v>7629</v>
      </c>
      <c r="G3437" s="8" t="s">
        <v>15</v>
      </c>
    </row>
    <row r="3438" spans="1:7" hidden="1" x14ac:dyDescent="0.25">
      <c r="A3438" s="21">
        <v>3437</v>
      </c>
      <c r="B3438" s="7" t="s">
        <v>7630</v>
      </c>
      <c r="C3438" s="7" t="s">
        <v>7631</v>
      </c>
      <c r="G3438" s="8" t="s">
        <v>15</v>
      </c>
    </row>
    <row r="3439" spans="1:7" hidden="1" x14ac:dyDescent="0.25">
      <c r="A3439" s="21">
        <v>3438</v>
      </c>
      <c r="B3439" s="7" t="s">
        <v>7632</v>
      </c>
      <c r="C3439" s="7" t="s">
        <v>7633</v>
      </c>
      <c r="G3439" s="8" t="s">
        <v>15</v>
      </c>
    </row>
    <row r="3440" spans="1:7" hidden="1" x14ac:dyDescent="0.25">
      <c r="A3440" s="21">
        <v>3439</v>
      </c>
      <c r="B3440" s="7" t="s">
        <v>7634</v>
      </c>
      <c r="C3440" s="7" t="s">
        <v>7635</v>
      </c>
      <c r="G3440" s="8" t="s">
        <v>15</v>
      </c>
    </row>
    <row r="3441" spans="1:7" hidden="1" x14ac:dyDescent="0.25">
      <c r="A3441" s="21">
        <v>3440</v>
      </c>
      <c r="B3441" s="7" t="s">
        <v>7636</v>
      </c>
      <c r="C3441" s="7" t="s">
        <v>7637</v>
      </c>
      <c r="G3441" s="8" t="s">
        <v>15</v>
      </c>
    </row>
    <row r="3442" spans="1:7" hidden="1" x14ac:dyDescent="0.25">
      <c r="A3442" s="21">
        <v>3441</v>
      </c>
      <c r="B3442" s="7" t="s">
        <v>7638</v>
      </c>
      <c r="C3442" s="7" t="s">
        <v>7639</v>
      </c>
      <c r="G3442" s="8" t="s">
        <v>15</v>
      </c>
    </row>
    <row r="3443" spans="1:7" hidden="1" x14ac:dyDescent="0.25">
      <c r="A3443" s="21">
        <v>3442</v>
      </c>
      <c r="B3443" s="7" t="s">
        <v>7640</v>
      </c>
      <c r="C3443" s="7" t="s">
        <v>7641</v>
      </c>
      <c r="G3443" s="8" t="s">
        <v>15</v>
      </c>
    </row>
    <row r="3444" spans="1:7" hidden="1" x14ac:dyDescent="0.25">
      <c r="A3444" s="21">
        <v>3443</v>
      </c>
      <c r="B3444" s="7" t="s">
        <v>7642</v>
      </c>
      <c r="C3444" s="7" t="s">
        <v>7643</v>
      </c>
      <c r="G3444" s="8" t="s">
        <v>15</v>
      </c>
    </row>
    <row r="3445" spans="1:7" hidden="1" x14ac:dyDescent="0.25">
      <c r="A3445" s="21">
        <v>3444</v>
      </c>
      <c r="B3445" s="7" t="s">
        <v>7644</v>
      </c>
      <c r="C3445" s="7" t="s">
        <v>7645</v>
      </c>
      <c r="G3445" s="8" t="s">
        <v>15</v>
      </c>
    </row>
    <row r="3446" spans="1:7" hidden="1" x14ac:dyDescent="0.25">
      <c r="A3446" s="21">
        <v>3445</v>
      </c>
      <c r="B3446" s="7" t="s">
        <v>7646</v>
      </c>
      <c r="C3446" s="7" t="s">
        <v>7647</v>
      </c>
      <c r="G3446" s="8" t="s">
        <v>15</v>
      </c>
    </row>
    <row r="3447" spans="1:7" hidden="1" x14ac:dyDescent="0.25">
      <c r="A3447" s="21">
        <v>3446</v>
      </c>
      <c r="B3447" s="7" t="s">
        <v>7648</v>
      </c>
      <c r="C3447" s="7" t="s">
        <v>7649</v>
      </c>
      <c r="G3447" s="8" t="s">
        <v>15</v>
      </c>
    </row>
    <row r="3448" spans="1:7" hidden="1" x14ac:dyDescent="0.25">
      <c r="A3448" s="21">
        <v>3447</v>
      </c>
      <c r="B3448" s="7" t="s">
        <v>7650</v>
      </c>
      <c r="C3448" s="7" t="s">
        <v>7651</v>
      </c>
      <c r="G3448" s="8" t="s">
        <v>15</v>
      </c>
    </row>
    <row r="3449" spans="1:7" hidden="1" x14ac:dyDescent="0.25">
      <c r="A3449" s="21">
        <v>3448</v>
      </c>
      <c r="B3449" s="7" t="s">
        <v>7652</v>
      </c>
      <c r="C3449" s="7" t="s">
        <v>7653</v>
      </c>
      <c r="G3449" s="8" t="s">
        <v>15</v>
      </c>
    </row>
    <row r="3450" spans="1:7" hidden="1" x14ac:dyDescent="0.25">
      <c r="A3450" s="21">
        <v>3449</v>
      </c>
      <c r="B3450" s="7" t="s">
        <v>7654</v>
      </c>
      <c r="C3450" s="7" t="s">
        <v>7655</v>
      </c>
      <c r="G3450" s="8" t="s">
        <v>15</v>
      </c>
    </row>
    <row r="3451" spans="1:7" hidden="1" x14ac:dyDescent="0.25">
      <c r="A3451" s="21">
        <v>3450</v>
      </c>
      <c r="B3451" s="7" t="s">
        <v>7656</v>
      </c>
      <c r="C3451" s="7" t="s">
        <v>7657</v>
      </c>
      <c r="G3451" s="8" t="s">
        <v>15</v>
      </c>
    </row>
    <row r="3452" spans="1:7" hidden="1" x14ac:dyDescent="0.25">
      <c r="A3452" s="21">
        <v>3451</v>
      </c>
      <c r="B3452" s="7" t="s">
        <v>7658</v>
      </c>
      <c r="C3452" s="7" t="s">
        <v>7659</v>
      </c>
      <c r="G3452" s="8" t="s">
        <v>15</v>
      </c>
    </row>
    <row r="3453" spans="1:7" hidden="1" x14ac:dyDescent="0.25">
      <c r="A3453" s="21">
        <v>3452</v>
      </c>
      <c r="B3453" s="7" t="s">
        <v>7660</v>
      </c>
      <c r="C3453" s="7" t="s">
        <v>7661</v>
      </c>
      <c r="G3453" s="8" t="s">
        <v>15</v>
      </c>
    </row>
    <row r="3454" spans="1:7" hidden="1" x14ac:dyDescent="0.25">
      <c r="A3454" s="21">
        <v>3453</v>
      </c>
      <c r="B3454" s="7" t="s">
        <v>7662</v>
      </c>
      <c r="C3454" s="7" t="s">
        <v>7663</v>
      </c>
      <c r="G3454" s="8" t="s">
        <v>15</v>
      </c>
    </row>
    <row r="3455" spans="1:7" hidden="1" x14ac:dyDescent="0.25">
      <c r="A3455" s="21">
        <v>3454</v>
      </c>
      <c r="B3455" s="7" t="s">
        <v>7664</v>
      </c>
      <c r="C3455" s="7" t="s">
        <v>7665</v>
      </c>
      <c r="G3455" s="8" t="s">
        <v>15</v>
      </c>
    </row>
    <row r="3456" spans="1:7" hidden="1" x14ac:dyDescent="0.25">
      <c r="A3456" s="21">
        <v>3455</v>
      </c>
      <c r="B3456" s="7" t="s">
        <v>7666</v>
      </c>
      <c r="C3456" s="7" t="s">
        <v>7667</v>
      </c>
      <c r="G3456" s="8" t="s">
        <v>15</v>
      </c>
    </row>
    <row r="3457" spans="1:7" hidden="1" x14ac:dyDescent="0.25">
      <c r="A3457" s="21">
        <v>3456</v>
      </c>
      <c r="B3457" s="7" t="s">
        <v>7668</v>
      </c>
      <c r="C3457" s="7" t="s">
        <v>7669</v>
      </c>
      <c r="G3457" s="8" t="s">
        <v>15</v>
      </c>
    </row>
    <row r="3458" spans="1:7" hidden="1" x14ac:dyDescent="0.25">
      <c r="A3458" s="21">
        <v>3457</v>
      </c>
      <c r="B3458" s="7" t="s">
        <v>7670</v>
      </c>
      <c r="C3458" s="7" t="s">
        <v>7671</v>
      </c>
      <c r="G3458" s="8" t="s">
        <v>15</v>
      </c>
    </row>
    <row r="3459" spans="1:7" hidden="1" x14ac:dyDescent="0.25">
      <c r="A3459" s="21">
        <v>3458</v>
      </c>
      <c r="B3459" s="7" t="s">
        <v>7672</v>
      </c>
      <c r="C3459" s="7" t="s">
        <v>7673</v>
      </c>
      <c r="G3459" s="8" t="s">
        <v>15</v>
      </c>
    </row>
    <row r="3460" spans="1:7" hidden="1" x14ac:dyDescent="0.25">
      <c r="A3460" s="21">
        <v>3459</v>
      </c>
      <c r="B3460" s="7" t="s">
        <v>7674</v>
      </c>
      <c r="C3460" s="7" t="s">
        <v>7675</v>
      </c>
      <c r="G3460" s="8" t="s">
        <v>15</v>
      </c>
    </row>
    <row r="3461" spans="1:7" hidden="1" x14ac:dyDescent="0.25">
      <c r="A3461" s="21">
        <v>3460</v>
      </c>
      <c r="B3461" s="7" t="s">
        <v>7676</v>
      </c>
      <c r="C3461" s="7" t="s">
        <v>7677</v>
      </c>
      <c r="G3461" s="8" t="s">
        <v>15</v>
      </c>
    </row>
    <row r="3462" spans="1:7" hidden="1" x14ac:dyDescent="0.25">
      <c r="A3462" s="21">
        <v>3461</v>
      </c>
      <c r="B3462" s="7" t="s">
        <v>7678</v>
      </c>
      <c r="C3462" s="7" t="s">
        <v>7679</v>
      </c>
      <c r="G3462" s="8" t="s">
        <v>15</v>
      </c>
    </row>
    <row r="3463" spans="1:7" hidden="1" x14ac:dyDescent="0.25">
      <c r="A3463" s="21">
        <v>3462</v>
      </c>
      <c r="B3463" s="7" t="s">
        <v>7680</v>
      </c>
      <c r="C3463" s="7" t="s">
        <v>7681</v>
      </c>
      <c r="G3463" s="8" t="s">
        <v>15</v>
      </c>
    </row>
    <row r="3464" spans="1:7" hidden="1" x14ac:dyDescent="0.25">
      <c r="A3464" s="21">
        <v>3463</v>
      </c>
      <c r="B3464" s="7" t="s">
        <v>7682</v>
      </c>
      <c r="C3464" s="7" t="s">
        <v>7683</v>
      </c>
      <c r="G3464" s="8" t="s">
        <v>15</v>
      </c>
    </row>
    <row r="3465" spans="1:7" hidden="1" x14ac:dyDescent="0.25">
      <c r="A3465" s="21">
        <v>3464</v>
      </c>
      <c r="B3465" s="7" t="s">
        <v>7684</v>
      </c>
      <c r="C3465" s="7" t="s">
        <v>7685</v>
      </c>
      <c r="G3465" s="8" t="s">
        <v>15</v>
      </c>
    </row>
    <row r="3466" spans="1:7" hidden="1" x14ac:dyDescent="0.25">
      <c r="A3466" s="21">
        <v>3465</v>
      </c>
      <c r="B3466" s="7" t="s">
        <v>7686</v>
      </c>
      <c r="C3466" s="7" t="s">
        <v>7687</v>
      </c>
      <c r="G3466" s="8" t="s">
        <v>15</v>
      </c>
    </row>
    <row r="3467" spans="1:7" hidden="1" x14ac:dyDescent="0.25">
      <c r="A3467" s="21">
        <v>3466</v>
      </c>
      <c r="B3467" s="7" t="s">
        <v>7688</v>
      </c>
      <c r="C3467" s="7" t="s">
        <v>7689</v>
      </c>
      <c r="G3467" s="8" t="s">
        <v>15</v>
      </c>
    </row>
    <row r="3468" spans="1:7" hidden="1" x14ac:dyDescent="0.25">
      <c r="A3468" s="21">
        <v>3467</v>
      </c>
      <c r="B3468" s="7" t="s">
        <v>7690</v>
      </c>
      <c r="C3468" s="7" t="s">
        <v>7691</v>
      </c>
      <c r="G3468" s="8" t="s">
        <v>15</v>
      </c>
    </row>
    <row r="3469" spans="1:7" hidden="1" x14ac:dyDescent="0.25">
      <c r="A3469" s="21">
        <v>3468</v>
      </c>
      <c r="B3469" s="7" t="s">
        <v>7692</v>
      </c>
      <c r="C3469" s="7" t="s">
        <v>7693</v>
      </c>
      <c r="G3469" s="8" t="s">
        <v>15</v>
      </c>
    </row>
    <row r="3470" spans="1:7" hidden="1" x14ac:dyDescent="0.25">
      <c r="A3470" s="21">
        <v>3469</v>
      </c>
      <c r="B3470" s="7" t="s">
        <v>7694</v>
      </c>
      <c r="C3470" s="7" t="s">
        <v>7695</v>
      </c>
      <c r="G3470" s="8" t="s">
        <v>15</v>
      </c>
    </row>
    <row r="3471" spans="1:7" hidden="1" x14ac:dyDescent="0.25">
      <c r="A3471" s="21">
        <v>3470</v>
      </c>
      <c r="B3471" s="7" t="s">
        <v>7696</v>
      </c>
      <c r="C3471" s="7" t="s">
        <v>7697</v>
      </c>
      <c r="G3471" s="8" t="s">
        <v>15</v>
      </c>
    </row>
    <row r="3472" spans="1:7" hidden="1" x14ac:dyDescent="0.25">
      <c r="A3472" s="21">
        <v>3471</v>
      </c>
      <c r="B3472" s="7" t="s">
        <v>7698</v>
      </c>
      <c r="C3472" s="7" t="s">
        <v>7699</v>
      </c>
      <c r="G3472" s="8" t="s">
        <v>15</v>
      </c>
    </row>
    <row r="3473" spans="1:7" hidden="1" x14ac:dyDescent="0.25">
      <c r="A3473" s="21">
        <v>3472</v>
      </c>
      <c r="B3473" s="7" t="s">
        <v>7700</v>
      </c>
      <c r="C3473" s="7" t="s">
        <v>7701</v>
      </c>
      <c r="G3473" s="8" t="s">
        <v>15</v>
      </c>
    </row>
    <row r="3474" spans="1:7" hidden="1" x14ac:dyDescent="0.25">
      <c r="A3474" s="21">
        <v>3473</v>
      </c>
      <c r="B3474" s="7" t="s">
        <v>7702</v>
      </c>
      <c r="C3474" s="7" t="s">
        <v>7703</v>
      </c>
      <c r="G3474" s="8" t="s">
        <v>15</v>
      </c>
    </row>
    <row r="3475" spans="1:7" hidden="1" x14ac:dyDescent="0.25">
      <c r="A3475" s="21">
        <v>3474</v>
      </c>
      <c r="B3475" s="7" t="s">
        <v>7704</v>
      </c>
      <c r="C3475" s="7" t="s">
        <v>7705</v>
      </c>
      <c r="G3475" s="8" t="s">
        <v>15</v>
      </c>
    </row>
    <row r="3476" spans="1:7" hidden="1" x14ac:dyDescent="0.25">
      <c r="A3476" s="21">
        <v>3475</v>
      </c>
      <c r="B3476" s="7" t="s">
        <v>7706</v>
      </c>
      <c r="C3476" s="7" t="s">
        <v>7707</v>
      </c>
      <c r="G3476" s="8" t="s">
        <v>15</v>
      </c>
    </row>
    <row r="3477" spans="1:7" hidden="1" x14ac:dyDescent="0.25">
      <c r="A3477" s="21">
        <v>3476</v>
      </c>
      <c r="B3477" s="7" t="s">
        <v>7708</v>
      </c>
      <c r="C3477" s="7" t="s">
        <v>7709</v>
      </c>
      <c r="G3477" s="8" t="s">
        <v>15</v>
      </c>
    </row>
    <row r="3478" spans="1:7" hidden="1" x14ac:dyDescent="0.25">
      <c r="A3478" s="21">
        <v>3477</v>
      </c>
      <c r="B3478" s="7" t="s">
        <v>7710</v>
      </c>
      <c r="C3478" s="7" t="s">
        <v>7711</v>
      </c>
      <c r="G3478" s="8" t="s">
        <v>15</v>
      </c>
    </row>
    <row r="3479" spans="1:7" hidden="1" x14ac:dyDescent="0.25">
      <c r="A3479" s="21">
        <v>3478</v>
      </c>
      <c r="B3479" s="7" t="s">
        <v>7712</v>
      </c>
      <c r="C3479" s="7" t="s">
        <v>7713</v>
      </c>
      <c r="G3479" s="8" t="s">
        <v>15</v>
      </c>
    </row>
    <row r="3480" spans="1:7" hidden="1" x14ac:dyDescent="0.25">
      <c r="A3480" s="21">
        <v>3479</v>
      </c>
      <c r="B3480" s="7" t="s">
        <v>7714</v>
      </c>
      <c r="C3480" s="7" t="s">
        <v>7715</v>
      </c>
      <c r="G3480" s="8" t="s">
        <v>15</v>
      </c>
    </row>
    <row r="3481" spans="1:7" hidden="1" x14ac:dyDescent="0.25">
      <c r="A3481" s="21">
        <v>3480</v>
      </c>
      <c r="B3481" s="7" t="s">
        <v>7716</v>
      </c>
      <c r="C3481" s="7" t="s">
        <v>7717</v>
      </c>
      <c r="G3481" s="8" t="s">
        <v>15</v>
      </c>
    </row>
    <row r="3482" spans="1:7" hidden="1" x14ac:dyDescent="0.25">
      <c r="A3482" s="21">
        <v>3481</v>
      </c>
      <c r="B3482" s="7" t="s">
        <v>7718</v>
      </c>
      <c r="C3482" s="7" t="s">
        <v>7719</v>
      </c>
      <c r="G3482" s="8" t="s">
        <v>15</v>
      </c>
    </row>
    <row r="3483" spans="1:7" hidden="1" x14ac:dyDescent="0.25">
      <c r="A3483" s="21">
        <v>3482</v>
      </c>
      <c r="B3483" s="7" t="s">
        <v>7720</v>
      </c>
      <c r="C3483" s="7" t="s">
        <v>7721</v>
      </c>
      <c r="G3483" s="8" t="s">
        <v>15</v>
      </c>
    </row>
    <row r="3484" spans="1:7" hidden="1" x14ac:dyDescent="0.25">
      <c r="A3484" s="21">
        <v>3483</v>
      </c>
      <c r="B3484" s="7" t="s">
        <v>7722</v>
      </c>
      <c r="C3484" s="7" t="s">
        <v>7723</v>
      </c>
      <c r="G3484" s="8" t="s">
        <v>15</v>
      </c>
    </row>
    <row r="3485" spans="1:7" hidden="1" x14ac:dyDescent="0.25">
      <c r="A3485" s="21">
        <v>3484</v>
      </c>
      <c r="B3485" s="7" t="s">
        <v>7724</v>
      </c>
      <c r="C3485" s="7" t="s">
        <v>7725</v>
      </c>
      <c r="G3485" s="8" t="s">
        <v>15</v>
      </c>
    </row>
    <row r="3486" spans="1:7" hidden="1" x14ac:dyDescent="0.25">
      <c r="A3486" s="21">
        <v>3485</v>
      </c>
      <c r="B3486" s="7" t="s">
        <v>7726</v>
      </c>
      <c r="C3486" s="7" t="s">
        <v>7727</v>
      </c>
      <c r="G3486" s="8" t="s">
        <v>15</v>
      </c>
    </row>
    <row r="3487" spans="1:7" hidden="1" x14ac:dyDescent="0.25">
      <c r="A3487" s="21">
        <v>3486</v>
      </c>
      <c r="B3487" s="7" t="s">
        <v>7728</v>
      </c>
      <c r="C3487" s="7" t="s">
        <v>7729</v>
      </c>
      <c r="G3487" s="8" t="s">
        <v>15</v>
      </c>
    </row>
    <row r="3488" spans="1:7" hidden="1" x14ac:dyDescent="0.25">
      <c r="A3488" s="21">
        <v>3487</v>
      </c>
      <c r="B3488" s="7" t="s">
        <v>7730</v>
      </c>
      <c r="C3488" s="7" t="s">
        <v>7731</v>
      </c>
      <c r="G3488" s="8" t="s">
        <v>15</v>
      </c>
    </row>
    <row r="3489" spans="1:7" hidden="1" x14ac:dyDescent="0.25">
      <c r="A3489" s="21">
        <v>3488</v>
      </c>
      <c r="B3489" s="7" t="s">
        <v>7732</v>
      </c>
      <c r="C3489" s="7" t="s">
        <v>7733</v>
      </c>
      <c r="G3489" s="8" t="s">
        <v>15</v>
      </c>
    </row>
    <row r="3490" spans="1:7" hidden="1" x14ac:dyDescent="0.25">
      <c r="A3490" s="21">
        <v>3489</v>
      </c>
      <c r="B3490" s="7" t="s">
        <v>7734</v>
      </c>
      <c r="C3490" s="7" t="s">
        <v>7735</v>
      </c>
      <c r="G3490" s="8" t="s">
        <v>15</v>
      </c>
    </row>
    <row r="3491" spans="1:7" hidden="1" x14ac:dyDescent="0.25">
      <c r="A3491" s="21">
        <v>3490</v>
      </c>
      <c r="B3491" s="7" t="s">
        <v>7736</v>
      </c>
      <c r="C3491" s="7" t="s">
        <v>7737</v>
      </c>
      <c r="G3491" s="8" t="s">
        <v>15</v>
      </c>
    </row>
    <row r="3492" spans="1:7" hidden="1" x14ac:dyDescent="0.25">
      <c r="A3492" s="21">
        <v>3491</v>
      </c>
      <c r="B3492" s="7" t="s">
        <v>7738</v>
      </c>
      <c r="C3492" s="7" t="s">
        <v>7739</v>
      </c>
      <c r="G3492" s="8" t="s">
        <v>15</v>
      </c>
    </row>
    <row r="3493" spans="1:7" hidden="1" x14ac:dyDescent="0.25">
      <c r="A3493" s="21">
        <v>3492</v>
      </c>
      <c r="B3493" s="7" t="s">
        <v>7740</v>
      </c>
      <c r="C3493" s="7" t="s">
        <v>7741</v>
      </c>
      <c r="G3493" s="8" t="s">
        <v>15</v>
      </c>
    </row>
    <row r="3494" spans="1:7" hidden="1" x14ac:dyDescent="0.25">
      <c r="A3494" s="21">
        <v>3493</v>
      </c>
      <c r="B3494" s="7" t="s">
        <v>7742</v>
      </c>
      <c r="C3494" s="7" t="s">
        <v>7743</v>
      </c>
      <c r="G3494" s="8" t="s">
        <v>15</v>
      </c>
    </row>
    <row r="3495" spans="1:7" hidden="1" x14ac:dyDescent="0.25">
      <c r="A3495" s="21">
        <v>3494</v>
      </c>
      <c r="B3495" s="7" t="s">
        <v>7744</v>
      </c>
      <c r="C3495" s="7" t="s">
        <v>7745</v>
      </c>
      <c r="G3495" s="8" t="s">
        <v>15</v>
      </c>
    </row>
    <row r="3496" spans="1:7" hidden="1" x14ac:dyDescent="0.25">
      <c r="A3496" s="21">
        <v>3495</v>
      </c>
      <c r="B3496" s="7" t="s">
        <v>7746</v>
      </c>
      <c r="C3496" s="7" t="s">
        <v>7747</v>
      </c>
      <c r="G3496" s="8" t="s">
        <v>15</v>
      </c>
    </row>
    <row r="3497" spans="1:7" hidden="1" x14ac:dyDescent="0.25">
      <c r="A3497" s="21">
        <v>3496</v>
      </c>
      <c r="B3497" s="7" t="s">
        <v>7748</v>
      </c>
      <c r="C3497" s="7" t="s">
        <v>7749</v>
      </c>
      <c r="G3497" s="8" t="s">
        <v>15</v>
      </c>
    </row>
    <row r="3498" spans="1:7" hidden="1" x14ac:dyDescent="0.25">
      <c r="A3498" s="21">
        <v>3497</v>
      </c>
      <c r="B3498" s="7" t="s">
        <v>7750</v>
      </c>
      <c r="C3498" s="7" t="s">
        <v>7751</v>
      </c>
      <c r="G3498" s="8" t="s">
        <v>15</v>
      </c>
    </row>
    <row r="3499" spans="1:7" hidden="1" x14ac:dyDescent="0.25">
      <c r="A3499" s="21">
        <v>3498</v>
      </c>
      <c r="B3499" s="7" t="s">
        <v>7752</v>
      </c>
      <c r="C3499" s="7" t="s">
        <v>7753</v>
      </c>
      <c r="G3499" s="8" t="s">
        <v>15</v>
      </c>
    </row>
    <row r="3500" spans="1:7" hidden="1" x14ac:dyDescent="0.25">
      <c r="A3500" s="21">
        <v>3499</v>
      </c>
      <c r="B3500" s="7" t="s">
        <v>7754</v>
      </c>
      <c r="C3500" s="7" t="s">
        <v>7755</v>
      </c>
      <c r="G3500" s="8" t="s">
        <v>15</v>
      </c>
    </row>
    <row r="3501" spans="1:7" hidden="1" x14ac:dyDescent="0.25">
      <c r="A3501" s="21">
        <v>3500</v>
      </c>
      <c r="B3501" s="7" t="s">
        <v>7756</v>
      </c>
      <c r="C3501" s="7" t="s">
        <v>7757</v>
      </c>
      <c r="G3501" s="8" t="s">
        <v>15</v>
      </c>
    </row>
    <row r="3502" spans="1:7" hidden="1" x14ac:dyDescent="0.25">
      <c r="A3502" s="21">
        <v>3501</v>
      </c>
      <c r="B3502" s="7" t="s">
        <v>7758</v>
      </c>
      <c r="C3502" s="7" t="s">
        <v>7759</v>
      </c>
      <c r="G3502" s="8" t="s">
        <v>15</v>
      </c>
    </row>
    <row r="3503" spans="1:7" hidden="1" x14ac:dyDescent="0.25">
      <c r="A3503" s="21">
        <v>3502</v>
      </c>
      <c r="B3503" s="7" t="s">
        <v>7760</v>
      </c>
      <c r="C3503" s="7" t="s">
        <v>7761</v>
      </c>
      <c r="G3503" s="8" t="s">
        <v>15</v>
      </c>
    </row>
    <row r="3504" spans="1:7" hidden="1" x14ac:dyDescent="0.25">
      <c r="A3504" s="21">
        <v>3503</v>
      </c>
      <c r="B3504" s="7" t="s">
        <v>7762</v>
      </c>
      <c r="C3504" s="7" t="s">
        <v>7763</v>
      </c>
      <c r="G3504" s="8" t="s">
        <v>15</v>
      </c>
    </row>
    <row r="3505" spans="1:7" hidden="1" x14ac:dyDescent="0.25">
      <c r="A3505" s="21">
        <v>3504</v>
      </c>
      <c r="B3505" s="7" t="s">
        <v>7764</v>
      </c>
      <c r="C3505" s="7" t="s">
        <v>7765</v>
      </c>
      <c r="G3505" s="8" t="s">
        <v>15</v>
      </c>
    </row>
    <row r="3506" spans="1:7" hidden="1" x14ac:dyDescent="0.25">
      <c r="A3506" s="21">
        <v>3505</v>
      </c>
      <c r="B3506" s="7" t="s">
        <v>7766</v>
      </c>
      <c r="C3506" s="7" t="s">
        <v>7767</v>
      </c>
      <c r="G3506" s="8" t="s">
        <v>15</v>
      </c>
    </row>
    <row r="3507" spans="1:7" hidden="1" x14ac:dyDescent="0.25">
      <c r="A3507" s="21">
        <v>3506</v>
      </c>
      <c r="B3507" s="7" t="s">
        <v>7768</v>
      </c>
      <c r="C3507" s="7" t="s">
        <v>7769</v>
      </c>
      <c r="G3507" s="8" t="s">
        <v>15</v>
      </c>
    </row>
    <row r="3508" spans="1:7" hidden="1" x14ac:dyDescent="0.25">
      <c r="A3508" s="21">
        <v>3507</v>
      </c>
      <c r="B3508" s="7" t="s">
        <v>7770</v>
      </c>
      <c r="C3508" s="7" t="s">
        <v>7771</v>
      </c>
      <c r="G3508" s="8" t="s">
        <v>15</v>
      </c>
    </row>
    <row r="3509" spans="1:7" hidden="1" x14ac:dyDescent="0.25">
      <c r="A3509" s="21">
        <v>3508</v>
      </c>
      <c r="B3509" s="7" t="s">
        <v>7772</v>
      </c>
      <c r="C3509" s="7" t="s">
        <v>7773</v>
      </c>
      <c r="G3509" s="8" t="s">
        <v>15</v>
      </c>
    </row>
    <row r="3510" spans="1:7" hidden="1" x14ac:dyDescent="0.25">
      <c r="A3510" s="21">
        <v>3509</v>
      </c>
      <c r="B3510" s="7" t="s">
        <v>7774</v>
      </c>
      <c r="C3510" s="7" t="s">
        <v>7775</v>
      </c>
      <c r="G3510" s="8" t="s">
        <v>15</v>
      </c>
    </row>
    <row r="3511" spans="1:7" hidden="1" x14ac:dyDescent="0.25">
      <c r="A3511" s="21">
        <v>3510</v>
      </c>
      <c r="B3511" s="7" t="s">
        <v>7776</v>
      </c>
      <c r="C3511" s="7" t="s">
        <v>7777</v>
      </c>
      <c r="G3511" s="8" t="s">
        <v>15</v>
      </c>
    </row>
    <row r="3512" spans="1:7" hidden="1" x14ac:dyDescent="0.25">
      <c r="A3512" s="21">
        <v>3511</v>
      </c>
      <c r="B3512" s="7" t="s">
        <v>7778</v>
      </c>
      <c r="C3512" s="7" t="s">
        <v>7779</v>
      </c>
      <c r="G3512" s="8" t="s">
        <v>15</v>
      </c>
    </row>
    <row r="3513" spans="1:7" hidden="1" x14ac:dyDescent="0.25">
      <c r="A3513" s="21">
        <v>3512</v>
      </c>
      <c r="B3513" s="7" t="s">
        <v>7780</v>
      </c>
      <c r="C3513" s="7" t="s">
        <v>7781</v>
      </c>
      <c r="G3513" s="8" t="s">
        <v>15</v>
      </c>
    </row>
    <row r="3514" spans="1:7" hidden="1" x14ac:dyDescent="0.25">
      <c r="A3514" s="21">
        <v>3513</v>
      </c>
      <c r="B3514" s="7" t="s">
        <v>7782</v>
      </c>
      <c r="C3514" s="7" t="s">
        <v>7783</v>
      </c>
      <c r="G3514" s="8" t="s">
        <v>15</v>
      </c>
    </row>
    <row r="3515" spans="1:7" hidden="1" x14ac:dyDescent="0.25">
      <c r="A3515" s="21">
        <v>3514</v>
      </c>
      <c r="B3515" s="7" t="s">
        <v>7784</v>
      </c>
      <c r="C3515" s="7" t="s">
        <v>7785</v>
      </c>
      <c r="G3515" s="8" t="s">
        <v>15</v>
      </c>
    </row>
    <row r="3516" spans="1:7" hidden="1" x14ac:dyDescent="0.25">
      <c r="A3516" s="21">
        <v>3515</v>
      </c>
      <c r="B3516" s="7" t="s">
        <v>7786</v>
      </c>
      <c r="C3516" s="7" t="s">
        <v>7787</v>
      </c>
      <c r="G3516" s="8" t="s">
        <v>15</v>
      </c>
    </row>
    <row r="3517" spans="1:7" hidden="1" x14ac:dyDescent="0.25">
      <c r="A3517" s="21">
        <v>3516</v>
      </c>
      <c r="B3517" s="7" t="s">
        <v>7788</v>
      </c>
      <c r="C3517" s="7" t="s">
        <v>7789</v>
      </c>
      <c r="G3517" s="8" t="s">
        <v>15</v>
      </c>
    </row>
    <row r="3518" spans="1:7" hidden="1" x14ac:dyDescent="0.25">
      <c r="A3518" s="21">
        <v>3517</v>
      </c>
      <c r="B3518" s="7" t="s">
        <v>7790</v>
      </c>
      <c r="C3518" s="7" t="s">
        <v>7791</v>
      </c>
      <c r="G3518" s="8" t="s">
        <v>15</v>
      </c>
    </row>
    <row r="3519" spans="1:7" hidden="1" x14ac:dyDescent="0.25">
      <c r="A3519" s="21">
        <v>3518</v>
      </c>
      <c r="B3519" s="7" t="s">
        <v>7792</v>
      </c>
      <c r="C3519" s="7" t="s">
        <v>7793</v>
      </c>
      <c r="G3519" s="8" t="s">
        <v>15</v>
      </c>
    </row>
    <row r="3520" spans="1:7" hidden="1" x14ac:dyDescent="0.25">
      <c r="A3520" s="21">
        <v>3519</v>
      </c>
      <c r="B3520" s="7" t="s">
        <v>7794</v>
      </c>
      <c r="C3520" s="7" t="s">
        <v>7795</v>
      </c>
      <c r="G3520" s="8" t="s">
        <v>15</v>
      </c>
    </row>
    <row r="3521" spans="1:7" hidden="1" x14ac:dyDescent="0.25">
      <c r="A3521" s="21">
        <v>3520</v>
      </c>
      <c r="B3521" s="7" t="s">
        <v>7796</v>
      </c>
      <c r="C3521" s="7" t="s">
        <v>7797</v>
      </c>
      <c r="G3521" s="8" t="s">
        <v>15</v>
      </c>
    </row>
    <row r="3522" spans="1:7" hidden="1" x14ac:dyDescent="0.25">
      <c r="A3522" s="21">
        <v>3521</v>
      </c>
      <c r="B3522" s="7" t="s">
        <v>7798</v>
      </c>
      <c r="C3522" s="7" t="s">
        <v>7799</v>
      </c>
      <c r="G3522" s="8" t="s">
        <v>15</v>
      </c>
    </row>
    <row r="3523" spans="1:7" hidden="1" x14ac:dyDescent="0.25">
      <c r="A3523" s="21">
        <v>3522</v>
      </c>
      <c r="B3523" s="7" t="s">
        <v>7800</v>
      </c>
      <c r="C3523" s="7" t="s">
        <v>7801</v>
      </c>
      <c r="G3523" s="8" t="s">
        <v>15</v>
      </c>
    </row>
    <row r="3524" spans="1:7" hidden="1" x14ac:dyDescent="0.25">
      <c r="A3524" s="21">
        <v>3523</v>
      </c>
      <c r="B3524" s="7" t="s">
        <v>7802</v>
      </c>
      <c r="C3524" s="7" t="s">
        <v>7803</v>
      </c>
      <c r="G3524" s="8" t="s">
        <v>15</v>
      </c>
    </row>
    <row r="3525" spans="1:7" hidden="1" x14ac:dyDescent="0.25">
      <c r="A3525" s="21">
        <v>3524</v>
      </c>
      <c r="B3525" s="7" t="s">
        <v>7804</v>
      </c>
      <c r="C3525" s="7" t="s">
        <v>7805</v>
      </c>
      <c r="G3525" s="8" t="s">
        <v>15</v>
      </c>
    </row>
    <row r="3526" spans="1:7" hidden="1" x14ac:dyDescent="0.25">
      <c r="A3526" s="21">
        <v>3525</v>
      </c>
      <c r="B3526" s="7" t="s">
        <v>7806</v>
      </c>
      <c r="C3526" s="7" t="s">
        <v>7807</v>
      </c>
      <c r="G3526" s="8" t="s">
        <v>15</v>
      </c>
    </row>
    <row r="3527" spans="1:7" hidden="1" x14ac:dyDescent="0.25">
      <c r="A3527" s="21">
        <v>3526</v>
      </c>
      <c r="B3527" s="7" t="s">
        <v>7808</v>
      </c>
      <c r="C3527" s="7" t="s">
        <v>7809</v>
      </c>
      <c r="G3527" s="8" t="s">
        <v>15</v>
      </c>
    </row>
    <row r="3528" spans="1:7" hidden="1" x14ac:dyDescent="0.25">
      <c r="A3528" s="21">
        <v>3527</v>
      </c>
      <c r="B3528" s="7" t="s">
        <v>7810</v>
      </c>
      <c r="C3528" s="7" t="s">
        <v>7811</v>
      </c>
      <c r="G3528" s="8" t="s">
        <v>15</v>
      </c>
    </row>
    <row r="3529" spans="1:7" hidden="1" x14ac:dyDescent="0.25">
      <c r="A3529" s="21">
        <v>3528</v>
      </c>
      <c r="B3529" s="7" t="s">
        <v>7812</v>
      </c>
      <c r="C3529" s="7" t="s">
        <v>7813</v>
      </c>
      <c r="G3529" s="8" t="s">
        <v>15</v>
      </c>
    </row>
    <row r="3530" spans="1:7" hidden="1" x14ac:dyDescent="0.25">
      <c r="A3530" s="21">
        <v>3529</v>
      </c>
      <c r="B3530" s="7" t="s">
        <v>7814</v>
      </c>
      <c r="C3530" s="7" t="s">
        <v>7815</v>
      </c>
      <c r="G3530" s="8" t="s">
        <v>15</v>
      </c>
    </row>
    <row r="3531" spans="1:7" hidden="1" x14ac:dyDescent="0.25">
      <c r="A3531" s="21">
        <v>3530</v>
      </c>
      <c r="B3531" s="7" t="s">
        <v>7816</v>
      </c>
      <c r="C3531" s="7" t="s">
        <v>7817</v>
      </c>
      <c r="G3531" s="8" t="s">
        <v>15</v>
      </c>
    </row>
    <row r="3532" spans="1:7" hidden="1" x14ac:dyDescent="0.25">
      <c r="A3532" s="21">
        <v>3531</v>
      </c>
      <c r="B3532" s="7" t="s">
        <v>7818</v>
      </c>
      <c r="C3532" s="7" t="s">
        <v>7819</v>
      </c>
      <c r="G3532" s="8" t="s">
        <v>15</v>
      </c>
    </row>
    <row r="3533" spans="1:7" hidden="1" x14ac:dyDescent="0.25">
      <c r="A3533" s="21">
        <v>3532</v>
      </c>
      <c r="B3533" s="7" t="s">
        <v>7820</v>
      </c>
      <c r="C3533" s="7" t="s">
        <v>7821</v>
      </c>
      <c r="G3533" s="8" t="s">
        <v>15</v>
      </c>
    </row>
    <row r="3534" spans="1:7" hidden="1" x14ac:dyDescent="0.25">
      <c r="A3534" s="21">
        <v>3533</v>
      </c>
      <c r="B3534" s="7" t="s">
        <v>7822</v>
      </c>
      <c r="C3534" s="7" t="s">
        <v>7823</v>
      </c>
      <c r="G3534" s="8" t="s">
        <v>15</v>
      </c>
    </row>
    <row r="3535" spans="1:7" hidden="1" x14ac:dyDescent="0.25">
      <c r="A3535" s="21">
        <v>3534</v>
      </c>
      <c r="B3535" s="7" t="s">
        <v>7824</v>
      </c>
      <c r="C3535" s="7" t="s">
        <v>7825</v>
      </c>
      <c r="G3535" s="8" t="s">
        <v>15</v>
      </c>
    </row>
    <row r="3536" spans="1:7" hidden="1" x14ac:dyDescent="0.25">
      <c r="A3536" s="21">
        <v>3535</v>
      </c>
      <c r="B3536" s="7" t="s">
        <v>7826</v>
      </c>
      <c r="C3536" s="7" t="s">
        <v>7827</v>
      </c>
      <c r="G3536" s="8" t="s">
        <v>15</v>
      </c>
    </row>
    <row r="3537" spans="1:7" hidden="1" x14ac:dyDescent="0.25">
      <c r="A3537" s="21">
        <v>3536</v>
      </c>
      <c r="B3537" s="7" t="s">
        <v>7828</v>
      </c>
      <c r="C3537" s="7" t="s">
        <v>7829</v>
      </c>
      <c r="G3537" s="8" t="s">
        <v>15</v>
      </c>
    </row>
    <row r="3538" spans="1:7" hidden="1" x14ac:dyDescent="0.25">
      <c r="A3538" s="21">
        <v>3537</v>
      </c>
      <c r="B3538" s="7" t="s">
        <v>7830</v>
      </c>
      <c r="C3538" s="7" t="s">
        <v>7831</v>
      </c>
      <c r="G3538" s="8" t="s">
        <v>15</v>
      </c>
    </row>
    <row r="3539" spans="1:7" hidden="1" x14ac:dyDescent="0.25">
      <c r="A3539" s="21">
        <v>3538</v>
      </c>
      <c r="B3539" s="7" t="s">
        <v>7832</v>
      </c>
      <c r="C3539" s="7" t="s">
        <v>7833</v>
      </c>
      <c r="G3539" s="8" t="s">
        <v>15</v>
      </c>
    </row>
    <row r="3540" spans="1:7" hidden="1" x14ac:dyDescent="0.25">
      <c r="A3540" s="21">
        <v>3539</v>
      </c>
      <c r="B3540" s="7" t="s">
        <v>7834</v>
      </c>
      <c r="C3540" s="7" t="s">
        <v>7835</v>
      </c>
      <c r="G3540" s="8" t="s">
        <v>15</v>
      </c>
    </row>
    <row r="3541" spans="1:7" hidden="1" x14ac:dyDescent="0.25">
      <c r="A3541" s="21">
        <v>3540</v>
      </c>
      <c r="B3541" s="7" t="s">
        <v>7836</v>
      </c>
      <c r="C3541" s="7" t="s">
        <v>7837</v>
      </c>
      <c r="G3541" s="8" t="s">
        <v>15</v>
      </c>
    </row>
    <row r="3542" spans="1:7" hidden="1" x14ac:dyDescent="0.25">
      <c r="A3542" s="21">
        <v>3541</v>
      </c>
      <c r="B3542" s="7" t="s">
        <v>7838</v>
      </c>
      <c r="C3542" s="7" t="s">
        <v>7839</v>
      </c>
      <c r="G3542" s="8" t="s">
        <v>15</v>
      </c>
    </row>
    <row r="3543" spans="1:7" hidden="1" x14ac:dyDescent="0.25">
      <c r="A3543" s="21">
        <v>3542</v>
      </c>
      <c r="B3543" s="7" t="s">
        <v>7840</v>
      </c>
      <c r="C3543" s="7" t="s">
        <v>7841</v>
      </c>
      <c r="G3543" s="8" t="s">
        <v>15</v>
      </c>
    </row>
    <row r="3544" spans="1:7" hidden="1" x14ac:dyDescent="0.25">
      <c r="A3544" s="21">
        <v>3543</v>
      </c>
      <c r="B3544" s="7" t="s">
        <v>7842</v>
      </c>
      <c r="C3544" s="7" t="s">
        <v>7843</v>
      </c>
      <c r="G3544" s="8" t="s">
        <v>15</v>
      </c>
    </row>
    <row r="3545" spans="1:7" hidden="1" x14ac:dyDescent="0.25">
      <c r="A3545" s="21">
        <v>3544</v>
      </c>
      <c r="B3545" s="7" t="s">
        <v>7844</v>
      </c>
      <c r="C3545" s="7" t="s">
        <v>7845</v>
      </c>
      <c r="G3545" s="8" t="s">
        <v>15</v>
      </c>
    </row>
    <row r="3546" spans="1:7" hidden="1" x14ac:dyDescent="0.25">
      <c r="A3546" s="21">
        <v>3545</v>
      </c>
      <c r="B3546" s="7" t="s">
        <v>7846</v>
      </c>
      <c r="C3546" s="7" t="s">
        <v>7847</v>
      </c>
      <c r="G3546" s="8" t="s">
        <v>15</v>
      </c>
    </row>
    <row r="3547" spans="1:7" hidden="1" x14ac:dyDescent="0.25">
      <c r="A3547" s="21">
        <v>3546</v>
      </c>
      <c r="B3547" s="7" t="s">
        <v>7848</v>
      </c>
      <c r="C3547" s="7" t="s">
        <v>7849</v>
      </c>
      <c r="G3547" s="8" t="s">
        <v>15</v>
      </c>
    </row>
    <row r="3548" spans="1:7" hidden="1" x14ac:dyDescent="0.25">
      <c r="A3548" s="21">
        <v>3547</v>
      </c>
      <c r="B3548" s="7" t="s">
        <v>7850</v>
      </c>
      <c r="C3548" s="7" t="s">
        <v>7851</v>
      </c>
      <c r="G3548" s="8" t="s">
        <v>15</v>
      </c>
    </row>
    <row r="3549" spans="1:7" hidden="1" x14ac:dyDescent="0.25">
      <c r="A3549" s="21">
        <v>3548</v>
      </c>
      <c r="B3549" s="7" t="s">
        <v>7852</v>
      </c>
      <c r="C3549" s="7" t="s">
        <v>7853</v>
      </c>
      <c r="G3549" s="8" t="s">
        <v>15</v>
      </c>
    </row>
    <row r="3550" spans="1:7" hidden="1" x14ac:dyDescent="0.25">
      <c r="A3550" s="21">
        <v>3549</v>
      </c>
      <c r="B3550" s="7" t="s">
        <v>7854</v>
      </c>
      <c r="C3550" s="7" t="s">
        <v>7855</v>
      </c>
      <c r="G3550" s="8" t="s">
        <v>15</v>
      </c>
    </row>
    <row r="3551" spans="1:7" hidden="1" x14ac:dyDescent="0.25">
      <c r="A3551" s="21">
        <v>3550</v>
      </c>
      <c r="B3551" s="7" t="s">
        <v>7856</v>
      </c>
      <c r="C3551" s="7" t="s">
        <v>7857</v>
      </c>
      <c r="G3551" s="8" t="s">
        <v>15</v>
      </c>
    </row>
    <row r="3552" spans="1:7" hidden="1" x14ac:dyDescent="0.25">
      <c r="A3552" s="21">
        <v>3551</v>
      </c>
      <c r="B3552" s="7" t="s">
        <v>7858</v>
      </c>
      <c r="C3552" s="7" t="s">
        <v>7859</v>
      </c>
      <c r="G3552" s="8" t="s">
        <v>15</v>
      </c>
    </row>
    <row r="3553" spans="1:7" hidden="1" x14ac:dyDescent="0.25">
      <c r="A3553" s="21">
        <v>3552</v>
      </c>
      <c r="B3553" s="7" t="s">
        <v>7860</v>
      </c>
      <c r="C3553" s="7" t="s">
        <v>7861</v>
      </c>
      <c r="G3553" s="8" t="s">
        <v>15</v>
      </c>
    </row>
    <row r="3554" spans="1:7" hidden="1" x14ac:dyDescent="0.25">
      <c r="A3554" s="21">
        <v>3553</v>
      </c>
      <c r="B3554" s="7" t="s">
        <v>7862</v>
      </c>
      <c r="C3554" s="7" t="s">
        <v>7863</v>
      </c>
      <c r="G3554" s="8" t="s">
        <v>15</v>
      </c>
    </row>
    <row r="3555" spans="1:7" hidden="1" x14ac:dyDescent="0.25">
      <c r="A3555" s="21">
        <v>3554</v>
      </c>
      <c r="B3555" s="7" t="s">
        <v>7864</v>
      </c>
      <c r="C3555" s="7" t="s">
        <v>7865</v>
      </c>
      <c r="G3555" s="8" t="s">
        <v>15</v>
      </c>
    </row>
    <row r="3556" spans="1:7" hidden="1" x14ac:dyDescent="0.25">
      <c r="A3556" s="21">
        <v>3555</v>
      </c>
      <c r="B3556" s="7" t="s">
        <v>7866</v>
      </c>
      <c r="C3556" s="7" t="s">
        <v>7867</v>
      </c>
      <c r="G3556" s="8" t="s">
        <v>15</v>
      </c>
    </row>
    <row r="3557" spans="1:7" hidden="1" x14ac:dyDescent="0.25">
      <c r="A3557" s="21">
        <v>3556</v>
      </c>
      <c r="B3557" s="7" t="s">
        <v>7868</v>
      </c>
      <c r="C3557" s="7" t="s">
        <v>7869</v>
      </c>
      <c r="G3557" s="8" t="s">
        <v>15</v>
      </c>
    </row>
    <row r="3558" spans="1:7" hidden="1" x14ac:dyDescent="0.25">
      <c r="A3558" s="21">
        <v>3557</v>
      </c>
      <c r="B3558" s="7" t="s">
        <v>7870</v>
      </c>
      <c r="C3558" s="7" t="s">
        <v>7871</v>
      </c>
      <c r="G3558" s="8" t="s">
        <v>15</v>
      </c>
    </row>
    <row r="3559" spans="1:7" hidden="1" x14ac:dyDescent="0.25">
      <c r="A3559" s="21">
        <v>3558</v>
      </c>
      <c r="B3559" s="7" t="s">
        <v>7872</v>
      </c>
      <c r="C3559" s="7" t="s">
        <v>7873</v>
      </c>
      <c r="G3559" s="8" t="s">
        <v>15</v>
      </c>
    </row>
    <row r="3560" spans="1:7" hidden="1" x14ac:dyDescent="0.25">
      <c r="A3560" s="21">
        <v>3559</v>
      </c>
      <c r="B3560" s="7" t="s">
        <v>7874</v>
      </c>
      <c r="C3560" s="7" t="s">
        <v>7875</v>
      </c>
      <c r="G3560" s="8" t="s">
        <v>15</v>
      </c>
    </row>
    <row r="3561" spans="1:7" hidden="1" x14ac:dyDescent="0.25">
      <c r="A3561" s="21">
        <v>3560</v>
      </c>
      <c r="B3561" s="7" t="s">
        <v>7876</v>
      </c>
      <c r="C3561" s="7" t="s">
        <v>7877</v>
      </c>
      <c r="G3561" s="8" t="s">
        <v>15</v>
      </c>
    </row>
    <row r="3562" spans="1:7" hidden="1" x14ac:dyDescent="0.25">
      <c r="A3562" s="21">
        <v>3561</v>
      </c>
      <c r="B3562" s="7" t="s">
        <v>7878</v>
      </c>
      <c r="C3562" s="7" t="s">
        <v>7879</v>
      </c>
      <c r="G3562" s="8" t="s">
        <v>15</v>
      </c>
    </row>
    <row r="3563" spans="1:7" hidden="1" x14ac:dyDescent="0.25">
      <c r="A3563" s="21">
        <v>3562</v>
      </c>
      <c r="B3563" s="7" t="s">
        <v>7880</v>
      </c>
      <c r="C3563" s="7" t="s">
        <v>7881</v>
      </c>
      <c r="G3563" s="8" t="s">
        <v>15</v>
      </c>
    </row>
    <row r="3564" spans="1:7" hidden="1" x14ac:dyDescent="0.25">
      <c r="A3564" s="21">
        <v>3563</v>
      </c>
      <c r="B3564" s="7" t="s">
        <v>7882</v>
      </c>
      <c r="C3564" s="7" t="s">
        <v>7883</v>
      </c>
      <c r="G3564" s="8" t="s">
        <v>15</v>
      </c>
    </row>
    <row r="3565" spans="1:7" hidden="1" x14ac:dyDescent="0.25">
      <c r="A3565" s="21">
        <v>3564</v>
      </c>
      <c r="B3565" s="7" t="s">
        <v>7884</v>
      </c>
      <c r="C3565" s="7" t="s">
        <v>7885</v>
      </c>
      <c r="G3565" s="8" t="s">
        <v>15</v>
      </c>
    </row>
    <row r="3566" spans="1:7" hidden="1" x14ac:dyDescent="0.25">
      <c r="A3566" s="21">
        <v>3565</v>
      </c>
      <c r="B3566" s="7" t="s">
        <v>7886</v>
      </c>
      <c r="C3566" s="7" t="s">
        <v>7887</v>
      </c>
      <c r="G3566" s="8" t="s">
        <v>15</v>
      </c>
    </row>
    <row r="3567" spans="1:7" hidden="1" x14ac:dyDescent="0.25">
      <c r="A3567" s="21">
        <v>3566</v>
      </c>
      <c r="B3567" s="7" t="s">
        <v>7888</v>
      </c>
      <c r="C3567" s="7" t="s">
        <v>7889</v>
      </c>
      <c r="G3567" s="8" t="s">
        <v>15</v>
      </c>
    </row>
    <row r="3568" spans="1:7" hidden="1" x14ac:dyDescent="0.25">
      <c r="A3568" s="21">
        <v>3567</v>
      </c>
      <c r="B3568" s="7" t="s">
        <v>7890</v>
      </c>
      <c r="C3568" s="7" t="s">
        <v>7891</v>
      </c>
      <c r="G3568" s="8" t="s">
        <v>15</v>
      </c>
    </row>
    <row r="3569" spans="1:7" hidden="1" x14ac:dyDescent="0.25">
      <c r="A3569" s="21">
        <v>3568</v>
      </c>
      <c r="B3569" s="7" t="s">
        <v>7892</v>
      </c>
      <c r="C3569" s="7" t="s">
        <v>7893</v>
      </c>
      <c r="G3569" s="8" t="s">
        <v>15</v>
      </c>
    </row>
    <row r="3570" spans="1:7" hidden="1" x14ac:dyDescent="0.25">
      <c r="A3570" s="21">
        <v>3569</v>
      </c>
      <c r="B3570" s="7" t="s">
        <v>7894</v>
      </c>
      <c r="C3570" s="7" t="s">
        <v>7895</v>
      </c>
      <c r="G3570" s="8" t="s">
        <v>15</v>
      </c>
    </row>
    <row r="3571" spans="1:7" hidden="1" x14ac:dyDescent="0.25">
      <c r="A3571" s="21">
        <v>3570</v>
      </c>
      <c r="B3571" s="7" t="s">
        <v>7896</v>
      </c>
      <c r="C3571" s="7" t="s">
        <v>7897</v>
      </c>
      <c r="G3571" s="8" t="s">
        <v>15</v>
      </c>
    </row>
    <row r="3572" spans="1:7" hidden="1" x14ac:dyDescent="0.25">
      <c r="A3572" s="21">
        <v>3571</v>
      </c>
      <c r="B3572" s="7" t="s">
        <v>7898</v>
      </c>
      <c r="C3572" s="7" t="s">
        <v>7899</v>
      </c>
      <c r="G3572" s="8" t="s">
        <v>15</v>
      </c>
    </row>
    <row r="3573" spans="1:7" hidden="1" x14ac:dyDescent="0.25">
      <c r="A3573" s="21">
        <v>3572</v>
      </c>
      <c r="B3573" s="7" t="s">
        <v>7900</v>
      </c>
      <c r="C3573" s="7" t="s">
        <v>7901</v>
      </c>
      <c r="G3573" s="8" t="s">
        <v>15</v>
      </c>
    </row>
    <row r="3574" spans="1:7" hidden="1" x14ac:dyDescent="0.25">
      <c r="A3574" s="21">
        <v>3573</v>
      </c>
      <c r="B3574" s="7" t="s">
        <v>7902</v>
      </c>
      <c r="C3574" s="7" t="s">
        <v>7903</v>
      </c>
      <c r="G3574" s="8" t="s">
        <v>15</v>
      </c>
    </row>
    <row r="3575" spans="1:7" hidden="1" x14ac:dyDescent="0.25">
      <c r="A3575" s="21">
        <v>3574</v>
      </c>
      <c r="B3575" s="7" t="s">
        <v>7904</v>
      </c>
      <c r="C3575" s="7" t="s">
        <v>7905</v>
      </c>
      <c r="G3575" s="8" t="s">
        <v>15</v>
      </c>
    </row>
    <row r="3576" spans="1:7" hidden="1" x14ac:dyDescent="0.25">
      <c r="A3576" s="21">
        <v>3575</v>
      </c>
      <c r="B3576" s="7" t="s">
        <v>7906</v>
      </c>
      <c r="C3576" s="7" t="s">
        <v>7907</v>
      </c>
      <c r="G3576" s="8" t="s">
        <v>15</v>
      </c>
    </row>
    <row r="3577" spans="1:7" hidden="1" x14ac:dyDescent="0.25">
      <c r="A3577" s="21">
        <v>3576</v>
      </c>
      <c r="B3577" s="7" t="s">
        <v>7908</v>
      </c>
      <c r="C3577" s="7" t="s">
        <v>7909</v>
      </c>
      <c r="G3577" s="8" t="s">
        <v>15</v>
      </c>
    </row>
    <row r="3578" spans="1:7" hidden="1" x14ac:dyDescent="0.25">
      <c r="A3578" s="21">
        <v>3577</v>
      </c>
      <c r="B3578" s="7" t="s">
        <v>7910</v>
      </c>
      <c r="C3578" s="7" t="s">
        <v>7911</v>
      </c>
      <c r="G3578" s="8" t="s">
        <v>15</v>
      </c>
    </row>
    <row r="3579" spans="1:7" hidden="1" x14ac:dyDescent="0.25">
      <c r="A3579" s="21">
        <v>3578</v>
      </c>
      <c r="B3579" s="7" t="s">
        <v>7912</v>
      </c>
      <c r="C3579" s="7" t="s">
        <v>7913</v>
      </c>
      <c r="G3579" s="8" t="s">
        <v>15</v>
      </c>
    </row>
    <row r="3580" spans="1:7" hidden="1" x14ac:dyDescent="0.25">
      <c r="A3580" s="21">
        <v>3579</v>
      </c>
      <c r="B3580" s="7" t="s">
        <v>7914</v>
      </c>
      <c r="C3580" s="7" t="s">
        <v>7915</v>
      </c>
      <c r="G3580" s="8" t="s">
        <v>15</v>
      </c>
    </row>
    <row r="3581" spans="1:7" hidden="1" x14ac:dyDescent="0.25">
      <c r="A3581" s="21">
        <v>3580</v>
      </c>
      <c r="B3581" s="7" t="s">
        <v>7916</v>
      </c>
      <c r="C3581" s="7" t="s">
        <v>7917</v>
      </c>
      <c r="G3581" s="8" t="s">
        <v>15</v>
      </c>
    </row>
    <row r="3582" spans="1:7" hidden="1" x14ac:dyDescent="0.25">
      <c r="A3582" s="21">
        <v>3581</v>
      </c>
      <c r="B3582" s="7" t="s">
        <v>7918</v>
      </c>
      <c r="C3582" s="7" t="s">
        <v>7919</v>
      </c>
      <c r="G3582" s="8" t="s">
        <v>15</v>
      </c>
    </row>
    <row r="3583" spans="1:7" hidden="1" x14ac:dyDescent="0.25">
      <c r="A3583" s="21">
        <v>3582</v>
      </c>
      <c r="B3583" s="7" t="s">
        <v>7920</v>
      </c>
      <c r="C3583" s="7" t="s">
        <v>7921</v>
      </c>
      <c r="G3583" s="8" t="s">
        <v>15</v>
      </c>
    </row>
    <row r="3584" spans="1:7" hidden="1" x14ac:dyDescent="0.25">
      <c r="A3584" s="21">
        <v>3583</v>
      </c>
      <c r="B3584" s="7" t="s">
        <v>7922</v>
      </c>
      <c r="C3584" s="7" t="s">
        <v>7923</v>
      </c>
      <c r="G3584" s="8" t="s">
        <v>15</v>
      </c>
    </row>
    <row r="3585" spans="1:7" hidden="1" x14ac:dyDescent="0.25">
      <c r="A3585" s="21">
        <v>3584</v>
      </c>
      <c r="B3585" s="7" t="s">
        <v>7924</v>
      </c>
      <c r="C3585" s="7" t="s">
        <v>7925</v>
      </c>
      <c r="G3585" s="8" t="s">
        <v>15</v>
      </c>
    </row>
    <row r="3586" spans="1:7" hidden="1" x14ac:dyDescent="0.25">
      <c r="A3586" s="21">
        <v>3585</v>
      </c>
      <c r="B3586" s="7" t="s">
        <v>7926</v>
      </c>
      <c r="C3586" s="7" t="s">
        <v>7927</v>
      </c>
      <c r="G3586" s="8" t="s">
        <v>15</v>
      </c>
    </row>
    <row r="3587" spans="1:7" hidden="1" x14ac:dyDescent="0.25">
      <c r="A3587" s="21">
        <v>3586</v>
      </c>
      <c r="B3587" s="7" t="s">
        <v>7928</v>
      </c>
      <c r="C3587" s="7" t="s">
        <v>7929</v>
      </c>
      <c r="G3587" s="8" t="s">
        <v>15</v>
      </c>
    </row>
    <row r="3588" spans="1:7" hidden="1" x14ac:dyDescent="0.25">
      <c r="A3588" s="21">
        <v>3587</v>
      </c>
      <c r="B3588" s="7" t="s">
        <v>7930</v>
      </c>
      <c r="C3588" s="7" t="s">
        <v>7931</v>
      </c>
      <c r="G3588" s="8" t="s">
        <v>15</v>
      </c>
    </row>
    <row r="3589" spans="1:7" hidden="1" x14ac:dyDescent="0.25">
      <c r="A3589" s="21">
        <v>3588</v>
      </c>
      <c r="B3589" s="7" t="s">
        <v>7932</v>
      </c>
      <c r="C3589" s="7" t="s">
        <v>7933</v>
      </c>
      <c r="G3589" s="8" t="s">
        <v>15</v>
      </c>
    </row>
    <row r="3590" spans="1:7" hidden="1" x14ac:dyDescent="0.25">
      <c r="A3590" s="21">
        <v>3589</v>
      </c>
      <c r="B3590" s="7" t="s">
        <v>7934</v>
      </c>
      <c r="C3590" s="7" t="s">
        <v>7935</v>
      </c>
      <c r="G3590" s="8" t="s">
        <v>15</v>
      </c>
    </row>
    <row r="3591" spans="1:7" hidden="1" x14ac:dyDescent="0.25">
      <c r="A3591" s="21">
        <v>3590</v>
      </c>
      <c r="B3591" s="7" t="s">
        <v>7936</v>
      </c>
      <c r="C3591" s="7" t="s">
        <v>7937</v>
      </c>
      <c r="G3591" s="8" t="s">
        <v>15</v>
      </c>
    </row>
    <row r="3592" spans="1:7" hidden="1" x14ac:dyDescent="0.25">
      <c r="A3592" s="21">
        <v>3591</v>
      </c>
      <c r="B3592" s="7" t="s">
        <v>7938</v>
      </c>
      <c r="C3592" s="7" t="s">
        <v>7939</v>
      </c>
      <c r="G3592" s="8" t="s">
        <v>15</v>
      </c>
    </row>
    <row r="3593" spans="1:7" hidden="1" x14ac:dyDescent="0.25">
      <c r="A3593" s="21">
        <v>3592</v>
      </c>
      <c r="B3593" s="7" t="s">
        <v>7940</v>
      </c>
      <c r="C3593" s="7" t="s">
        <v>7941</v>
      </c>
      <c r="G3593" s="8" t="s">
        <v>15</v>
      </c>
    </row>
    <row r="3594" spans="1:7" hidden="1" x14ac:dyDescent="0.25">
      <c r="A3594" s="21">
        <v>3593</v>
      </c>
      <c r="B3594" s="7" t="s">
        <v>7942</v>
      </c>
      <c r="C3594" s="7" t="s">
        <v>7943</v>
      </c>
      <c r="G3594" s="8" t="s">
        <v>15</v>
      </c>
    </row>
    <row r="3595" spans="1:7" hidden="1" x14ac:dyDescent="0.25">
      <c r="A3595" s="21">
        <v>3594</v>
      </c>
      <c r="B3595" s="7" t="s">
        <v>7944</v>
      </c>
      <c r="C3595" s="7" t="s">
        <v>7945</v>
      </c>
      <c r="G3595" s="8" t="s">
        <v>15</v>
      </c>
    </row>
    <row r="3596" spans="1:7" hidden="1" x14ac:dyDescent="0.25">
      <c r="A3596" s="21">
        <v>3595</v>
      </c>
      <c r="B3596" s="7" t="s">
        <v>7946</v>
      </c>
      <c r="C3596" s="7" t="s">
        <v>7947</v>
      </c>
      <c r="G3596" s="8" t="s">
        <v>15</v>
      </c>
    </row>
    <row r="3597" spans="1:7" hidden="1" x14ac:dyDescent="0.25">
      <c r="A3597" s="21">
        <v>3596</v>
      </c>
      <c r="B3597" s="7" t="s">
        <v>7948</v>
      </c>
      <c r="C3597" s="7" t="s">
        <v>7949</v>
      </c>
      <c r="G3597" s="8" t="s">
        <v>15</v>
      </c>
    </row>
    <row r="3598" spans="1:7" hidden="1" x14ac:dyDescent="0.25">
      <c r="A3598" s="21">
        <v>3597</v>
      </c>
      <c r="B3598" s="7" t="s">
        <v>7950</v>
      </c>
      <c r="C3598" s="7" t="s">
        <v>7951</v>
      </c>
      <c r="G3598" s="8" t="s">
        <v>15</v>
      </c>
    </row>
    <row r="3599" spans="1:7" hidden="1" x14ac:dyDescent="0.25">
      <c r="A3599" s="21">
        <v>3598</v>
      </c>
      <c r="B3599" s="7" t="s">
        <v>7952</v>
      </c>
      <c r="C3599" s="7" t="s">
        <v>7953</v>
      </c>
      <c r="G3599" s="8" t="s">
        <v>15</v>
      </c>
    </row>
    <row r="3600" spans="1:7" hidden="1" x14ac:dyDescent="0.25">
      <c r="A3600" s="21">
        <v>3599</v>
      </c>
      <c r="B3600" s="7" t="s">
        <v>7954</v>
      </c>
      <c r="C3600" s="7" t="s">
        <v>7955</v>
      </c>
      <c r="G3600" s="8" t="s">
        <v>15</v>
      </c>
    </row>
    <row r="3601" spans="1:7" hidden="1" x14ac:dyDescent="0.25">
      <c r="A3601" s="21">
        <v>3600</v>
      </c>
      <c r="B3601" s="7" t="s">
        <v>7956</v>
      </c>
      <c r="C3601" s="7" t="s">
        <v>7957</v>
      </c>
      <c r="G3601" s="8" t="s">
        <v>15</v>
      </c>
    </row>
    <row r="3602" spans="1:7" hidden="1" x14ac:dyDescent="0.25">
      <c r="A3602" s="21">
        <v>3601</v>
      </c>
      <c r="B3602" s="7" t="s">
        <v>7958</v>
      </c>
      <c r="C3602" s="7" t="s">
        <v>7959</v>
      </c>
      <c r="G3602" s="8" t="s">
        <v>15</v>
      </c>
    </row>
    <row r="3603" spans="1:7" hidden="1" x14ac:dyDescent="0.25">
      <c r="A3603" s="21">
        <v>3602</v>
      </c>
      <c r="B3603" s="7" t="s">
        <v>7960</v>
      </c>
      <c r="C3603" s="7" t="s">
        <v>7961</v>
      </c>
      <c r="G3603" s="8" t="s">
        <v>15</v>
      </c>
    </row>
    <row r="3604" spans="1:7" hidden="1" x14ac:dyDescent="0.25">
      <c r="A3604" s="21">
        <v>3603</v>
      </c>
      <c r="B3604" s="7" t="s">
        <v>7962</v>
      </c>
      <c r="C3604" s="7" t="s">
        <v>7963</v>
      </c>
      <c r="G3604" s="8" t="s">
        <v>15</v>
      </c>
    </row>
    <row r="3605" spans="1:7" hidden="1" x14ac:dyDescent="0.25">
      <c r="A3605" s="21">
        <v>3604</v>
      </c>
      <c r="B3605" s="7" t="s">
        <v>7964</v>
      </c>
      <c r="C3605" s="7" t="s">
        <v>7965</v>
      </c>
      <c r="G3605" s="8" t="s">
        <v>15</v>
      </c>
    </row>
    <row r="3606" spans="1:7" hidden="1" x14ac:dyDescent="0.25">
      <c r="A3606" s="21">
        <v>3605</v>
      </c>
      <c r="B3606" s="7" t="s">
        <v>7966</v>
      </c>
      <c r="C3606" s="7" t="s">
        <v>7967</v>
      </c>
      <c r="G3606" s="8" t="s">
        <v>15</v>
      </c>
    </row>
    <row r="3607" spans="1:7" hidden="1" x14ac:dyDescent="0.25">
      <c r="A3607" s="21">
        <v>3606</v>
      </c>
      <c r="B3607" s="7" t="s">
        <v>7968</v>
      </c>
      <c r="C3607" s="7" t="s">
        <v>7969</v>
      </c>
      <c r="G3607" s="8" t="s">
        <v>15</v>
      </c>
    </row>
    <row r="3608" spans="1:7" hidden="1" x14ac:dyDescent="0.25">
      <c r="A3608" s="21">
        <v>3607</v>
      </c>
      <c r="B3608" s="7" t="s">
        <v>7970</v>
      </c>
      <c r="C3608" s="7" t="s">
        <v>7971</v>
      </c>
      <c r="G3608" s="8" t="s">
        <v>15</v>
      </c>
    </row>
    <row r="3609" spans="1:7" hidden="1" x14ac:dyDescent="0.25">
      <c r="A3609" s="21">
        <v>3608</v>
      </c>
      <c r="B3609" s="7" t="s">
        <v>7972</v>
      </c>
      <c r="C3609" s="7" t="s">
        <v>7973</v>
      </c>
      <c r="G3609" s="8" t="s">
        <v>15</v>
      </c>
    </row>
    <row r="3610" spans="1:7" hidden="1" x14ac:dyDescent="0.25">
      <c r="A3610" s="21">
        <v>3609</v>
      </c>
      <c r="B3610" s="7" t="s">
        <v>7974</v>
      </c>
      <c r="C3610" s="7" t="s">
        <v>7975</v>
      </c>
      <c r="G3610" s="8" t="s">
        <v>15</v>
      </c>
    </row>
    <row r="3611" spans="1:7" hidden="1" x14ac:dyDescent="0.25">
      <c r="A3611" s="21">
        <v>3610</v>
      </c>
      <c r="B3611" s="7" t="s">
        <v>7976</v>
      </c>
      <c r="C3611" s="7" t="s">
        <v>7977</v>
      </c>
      <c r="G3611" s="8" t="s">
        <v>15</v>
      </c>
    </row>
    <row r="3612" spans="1:7" hidden="1" x14ac:dyDescent="0.25">
      <c r="A3612" s="21">
        <v>3611</v>
      </c>
      <c r="B3612" s="7" t="s">
        <v>7978</v>
      </c>
      <c r="C3612" s="7" t="s">
        <v>7979</v>
      </c>
      <c r="G3612" s="8" t="s">
        <v>15</v>
      </c>
    </row>
    <row r="3613" spans="1:7" hidden="1" x14ac:dyDescent="0.25">
      <c r="A3613" s="21">
        <v>3612</v>
      </c>
      <c r="B3613" s="7" t="s">
        <v>7980</v>
      </c>
      <c r="C3613" s="7" t="s">
        <v>7981</v>
      </c>
      <c r="G3613" s="8" t="s">
        <v>15</v>
      </c>
    </row>
    <row r="3614" spans="1:7" hidden="1" x14ac:dyDescent="0.25">
      <c r="A3614" s="21">
        <v>3613</v>
      </c>
      <c r="B3614" s="7" t="s">
        <v>7982</v>
      </c>
      <c r="C3614" s="7" t="s">
        <v>7983</v>
      </c>
      <c r="G3614" s="8" t="s">
        <v>15</v>
      </c>
    </row>
    <row r="3615" spans="1:7" hidden="1" x14ac:dyDescent="0.25">
      <c r="A3615" s="21">
        <v>3614</v>
      </c>
      <c r="B3615" s="7" t="s">
        <v>7984</v>
      </c>
      <c r="C3615" s="7" t="s">
        <v>7985</v>
      </c>
      <c r="G3615" s="8" t="s">
        <v>15</v>
      </c>
    </row>
    <row r="3616" spans="1:7" hidden="1" x14ac:dyDescent="0.25">
      <c r="A3616" s="21">
        <v>3615</v>
      </c>
      <c r="B3616" s="7" t="s">
        <v>7986</v>
      </c>
      <c r="C3616" s="7" t="s">
        <v>7987</v>
      </c>
      <c r="G3616" s="8" t="s">
        <v>15</v>
      </c>
    </row>
    <row r="3617" spans="1:7" hidden="1" x14ac:dyDescent="0.25">
      <c r="A3617" s="21">
        <v>3616</v>
      </c>
      <c r="B3617" s="7" t="s">
        <v>7988</v>
      </c>
      <c r="C3617" s="7" t="s">
        <v>7989</v>
      </c>
      <c r="G3617" s="8" t="s">
        <v>15</v>
      </c>
    </row>
    <row r="3618" spans="1:7" hidden="1" x14ac:dyDescent="0.25">
      <c r="A3618" s="21">
        <v>3617</v>
      </c>
      <c r="B3618" s="7" t="s">
        <v>7990</v>
      </c>
      <c r="C3618" s="7" t="s">
        <v>7991</v>
      </c>
      <c r="G3618" s="8" t="s">
        <v>15</v>
      </c>
    </row>
    <row r="3619" spans="1:7" hidden="1" x14ac:dyDescent="0.25">
      <c r="A3619" s="21">
        <v>3618</v>
      </c>
      <c r="B3619" s="7" t="s">
        <v>7992</v>
      </c>
      <c r="C3619" s="7" t="s">
        <v>7993</v>
      </c>
      <c r="G3619" s="8" t="s">
        <v>15</v>
      </c>
    </row>
    <row r="3620" spans="1:7" hidden="1" x14ac:dyDescent="0.25">
      <c r="A3620" s="21">
        <v>3619</v>
      </c>
      <c r="B3620" s="7" t="s">
        <v>7994</v>
      </c>
      <c r="C3620" s="7" t="s">
        <v>7995</v>
      </c>
      <c r="G3620" s="8" t="s">
        <v>15</v>
      </c>
    </row>
    <row r="3621" spans="1:7" hidden="1" x14ac:dyDescent="0.25">
      <c r="A3621" s="21">
        <v>3620</v>
      </c>
      <c r="B3621" s="7" t="s">
        <v>7996</v>
      </c>
      <c r="C3621" s="7" t="s">
        <v>7997</v>
      </c>
      <c r="G3621" s="8" t="s">
        <v>15</v>
      </c>
    </row>
    <row r="3622" spans="1:7" hidden="1" x14ac:dyDescent="0.25">
      <c r="A3622" s="21">
        <v>3621</v>
      </c>
      <c r="B3622" s="7" t="s">
        <v>7998</v>
      </c>
      <c r="C3622" s="7" t="s">
        <v>7999</v>
      </c>
      <c r="G3622" s="8" t="s">
        <v>15</v>
      </c>
    </row>
    <row r="3623" spans="1:7" hidden="1" x14ac:dyDescent="0.25">
      <c r="A3623" s="21">
        <v>3622</v>
      </c>
      <c r="B3623" s="7" t="s">
        <v>8000</v>
      </c>
      <c r="C3623" s="7" t="s">
        <v>8001</v>
      </c>
      <c r="G3623" s="8" t="s">
        <v>15</v>
      </c>
    </row>
    <row r="3624" spans="1:7" hidden="1" x14ac:dyDescent="0.25">
      <c r="A3624" s="21">
        <v>3623</v>
      </c>
      <c r="B3624" s="7" t="s">
        <v>8002</v>
      </c>
      <c r="C3624" s="7" t="s">
        <v>8003</v>
      </c>
      <c r="G3624" s="8" t="s">
        <v>15</v>
      </c>
    </row>
    <row r="3625" spans="1:7" hidden="1" x14ac:dyDescent="0.25">
      <c r="A3625" s="21">
        <v>3624</v>
      </c>
      <c r="B3625" s="7" t="s">
        <v>8004</v>
      </c>
      <c r="C3625" s="7" t="s">
        <v>8005</v>
      </c>
      <c r="G3625" s="8" t="s">
        <v>15</v>
      </c>
    </row>
    <row r="3626" spans="1:7" hidden="1" x14ac:dyDescent="0.25">
      <c r="A3626" s="21">
        <v>3625</v>
      </c>
      <c r="B3626" s="7" t="s">
        <v>8006</v>
      </c>
      <c r="C3626" s="7" t="s">
        <v>8007</v>
      </c>
      <c r="G3626" s="8" t="s">
        <v>15</v>
      </c>
    </row>
    <row r="3627" spans="1:7" hidden="1" x14ac:dyDescent="0.25">
      <c r="A3627" s="21">
        <v>3626</v>
      </c>
      <c r="B3627" s="7" t="s">
        <v>8008</v>
      </c>
      <c r="C3627" s="7" t="s">
        <v>8009</v>
      </c>
      <c r="G3627" s="8" t="s">
        <v>15</v>
      </c>
    </row>
    <row r="3628" spans="1:7" hidden="1" x14ac:dyDescent="0.25">
      <c r="A3628" s="21">
        <v>3627</v>
      </c>
      <c r="B3628" s="7" t="s">
        <v>8010</v>
      </c>
      <c r="C3628" s="7" t="s">
        <v>8011</v>
      </c>
      <c r="G3628" s="8" t="s">
        <v>15</v>
      </c>
    </row>
    <row r="3629" spans="1:7" hidden="1" x14ac:dyDescent="0.25">
      <c r="A3629" s="21">
        <v>3628</v>
      </c>
      <c r="B3629" s="7" t="s">
        <v>8012</v>
      </c>
      <c r="C3629" s="7" t="s">
        <v>8013</v>
      </c>
      <c r="G3629" s="8" t="s">
        <v>15</v>
      </c>
    </row>
    <row r="3630" spans="1:7" hidden="1" x14ac:dyDescent="0.25">
      <c r="A3630" s="21">
        <v>3629</v>
      </c>
      <c r="B3630" s="7" t="s">
        <v>8014</v>
      </c>
      <c r="C3630" s="7" t="s">
        <v>8015</v>
      </c>
      <c r="G3630" s="8" t="s">
        <v>15</v>
      </c>
    </row>
    <row r="3631" spans="1:7" hidden="1" x14ac:dyDescent="0.25">
      <c r="A3631" s="21">
        <v>3630</v>
      </c>
      <c r="B3631" s="7" t="s">
        <v>8016</v>
      </c>
      <c r="C3631" s="7" t="s">
        <v>8017</v>
      </c>
      <c r="G3631" s="8" t="s">
        <v>15</v>
      </c>
    </row>
    <row r="3632" spans="1:7" hidden="1" x14ac:dyDescent="0.25">
      <c r="A3632" s="21">
        <v>3631</v>
      </c>
      <c r="B3632" s="7" t="s">
        <v>8018</v>
      </c>
      <c r="C3632" s="7" t="s">
        <v>8019</v>
      </c>
      <c r="G3632" s="8" t="s">
        <v>15</v>
      </c>
    </row>
    <row r="3633" spans="1:7" hidden="1" x14ac:dyDescent="0.25">
      <c r="A3633" s="21">
        <v>3632</v>
      </c>
      <c r="B3633" s="7" t="s">
        <v>8020</v>
      </c>
      <c r="C3633" s="7" t="s">
        <v>8021</v>
      </c>
      <c r="G3633" s="8" t="s">
        <v>15</v>
      </c>
    </row>
    <row r="3634" spans="1:7" hidden="1" x14ac:dyDescent="0.25">
      <c r="A3634" s="21">
        <v>3633</v>
      </c>
      <c r="B3634" s="7" t="s">
        <v>8022</v>
      </c>
      <c r="C3634" s="7" t="s">
        <v>8023</v>
      </c>
      <c r="G3634" s="8" t="s">
        <v>15</v>
      </c>
    </row>
    <row r="3635" spans="1:7" hidden="1" x14ac:dyDescent="0.25">
      <c r="A3635" s="21">
        <v>3634</v>
      </c>
      <c r="B3635" s="7" t="s">
        <v>8024</v>
      </c>
      <c r="C3635" s="7" t="s">
        <v>8025</v>
      </c>
      <c r="G3635" s="8" t="s">
        <v>15</v>
      </c>
    </row>
    <row r="3636" spans="1:7" hidden="1" x14ac:dyDescent="0.25">
      <c r="A3636" s="21">
        <v>3635</v>
      </c>
      <c r="B3636" s="7" t="s">
        <v>8026</v>
      </c>
      <c r="C3636" s="7" t="s">
        <v>8027</v>
      </c>
      <c r="G3636" s="8" t="s">
        <v>15</v>
      </c>
    </row>
    <row r="3637" spans="1:7" hidden="1" x14ac:dyDescent="0.25">
      <c r="A3637" s="21">
        <v>3636</v>
      </c>
      <c r="B3637" s="7" t="s">
        <v>8028</v>
      </c>
      <c r="C3637" s="7" t="s">
        <v>8029</v>
      </c>
      <c r="G3637" s="8" t="s">
        <v>15</v>
      </c>
    </row>
    <row r="3638" spans="1:7" hidden="1" x14ac:dyDescent="0.25">
      <c r="A3638" s="21">
        <v>3637</v>
      </c>
      <c r="B3638" s="7" t="s">
        <v>8030</v>
      </c>
      <c r="C3638" s="7" t="s">
        <v>8031</v>
      </c>
      <c r="G3638" s="8" t="s">
        <v>15</v>
      </c>
    </row>
    <row r="3639" spans="1:7" hidden="1" x14ac:dyDescent="0.25">
      <c r="A3639" s="21">
        <v>3638</v>
      </c>
      <c r="B3639" s="7" t="s">
        <v>8032</v>
      </c>
      <c r="C3639" s="7" t="s">
        <v>8033</v>
      </c>
      <c r="G3639" s="8" t="s">
        <v>15</v>
      </c>
    </row>
    <row r="3640" spans="1:7" hidden="1" x14ac:dyDescent="0.25">
      <c r="A3640" s="21">
        <v>3639</v>
      </c>
      <c r="B3640" s="7" t="s">
        <v>8034</v>
      </c>
      <c r="C3640" s="7" t="s">
        <v>8035</v>
      </c>
      <c r="G3640" s="8" t="s">
        <v>15</v>
      </c>
    </row>
    <row r="3641" spans="1:7" hidden="1" x14ac:dyDescent="0.25">
      <c r="A3641" s="21">
        <v>3640</v>
      </c>
      <c r="B3641" s="7" t="s">
        <v>8036</v>
      </c>
      <c r="C3641" s="7" t="s">
        <v>8037</v>
      </c>
      <c r="G3641" s="8" t="s">
        <v>15</v>
      </c>
    </row>
    <row r="3642" spans="1:7" hidden="1" x14ac:dyDescent="0.25">
      <c r="A3642" s="21">
        <v>3641</v>
      </c>
      <c r="B3642" s="7" t="s">
        <v>8038</v>
      </c>
      <c r="C3642" s="7" t="s">
        <v>8039</v>
      </c>
      <c r="G3642" s="8" t="s">
        <v>15</v>
      </c>
    </row>
    <row r="3643" spans="1:7" hidden="1" x14ac:dyDescent="0.25">
      <c r="A3643" s="21">
        <v>3642</v>
      </c>
      <c r="B3643" s="7" t="s">
        <v>8040</v>
      </c>
      <c r="C3643" s="7" t="s">
        <v>8041</v>
      </c>
      <c r="G3643" s="8" t="s">
        <v>15</v>
      </c>
    </row>
    <row r="3644" spans="1:7" hidden="1" x14ac:dyDescent="0.25">
      <c r="A3644" s="21">
        <v>3643</v>
      </c>
      <c r="B3644" s="7" t="s">
        <v>8042</v>
      </c>
      <c r="C3644" s="7" t="s">
        <v>8043</v>
      </c>
      <c r="G3644" s="8" t="s">
        <v>15</v>
      </c>
    </row>
    <row r="3645" spans="1:7" hidden="1" x14ac:dyDescent="0.25">
      <c r="A3645" s="21">
        <v>3644</v>
      </c>
      <c r="B3645" s="7" t="s">
        <v>8044</v>
      </c>
      <c r="C3645" s="7" t="s">
        <v>8045</v>
      </c>
      <c r="G3645" s="8" t="s">
        <v>15</v>
      </c>
    </row>
    <row r="3646" spans="1:7" hidden="1" x14ac:dyDescent="0.25">
      <c r="A3646" s="21">
        <v>3645</v>
      </c>
      <c r="B3646" s="7" t="s">
        <v>8046</v>
      </c>
      <c r="C3646" s="7" t="s">
        <v>8047</v>
      </c>
      <c r="G3646" s="8" t="s">
        <v>15</v>
      </c>
    </row>
    <row r="3647" spans="1:7" hidden="1" x14ac:dyDescent="0.25">
      <c r="A3647" s="21">
        <v>3646</v>
      </c>
      <c r="B3647" s="7" t="s">
        <v>8048</v>
      </c>
      <c r="C3647" s="7" t="s">
        <v>8049</v>
      </c>
      <c r="G3647" s="8" t="s">
        <v>15</v>
      </c>
    </row>
    <row r="3648" spans="1:7" hidden="1" x14ac:dyDescent="0.25">
      <c r="A3648" s="21">
        <v>3647</v>
      </c>
      <c r="B3648" s="7" t="s">
        <v>8050</v>
      </c>
      <c r="C3648" s="7" t="s">
        <v>8051</v>
      </c>
      <c r="G3648" s="8" t="s">
        <v>15</v>
      </c>
    </row>
    <row r="3649" spans="1:7" hidden="1" x14ac:dyDescent="0.25">
      <c r="A3649" s="21">
        <v>3648</v>
      </c>
      <c r="B3649" s="7" t="s">
        <v>8052</v>
      </c>
      <c r="C3649" s="7" t="s">
        <v>8053</v>
      </c>
      <c r="G3649" s="8" t="s">
        <v>15</v>
      </c>
    </row>
    <row r="3650" spans="1:7" hidden="1" x14ac:dyDescent="0.25">
      <c r="A3650" s="21">
        <v>3649</v>
      </c>
      <c r="B3650" s="7" t="s">
        <v>8054</v>
      </c>
      <c r="C3650" s="7" t="s">
        <v>8055</v>
      </c>
      <c r="G3650" s="8" t="s">
        <v>15</v>
      </c>
    </row>
    <row r="3651" spans="1:7" hidden="1" x14ac:dyDescent="0.25">
      <c r="A3651" s="21">
        <v>3650</v>
      </c>
      <c r="B3651" s="7" t="s">
        <v>8056</v>
      </c>
      <c r="C3651" s="7" t="s">
        <v>8057</v>
      </c>
      <c r="G3651" s="8" t="s">
        <v>15</v>
      </c>
    </row>
    <row r="3652" spans="1:7" hidden="1" x14ac:dyDescent="0.25">
      <c r="A3652" s="21">
        <v>3651</v>
      </c>
      <c r="B3652" s="7" t="s">
        <v>8058</v>
      </c>
      <c r="C3652" s="7" t="s">
        <v>8059</v>
      </c>
      <c r="G3652" s="8" t="s">
        <v>15</v>
      </c>
    </row>
    <row r="3653" spans="1:7" hidden="1" x14ac:dyDescent="0.25">
      <c r="A3653" s="21">
        <v>3652</v>
      </c>
      <c r="B3653" s="7" t="s">
        <v>8060</v>
      </c>
      <c r="C3653" s="7" t="s">
        <v>8061</v>
      </c>
      <c r="G3653" s="8" t="s">
        <v>15</v>
      </c>
    </row>
    <row r="3654" spans="1:7" hidden="1" x14ac:dyDescent="0.25">
      <c r="A3654" s="21">
        <v>3653</v>
      </c>
      <c r="B3654" s="7" t="s">
        <v>8062</v>
      </c>
      <c r="C3654" s="7" t="s">
        <v>8063</v>
      </c>
      <c r="G3654" s="8" t="s">
        <v>15</v>
      </c>
    </row>
    <row r="3655" spans="1:7" hidden="1" x14ac:dyDescent="0.25">
      <c r="A3655" s="21">
        <v>3654</v>
      </c>
      <c r="B3655" s="7" t="s">
        <v>8064</v>
      </c>
      <c r="C3655" s="7" t="s">
        <v>8065</v>
      </c>
      <c r="G3655" s="8" t="s">
        <v>15</v>
      </c>
    </row>
    <row r="3656" spans="1:7" hidden="1" x14ac:dyDescent="0.25">
      <c r="A3656" s="21">
        <v>3655</v>
      </c>
      <c r="B3656" s="7" t="s">
        <v>8066</v>
      </c>
      <c r="C3656" s="7" t="s">
        <v>8067</v>
      </c>
      <c r="G3656" s="8" t="s">
        <v>15</v>
      </c>
    </row>
    <row r="3657" spans="1:7" hidden="1" x14ac:dyDescent="0.25">
      <c r="A3657" s="21">
        <v>3656</v>
      </c>
      <c r="B3657" s="7" t="s">
        <v>8068</v>
      </c>
      <c r="C3657" s="7" t="s">
        <v>8069</v>
      </c>
      <c r="G3657" s="8" t="s">
        <v>15</v>
      </c>
    </row>
    <row r="3658" spans="1:7" hidden="1" x14ac:dyDescent="0.25">
      <c r="A3658" s="21">
        <v>3657</v>
      </c>
      <c r="B3658" s="7" t="s">
        <v>8070</v>
      </c>
      <c r="C3658" s="7" t="s">
        <v>8071</v>
      </c>
      <c r="G3658" s="8" t="s">
        <v>15</v>
      </c>
    </row>
    <row r="3659" spans="1:7" hidden="1" x14ac:dyDescent="0.25">
      <c r="A3659" s="21">
        <v>3658</v>
      </c>
      <c r="B3659" s="7" t="s">
        <v>8072</v>
      </c>
      <c r="C3659" s="7" t="s">
        <v>8073</v>
      </c>
      <c r="G3659" s="8" t="s">
        <v>15</v>
      </c>
    </row>
    <row r="3660" spans="1:7" hidden="1" x14ac:dyDescent="0.25">
      <c r="A3660" s="21">
        <v>3659</v>
      </c>
      <c r="B3660" s="7" t="s">
        <v>8074</v>
      </c>
      <c r="C3660" s="7" t="s">
        <v>8075</v>
      </c>
      <c r="G3660" s="8" t="s">
        <v>15</v>
      </c>
    </row>
    <row r="3661" spans="1:7" hidden="1" x14ac:dyDescent="0.25">
      <c r="A3661" s="21">
        <v>3660</v>
      </c>
      <c r="B3661" s="7" t="s">
        <v>8076</v>
      </c>
      <c r="C3661" s="7" t="s">
        <v>8077</v>
      </c>
      <c r="G3661" s="8" t="s">
        <v>15</v>
      </c>
    </row>
    <row r="3662" spans="1:7" hidden="1" x14ac:dyDescent="0.25">
      <c r="A3662" s="21">
        <v>3661</v>
      </c>
      <c r="B3662" s="7" t="s">
        <v>8078</v>
      </c>
      <c r="C3662" s="7" t="s">
        <v>8079</v>
      </c>
      <c r="G3662" s="8" t="s">
        <v>15</v>
      </c>
    </row>
    <row r="3663" spans="1:7" hidden="1" x14ac:dyDescent="0.25">
      <c r="A3663" s="21">
        <v>3662</v>
      </c>
      <c r="B3663" s="7" t="s">
        <v>8080</v>
      </c>
      <c r="C3663" s="7" t="s">
        <v>8081</v>
      </c>
      <c r="G3663" s="8" t="s">
        <v>15</v>
      </c>
    </row>
    <row r="3664" spans="1:7" hidden="1" x14ac:dyDescent="0.25">
      <c r="A3664" s="21">
        <v>3663</v>
      </c>
      <c r="B3664" s="7" t="s">
        <v>8082</v>
      </c>
      <c r="C3664" s="7" t="s">
        <v>8083</v>
      </c>
      <c r="F3664" t="s">
        <v>1409</v>
      </c>
      <c r="G3664" s="8" t="s">
        <v>15</v>
      </c>
    </row>
    <row r="3665" spans="1:7" hidden="1" x14ac:dyDescent="0.25">
      <c r="A3665" s="21">
        <v>3664</v>
      </c>
      <c r="B3665" s="7" t="s">
        <v>8084</v>
      </c>
      <c r="C3665" s="7" t="s">
        <v>8085</v>
      </c>
      <c r="F3665" t="s">
        <v>1409</v>
      </c>
      <c r="G3665" s="8" t="s">
        <v>15</v>
      </c>
    </row>
    <row r="3666" spans="1:7" hidden="1" x14ac:dyDescent="0.25">
      <c r="A3666" s="21">
        <v>3665</v>
      </c>
      <c r="B3666" s="7" t="s">
        <v>8086</v>
      </c>
      <c r="C3666" s="7" t="s">
        <v>8087</v>
      </c>
      <c r="G3666" s="8" t="s">
        <v>15</v>
      </c>
    </row>
    <row r="3667" spans="1:7" hidden="1" x14ac:dyDescent="0.25">
      <c r="A3667" s="21">
        <v>3666</v>
      </c>
      <c r="B3667" s="7" t="s">
        <v>8088</v>
      </c>
      <c r="C3667" s="7" t="s">
        <v>8089</v>
      </c>
      <c r="G3667" s="8" t="s">
        <v>15</v>
      </c>
    </row>
    <row r="3668" spans="1:7" hidden="1" x14ac:dyDescent="0.25">
      <c r="A3668" s="21">
        <v>3667</v>
      </c>
      <c r="B3668" s="7" t="s">
        <v>8090</v>
      </c>
      <c r="C3668" s="7" t="s">
        <v>8091</v>
      </c>
      <c r="G3668" s="8" t="s">
        <v>15</v>
      </c>
    </row>
    <row r="3669" spans="1:7" hidden="1" x14ac:dyDescent="0.25">
      <c r="A3669" s="21">
        <v>3668</v>
      </c>
      <c r="B3669" s="7" t="s">
        <v>8092</v>
      </c>
      <c r="C3669" s="7" t="s">
        <v>8093</v>
      </c>
      <c r="G3669" s="8" t="s">
        <v>15</v>
      </c>
    </row>
    <row r="3670" spans="1:7" hidden="1" x14ac:dyDescent="0.25">
      <c r="A3670" s="21">
        <v>3669</v>
      </c>
      <c r="B3670" s="7" t="s">
        <v>8094</v>
      </c>
      <c r="C3670" s="7" t="s">
        <v>8095</v>
      </c>
      <c r="G3670" s="8" t="s">
        <v>15</v>
      </c>
    </row>
    <row r="3671" spans="1:7" hidden="1" x14ac:dyDescent="0.25">
      <c r="A3671" s="21">
        <v>3670</v>
      </c>
      <c r="B3671" s="7" t="s">
        <v>8096</v>
      </c>
      <c r="C3671" s="7" t="s">
        <v>8097</v>
      </c>
      <c r="G3671" s="8" t="s">
        <v>15</v>
      </c>
    </row>
    <row r="3672" spans="1:7" hidden="1" x14ac:dyDescent="0.25">
      <c r="A3672" s="21">
        <v>3671</v>
      </c>
      <c r="B3672" s="7" t="s">
        <v>8098</v>
      </c>
      <c r="C3672" s="7" t="s">
        <v>8099</v>
      </c>
      <c r="G3672" s="8" t="s">
        <v>15</v>
      </c>
    </row>
    <row r="3673" spans="1:7" hidden="1" x14ac:dyDescent="0.25">
      <c r="A3673" s="21">
        <v>3672</v>
      </c>
      <c r="B3673" s="7" t="s">
        <v>8100</v>
      </c>
      <c r="C3673" s="7" t="s">
        <v>8101</v>
      </c>
      <c r="G3673" s="8" t="s">
        <v>15</v>
      </c>
    </row>
    <row r="3674" spans="1:7" hidden="1" x14ac:dyDescent="0.25">
      <c r="A3674" s="21">
        <v>3673</v>
      </c>
      <c r="B3674" s="7" t="s">
        <v>8102</v>
      </c>
      <c r="C3674" s="7" t="s">
        <v>8103</v>
      </c>
      <c r="G3674" s="8" t="s">
        <v>15</v>
      </c>
    </row>
    <row r="3675" spans="1:7" hidden="1" x14ac:dyDescent="0.25">
      <c r="A3675" s="21">
        <v>3674</v>
      </c>
      <c r="B3675" s="7" t="s">
        <v>8104</v>
      </c>
      <c r="C3675" s="7" t="s">
        <v>8105</v>
      </c>
      <c r="G3675" s="8" t="s">
        <v>15</v>
      </c>
    </row>
    <row r="3676" spans="1:7" hidden="1" x14ac:dyDescent="0.25">
      <c r="A3676" s="21">
        <v>3675</v>
      </c>
      <c r="B3676" s="7" t="s">
        <v>8106</v>
      </c>
      <c r="C3676" s="7" t="s">
        <v>8107</v>
      </c>
      <c r="G3676" s="8" t="s">
        <v>15</v>
      </c>
    </row>
    <row r="3677" spans="1:7" hidden="1" x14ac:dyDescent="0.25">
      <c r="A3677" s="21">
        <v>3676</v>
      </c>
      <c r="B3677" s="7" t="s">
        <v>8108</v>
      </c>
      <c r="C3677" s="7" t="s">
        <v>8109</v>
      </c>
      <c r="G3677" s="8" t="s">
        <v>15</v>
      </c>
    </row>
    <row r="3678" spans="1:7" hidden="1" x14ac:dyDescent="0.25">
      <c r="A3678" s="21">
        <v>3677</v>
      </c>
      <c r="B3678" s="7" t="s">
        <v>8110</v>
      </c>
      <c r="C3678" s="7" t="s">
        <v>8111</v>
      </c>
      <c r="G3678" s="8" t="s">
        <v>15</v>
      </c>
    </row>
    <row r="3679" spans="1:7" hidden="1" x14ac:dyDescent="0.25">
      <c r="A3679" s="21">
        <v>3678</v>
      </c>
      <c r="B3679" s="7" t="s">
        <v>8112</v>
      </c>
      <c r="C3679" s="7" t="s">
        <v>8113</v>
      </c>
      <c r="G3679" s="8" t="s">
        <v>15</v>
      </c>
    </row>
    <row r="3680" spans="1:7" hidden="1" x14ac:dyDescent="0.25">
      <c r="A3680" s="21">
        <v>3679</v>
      </c>
      <c r="B3680" s="7" t="s">
        <v>8114</v>
      </c>
      <c r="C3680" s="7" t="s">
        <v>8115</v>
      </c>
      <c r="G3680" s="8" t="s">
        <v>15</v>
      </c>
    </row>
    <row r="3681" spans="1:7" hidden="1" x14ac:dyDescent="0.25">
      <c r="A3681" s="21">
        <v>3680</v>
      </c>
      <c r="B3681" s="7" t="s">
        <v>8116</v>
      </c>
      <c r="C3681" s="7" t="s">
        <v>8117</v>
      </c>
      <c r="G3681" s="8" t="s">
        <v>15</v>
      </c>
    </row>
    <row r="3682" spans="1:7" hidden="1" x14ac:dyDescent="0.25">
      <c r="A3682" s="21">
        <v>3681</v>
      </c>
      <c r="B3682" s="7" t="s">
        <v>8118</v>
      </c>
      <c r="C3682" s="7" t="s">
        <v>8119</v>
      </c>
      <c r="G3682" s="8" t="s">
        <v>15</v>
      </c>
    </row>
    <row r="3683" spans="1:7" hidden="1" x14ac:dyDescent="0.25">
      <c r="A3683" s="21">
        <v>3682</v>
      </c>
      <c r="B3683" s="7" t="s">
        <v>8120</v>
      </c>
      <c r="C3683" s="7" t="s">
        <v>8121</v>
      </c>
      <c r="G3683" s="8" t="s">
        <v>15</v>
      </c>
    </row>
    <row r="3684" spans="1:7" hidden="1" x14ac:dyDescent="0.25">
      <c r="A3684" s="21">
        <v>3683</v>
      </c>
      <c r="B3684" s="7" t="s">
        <v>8122</v>
      </c>
      <c r="C3684" s="7" t="s">
        <v>8123</v>
      </c>
      <c r="G3684" s="8" t="s">
        <v>15</v>
      </c>
    </row>
    <row r="3685" spans="1:7" hidden="1" x14ac:dyDescent="0.25">
      <c r="A3685" s="21">
        <v>3684</v>
      </c>
      <c r="B3685" s="7" t="s">
        <v>8124</v>
      </c>
      <c r="C3685" s="7" t="s">
        <v>8125</v>
      </c>
      <c r="G3685" s="8" t="s">
        <v>15</v>
      </c>
    </row>
    <row r="3686" spans="1:7" hidden="1" x14ac:dyDescent="0.25">
      <c r="A3686" s="21">
        <v>3685</v>
      </c>
      <c r="B3686" s="7" t="s">
        <v>8126</v>
      </c>
      <c r="C3686" s="7" t="s">
        <v>8127</v>
      </c>
      <c r="G3686" s="8" t="s">
        <v>15</v>
      </c>
    </row>
    <row r="3687" spans="1:7" hidden="1" x14ac:dyDescent="0.25">
      <c r="A3687" s="21">
        <v>3686</v>
      </c>
      <c r="B3687" s="7" t="s">
        <v>8128</v>
      </c>
      <c r="C3687" s="7" t="s">
        <v>8129</v>
      </c>
      <c r="G3687" s="8" t="s">
        <v>15</v>
      </c>
    </row>
    <row r="3688" spans="1:7" hidden="1" x14ac:dyDescent="0.25">
      <c r="A3688" s="21">
        <v>3687</v>
      </c>
      <c r="B3688" s="7" t="s">
        <v>8130</v>
      </c>
      <c r="C3688" s="7" t="s">
        <v>8131</v>
      </c>
      <c r="G3688" s="8" t="s">
        <v>15</v>
      </c>
    </row>
    <row r="3689" spans="1:7" hidden="1" x14ac:dyDescent="0.25">
      <c r="A3689" s="21">
        <v>3688</v>
      </c>
      <c r="B3689" s="7" t="s">
        <v>8132</v>
      </c>
      <c r="C3689" s="7" t="s">
        <v>8133</v>
      </c>
      <c r="G3689" s="8" t="s">
        <v>15</v>
      </c>
    </row>
    <row r="3690" spans="1:7" hidden="1" x14ac:dyDescent="0.25">
      <c r="A3690" s="21">
        <v>3689</v>
      </c>
      <c r="B3690" s="7" t="s">
        <v>8134</v>
      </c>
      <c r="C3690" s="7" t="s">
        <v>8135</v>
      </c>
      <c r="G3690" s="8" t="s">
        <v>15</v>
      </c>
    </row>
    <row r="3691" spans="1:7" hidden="1" x14ac:dyDescent="0.25">
      <c r="A3691" s="21">
        <v>3690</v>
      </c>
      <c r="B3691" s="7" t="s">
        <v>8136</v>
      </c>
      <c r="C3691" s="7" t="s">
        <v>8137</v>
      </c>
      <c r="G3691" s="8" t="s">
        <v>15</v>
      </c>
    </row>
    <row r="3692" spans="1:7" hidden="1" x14ac:dyDescent="0.25">
      <c r="A3692" s="21">
        <v>3691</v>
      </c>
      <c r="B3692" s="7" t="s">
        <v>8138</v>
      </c>
      <c r="C3692" s="7" t="s">
        <v>8139</v>
      </c>
      <c r="G3692" s="8" t="s">
        <v>15</v>
      </c>
    </row>
    <row r="3693" spans="1:7" hidden="1" x14ac:dyDescent="0.25">
      <c r="A3693" s="21">
        <v>3692</v>
      </c>
      <c r="B3693" s="7" t="s">
        <v>8140</v>
      </c>
      <c r="C3693" s="7" t="s">
        <v>8141</v>
      </c>
      <c r="G3693" s="8" t="s">
        <v>15</v>
      </c>
    </row>
    <row r="3694" spans="1:7" hidden="1" x14ac:dyDescent="0.25">
      <c r="A3694" s="21">
        <v>3693</v>
      </c>
      <c r="B3694" s="7" t="s">
        <v>8142</v>
      </c>
      <c r="C3694" s="7" t="s">
        <v>8143</v>
      </c>
      <c r="G3694" s="8" t="s">
        <v>15</v>
      </c>
    </row>
    <row r="3695" spans="1:7" hidden="1" x14ac:dyDescent="0.25">
      <c r="A3695" s="21">
        <v>3694</v>
      </c>
      <c r="B3695" s="7" t="s">
        <v>8144</v>
      </c>
      <c r="C3695" s="7" t="s">
        <v>8145</v>
      </c>
      <c r="G3695" s="8" t="s">
        <v>15</v>
      </c>
    </row>
    <row r="3696" spans="1:7" hidden="1" x14ac:dyDescent="0.25">
      <c r="A3696" s="21">
        <v>3695</v>
      </c>
      <c r="B3696" s="7" t="s">
        <v>8146</v>
      </c>
      <c r="C3696" s="7" t="s">
        <v>8147</v>
      </c>
      <c r="G3696" s="8" t="s">
        <v>15</v>
      </c>
    </row>
    <row r="3697" spans="1:7" hidden="1" x14ac:dyDescent="0.25">
      <c r="A3697" s="21">
        <v>3696</v>
      </c>
      <c r="B3697" s="7" t="s">
        <v>8148</v>
      </c>
      <c r="C3697" s="7" t="s">
        <v>8149</v>
      </c>
      <c r="G3697" s="8" t="s">
        <v>15</v>
      </c>
    </row>
    <row r="3698" spans="1:7" hidden="1" x14ac:dyDescent="0.25">
      <c r="A3698" s="21">
        <v>3697</v>
      </c>
      <c r="B3698" s="7" t="s">
        <v>8150</v>
      </c>
      <c r="C3698" s="7" t="s">
        <v>8151</v>
      </c>
      <c r="G3698" s="8" t="s">
        <v>15</v>
      </c>
    </row>
    <row r="3699" spans="1:7" hidden="1" x14ac:dyDescent="0.25">
      <c r="A3699" s="21">
        <v>3698</v>
      </c>
      <c r="B3699" s="7" t="s">
        <v>8152</v>
      </c>
      <c r="C3699" s="7" t="s">
        <v>8153</v>
      </c>
      <c r="G3699" s="8" t="s">
        <v>15</v>
      </c>
    </row>
    <row r="3700" spans="1:7" hidden="1" x14ac:dyDescent="0.25">
      <c r="A3700" s="21">
        <v>3699</v>
      </c>
      <c r="B3700" s="7" t="s">
        <v>8154</v>
      </c>
      <c r="C3700" s="7" t="s">
        <v>8155</v>
      </c>
      <c r="G3700" s="8" t="s">
        <v>15</v>
      </c>
    </row>
    <row r="3701" spans="1:7" hidden="1" x14ac:dyDescent="0.25">
      <c r="A3701" s="21">
        <v>3700</v>
      </c>
      <c r="B3701" s="7" t="s">
        <v>8156</v>
      </c>
      <c r="C3701" s="7" t="s">
        <v>8157</v>
      </c>
      <c r="G3701" s="8" t="s">
        <v>15</v>
      </c>
    </row>
    <row r="3702" spans="1:7" hidden="1" x14ac:dyDescent="0.25">
      <c r="A3702" s="21">
        <v>3701</v>
      </c>
      <c r="B3702" s="7" t="s">
        <v>8158</v>
      </c>
      <c r="C3702" s="7" t="s">
        <v>8159</v>
      </c>
      <c r="G3702" s="8" t="s">
        <v>15</v>
      </c>
    </row>
    <row r="3703" spans="1:7" hidden="1" x14ac:dyDescent="0.25">
      <c r="A3703" s="21">
        <v>3702</v>
      </c>
      <c r="B3703" s="7" t="s">
        <v>8160</v>
      </c>
      <c r="C3703" s="7" t="s">
        <v>8161</v>
      </c>
      <c r="G3703" s="8" t="s">
        <v>15</v>
      </c>
    </row>
    <row r="3704" spans="1:7" hidden="1" x14ac:dyDescent="0.25">
      <c r="A3704" s="21">
        <v>3703</v>
      </c>
      <c r="B3704" s="7" t="s">
        <v>8162</v>
      </c>
      <c r="C3704" s="7" t="s">
        <v>8163</v>
      </c>
      <c r="G3704" s="8" t="s">
        <v>15</v>
      </c>
    </row>
    <row r="3705" spans="1:7" hidden="1" x14ac:dyDescent="0.25">
      <c r="A3705" s="21">
        <v>3704</v>
      </c>
      <c r="B3705" s="7" t="s">
        <v>8164</v>
      </c>
      <c r="C3705" s="7" t="s">
        <v>8165</v>
      </c>
      <c r="G3705" s="8" t="s">
        <v>15</v>
      </c>
    </row>
    <row r="3706" spans="1:7" hidden="1" x14ac:dyDescent="0.25">
      <c r="A3706" s="21">
        <v>3705</v>
      </c>
      <c r="B3706" s="7" t="s">
        <v>8166</v>
      </c>
      <c r="C3706" s="7" t="s">
        <v>8167</v>
      </c>
      <c r="G3706" s="8" t="s">
        <v>15</v>
      </c>
    </row>
    <row r="3707" spans="1:7" hidden="1" x14ac:dyDescent="0.25">
      <c r="A3707" s="21">
        <v>3706</v>
      </c>
      <c r="B3707" s="7" t="s">
        <v>8168</v>
      </c>
      <c r="C3707" s="7" t="s">
        <v>8169</v>
      </c>
      <c r="G3707" s="8" t="s">
        <v>15</v>
      </c>
    </row>
    <row r="3708" spans="1:7" hidden="1" x14ac:dyDescent="0.25">
      <c r="A3708" s="21">
        <v>3707</v>
      </c>
      <c r="B3708" s="7" t="s">
        <v>8170</v>
      </c>
      <c r="C3708" s="7" t="s">
        <v>8171</v>
      </c>
      <c r="G3708" s="8" t="s">
        <v>15</v>
      </c>
    </row>
    <row r="3709" spans="1:7" hidden="1" x14ac:dyDescent="0.25">
      <c r="A3709" s="21">
        <v>3708</v>
      </c>
      <c r="B3709" s="7" t="s">
        <v>8172</v>
      </c>
      <c r="C3709" s="7" t="s">
        <v>8173</v>
      </c>
      <c r="G3709" s="8" t="s">
        <v>15</v>
      </c>
    </row>
    <row r="3710" spans="1:7" hidden="1" x14ac:dyDescent="0.25">
      <c r="A3710" s="21">
        <v>3709</v>
      </c>
      <c r="B3710" s="7" t="s">
        <v>8174</v>
      </c>
      <c r="C3710" s="7" t="s">
        <v>8175</v>
      </c>
      <c r="G3710" s="8" t="s">
        <v>15</v>
      </c>
    </row>
    <row r="3711" spans="1:7" hidden="1" x14ac:dyDescent="0.25">
      <c r="A3711" s="21">
        <v>3710</v>
      </c>
      <c r="B3711" s="7" t="s">
        <v>8176</v>
      </c>
      <c r="C3711" s="7" t="s">
        <v>8177</v>
      </c>
      <c r="G3711" s="8" t="s">
        <v>15</v>
      </c>
    </row>
    <row r="3712" spans="1:7" hidden="1" x14ac:dyDescent="0.25">
      <c r="A3712" s="21">
        <v>3711</v>
      </c>
      <c r="B3712" s="7" t="s">
        <v>8178</v>
      </c>
      <c r="C3712" s="7" t="s">
        <v>8179</v>
      </c>
      <c r="G3712" s="8" t="s">
        <v>15</v>
      </c>
    </row>
    <row r="3713" spans="1:7" hidden="1" x14ac:dyDescent="0.25">
      <c r="A3713" s="21">
        <v>3712</v>
      </c>
      <c r="B3713" s="7" t="s">
        <v>8180</v>
      </c>
      <c r="C3713" s="7" t="s">
        <v>8181</v>
      </c>
      <c r="G3713" s="8" t="s">
        <v>15</v>
      </c>
    </row>
    <row r="3714" spans="1:7" hidden="1" x14ac:dyDescent="0.25">
      <c r="A3714" s="21">
        <v>3713</v>
      </c>
      <c r="B3714" s="7" t="s">
        <v>8182</v>
      </c>
      <c r="C3714" s="7" t="s">
        <v>8183</v>
      </c>
      <c r="G3714" s="8" t="s">
        <v>15</v>
      </c>
    </row>
    <row r="3715" spans="1:7" hidden="1" x14ac:dyDescent="0.25">
      <c r="A3715" s="21">
        <v>3714</v>
      </c>
      <c r="B3715" s="7" t="s">
        <v>8184</v>
      </c>
      <c r="C3715" s="7" t="s">
        <v>8185</v>
      </c>
      <c r="G3715" s="8" t="s">
        <v>15</v>
      </c>
    </row>
    <row r="3716" spans="1:7" hidden="1" x14ac:dyDescent="0.25">
      <c r="A3716" s="21">
        <v>3715</v>
      </c>
      <c r="B3716" s="7" t="s">
        <v>8186</v>
      </c>
      <c r="C3716" s="7" t="s">
        <v>8187</v>
      </c>
      <c r="G3716" s="8" t="s">
        <v>15</v>
      </c>
    </row>
    <row r="3717" spans="1:7" hidden="1" x14ac:dyDescent="0.25">
      <c r="A3717" s="21">
        <v>3716</v>
      </c>
      <c r="B3717" s="7" t="s">
        <v>8188</v>
      </c>
      <c r="C3717" s="7" t="s">
        <v>8189</v>
      </c>
      <c r="G3717" s="8" t="s">
        <v>15</v>
      </c>
    </row>
    <row r="3718" spans="1:7" hidden="1" x14ac:dyDescent="0.25">
      <c r="A3718" s="21">
        <v>3717</v>
      </c>
      <c r="B3718" s="7" t="s">
        <v>8190</v>
      </c>
      <c r="C3718" s="7" t="s">
        <v>8191</v>
      </c>
      <c r="G3718" s="8" t="s">
        <v>15</v>
      </c>
    </row>
    <row r="3719" spans="1:7" hidden="1" x14ac:dyDescent="0.25">
      <c r="A3719" s="21">
        <v>3718</v>
      </c>
      <c r="B3719" s="7" t="s">
        <v>8192</v>
      </c>
      <c r="C3719" s="7" t="s">
        <v>8193</v>
      </c>
      <c r="G3719" s="8" t="s">
        <v>15</v>
      </c>
    </row>
    <row r="3720" spans="1:7" hidden="1" x14ac:dyDescent="0.25">
      <c r="A3720" s="21">
        <v>3719</v>
      </c>
      <c r="B3720" s="7" t="s">
        <v>8194</v>
      </c>
      <c r="C3720" s="7" t="s">
        <v>8195</v>
      </c>
      <c r="G3720" s="8" t="s">
        <v>15</v>
      </c>
    </row>
    <row r="3721" spans="1:7" hidden="1" x14ac:dyDescent="0.25">
      <c r="A3721" s="21">
        <v>3720</v>
      </c>
      <c r="B3721" s="7" t="s">
        <v>8196</v>
      </c>
      <c r="C3721" s="7" t="s">
        <v>8197</v>
      </c>
      <c r="G3721" s="8" t="s">
        <v>15</v>
      </c>
    </row>
    <row r="3722" spans="1:7" hidden="1" x14ac:dyDescent="0.25">
      <c r="A3722" s="21">
        <v>3721</v>
      </c>
      <c r="B3722" s="7" t="s">
        <v>8198</v>
      </c>
      <c r="C3722" s="7" t="s">
        <v>8199</v>
      </c>
      <c r="G3722" s="8" t="s">
        <v>15</v>
      </c>
    </row>
    <row r="3723" spans="1:7" hidden="1" x14ac:dyDescent="0.25">
      <c r="A3723" s="21">
        <v>3722</v>
      </c>
      <c r="B3723" s="7" t="s">
        <v>8200</v>
      </c>
      <c r="C3723" s="7" t="s">
        <v>8201</v>
      </c>
      <c r="G3723" s="8" t="s">
        <v>15</v>
      </c>
    </row>
    <row r="3724" spans="1:7" hidden="1" x14ac:dyDescent="0.25">
      <c r="A3724" s="21">
        <v>3723</v>
      </c>
      <c r="B3724" s="7" t="s">
        <v>8202</v>
      </c>
      <c r="C3724" s="7" t="s">
        <v>8203</v>
      </c>
      <c r="G3724" s="8" t="s">
        <v>15</v>
      </c>
    </row>
    <row r="3725" spans="1:7" hidden="1" x14ac:dyDescent="0.25">
      <c r="A3725" s="21">
        <v>3724</v>
      </c>
      <c r="B3725" s="7" t="s">
        <v>8204</v>
      </c>
      <c r="C3725" s="7" t="s">
        <v>8205</v>
      </c>
      <c r="G3725" s="8" t="s">
        <v>15</v>
      </c>
    </row>
    <row r="3726" spans="1:7" hidden="1" x14ac:dyDescent="0.25">
      <c r="A3726" s="21">
        <v>3725</v>
      </c>
      <c r="B3726" s="7" t="s">
        <v>8206</v>
      </c>
      <c r="C3726" s="7" t="s">
        <v>8207</v>
      </c>
      <c r="G3726" s="8" t="s">
        <v>15</v>
      </c>
    </row>
    <row r="3727" spans="1:7" hidden="1" x14ac:dyDescent="0.25">
      <c r="A3727" s="21">
        <v>3726</v>
      </c>
      <c r="B3727" s="7" t="s">
        <v>8208</v>
      </c>
      <c r="C3727" s="7" t="s">
        <v>8209</v>
      </c>
      <c r="G3727" s="8" t="s">
        <v>15</v>
      </c>
    </row>
    <row r="3728" spans="1:7" hidden="1" x14ac:dyDescent="0.25">
      <c r="A3728" s="21">
        <v>3727</v>
      </c>
      <c r="B3728" s="7" t="s">
        <v>8210</v>
      </c>
      <c r="C3728" s="7" t="s">
        <v>8211</v>
      </c>
      <c r="G3728" s="8" t="s">
        <v>15</v>
      </c>
    </row>
    <row r="3729" spans="1:7" hidden="1" x14ac:dyDescent="0.25">
      <c r="A3729" s="21">
        <v>3728</v>
      </c>
      <c r="B3729" s="7" t="s">
        <v>8212</v>
      </c>
      <c r="C3729" s="7" t="s">
        <v>8213</v>
      </c>
      <c r="G3729" s="8" t="s">
        <v>15</v>
      </c>
    </row>
    <row r="3730" spans="1:7" hidden="1" x14ac:dyDescent="0.25">
      <c r="A3730" s="21">
        <v>3729</v>
      </c>
      <c r="B3730" s="7" t="s">
        <v>8214</v>
      </c>
      <c r="C3730" s="7" t="s">
        <v>8215</v>
      </c>
      <c r="G3730" s="8" t="s">
        <v>15</v>
      </c>
    </row>
    <row r="3731" spans="1:7" hidden="1" x14ac:dyDescent="0.25">
      <c r="A3731" s="21">
        <v>3730</v>
      </c>
      <c r="B3731" s="7" t="s">
        <v>8216</v>
      </c>
      <c r="C3731" s="7" t="s">
        <v>8217</v>
      </c>
      <c r="G3731" s="8" t="s">
        <v>15</v>
      </c>
    </row>
    <row r="3732" spans="1:7" hidden="1" x14ac:dyDescent="0.25">
      <c r="A3732" s="21">
        <v>3731</v>
      </c>
      <c r="B3732" s="7" t="s">
        <v>8218</v>
      </c>
      <c r="C3732" s="7" t="s">
        <v>8219</v>
      </c>
      <c r="G3732" s="8" t="s">
        <v>15</v>
      </c>
    </row>
    <row r="3733" spans="1:7" hidden="1" x14ac:dyDescent="0.25">
      <c r="A3733" s="21">
        <v>3732</v>
      </c>
      <c r="B3733" s="7" t="s">
        <v>8220</v>
      </c>
      <c r="C3733" s="7" t="s">
        <v>8221</v>
      </c>
      <c r="G3733" s="8" t="s">
        <v>15</v>
      </c>
    </row>
    <row r="3734" spans="1:7" hidden="1" x14ac:dyDescent="0.25">
      <c r="A3734" s="21">
        <v>3733</v>
      </c>
      <c r="B3734" s="7" t="s">
        <v>8222</v>
      </c>
      <c r="C3734" s="7" t="s">
        <v>8223</v>
      </c>
      <c r="G3734" s="8" t="s">
        <v>15</v>
      </c>
    </row>
    <row r="3735" spans="1:7" hidden="1" x14ac:dyDescent="0.25">
      <c r="A3735" s="21">
        <v>3734</v>
      </c>
      <c r="B3735" s="7" t="s">
        <v>8224</v>
      </c>
      <c r="C3735" s="7" t="s">
        <v>8225</v>
      </c>
      <c r="G3735" s="8" t="s">
        <v>15</v>
      </c>
    </row>
    <row r="3736" spans="1:7" hidden="1" x14ac:dyDescent="0.25">
      <c r="A3736" s="21">
        <v>3735</v>
      </c>
      <c r="B3736" s="7" t="s">
        <v>8226</v>
      </c>
      <c r="C3736" s="7" t="s">
        <v>8227</v>
      </c>
      <c r="G3736" s="8" t="s">
        <v>15</v>
      </c>
    </row>
    <row r="3737" spans="1:7" hidden="1" x14ac:dyDescent="0.25">
      <c r="A3737" s="21">
        <v>3736</v>
      </c>
      <c r="B3737" s="7" t="s">
        <v>8228</v>
      </c>
      <c r="C3737" s="7" t="s">
        <v>8229</v>
      </c>
      <c r="G3737" s="8" t="s">
        <v>15</v>
      </c>
    </row>
    <row r="3738" spans="1:7" hidden="1" x14ac:dyDescent="0.25">
      <c r="A3738" s="21">
        <v>3737</v>
      </c>
      <c r="B3738" s="7" t="s">
        <v>8230</v>
      </c>
      <c r="C3738" s="7" t="s">
        <v>8231</v>
      </c>
      <c r="G3738" s="8" t="s">
        <v>15</v>
      </c>
    </row>
    <row r="3739" spans="1:7" hidden="1" x14ac:dyDescent="0.25">
      <c r="A3739" s="21">
        <v>3738</v>
      </c>
      <c r="B3739" s="7" t="s">
        <v>8232</v>
      </c>
      <c r="C3739" s="7" t="s">
        <v>8233</v>
      </c>
      <c r="G3739" s="8" t="s">
        <v>15</v>
      </c>
    </row>
    <row r="3740" spans="1:7" hidden="1" x14ac:dyDescent="0.25">
      <c r="A3740" s="21">
        <v>3739</v>
      </c>
      <c r="B3740" s="7" t="s">
        <v>8234</v>
      </c>
      <c r="C3740" s="7" t="s">
        <v>8235</v>
      </c>
      <c r="G3740" s="8" t="s">
        <v>15</v>
      </c>
    </row>
    <row r="3741" spans="1:7" hidden="1" x14ac:dyDescent="0.25">
      <c r="A3741" s="21">
        <v>3740</v>
      </c>
      <c r="B3741" s="7" t="s">
        <v>8236</v>
      </c>
      <c r="C3741" s="7" t="s">
        <v>8237</v>
      </c>
      <c r="G3741" s="8" t="s">
        <v>15</v>
      </c>
    </row>
    <row r="3742" spans="1:7" hidden="1" x14ac:dyDescent="0.25">
      <c r="A3742" s="21">
        <v>3741</v>
      </c>
      <c r="B3742" s="7" t="s">
        <v>8238</v>
      </c>
      <c r="C3742" s="7" t="s">
        <v>8239</v>
      </c>
      <c r="G3742" s="8" t="s">
        <v>15</v>
      </c>
    </row>
    <row r="3743" spans="1:7" hidden="1" x14ac:dyDescent="0.25">
      <c r="A3743" s="21">
        <v>3742</v>
      </c>
      <c r="B3743" s="7" t="s">
        <v>8240</v>
      </c>
      <c r="C3743" s="7" t="s">
        <v>8241</v>
      </c>
      <c r="G3743" s="8" t="s">
        <v>15</v>
      </c>
    </row>
    <row r="3744" spans="1:7" hidden="1" x14ac:dyDescent="0.25">
      <c r="A3744" s="21">
        <v>3743</v>
      </c>
      <c r="B3744" s="7" t="s">
        <v>8242</v>
      </c>
      <c r="C3744" s="7" t="s">
        <v>8243</v>
      </c>
      <c r="G3744" s="8" t="s">
        <v>15</v>
      </c>
    </row>
    <row r="3745" spans="1:7" hidden="1" x14ac:dyDescent="0.25">
      <c r="A3745" s="21">
        <v>3744</v>
      </c>
      <c r="B3745" s="7" t="s">
        <v>8244</v>
      </c>
      <c r="C3745" s="7" t="s">
        <v>8245</v>
      </c>
      <c r="G3745" s="8" t="s">
        <v>15</v>
      </c>
    </row>
    <row r="3746" spans="1:7" hidden="1" x14ac:dyDescent="0.25">
      <c r="A3746" s="21">
        <v>3745</v>
      </c>
      <c r="B3746" s="7" t="s">
        <v>8246</v>
      </c>
      <c r="C3746" s="7" t="s">
        <v>8247</v>
      </c>
      <c r="G3746" s="8" t="s">
        <v>15</v>
      </c>
    </row>
    <row r="3747" spans="1:7" hidden="1" x14ac:dyDescent="0.25">
      <c r="A3747" s="21">
        <v>3746</v>
      </c>
      <c r="B3747" s="7" t="s">
        <v>8248</v>
      </c>
      <c r="C3747" s="7" t="s">
        <v>8249</v>
      </c>
      <c r="G3747" s="8" t="s">
        <v>15</v>
      </c>
    </row>
    <row r="3748" spans="1:7" hidden="1" x14ac:dyDescent="0.25">
      <c r="A3748" s="21">
        <v>3747</v>
      </c>
      <c r="B3748" s="7" t="s">
        <v>8250</v>
      </c>
      <c r="C3748" s="7" t="s">
        <v>8251</v>
      </c>
      <c r="G3748" s="8" t="s">
        <v>15</v>
      </c>
    </row>
    <row r="3749" spans="1:7" hidden="1" x14ac:dyDescent="0.25">
      <c r="A3749" s="21">
        <v>3748</v>
      </c>
      <c r="B3749" s="7" t="s">
        <v>8252</v>
      </c>
      <c r="C3749" s="7" t="s">
        <v>8253</v>
      </c>
      <c r="G3749" s="8" t="s">
        <v>15</v>
      </c>
    </row>
    <row r="3750" spans="1:7" hidden="1" x14ac:dyDescent="0.25">
      <c r="A3750" s="21">
        <v>3749</v>
      </c>
      <c r="B3750" s="7" t="s">
        <v>8254</v>
      </c>
      <c r="C3750" s="7" t="s">
        <v>8255</v>
      </c>
      <c r="G3750" s="8" t="s">
        <v>15</v>
      </c>
    </row>
    <row r="3751" spans="1:7" hidden="1" x14ac:dyDescent="0.25">
      <c r="A3751" s="21">
        <v>3750</v>
      </c>
      <c r="B3751" s="7" t="s">
        <v>8256</v>
      </c>
      <c r="C3751" s="7" t="s">
        <v>8257</v>
      </c>
      <c r="G3751" s="8" t="s">
        <v>15</v>
      </c>
    </row>
    <row r="3752" spans="1:7" hidden="1" x14ac:dyDescent="0.25">
      <c r="A3752" s="21">
        <v>3751</v>
      </c>
      <c r="B3752" s="7" t="s">
        <v>8258</v>
      </c>
      <c r="C3752" s="7" t="s">
        <v>8259</v>
      </c>
      <c r="G3752" s="8" t="s">
        <v>15</v>
      </c>
    </row>
    <row r="3753" spans="1:7" hidden="1" x14ac:dyDescent="0.25">
      <c r="A3753" s="21">
        <v>3752</v>
      </c>
      <c r="B3753" s="7" t="s">
        <v>8260</v>
      </c>
      <c r="C3753" s="7" t="s">
        <v>8261</v>
      </c>
      <c r="G3753" s="8" t="s">
        <v>15</v>
      </c>
    </row>
    <row r="3754" spans="1:7" hidden="1" x14ac:dyDescent="0.25">
      <c r="A3754" s="21">
        <v>3753</v>
      </c>
      <c r="B3754" s="7" t="s">
        <v>8262</v>
      </c>
      <c r="C3754" s="7" t="s">
        <v>8263</v>
      </c>
      <c r="G3754" s="8" t="s">
        <v>15</v>
      </c>
    </row>
    <row r="3755" spans="1:7" hidden="1" x14ac:dyDescent="0.25">
      <c r="A3755" s="21">
        <v>3754</v>
      </c>
      <c r="B3755" s="7" t="s">
        <v>8264</v>
      </c>
      <c r="C3755" s="7" t="s">
        <v>8265</v>
      </c>
      <c r="G3755" s="8" t="s">
        <v>15</v>
      </c>
    </row>
    <row r="3756" spans="1:7" hidden="1" x14ac:dyDescent="0.25">
      <c r="A3756" s="21">
        <v>3755</v>
      </c>
      <c r="B3756" s="7" t="s">
        <v>8266</v>
      </c>
      <c r="C3756" s="7" t="s">
        <v>8267</v>
      </c>
      <c r="G3756" s="8" t="s">
        <v>15</v>
      </c>
    </row>
    <row r="3757" spans="1:7" hidden="1" x14ac:dyDescent="0.25">
      <c r="A3757" s="21">
        <v>3756</v>
      </c>
      <c r="B3757" s="7" t="s">
        <v>8268</v>
      </c>
      <c r="C3757" s="7" t="s">
        <v>8269</v>
      </c>
      <c r="G3757" s="8" t="s">
        <v>15</v>
      </c>
    </row>
    <row r="3758" spans="1:7" hidden="1" x14ac:dyDescent="0.25">
      <c r="A3758" s="21">
        <v>3757</v>
      </c>
      <c r="B3758" s="7" t="s">
        <v>8270</v>
      </c>
      <c r="C3758" s="7" t="s">
        <v>8271</v>
      </c>
      <c r="G3758" s="8" t="s">
        <v>15</v>
      </c>
    </row>
    <row r="3759" spans="1:7" hidden="1" x14ac:dyDescent="0.25">
      <c r="A3759" s="21">
        <v>3758</v>
      </c>
      <c r="B3759" s="7" t="s">
        <v>8272</v>
      </c>
      <c r="C3759" s="7" t="s">
        <v>8273</v>
      </c>
      <c r="G3759" s="8" t="s">
        <v>15</v>
      </c>
    </row>
    <row r="3760" spans="1:7" hidden="1" x14ac:dyDescent="0.25">
      <c r="A3760" s="21">
        <v>3759</v>
      </c>
      <c r="B3760" s="7" t="s">
        <v>8274</v>
      </c>
      <c r="C3760" s="7" t="s">
        <v>8275</v>
      </c>
      <c r="G3760" s="8" t="s">
        <v>15</v>
      </c>
    </row>
    <row r="3761" spans="1:7" hidden="1" x14ac:dyDescent="0.25">
      <c r="A3761" s="21">
        <v>3760</v>
      </c>
      <c r="B3761" s="7" t="s">
        <v>8276</v>
      </c>
      <c r="C3761" s="7" t="s">
        <v>8277</v>
      </c>
      <c r="G3761" s="8" t="s">
        <v>15</v>
      </c>
    </row>
    <row r="3762" spans="1:7" hidden="1" x14ac:dyDescent="0.25">
      <c r="A3762" s="21">
        <v>3761</v>
      </c>
      <c r="B3762" s="7" t="s">
        <v>8278</v>
      </c>
      <c r="C3762" s="7" t="s">
        <v>8279</v>
      </c>
      <c r="G3762" s="8" t="s">
        <v>15</v>
      </c>
    </row>
    <row r="3763" spans="1:7" hidden="1" x14ac:dyDescent="0.25">
      <c r="A3763" s="21">
        <v>3762</v>
      </c>
      <c r="B3763" s="7" t="s">
        <v>8280</v>
      </c>
      <c r="C3763" s="7" t="s">
        <v>8281</v>
      </c>
      <c r="G3763" s="8" t="s">
        <v>15</v>
      </c>
    </row>
    <row r="3764" spans="1:7" hidden="1" x14ac:dyDescent="0.25">
      <c r="A3764" s="21">
        <v>3763</v>
      </c>
      <c r="B3764" s="7" t="s">
        <v>8282</v>
      </c>
      <c r="C3764" s="7" t="s">
        <v>8283</v>
      </c>
      <c r="G3764" s="8" t="s">
        <v>15</v>
      </c>
    </row>
    <row r="3765" spans="1:7" hidden="1" x14ac:dyDescent="0.25">
      <c r="A3765" s="21">
        <v>3764</v>
      </c>
      <c r="B3765" s="7" t="s">
        <v>8284</v>
      </c>
      <c r="C3765" s="7" t="s">
        <v>8285</v>
      </c>
      <c r="G3765" s="8" t="s">
        <v>15</v>
      </c>
    </row>
    <row r="3766" spans="1:7" hidden="1" x14ac:dyDescent="0.25">
      <c r="A3766" s="21">
        <v>3765</v>
      </c>
      <c r="B3766" s="7" t="s">
        <v>8286</v>
      </c>
      <c r="C3766" s="7" t="s">
        <v>8287</v>
      </c>
      <c r="G3766" s="8" t="s">
        <v>15</v>
      </c>
    </row>
    <row r="3767" spans="1:7" hidden="1" x14ac:dyDescent="0.25">
      <c r="A3767" s="21">
        <v>3766</v>
      </c>
      <c r="B3767" s="7" t="s">
        <v>8288</v>
      </c>
      <c r="C3767" s="7" t="s">
        <v>8289</v>
      </c>
      <c r="G3767" s="8" t="s">
        <v>15</v>
      </c>
    </row>
    <row r="3768" spans="1:7" hidden="1" x14ac:dyDescent="0.25">
      <c r="A3768" s="21">
        <v>3767</v>
      </c>
      <c r="B3768" s="7" t="s">
        <v>8290</v>
      </c>
      <c r="C3768" s="7" t="s">
        <v>8291</v>
      </c>
      <c r="G3768" s="8" t="s">
        <v>15</v>
      </c>
    </row>
    <row r="3769" spans="1:7" hidden="1" x14ac:dyDescent="0.25">
      <c r="A3769" s="21">
        <v>3768</v>
      </c>
      <c r="B3769" s="7" t="s">
        <v>8292</v>
      </c>
      <c r="C3769" s="7" t="s">
        <v>8293</v>
      </c>
      <c r="G3769" s="8" t="s">
        <v>15</v>
      </c>
    </row>
    <row r="3770" spans="1:7" hidden="1" x14ac:dyDescent="0.25">
      <c r="A3770" s="21">
        <v>3769</v>
      </c>
      <c r="B3770" s="7" t="s">
        <v>8294</v>
      </c>
      <c r="C3770" s="7" t="s">
        <v>8295</v>
      </c>
      <c r="G3770" s="8" t="s">
        <v>15</v>
      </c>
    </row>
    <row r="3771" spans="1:7" hidden="1" x14ac:dyDescent="0.25">
      <c r="A3771" s="21">
        <v>3770</v>
      </c>
      <c r="B3771" s="7" t="s">
        <v>8296</v>
      </c>
      <c r="C3771" s="7" t="s">
        <v>8297</v>
      </c>
      <c r="G3771" s="8" t="s">
        <v>15</v>
      </c>
    </row>
    <row r="3772" spans="1:7" hidden="1" x14ac:dyDescent="0.25">
      <c r="A3772" s="21">
        <v>3771</v>
      </c>
      <c r="B3772" s="7" t="s">
        <v>8298</v>
      </c>
      <c r="C3772" s="7" t="s">
        <v>8299</v>
      </c>
      <c r="G3772" s="8" t="s">
        <v>15</v>
      </c>
    </row>
    <row r="3773" spans="1:7" hidden="1" x14ac:dyDescent="0.25">
      <c r="A3773" s="21">
        <v>3772</v>
      </c>
      <c r="B3773" s="7" t="s">
        <v>8300</v>
      </c>
      <c r="C3773" s="7" t="s">
        <v>8301</v>
      </c>
      <c r="G3773" s="8" t="s">
        <v>15</v>
      </c>
    </row>
    <row r="3774" spans="1:7" hidden="1" x14ac:dyDescent="0.25">
      <c r="A3774" s="21">
        <v>3773</v>
      </c>
      <c r="B3774" s="7" t="s">
        <v>8302</v>
      </c>
      <c r="C3774" s="7" t="s">
        <v>8303</v>
      </c>
      <c r="G3774" s="8" t="s">
        <v>15</v>
      </c>
    </row>
    <row r="3775" spans="1:7" hidden="1" x14ac:dyDescent="0.25">
      <c r="A3775" s="21">
        <v>3774</v>
      </c>
      <c r="B3775" s="7" t="s">
        <v>8304</v>
      </c>
      <c r="C3775" s="7" t="s">
        <v>8305</v>
      </c>
      <c r="G3775" s="8" t="s">
        <v>15</v>
      </c>
    </row>
    <row r="3776" spans="1:7" hidden="1" x14ac:dyDescent="0.25">
      <c r="A3776" s="21">
        <v>3775</v>
      </c>
      <c r="B3776" s="7" t="s">
        <v>8306</v>
      </c>
      <c r="C3776" s="7" t="s">
        <v>8307</v>
      </c>
      <c r="G3776" s="8" t="s">
        <v>15</v>
      </c>
    </row>
    <row r="3777" spans="1:7" hidden="1" x14ac:dyDescent="0.25">
      <c r="A3777" s="21">
        <v>3776</v>
      </c>
      <c r="B3777" s="7" t="s">
        <v>8308</v>
      </c>
      <c r="C3777" s="7" t="s">
        <v>8309</v>
      </c>
      <c r="G3777" s="8" t="s">
        <v>15</v>
      </c>
    </row>
    <row r="3778" spans="1:7" hidden="1" x14ac:dyDescent="0.25">
      <c r="A3778" s="21">
        <v>3777</v>
      </c>
      <c r="B3778" s="7" t="s">
        <v>8310</v>
      </c>
      <c r="C3778" s="7" t="s">
        <v>8311</v>
      </c>
      <c r="G3778" s="8" t="s">
        <v>15</v>
      </c>
    </row>
    <row r="3779" spans="1:7" hidden="1" x14ac:dyDescent="0.25">
      <c r="A3779" s="21">
        <v>3778</v>
      </c>
      <c r="B3779" s="7" t="s">
        <v>8312</v>
      </c>
      <c r="C3779" s="7" t="s">
        <v>8313</v>
      </c>
      <c r="G3779" s="8" t="s">
        <v>15</v>
      </c>
    </row>
    <row r="3780" spans="1:7" hidden="1" x14ac:dyDescent="0.25">
      <c r="A3780" s="21">
        <v>3779</v>
      </c>
      <c r="B3780" s="7" t="s">
        <v>8314</v>
      </c>
      <c r="C3780" s="7" t="s">
        <v>8315</v>
      </c>
      <c r="G3780" s="8" t="s">
        <v>15</v>
      </c>
    </row>
    <row r="3781" spans="1:7" hidden="1" x14ac:dyDescent="0.25">
      <c r="A3781" s="21">
        <v>3780</v>
      </c>
      <c r="B3781" s="7" t="s">
        <v>8316</v>
      </c>
      <c r="C3781" s="7" t="s">
        <v>8317</v>
      </c>
      <c r="G3781" s="8" t="s">
        <v>15</v>
      </c>
    </row>
    <row r="3782" spans="1:7" hidden="1" x14ac:dyDescent="0.25">
      <c r="A3782" s="21">
        <v>3781</v>
      </c>
      <c r="B3782" s="7" t="s">
        <v>8318</v>
      </c>
      <c r="C3782" s="7" t="s">
        <v>8319</v>
      </c>
      <c r="G3782" s="8" t="s">
        <v>15</v>
      </c>
    </row>
    <row r="3783" spans="1:7" hidden="1" x14ac:dyDescent="0.25">
      <c r="A3783" s="21">
        <v>3782</v>
      </c>
      <c r="B3783" s="7" t="s">
        <v>8320</v>
      </c>
      <c r="C3783" s="7" t="s">
        <v>8321</v>
      </c>
      <c r="G3783" s="8" t="s">
        <v>15</v>
      </c>
    </row>
    <row r="3784" spans="1:7" hidden="1" x14ac:dyDescent="0.25">
      <c r="A3784" s="21">
        <v>3783</v>
      </c>
      <c r="B3784" s="7" t="s">
        <v>8322</v>
      </c>
      <c r="C3784" s="7" t="s">
        <v>8323</v>
      </c>
      <c r="G3784" s="8" t="s">
        <v>15</v>
      </c>
    </row>
    <row r="3785" spans="1:7" hidden="1" x14ac:dyDescent="0.25">
      <c r="A3785" s="21">
        <v>3784</v>
      </c>
      <c r="B3785" s="7" t="s">
        <v>8324</v>
      </c>
      <c r="C3785" s="7" t="s">
        <v>8325</v>
      </c>
      <c r="G3785" s="8" t="s">
        <v>15</v>
      </c>
    </row>
    <row r="3786" spans="1:7" hidden="1" x14ac:dyDescent="0.25">
      <c r="A3786" s="21">
        <v>3785</v>
      </c>
      <c r="B3786" s="7" t="s">
        <v>8326</v>
      </c>
      <c r="C3786" s="7" t="s">
        <v>8327</v>
      </c>
      <c r="G3786" s="8" t="s">
        <v>15</v>
      </c>
    </row>
    <row r="3787" spans="1:7" hidden="1" x14ac:dyDescent="0.25">
      <c r="A3787" s="21">
        <v>3786</v>
      </c>
      <c r="B3787" s="7" t="s">
        <v>8328</v>
      </c>
      <c r="C3787" s="7" t="s">
        <v>8329</v>
      </c>
      <c r="G3787" s="8" t="s">
        <v>15</v>
      </c>
    </row>
    <row r="3788" spans="1:7" hidden="1" x14ac:dyDescent="0.25">
      <c r="A3788" s="21">
        <v>3787</v>
      </c>
      <c r="B3788" s="7" t="s">
        <v>8330</v>
      </c>
      <c r="C3788" s="7" t="s">
        <v>8331</v>
      </c>
      <c r="G3788" s="8" t="s">
        <v>15</v>
      </c>
    </row>
    <row r="3789" spans="1:7" hidden="1" x14ac:dyDescent="0.25">
      <c r="A3789" s="21">
        <v>3788</v>
      </c>
      <c r="B3789" s="7" t="s">
        <v>8332</v>
      </c>
      <c r="C3789" s="7" t="s">
        <v>8333</v>
      </c>
      <c r="G3789" s="8" t="s">
        <v>15</v>
      </c>
    </row>
    <row r="3790" spans="1:7" hidden="1" x14ac:dyDescent="0.25">
      <c r="A3790" s="21">
        <v>3789</v>
      </c>
      <c r="B3790" s="7" t="s">
        <v>8334</v>
      </c>
      <c r="C3790" s="7" t="s">
        <v>8335</v>
      </c>
      <c r="G3790" s="8" t="s">
        <v>15</v>
      </c>
    </row>
    <row r="3791" spans="1:7" hidden="1" x14ac:dyDescent="0.25">
      <c r="A3791" s="21">
        <v>3790</v>
      </c>
      <c r="B3791" s="7" t="s">
        <v>8336</v>
      </c>
      <c r="C3791" s="7" t="s">
        <v>8337</v>
      </c>
      <c r="G3791" s="8" t="s">
        <v>15</v>
      </c>
    </row>
    <row r="3792" spans="1:7" hidden="1" x14ac:dyDescent="0.25">
      <c r="A3792" s="21">
        <v>3791</v>
      </c>
      <c r="B3792" s="7" t="s">
        <v>8338</v>
      </c>
      <c r="C3792" s="7" t="s">
        <v>8339</v>
      </c>
      <c r="G3792" s="8" t="s">
        <v>15</v>
      </c>
    </row>
    <row r="3793" spans="1:7" hidden="1" x14ac:dyDescent="0.25">
      <c r="A3793" s="21">
        <v>3792</v>
      </c>
      <c r="B3793" s="7" t="s">
        <v>8340</v>
      </c>
      <c r="C3793" s="7" t="s">
        <v>8341</v>
      </c>
      <c r="G3793" s="8" t="s">
        <v>15</v>
      </c>
    </row>
    <row r="3794" spans="1:7" hidden="1" x14ac:dyDescent="0.25">
      <c r="A3794" s="21">
        <v>3793</v>
      </c>
      <c r="B3794" s="7" t="s">
        <v>8342</v>
      </c>
      <c r="C3794" s="7" t="s">
        <v>8343</v>
      </c>
      <c r="G3794" s="8" t="s">
        <v>15</v>
      </c>
    </row>
    <row r="3795" spans="1:7" hidden="1" x14ac:dyDescent="0.25">
      <c r="A3795" s="21">
        <v>3794</v>
      </c>
      <c r="B3795" s="7" t="s">
        <v>8344</v>
      </c>
      <c r="C3795" s="7" t="s">
        <v>8345</v>
      </c>
      <c r="G3795" s="8" t="s">
        <v>15</v>
      </c>
    </row>
    <row r="3796" spans="1:7" hidden="1" x14ac:dyDescent="0.25">
      <c r="A3796" s="21">
        <v>3795</v>
      </c>
      <c r="B3796" s="7" t="s">
        <v>8346</v>
      </c>
      <c r="C3796" s="7" t="s">
        <v>8347</v>
      </c>
      <c r="G3796" s="8" t="s">
        <v>15</v>
      </c>
    </row>
    <row r="3797" spans="1:7" hidden="1" x14ac:dyDescent="0.25">
      <c r="A3797" s="21">
        <v>3796</v>
      </c>
      <c r="B3797" s="7" t="s">
        <v>8348</v>
      </c>
      <c r="C3797" s="7" t="s">
        <v>8349</v>
      </c>
      <c r="G3797" s="8" t="s">
        <v>15</v>
      </c>
    </row>
    <row r="3798" spans="1:7" hidden="1" x14ac:dyDescent="0.25">
      <c r="A3798" s="21">
        <v>3797</v>
      </c>
      <c r="B3798" s="7" t="s">
        <v>8350</v>
      </c>
      <c r="C3798" s="7" t="s">
        <v>8351</v>
      </c>
      <c r="G3798" s="8" t="s">
        <v>15</v>
      </c>
    </row>
    <row r="3799" spans="1:7" hidden="1" x14ac:dyDescent="0.25">
      <c r="A3799" s="21">
        <v>3798</v>
      </c>
      <c r="B3799" s="7" t="s">
        <v>8352</v>
      </c>
      <c r="C3799" s="7" t="s">
        <v>8353</v>
      </c>
      <c r="G3799" s="8" t="s">
        <v>15</v>
      </c>
    </row>
    <row r="3800" spans="1:7" hidden="1" x14ac:dyDescent="0.25">
      <c r="A3800" s="21">
        <v>3799</v>
      </c>
      <c r="B3800" s="7" t="s">
        <v>8354</v>
      </c>
      <c r="C3800" s="7" t="s">
        <v>8355</v>
      </c>
      <c r="G3800" s="8" t="s">
        <v>15</v>
      </c>
    </row>
    <row r="3801" spans="1:7" hidden="1" x14ac:dyDescent="0.25">
      <c r="A3801" s="21">
        <v>3800</v>
      </c>
      <c r="B3801" s="7" t="s">
        <v>8356</v>
      </c>
      <c r="C3801" s="7" t="s">
        <v>8357</v>
      </c>
      <c r="G3801" s="8" t="s">
        <v>15</v>
      </c>
    </row>
    <row r="3802" spans="1:7" hidden="1" x14ac:dyDescent="0.25">
      <c r="A3802" s="21">
        <v>3801</v>
      </c>
      <c r="B3802" s="7" t="s">
        <v>8358</v>
      </c>
      <c r="C3802" s="7" t="s">
        <v>8359</v>
      </c>
      <c r="G3802" s="8" t="s">
        <v>15</v>
      </c>
    </row>
    <row r="3803" spans="1:7" hidden="1" x14ac:dyDescent="0.25">
      <c r="A3803" s="21">
        <v>3802</v>
      </c>
      <c r="B3803" s="7" t="s">
        <v>8360</v>
      </c>
      <c r="C3803" s="7" t="s">
        <v>8361</v>
      </c>
      <c r="G3803" s="8" t="s">
        <v>15</v>
      </c>
    </row>
    <row r="3804" spans="1:7" hidden="1" x14ac:dyDescent="0.25">
      <c r="A3804" s="21">
        <v>3803</v>
      </c>
      <c r="B3804" s="7" t="s">
        <v>8362</v>
      </c>
      <c r="C3804" s="7" t="s">
        <v>8363</v>
      </c>
      <c r="G3804" s="8" t="s">
        <v>15</v>
      </c>
    </row>
    <row r="3805" spans="1:7" hidden="1" x14ac:dyDescent="0.25">
      <c r="A3805" s="21">
        <v>3804</v>
      </c>
      <c r="B3805" s="7" t="s">
        <v>8364</v>
      </c>
      <c r="C3805" s="7" t="s">
        <v>8365</v>
      </c>
      <c r="G3805" s="8" t="s">
        <v>15</v>
      </c>
    </row>
    <row r="3806" spans="1:7" hidden="1" x14ac:dyDescent="0.25">
      <c r="A3806" s="21">
        <v>3805</v>
      </c>
      <c r="B3806" s="7" t="s">
        <v>8366</v>
      </c>
      <c r="C3806" s="7" t="s">
        <v>8367</v>
      </c>
      <c r="G3806" s="8" t="s">
        <v>15</v>
      </c>
    </row>
    <row r="3807" spans="1:7" hidden="1" x14ac:dyDescent="0.25">
      <c r="A3807" s="21">
        <v>3806</v>
      </c>
      <c r="B3807" s="7" t="s">
        <v>8368</v>
      </c>
      <c r="C3807" s="7" t="s">
        <v>8369</v>
      </c>
      <c r="G3807" s="8" t="s">
        <v>15</v>
      </c>
    </row>
    <row r="3808" spans="1:7" hidden="1" x14ac:dyDescent="0.25">
      <c r="A3808" s="21">
        <v>3807</v>
      </c>
      <c r="B3808" s="7" t="s">
        <v>8370</v>
      </c>
      <c r="C3808" s="7" t="s">
        <v>8371</v>
      </c>
      <c r="G3808" s="8" t="s">
        <v>15</v>
      </c>
    </row>
    <row r="3809" spans="1:7" hidden="1" x14ac:dyDescent="0.25">
      <c r="A3809" s="21">
        <v>3808</v>
      </c>
      <c r="B3809" s="7" t="s">
        <v>8372</v>
      </c>
      <c r="C3809" s="7" t="s">
        <v>8373</v>
      </c>
      <c r="G3809" s="8" t="s">
        <v>15</v>
      </c>
    </row>
    <row r="3810" spans="1:7" hidden="1" x14ac:dyDescent="0.25">
      <c r="A3810" s="21">
        <v>3809</v>
      </c>
      <c r="B3810" s="7" t="s">
        <v>8374</v>
      </c>
      <c r="C3810" s="7" t="s">
        <v>8375</v>
      </c>
      <c r="G3810" s="8" t="s">
        <v>15</v>
      </c>
    </row>
    <row r="3811" spans="1:7" hidden="1" x14ac:dyDescent="0.25">
      <c r="A3811" s="21">
        <v>3810</v>
      </c>
      <c r="B3811" s="7" t="s">
        <v>8376</v>
      </c>
      <c r="C3811" s="7" t="s">
        <v>8377</v>
      </c>
      <c r="G3811" s="8" t="s">
        <v>15</v>
      </c>
    </row>
    <row r="3812" spans="1:7" hidden="1" x14ac:dyDescent="0.25">
      <c r="A3812" s="21">
        <v>3811</v>
      </c>
      <c r="B3812" s="7" t="s">
        <v>8378</v>
      </c>
      <c r="C3812" s="7" t="s">
        <v>8379</v>
      </c>
      <c r="G3812" s="8" t="s">
        <v>15</v>
      </c>
    </row>
    <row r="3813" spans="1:7" hidden="1" x14ac:dyDescent="0.25">
      <c r="A3813" s="21">
        <v>3812</v>
      </c>
      <c r="B3813" s="7" t="s">
        <v>8380</v>
      </c>
      <c r="C3813" s="7" t="s">
        <v>8381</v>
      </c>
      <c r="G3813" s="8" t="s">
        <v>15</v>
      </c>
    </row>
    <row r="3814" spans="1:7" hidden="1" x14ac:dyDescent="0.25">
      <c r="A3814" s="21">
        <v>3813</v>
      </c>
      <c r="B3814" s="7" t="s">
        <v>8382</v>
      </c>
      <c r="C3814" s="7" t="s">
        <v>8383</v>
      </c>
      <c r="G3814" s="8" t="s">
        <v>15</v>
      </c>
    </row>
    <row r="3815" spans="1:7" hidden="1" x14ac:dyDescent="0.25">
      <c r="A3815" s="21">
        <v>3814</v>
      </c>
      <c r="B3815" s="7" t="s">
        <v>8384</v>
      </c>
      <c r="C3815" s="7" t="s">
        <v>8385</v>
      </c>
      <c r="G3815" s="8" t="s">
        <v>15</v>
      </c>
    </row>
    <row r="3816" spans="1:7" hidden="1" x14ac:dyDescent="0.25">
      <c r="A3816" s="21">
        <v>3815</v>
      </c>
      <c r="B3816" s="7" t="s">
        <v>8386</v>
      </c>
      <c r="C3816" s="7" t="s">
        <v>8387</v>
      </c>
      <c r="G3816" s="8" t="s">
        <v>15</v>
      </c>
    </row>
    <row r="3817" spans="1:7" hidden="1" x14ac:dyDescent="0.25">
      <c r="A3817" s="21">
        <v>3816</v>
      </c>
      <c r="B3817" s="7" t="s">
        <v>8388</v>
      </c>
      <c r="C3817" s="7" t="s">
        <v>8389</v>
      </c>
      <c r="G3817" s="8" t="s">
        <v>15</v>
      </c>
    </row>
    <row r="3818" spans="1:7" hidden="1" x14ac:dyDescent="0.25">
      <c r="A3818" s="21">
        <v>3817</v>
      </c>
      <c r="B3818" s="7" t="s">
        <v>8390</v>
      </c>
      <c r="C3818" s="7" t="s">
        <v>8391</v>
      </c>
      <c r="G3818" s="8" t="s">
        <v>15</v>
      </c>
    </row>
    <row r="3819" spans="1:7" hidden="1" x14ac:dyDescent="0.25">
      <c r="A3819" s="21">
        <v>3818</v>
      </c>
      <c r="B3819" s="7" t="s">
        <v>8392</v>
      </c>
      <c r="C3819" s="7" t="s">
        <v>8393</v>
      </c>
      <c r="G3819" s="8" t="s">
        <v>15</v>
      </c>
    </row>
    <row r="3820" spans="1:7" hidden="1" x14ac:dyDescent="0.25">
      <c r="A3820" s="21">
        <v>3819</v>
      </c>
      <c r="B3820" s="7" t="s">
        <v>8394</v>
      </c>
      <c r="C3820" s="7" t="s">
        <v>8395</v>
      </c>
      <c r="G3820" s="8" t="s">
        <v>15</v>
      </c>
    </row>
    <row r="3821" spans="1:7" hidden="1" x14ac:dyDescent="0.25">
      <c r="A3821" s="21">
        <v>3820</v>
      </c>
      <c r="B3821" s="7" t="s">
        <v>8396</v>
      </c>
      <c r="C3821" s="7" t="s">
        <v>8397</v>
      </c>
      <c r="G3821" s="8" t="s">
        <v>15</v>
      </c>
    </row>
    <row r="3822" spans="1:7" hidden="1" x14ac:dyDescent="0.25">
      <c r="A3822" s="21">
        <v>3821</v>
      </c>
      <c r="B3822" s="7" t="s">
        <v>8398</v>
      </c>
      <c r="C3822" s="7" t="s">
        <v>8399</v>
      </c>
      <c r="G3822" s="8" t="s">
        <v>15</v>
      </c>
    </row>
    <row r="3823" spans="1:7" hidden="1" x14ac:dyDescent="0.25">
      <c r="A3823" s="21">
        <v>3822</v>
      </c>
      <c r="B3823" s="7" t="s">
        <v>8400</v>
      </c>
      <c r="C3823" s="7" t="s">
        <v>8401</v>
      </c>
      <c r="G3823" s="8" t="s">
        <v>15</v>
      </c>
    </row>
    <row r="3824" spans="1:7" hidden="1" x14ac:dyDescent="0.25">
      <c r="A3824" s="21">
        <v>3823</v>
      </c>
      <c r="B3824" s="7" t="s">
        <v>8402</v>
      </c>
      <c r="C3824" s="7" t="s">
        <v>8403</v>
      </c>
      <c r="G3824" s="8" t="s">
        <v>15</v>
      </c>
    </row>
    <row r="3825" spans="1:7" hidden="1" x14ac:dyDescent="0.25">
      <c r="A3825" s="21">
        <v>3824</v>
      </c>
      <c r="B3825" s="7" t="s">
        <v>8404</v>
      </c>
      <c r="C3825" s="7" t="s">
        <v>8405</v>
      </c>
      <c r="G3825" s="8" t="s">
        <v>15</v>
      </c>
    </row>
    <row r="3826" spans="1:7" hidden="1" x14ac:dyDescent="0.25">
      <c r="A3826" s="21">
        <v>3825</v>
      </c>
      <c r="B3826" s="7" t="s">
        <v>8406</v>
      </c>
      <c r="C3826" s="7" t="s">
        <v>8407</v>
      </c>
      <c r="G3826" s="8" t="s">
        <v>15</v>
      </c>
    </row>
    <row r="3827" spans="1:7" hidden="1" x14ac:dyDescent="0.25">
      <c r="A3827" s="21">
        <v>3826</v>
      </c>
      <c r="B3827" s="7" t="s">
        <v>8408</v>
      </c>
      <c r="C3827" s="7" t="s">
        <v>8409</v>
      </c>
      <c r="G3827" s="8" t="s">
        <v>15</v>
      </c>
    </row>
    <row r="3828" spans="1:7" hidden="1" x14ac:dyDescent="0.25">
      <c r="A3828" s="21">
        <v>3827</v>
      </c>
      <c r="B3828" s="7" t="s">
        <v>8410</v>
      </c>
      <c r="C3828" s="7" t="s">
        <v>8411</v>
      </c>
      <c r="G3828" s="8" t="s">
        <v>15</v>
      </c>
    </row>
    <row r="3829" spans="1:7" hidden="1" x14ac:dyDescent="0.25">
      <c r="A3829" s="21">
        <v>3828</v>
      </c>
      <c r="B3829" s="7" t="s">
        <v>8412</v>
      </c>
      <c r="C3829" s="7" t="s">
        <v>8413</v>
      </c>
      <c r="G3829" s="8" t="s">
        <v>15</v>
      </c>
    </row>
    <row r="3830" spans="1:7" hidden="1" x14ac:dyDescent="0.25">
      <c r="A3830" s="21">
        <v>3829</v>
      </c>
      <c r="B3830" s="7" t="s">
        <v>8414</v>
      </c>
      <c r="C3830" s="7" t="s">
        <v>8415</v>
      </c>
      <c r="G3830" s="8" t="s">
        <v>15</v>
      </c>
    </row>
    <row r="3831" spans="1:7" hidden="1" x14ac:dyDescent="0.25">
      <c r="A3831" s="21">
        <v>3830</v>
      </c>
      <c r="B3831" s="7" t="s">
        <v>8416</v>
      </c>
      <c r="C3831" s="7" t="s">
        <v>8417</v>
      </c>
      <c r="G3831" s="8" t="s">
        <v>15</v>
      </c>
    </row>
    <row r="3832" spans="1:7" hidden="1" x14ac:dyDescent="0.25">
      <c r="A3832" s="21">
        <v>3831</v>
      </c>
      <c r="B3832" s="7" t="s">
        <v>8418</v>
      </c>
      <c r="C3832" s="7" t="s">
        <v>8419</v>
      </c>
      <c r="G3832" s="8" t="s">
        <v>15</v>
      </c>
    </row>
    <row r="3833" spans="1:7" hidden="1" x14ac:dyDescent="0.25">
      <c r="A3833" s="21">
        <v>3832</v>
      </c>
      <c r="B3833" s="7" t="s">
        <v>8420</v>
      </c>
      <c r="C3833" s="7" t="s">
        <v>8421</v>
      </c>
      <c r="G3833" s="8" t="s">
        <v>15</v>
      </c>
    </row>
    <row r="3834" spans="1:7" hidden="1" x14ac:dyDescent="0.25">
      <c r="A3834" s="21">
        <v>3833</v>
      </c>
      <c r="B3834" s="7" t="s">
        <v>8422</v>
      </c>
      <c r="C3834" s="7" t="s">
        <v>8423</v>
      </c>
      <c r="G3834" s="8" t="s">
        <v>15</v>
      </c>
    </row>
    <row r="3835" spans="1:7" hidden="1" x14ac:dyDescent="0.25">
      <c r="A3835" s="21">
        <v>3834</v>
      </c>
      <c r="B3835" s="7" t="s">
        <v>8424</v>
      </c>
      <c r="C3835" s="7" t="s">
        <v>8425</v>
      </c>
      <c r="G3835" s="8" t="s">
        <v>15</v>
      </c>
    </row>
    <row r="3836" spans="1:7" hidden="1" x14ac:dyDescent="0.25">
      <c r="A3836" s="21">
        <v>3835</v>
      </c>
      <c r="B3836" s="7" t="s">
        <v>8426</v>
      </c>
      <c r="C3836" s="7" t="s">
        <v>8427</v>
      </c>
      <c r="G3836" s="8" t="s">
        <v>15</v>
      </c>
    </row>
    <row r="3837" spans="1:7" hidden="1" x14ac:dyDescent="0.25">
      <c r="A3837" s="21">
        <v>3836</v>
      </c>
      <c r="B3837" s="7" t="s">
        <v>8428</v>
      </c>
      <c r="C3837" s="7" t="s">
        <v>8429</v>
      </c>
      <c r="G3837" s="8" t="s">
        <v>15</v>
      </c>
    </row>
    <row r="3838" spans="1:7" hidden="1" x14ac:dyDescent="0.25">
      <c r="A3838" s="21">
        <v>3837</v>
      </c>
      <c r="B3838" s="7" t="s">
        <v>8430</v>
      </c>
      <c r="C3838" s="7" t="s">
        <v>8431</v>
      </c>
      <c r="G3838" s="8" t="s">
        <v>15</v>
      </c>
    </row>
    <row r="3839" spans="1:7" hidden="1" x14ac:dyDescent="0.25">
      <c r="A3839" s="21">
        <v>3838</v>
      </c>
      <c r="B3839" s="7" t="s">
        <v>8432</v>
      </c>
      <c r="C3839" s="7" t="s">
        <v>8433</v>
      </c>
      <c r="G3839" s="8" t="s">
        <v>15</v>
      </c>
    </row>
    <row r="3840" spans="1:7" hidden="1" x14ac:dyDescent="0.25">
      <c r="A3840" s="21">
        <v>3839</v>
      </c>
      <c r="B3840" s="7" t="s">
        <v>8434</v>
      </c>
      <c r="C3840" s="7" t="s">
        <v>8435</v>
      </c>
      <c r="G3840" s="8" t="s">
        <v>15</v>
      </c>
    </row>
    <row r="3841" spans="1:7" hidden="1" x14ac:dyDescent="0.25">
      <c r="A3841" s="21">
        <v>3840</v>
      </c>
      <c r="B3841" s="7" t="s">
        <v>8436</v>
      </c>
      <c r="C3841" s="7" t="s">
        <v>8437</v>
      </c>
      <c r="G3841" s="8" t="s">
        <v>15</v>
      </c>
    </row>
    <row r="3842" spans="1:7" hidden="1" x14ac:dyDescent="0.25">
      <c r="A3842" s="21">
        <v>3841</v>
      </c>
      <c r="B3842" s="7" t="s">
        <v>8438</v>
      </c>
      <c r="C3842" s="7" t="s">
        <v>8439</v>
      </c>
      <c r="G3842" s="8" t="s">
        <v>15</v>
      </c>
    </row>
    <row r="3843" spans="1:7" hidden="1" x14ac:dyDescent="0.25">
      <c r="A3843" s="21">
        <v>3842</v>
      </c>
      <c r="B3843" s="7" t="s">
        <v>8440</v>
      </c>
      <c r="C3843" s="7" t="s">
        <v>8441</v>
      </c>
      <c r="G3843" s="8" t="s">
        <v>15</v>
      </c>
    </row>
    <row r="3844" spans="1:7" hidden="1" x14ac:dyDescent="0.25">
      <c r="A3844" s="21">
        <v>3843</v>
      </c>
      <c r="B3844" s="7" t="s">
        <v>8442</v>
      </c>
      <c r="C3844" s="7" t="s">
        <v>8443</v>
      </c>
      <c r="G3844" s="8" t="s">
        <v>15</v>
      </c>
    </row>
    <row r="3845" spans="1:7" hidden="1" x14ac:dyDescent="0.25">
      <c r="A3845" s="21">
        <v>3844</v>
      </c>
      <c r="B3845" s="7" t="s">
        <v>8444</v>
      </c>
      <c r="C3845" s="7" t="s">
        <v>8445</v>
      </c>
      <c r="G3845" s="8" t="s">
        <v>15</v>
      </c>
    </row>
    <row r="3846" spans="1:7" hidden="1" x14ac:dyDescent="0.25">
      <c r="A3846" s="21">
        <v>3845</v>
      </c>
      <c r="B3846" s="7" t="s">
        <v>8446</v>
      </c>
      <c r="C3846" s="7" t="s">
        <v>8447</v>
      </c>
      <c r="G3846" s="8" t="s">
        <v>15</v>
      </c>
    </row>
    <row r="3847" spans="1:7" hidden="1" x14ac:dyDescent="0.25">
      <c r="A3847" s="21">
        <v>3846</v>
      </c>
      <c r="B3847" s="7" t="s">
        <v>8448</v>
      </c>
      <c r="C3847" s="7" t="s">
        <v>8449</v>
      </c>
      <c r="G3847" s="8" t="s">
        <v>15</v>
      </c>
    </row>
    <row r="3848" spans="1:7" hidden="1" x14ac:dyDescent="0.25">
      <c r="A3848" s="21">
        <v>3847</v>
      </c>
      <c r="B3848" s="7" t="s">
        <v>8450</v>
      </c>
      <c r="C3848" s="7" t="s">
        <v>8451</v>
      </c>
      <c r="G3848" s="8" t="s">
        <v>15</v>
      </c>
    </row>
    <row r="3849" spans="1:7" hidden="1" x14ac:dyDescent="0.25">
      <c r="A3849" s="21">
        <v>3848</v>
      </c>
      <c r="B3849" s="7" t="s">
        <v>8452</v>
      </c>
      <c r="C3849" s="7" t="s">
        <v>8453</v>
      </c>
      <c r="G3849" s="8" t="s">
        <v>15</v>
      </c>
    </row>
    <row r="3850" spans="1:7" hidden="1" x14ac:dyDescent="0.25">
      <c r="A3850" s="21">
        <v>3849</v>
      </c>
      <c r="B3850" s="7" t="s">
        <v>8454</v>
      </c>
      <c r="C3850" s="7" t="s">
        <v>8455</v>
      </c>
      <c r="G3850" s="8" t="s">
        <v>15</v>
      </c>
    </row>
    <row r="3851" spans="1:7" hidden="1" x14ac:dyDescent="0.25">
      <c r="A3851" s="21">
        <v>3850</v>
      </c>
      <c r="B3851" s="7" t="s">
        <v>8456</v>
      </c>
      <c r="C3851" s="7" t="s">
        <v>8457</v>
      </c>
      <c r="G3851" s="8" t="s">
        <v>15</v>
      </c>
    </row>
    <row r="3852" spans="1:7" hidden="1" x14ac:dyDescent="0.25">
      <c r="A3852" s="21">
        <v>3851</v>
      </c>
      <c r="B3852" s="7" t="s">
        <v>8458</v>
      </c>
      <c r="C3852" s="7" t="s">
        <v>8459</v>
      </c>
      <c r="G3852" s="8" t="s">
        <v>15</v>
      </c>
    </row>
    <row r="3853" spans="1:7" hidden="1" x14ac:dyDescent="0.25">
      <c r="A3853" s="21">
        <v>3852</v>
      </c>
      <c r="B3853" s="7" t="s">
        <v>8460</v>
      </c>
      <c r="C3853" s="7" t="s">
        <v>8461</v>
      </c>
      <c r="G3853" s="8" t="s">
        <v>15</v>
      </c>
    </row>
    <row r="3854" spans="1:7" hidden="1" x14ac:dyDescent="0.25">
      <c r="A3854" s="21">
        <v>3853</v>
      </c>
      <c r="B3854" s="7" t="s">
        <v>8462</v>
      </c>
      <c r="C3854" s="7" t="s">
        <v>8463</v>
      </c>
      <c r="G3854" s="8" t="s">
        <v>15</v>
      </c>
    </row>
    <row r="3855" spans="1:7" hidden="1" x14ac:dyDescent="0.25">
      <c r="A3855" s="21">
        <v>3854</v>
      </c>
      <c r="B3855" s="7" t="s">
        <v>8464</v>
      </c>
      <c r="C3855" s="7" t="s">
        <v>8465</v>
      </c>
      <c r="G3855" s="8" t="s">
        <v>15</v>
      </c>
    </row>
    <row r="3856" spans="1:7" hidden="1" x14ac:dyDescent="0.25">
      <c r="A3856" s="21">
        <v>3855</v>
      </c>
      <c r="B3856" s="7" t="s">
        <v>8466</v>
      </c>
      <c r="C3856" s="7" t="s">
        <v>8467</v>
      </c>
      <c r="G3856" s="8" t="s">
        <v>15</v>
      </c>
    </row>
    <row r="3857" spans="1:7" hidden="1" x14ac:dyDescent="0.25">
      <c r="A3857" s="21">
        <v>3856</v>
      </c>
      <c r="B3857" s="7" t="s">
        <v>8468</v>
      </c>
      <c r="C3857" s="7" t="s">
        <v>8469</v>
      </c>
      <c r="G3857" s="8" t="s">
        <v>15</v>
      </c>
    </row>
    <row r="3858" spans="1:7" hidden="1" x14ac:dyDescent="0.25">
      <c r="A3858" s="21">
        <v>3857</v>
      </c>
      <c r="B3858" s="7" t="s">
        <v>8470</v>
      </c>
      <c r="C3858" s="7" t="s">
        <v>8471</v>
      </c>
      <c r="G3858" s="8" t="s">
        <v>15</v>
      </c>
    </row>
    <row r="3859" spans="1:7" hidden="1" x14ac:dyDescent="0.25">
      <c r="A3859" s="21">
        <v>3858</v>
      </c>
      <c r="B3859" s="7" t="s">
        <v>8472</v>
      </c>
      <c r="C3859" s="7" t="s">
        <v>8473</v>
      </c>
      <c r="G3859" s="8" t="s">
        <v>15</v>
      </c>
    </row>
    <row r="3860" spans="1:7" hidden="1" x14ac:dyDescent="0.25">
      <c r="A3860" s="21">
        <v>3859</v>
      </c>
      <c r="B3860" s="7" t="s">
        <v>8474</v>
      </c>
      <c r="C3860" s="7" t="s">
        <v>8475</v>
      </c>
      <c r="G3860" s="8" t="s">
        <v>15</v>
      </c>
    </row>
    <row r="3861" spans="1:7" hidden="1" x14ac:dyDescent="0.25">
      <c r="A3861" s="21">
        <v>3860</v>
      </c>
      <c r="B3861" s="7" t="s">
        <v>8476</v>
      </c>
      <c r="C3861" s="7" t="s">
        <v>8477</v>
      </c>
      <c r="G3861" s="8" t="s">
        <v>15</v>
      </c>
    </row>
    <row r="3862" spans="1:7" hidden="1" x14ac:dyDescent="0.25">
      <c r="A3862" s="21">
        <v>3861</v>
      </c>
      <c r="B3862" s="7" t="s">
        <v>8478</v>
      </c>
      <c r="C3862" s="7" t="s">
        <v>8479</v>
      </c>
      <c r="G3862" s="8" t="s">
        <v>15</v>
      </c>
    </row>
    <row r="3863" spans="1:7" hidden="1" x14ac:dyDescent="0.25">
      <c r="A3863" s="21">
        <v>3862</v>
      </c>
      <c r="B3863" s="7" t="s">
        <v>8480</v>
      </c>
      <c r="C3863" s="7" t="s">
        <v>8481</v>
      </c>
      <c r="G3863" s="8" t="s">
        <v>15</v>
      </c>
    </row>
    <row r="3864" spans="1:7" hidden="1" x14ac:dyDescent="0.25">
      <c r="A3864" s="21">
        <v>3863</v>
      </c>
      <c r="B3864" s="7" t="s">
        <v>8482</v>
      </c>
      <c r="C3864" s="7" t="s">
        <v>8483</v>
      </c>
      <c r="G3864" s="8" t="s">
        <v>15</v>
      </c>
    </row>
    <row r="3865" spans="1:7" hidden="1" x14ac:dyDescent="0.25">
      <c r="A3865" s="21">
        <v>3864</v>
      </c>
      <c r="B3865" s="7" t="s">
        <v>8484</v>
      </c>
      <c r="C3865" s="7" t="s">
        <v>8485</v>
      </c>
      <c r="G3865" s="8" t="s">
        <v>15</v>
      </c>
    </row>
    <row r="3866" spans="1:7" hidden="1" x14ac:dyDescent="0.25">
      <c r="A3866" s="21">
        <v>3865</v>
      </c>
      <c r="B3866" s="7" t="s">
        <v>8486</v>
      </c>
      <c r="C3866" s="7" t="s">
        <v>8487</v>
      </c>
      <c r="G3866" s="8" t="s">
        <v>15</v>
      </c>
    </row>
    <row r="3867" spans="1:7" hidden="1" x14ac:dyDescent="0.25">
      <c r="A3867" s="21">
        <v>3866</v>
      </c>
      <c r="B3867" s="7" t="s">
        <v>8488</v>
      </c>
      <c r="C3867" s="7" t="s">
        <v>8489</v>
      </c>
      <c r="G3867" s="8" t="s">
        <v>15</v>
      </c>
    </row>
    <row r="3868" spans="1:7" hidden="1" x14ac:dyDescent="0.25">
      <c r="A3868" s="21">
        <v>3867</v>
      </c>
      <c r="B3868" s="7" t="s">
        <v>8490</v>
      </c>
      <c r="C3868" s="7" t="s">
        <v>8491</v>
      </c>
      <c r="G3868" s="8" t="s">
        <v>15</v>
      </c>
    </row>
    <row r="3869" spans="1:7" hidden="1" x14ac:dyDescent="0.25">
      <c r="A3869" s="21">
        <v>3868</v>
      </c>
      <c r="B3869" s="7" t="s">
        <v>8492</v>
      </c>
      <c r="C3869" s="7" t="s">
        <v>8493</v>
      </c>
      <c r="G3869" s="8" t="s">
        <v>15</v>
      </c>
    </row>
    <row r="3870" spans="1:7" hidden="1" x14ac:dyDescent="0.25">
      <c r="A3870" s="21">
        <v>3869</v>
      </c>
      <c r="B3870" s="7" t="s">
        <v>8494</v>
      </c>
      <c r="C3870" s="7" t="s">
        <v>8495</v>
      </c>
      <c r="G3870" s="8" t="s">
        <v>15</v>
      </c>
    </row>
    <row r="3871" spans="1:7" hidden="1" x14ac:dyDescent="0.25">
      <c r="A3871" s="21">
        <v>3870</v>
      </c>
      <c r="B3871" s="7" t="s">
        <v>8496</v>
      </c>
      <c r="C3871" s="7" t="s">
        <v>8497</v>
      </c>
      <c r="G3871" s="8" t="s">
        <v>15</v>
      </c>
    </row>
    <row r="3872" spans="1:7" hidden="1" x14ac:dyDescent="0.25">
      <c r="A3872" s="21">
        <v>3871</v>
      </c>
      <c r="B3872" s="7" t="s">
        <v>8498</v>
      </c>
      <c r="C3872" s="7" t="s">
        <v>8499</v>
      </c>
      <c r="G3872" s="8" t="s">
        <v>15</v>
      </c>
    </row>
    <row r="3873" spans="1:7" hidden="1" x14ac:dyDescent="0.25">
      <c r="A3873" s="21">
        <v>3872</v>
      </c>
      <c r="B3873" s="7" t="s">
        <v>8500</v>
      </c>
      <c r="C3873" s="7" t="s">
        <v>8501</v>
      </c>
      <c r="G3873" s="8" t="s">
        <v>15</v>
      </c>
    </row>
    <row r="3874" spans="1:7" hidden="1" x14ac:dyDescent="0.25">
      <c r="A3874" s="21">
        <v>3873</v>
      </c>
      <c r="B3874" s="7" t="s">
        <v>8502</v>
      </c>
      <c r="C3874" s="7" t="s">
        <v>8503</v>
      </c>
      <c r="G3874" s="8" t="s">
        <v>15</v>
      </c>
    </row>
    <row r="3875" spans="1:7" hidden="1" x14ac:dyDescent="0.25">
      <c r="A3875" s="21">
        <v>3874</v>
      </c>
      <c r="B3875" s="7" t="s">
        <v>8504</v>
      </c>
      <c r="C3875" s="7" t="s">
        <v>8505</v>
      </c>
      <c r="G3875" s="8" t="s">
        <v>15</v>
      </c>
    </row>
    <row r="3876" spans="1:7" hidden="1" x14ac:dyDescent="0.25">
      <c r="A3876" s="21">
        <v>3875</v>
      </c>
      <c r="B3876" s="7" t="s">
        <v>8506</v>
      </c>
      <c r="C3876" s="7" t="s">
        <v>8507</v>
      </c>
      <c r="G3876" s="8" t="s">
        <v>15</v>
      </c>
    </row>
    <row r="3877" spans="1:7" hidden="1" x14ac:dyDescent="0.25">
      <c r="A3877" s="21">
        <v>3876</v>
      </c>
      <c r="B3877" s="7" t="s">
        <v>8508</v>
      </c>
      <c r="C3877" s="7" t="s">
        <v>8509</v>
      </c>
      <c r="G3877" s="8" t="s">
        <v>15</v>
      </c>
    </row>
    <row r="3878" spans="1:7" hidden="1" x14ac:dyDescent="0.25">
      <c r="A3878" s="21">
        <v>3877</v>
      </c>
      <c r="B3878" s="7" t="s">
        <v>8510</v>
      </c>
      <c r="C3878" s="7" t="s">
        <v>8511</v>
      </c>
      <c r="G3878" s="8" t="s">
        <v>15</v>
      </c>
    </row>
    <row r="3879" spans="1:7" hidden="1" x14ac:dyDescent="0.25">
      <c r="A3879" s="21">
        <v>3878</v>
      </c>
      <c r="B3879" s="7" t="s">
        <v>8512</v>
      </c>
      <c r="C3879" s="7" t="s">
        <v>8513</v>
      </c>
      <c r="G3879" s="8" t="s">
        <v>15</v>
      </c>
    </row>
    <row r="3880" spans="1:7" hidden="1" x14ac:dyDescent="0.25">
      <c r="A3880" s="21">
        <v>3879</v>
      </c>
      <c r="B3880" s="7" t="s">
        <v>8514</v>
      </c>
      <c r="C3880" s="7" t="s">
        <v>8515</v>
      </c>
      <c r="G3880" s="8" t="s">
        <v>15</v>
      </c>
    </row>
    <row r="3881" spans="1:7" hidden="1" x14ac:dyDescent="0.25">
      <c r="A3881" s="21">
        <v>3880</v>
      </c>
      <c r="B3881" s="7" t="s">
        <v>8516</v>
      </c>
      <c r="C3881" s="7" t="s">
        <v>8517</v>
      </c>
      <c r="G3881" s="8" t="s">
        <v>15</v>
      </c>
    </row>
    <row r="3882" spans="1:7" hidden="1" x14ac:dyDescent="0.25">
      <c r="A3882" s="21">
        <v>3881</v>
      </c>
      <c r="B3882" s="7" t="s">
        <v>8518</v>
      </c>
      <c r="C3882" s="7" t="s">
        <v>8519</v>
      </c>
      <c r="G3882" s="8" t="s">
        <v>15</v>
      </c>
    </row>
    <row r="3883" spans="1:7" hidden="1" x14ac:dyDescent="0.25">
      <c r="A3883" s="21">
        <v>3882</v>
      </c>
      <c r="B3883" s="7" t="s">
        <v>8520</v>
      </c>
      <c r="C3883" s="7" t="s">
        <v>8521</v>
      </c>
      <c r="G3883" s="8" t="s">
        <v>15</v>
      </c>
    </row>
    <row r="3884" spans="1:7" hidden="1" x14ac:dyDescent="0.25">
      <c r="A3884" s="21">
        <v>3883</v>
      </c>
      <c r="B3884" s="7" t="s">
        <v>8522</v>
      </c>
      <c r="C3884" s="7" t="s">
        <v>8523</v>
      </c>
      <c r="G3884" s="8" t="s">
        <v>15</v>
      </c>
    </row>
    <row r="3885" spans="1:7" hidden="1" x14ac:dyDescent="0.25">
      <c r="A3885" s="21">
        <v>3884</v>
      </c>
      <c r="B3885" s="7" t="s">
        <v>8524</v>
      </c>
      <c r="C3885" s="7" t="s">
        <v>8525</v>
      </c>
      <c r="G3885" s="8" t="s">
        <v>15</v>
      </c>
    </row>
    <row r="3886" spans="1:7" hidden="1" x14ac:dyDescent="0.25">
      <c r="A3886" s="21">
        <v>3885</v>
      </c>
      <c r="B3886" s="7" t="s">
        <v>8526</v>
      </c>
      <c r="C3886" s="7" t="s">
        <v>8527</v>
      </c>
      <c r="G3886" s="8" t="s">
        <v>15</v>
      </c>
    </row>
    <row r="3887" spans="1:7" hidden="1" x14ac:dyDescent="0.25">
      <c r="A3887" s="21">
        <v>3886</v>
      </c>
      <c r="B3887" s="7" t="s">
        <v>8528</v>
      </c>
      <c r="C3887" s="7" t="s">
        <v>8529</v>
      </c>
      <c r="G3887" s="8" t="s">
        <v>15</v>
      </c>
    </row>
    <row r="3888" spans="1:7" hidden="1" x14ac:dyDescent="0.25">
      <c r="A3888" s="21">
        <v>3887</v>
      </c>
      <c r="B3888" s="7" t="s">
        <v>8530</v>
      </c>
      <c r="C3888" s="7" t="s">
        <v>8531</v>
      </c>
      <c r="G3888" s="8" t="s">
        <v>15</v>
      </c>
    </row>
    <row r="3889" spans="1:7" hidden="1" x14ac:dyDescent="0.25">
      <c r="A3889" s="21">
        <v>3888</v>
      </c>
      <c r="B3889" s="7" t="s">
        <v>8532</v>
      </c>
      <c r="C3889" s="7" t="s">
        <v>8533</v>
      </c>
      <c r="G3889" s="8" t="s">
        <v>15</v>
      </c>
    </row>
    <row r="3890" spans="1:7" hidden="1" x14ac:dyDescent="0.25">
      <c r="A3890" s="21">
        <v>3889</v>
      </c>
      <c r="B3890" s="7" t="s">
        <v>8534</v>
      </c>
      <c r="C3890" s="7" t="s">
        <v>8535</v>
      </c>
      <c r="G3890" s="8" t="s">
        <v>15</v>
      </c>
    </row>
    <row r="3891" spans="1:7" hidden="1" x14ac:dyDescent="0.25">
      <c r="A3891" s="21">
        <v>3890</v>
      </c>
      <c r="B3891" s="7" t="s">
        <v>8536</v>
      </c>
      <c r="C3891" s="7" t="s">
        <v>8537</v>
      </c>
      <c r="G3891" s="8" t="s">
        <v>15</v>
      </c>
    </row>
    <row r="3892" spans="1:7" hidden="1" x14ac:dyDescent="0.25">
      <c r="A3892" s="21">
        <v>3891</v>
      </c>
      <c r="B3892" s="7" t="s">
        <v>8538</v>
      </c>
      <c r="C3892" s="7" t="s">
        <v>8539</v>
      </c>
      <c r="G3892" s="8" t="s">
        <v>15</v>
      </c>
    </row>
    <row r="3893" spans="1:7" hidden="1" x14ac:dyDescent="0.25">
      <c r="A3893" s="21">
        <v>3892</v>
      </c>
      <c r="B3893" s="7" t="s">
        <v>8540</v>
      </c>
      <c r="C3893" s="7" t="s">
        <v>8541</v>
      </c>
      <c r="G3893" s="8" t="s">
        <v>15</v>
      </c>
    </row>
    <row r="3894" spans="1:7" hidden="1" x14ac:dyDescent="0.25">
      <c r="A3894" s="21">
        <v>3893</v>
      </c>
      <c r="B3894" s="7" t="s">
        <v>8542</v>
      </c>
      <c r="C3894" s="7" t="s">
        <v>8543</v>
      </c>
      <c r="G3894" s="8" t="s">
        <v>15</v>
      </c>
    </row>
    <row r="3895" spans="1:7" hidden="1" x14ac:dyDescent="0.25">
      <c r="A3895" s="21">
        <v>3894</v>
      </c>
      <c r="B3895" s="7" t="s">
        <v>8544</v>
      </c>
      <c r="C3895" s="7" t="s">
        <v>8545</v>
      </c>
      <c r="G3895" s="8" t="s">
        <v>15</v>
      </c>
    </row>
    <row r="3896" spans="1:7" hidden="1" x14ac:dyDescent="0.25">
      <c r="A3896" s="21">
        <v>3895</v>
      </c>
      <c r="B3896" s="7" t="s">
        <v>8546</v>
      </c>
      <c r="C3896" s="7" t="s">
        <v>8547</v>
      </c>
      <c r="G3896" s="8" t="s">
        <v>15</v>
      </c>
    </row>
    <row r="3897" spans="1:7" hidden="1" x14ac:dyDescent="0.25">
      <c r="A3897" s="21">
        <v>3896</v>
      </c>
      <c r="B3897" s="7" t="s">
        <v>8548</v>
      </c>
      <c r="C3897" s="7" t="s">
        <v>8549</v>
      </c>
      <c r="G3897" s="8" t="s">
        <v>15</v>
      </c>
    </row>
    <row r="3898" spans="1:7" hidden="1" x14ac:dyDescent="0.25">
      <c r="A3898" s="21">
        <v>3897</v>
      </c>
      <c r="B3898" s="7" t="s">
        <v>8550</v>
      </c>
      <c r="C3898" s="7" t="s">
        <v>8551</v>
      </c>
      <c r="G3898" s="8" t="s">
        <v>15</v>
      </c>
    </row>
    <row r="3899" spans="1:7" hidden="1" x14ac:dyDescent="0.25">
      <c r="A3899" s="21">
        <v>3898</v>
      </c>
      <c r="B3899" s="7" t="s">
        <v>8552</v>
      </c>
      <c r="C3899" s="7" t="s">
        <v>8553</v>
      </c>
      <c r="G3899" s="8" t="s">
        <v>15</v>
      </c>
    </row>
    <row r="3900" spans="1:7" hidden="1" x14ac:dyDescent="0.25">
      <c r="A3900" s="21">
        <v>3899</v>
      </c>
      <c r="B3900" s="7" t="s">
        <v>8554</v>
      </c>
      <c r="C3900" s="7" t="s">
        <v>8555</v>
      </c>
      <c r="G3900" s="8" t="s">
        <v>15</v>
      </c>
    </row>
    <row r="3901" spans="1:7" hidden="1" x14ac:dyDescent="0.25">
      <c r="A3901" s="21">
        <v>3900</v>
      </c>
      <c r="B3901" s="7" t="s">
        <v>8556</v>
      </c>
      <c r="C3901" s="7" t="s">
        <v>8557</v>
      </c>
      <c r="G3901" s="8" t="s">
        <v>15</v>
      </c>
    </row>
    <row r="3902" spans="1:7" hidden="1" x14ac:dyDescent="0.25">
      <c r="A3902" s="21">
        <v>3901</v>
      </c>
      <c r="B3902" s="7" t="s">
        <v>8558</v>
      </c>
      <c r="C3902" s="7" t="s">
        <v>8559</v>
      </c>
      <c r="G3902" s="8" t="s">
        <v>15</v>
      </c>
    </row>
    <row r="3903" spans="1:7" hidden="1" x14ac:dyDescent="0.25">
      <c r="A3903" s="21">
        <v>3902</v>
      </c>
      <c r="B3903" s="7" t="s">
        <v>8560</v>
      </c>
      <c r="C3903" s="7" t="s">
        <v>8561</v>
      </c>
      <c r="G3903" s="8" t="s">
        <v>15</v>
      </c>
    </row>
    <row r="3904" spans="1:7" hidden="1" x14ac:dyDescent="0.25">
      <c r="A3904" s="21">
        <v>3903</v>
      </c>
      <c r="B3904" s="7" t="s">
        <v>8562</v>
      </c>
      <c r="C3904" s="7" t="s">
        <v>8563</v>
      </c>
      <c r="G3904" s="8" t="s">
        <v>15</v>
      </c>
    </row>
    <row r="3905" spans="1:7" hidden="1" x14ac:dyDescent="0.25">
      <c r="A3905" s="21">
        <v>3904</v>
      </c>
      <c r="B3905" s="7" t="s">
        <v>8564</v>
      </c>
      <c r="C3905" s="7" t="s">
        <v>8565</v>
      </c>
      <c r="G3905" s="8" t="s">
        <v>15</v>
      </c>
    </row>
    <row r="3906" spans="1:7" hidden="1" x14ac:dyDescent="0.25">
      <c r="A3906" s="21">
        <v>3905</v>
      </c>
      <c r="B3906" s="7" t="s">
        <v>8566</v>
      </c>
      <c r="C3906" s="7" t="s">
        <v>8567</v>
      </c>
      <c r="G3906" s="8" t="s">
        <v>15</v>
      </c>
    </row>
    <row r="3907" spans="1:7" hidden="1" x14ac:dyDescent="0.25">
      <c r="A3907" s="21">
        <v>3906</v>
      </c>
      <c r="B3907" s="7" t="s">
        <v>8568</v>
      </c>
      <c r="C3907" s="7" t="s">
        <v>8569</v>
      </c>
      <c r="G3907" s="8" t="s">
        <v>15</v>
      </c>
    </row>
    <row r="3908" spans="1:7" hidden="1" x14ac:dyDescent="0.25">
      <c r="A3908" s="21">
        <v>3907</v>
      </c>
      <c r="B3908" s="7" t="s">
        <v>8570</v>
      </c>
      <c r="C3908" s="7" t="s">
        <v>8571</v>
      </c>
      <c r="G3908" s="8" t="s">
        <v>15</v>
      </c>
    </row>
    <row r="3909" spans="1:7" hidden="1" x14ac:dyDescent="0.25">
      <c r="A3909" s="21">
        <v>3908</v>
      </c>
      <c r="B3909" s="7" t="s">
        <v>8572</v>
      </c>
      <c r="C3909" s="7" t="s">
        <v>8573</v>
      </c>
      <c r="G3909" s="8" t="s">
        <v>15</v>
      </c>
    </row>
    <row r="3910" spans="1:7" hidden="1" x14ac:dyDescent="0.25">
      <c r="A3910" s="21">
        <v>3909</v>
      </c>
      <c r="B3910" s="7" t="s">
        <v>8574</v>
      </c>
      <c r="C3910" s="7" t="s">
        <v>8575</v>
      </c>
      <c r="G3910" s="8" t="s">
        <v>15</v>
      </c>
    </row>
    <row r="3911" spans="1:7" hidden="1" x14ac:dyDescent="0.25">
      <c r="A3911" s="21">
        <v>3910</v>
      </c>
      <c r="B3911" s="7" t="s">
        <v>8576</v>
      </c>
      <c r="C3911" s="7" t="s">
        <v>8577</v>
      </c>
      <c r="G3911" s="8" t="s">
        <v>15</v>
      </c>
    </row>
    <row r="3912" spans="1:7" hidden="1" x14ac:dyDescent="0.25">
      <c r="A3912" s="21">
        <v>3911</v>
      </c>
      <c r="B3912" s="7" t="s">
        <v>8578</v>
      </c>
      <c r="C3912" s="7" t="s">
        <v>8579</v>
      </c>
      <c r="G3912" s="8" t="s">
        <v>15</v>
      </c>
    </row>
    <row r="3913" spans="1:7" hidden="1" x14ac:dyDescent="0.25">
      <c r="A3913" s="21">
        <v>3912</v>
      </c>
      <c r="B3913" s="7" t="s">
        <v>8580</v>
      </c>
      <c r="C3913" s="7" t="s">
        <v>8581</v>
      </c>
      <c r="G3913" s="8" t="s">
        <v>15</v>
      </c>
    </row>
    <row r="3914" spans="1:7" hidden="1" x14ac:dyDescent="0.25">
      <c r="A3914" s="21">
        <v>3913</v>
      </c>
      <c r="B3914" s="7" t="s">
        <v>8582</v>
      </c>
      <c r="C3914" s="7" t="s">
        <v>8583</v>
      </c>
      <c r="G3914" s="8" t="s">
        <v>15</v>
      </c>
    </row>
    <row r="3915" spans="1:7" hidden="1" x14ac:dyDescent="0.25">
      <c r="A3915" s="21">
        <v>3914</v>
      </c>
      <c r="B3915" s="7" t="s">
        <v>8584</v>
      </c>
      <c r="C3915" s="7" t="s">
        <v>8585</v>
      </c>
      <c r="G3915" s="8" t="s">
        <v>15</v>
      </c>
    </row>
    <row r="3916" spans="1:7" hidden="1" x14ac:dyDescent="0.25">
      <c r="A3916" s="21">
        <v>3915</v>
      </c>
      <c r="B3916" s="7" t="s">
        <v>8586</v>
      </c>
      <c r="C3916" s="7" t="s">
        <v>8587</v>
      </c>
      <c r="G3916" s="8" t="s">
        <v>15</v>
      </c>
    </row>
    <row r="3917" spans="1:7" hidden="1" x14ac:dyDescent="0.25">
      <c r="A3917" s="21">
        <v>3916</v>
      </c>
      <c r="B3917" s="7" t="s">
        <v>8588</v>
      </c>
      <c r="C3917" s="7" t="s">
        <v>8589</v>
      </c>
      <c r="G3917" s="8" t="s">
        <v>15</v>
      </c>
    </row>
    <row r="3918" spans="1:7" hidden="1" x14ac:dyDescent="0.25">
      <c r="A3918" s="21">
        <v>3917</v>
      </c>
      <c r="B3918" s="7" t="s">
        <v>8590</v>
      </c>
      <c r="C3918" s="7" t="s">
        <v>8591</v>
      </c>
      <c r="G3918" s="8" t="s">
        <v>15</v>
      </c>
    </row>
    <row r="3919" spans="1:7" hidden="1" x14ac:dyDescent="0.25">
      <c r="A3919" s="21">
        <v>3918</v>
      </c>
      <c r="B3919" s="7" t="s">
        <v>8592</v>
      </c>
      <c r="C3919" s="7" t="s">
        <v>8593</v>
      </c>
      <c r="G3919" s="8" t="s">
        <v>15</v>
      </c>
    </row>
    <row r="3920" spans="1:7" hidden="1" x14ac:dyDescent="0.25">
      <c r="A3920" s="21">
        <v>3919</v>
      </c>
      <c r="B3920" s="7" t="s">
        <v>8594</v>
      </c>
      <c r="C3920" s="7" t="s">
        <v>8595</v>
      </c>
      <c r="G3920" s="8" t="s">
        <v>15</v>
      </c>
    </row>
    <row r="3921" spans="1:7" hidden="1" x14ac:dyDescent="0.25">
      <c r="A3921" s="21">
        <v>3920</v>
      </c>
      <c r="B3921" s="7" t="s">
        <v>8596</v>
      </c>
      <c r="C3921" s="7" t="s">
        <v>8597</v>
      </c>
      <c r="G3921" s="8" t="s">
        <v>15</v>
      </c>
    </row>
    <row r="3922" spans="1:7" hidden="1" x14ac:dyDescent="0.25">
      <c r="A3922" s="21">
        <v>3921</v>
      </c>
      <c r="B3922" s="7" t="s">
        <v>8598</v>
      </c>
      <c r="C3922" s="7" t="s">
        <v>8599</v>
      </c>
      <c r="G3922" s="8" t="s">
        <v>15</v>
      </c>
    </row>
    <row r="3923" spans="1:7" hidden="1" x14ac:dyDescent="0.25">
      <c r="A3923" s="21">
        <v>3922</v>
      </c>
      <c r="B3923" s="7" t="s">
        <v>8600</v>
      </c>
      <c r="C3923" s="7" t="s">
        <v>8601</v>
      </c>
      <c r="G3923" s="8" t="s">
        <v>15</v>
      </c>
    </row>
    <row r="3924" spans="1:7" hidden="1" x14ac:dyDescent="0.25">
      <c r="A3924" s="21">
        <v>3923</v>
      </c>
      <c r="B3924" s="7" t="s">
        <v>8602</v>
      </c>
      <c r="C3924" s="7" t="s">
        <v>8603</v>
      </c>
      <c r="G3924" s="8" t="s">
        <v>15</v>
      </c>
    </row>
    <row r="3925" spans="1:7" hidden="1" x14ac:dyDescent="0.25">
      <c r="A3925" s="21">
        <v>3924</v>
      </c>
      <c r="B3925" s="7" t="s">
        <v>8604</v>
      </c>
      <c r="C3925" s="7" t="s">
        <v>8605</v>
      </c>
      <c r="G3925" s="8" t="s">
        <v>15</v>
      </c>
    </row>
    <row r="3926" spans="1:7" hidden="1" x14ac:dyDescent="0.25">
      <c r="A3926" s="21">
        <v>3925</v>
      </c>
      <c r="B3926" s="7" t="s">
        <v>8606</v>
      </c>
      <c r="C3926" s="7" t="s">
        <v>8607</v>
      </c>
      <c r="G3926" s="8" t="s">
        <v>15</v>
      </c>
    </row>
    <row r="3927" spans="1:7" hidden="1" x14ac:dyDescent="0.25">
      <c r="A3927" s="21">
        <v>3926</v>
      </c>
      <c r="B3927" s="7" t="s">
        <v>8608</v>
      </c>
      <c r="C3927" s="7" t="s">
        <v>8609</v>
      </c>
      <c r="G3927" s="8" t="s">
        <v>15</v>
      </c>
    </row>
    <row r="3928" spans="1:7" hidden="1" x14ac:dyDescent="0.25">
      <c r="A3928" s="21">
        <v>3927</v>
      </c>
      <c r="B3928" s="7" t="s">
        <v>8610</v>
      </c>
      <c r="C3928" s="7" t="s">
        <v>8611</v>
      </c>
      <c r="G3928" s="8" t="s">
        <v>15</v>
      </c>
    </row>
    <row r="3929" spans="1:7" hidden="1" x14ac:dyDescent="0.25">
      <c r="A3929" s="21">
        <v>3928</v>
      </c>
      <c r="B3929" s="7" t="s">
        <v>8612</v>
      </c>
      <c r="C3929" s="7" t="s">
        <v>8613</v>
      </c>
      <c r="G3929" s="8" t="s">
        <v>15</v>
      </c>
    </row>
    <row r="3930" spans="1:7" hidden="1" x14ac:dyDescent="0.25">
      <c r="A3930" s="21">
        <v>3929</v>
      </c>
      <c r="B3930" s="7" t="s">
        <v>8614</v>
      </c>
      <c r="C3930" s="7" t="s">
        <v>8615</v>
      </c>
      <c r="G3930" s="8" t="s">
        <v>15</v>
      </c>
    </row>
    <row r="3931" spans="1:7" hidden="1" x14ac:dyDescent="0.25">
      <c r="A3931" s="21">
        <v>3930</v>
      </c>
      <c r="B3931" s="7" t="s">
        <v>8616</v>
      </c>
      <c r="C3931" s="7" t="s">
        <v>8617</v>
      </c>
      <c r="G3931" s="8" t="s">
        <v>15</v>
      </c>
    </row>
    <row r="3932" spans="1:7" hidden="1" x14ac:dyDescent="0.25">
      <c r="A3932" s="21">
        <v>3931</v>
      </c>
      <c r="B3932" s="7" t="s">
        <v>8618</v>
      </c>
      <c r="C3932" s="7" t="s">
        <v>8619</v>
      </c>
      <c r="G3932" s="8" t="s">
        <v>15</v>
      </c>
    </row>
    <row r="3933" spans="1:7" hidden="1" x14ac:dyDescent="0.25">
      <c r="A3933" s="21">
        <v>3932</v>
      </c>
      <c r="B3933" s="7" t="s">
        <v>8620</v>
      </c>
      <c r="C3933" s="7" t="s">
        <v>8621</v>
      </c>
      <c r="G3933" s="8" t="s">
        <v>15</v>
      </c>
    </row>
    <row r="3934" spans="1:7" hidden="1" x14ac:dyDescent="0.25">
      <c r="A3934" s="21">
        <v>3933</v>
      </c>
      <c r="B3934" s="7" t="s">
        <v>8622</v>
      </c>
      <c r="C3934" s="7" t="s">
        <v>8623</v>
      </c>
      <c r="G3934" s="8" t="s">
        <v>15</v>
      </c>
    </row>
    <row r="3935" spans="1:7" hidden="1" x14ac:dyDescent="0.25">
      <c r="A3935" s="21">
        <v>3934</v>
      </c>
      <c r="B3935" s="7" t="s">
        <v>8624</v>
      </c>
      <c r="C3935" s="7" t="s">
        <v>8625</v>
      </c>
      <c r="G3935" s="8" t="s">
        <v>15</v>
      </c>
    </row>
    <row r="3936" spans="1:7" hidden="1" x14ac:dyDescent="0.25">
      <c r="A3936" s="21">
        <v>3935</v>
      </c>
      <c r="B3936" s="7" t="s">
        <v>8626</v>
      </c>
      <c r="C3936" s="7" t="s">
        <v>8627</v>
      </c>
      <c r="G3936" s="8" t="s">
        <v>15</v>
      </c>
    </row>
    <row r="3937" spans="1:7" hidden="1" x14ac:dyDescent="0.25">
      <c r="A3937" s="21">
        <v>3936</v>
      </c>
      <c r="B3937" s="7" t="s">
        <v>8628</v>
      </c>
      <c r="C3937" s="7" t="s">
        <v>8629</v>
      </c>
      <c r="G3937" s="8" t="s">
        <v>15</v>
      </c>
    </row>
    <row r="3938" spans="1:7" hidden="1" x14ac:dyDescent="0.25">
      <c r="A3938" s="21">
        <v>3937</v>
      </c>
      <c r="B3938" s="7" t="s">
        <v>8630</v>
      </c>
      <c r="C3938" s="7" t="s">
        <v>8631</v>
      </c>
      <c r="G3938" s="8" t="s">
        <v>15</v>
      </c>
    </row>
    <row r="3939" spans="1:7" hidden="1" x14ac:dyDescent="0.25">
      <c r="A3939" s="21">
        <v>3938</v>
      </c>
      <c r="B3939" s="7" t="s">
        <v>8632</v>
      </c>
      <c r="C3939" s="7" t="s">
        <v>8633</v>
      </c>
      <c r="G3939" s="8" t="s">
        <v>15</v>
      </c>
    </row>
    <row r="3940" spans="1:7" hidden="1" x14ac:dyDescent="0.25">
      <c r="A3940" s="21">
        <v>3939</v>
      </c>
      <c r="B3940" s="7" t="s">
        <v>8634</v>
      </c>
      <c r="C3940" s="7" t="s">
        <v>8635</v>
      </c>
      <c r="G3940" s="8" t="s">
        <v>15</v>
      </c>
    </row>
    <row r="3941" spans="1:7" hidden="1" x14ac:dyDescent="0.25">
      <c r="A3941" s="21">
        <v>3940</v>
      </c>
      <c r="B3941" s="7" t="s">
        <v>8636</v>
      </c>
      <c r="C3941" s="7" t="s">
        <v>8637</v>
      </c>
      <c r="G3941" s="8" t="s">
        <v>15</v>
      </c>
    </row>
    <row r="3942" spans="1:7" hidden="1" x14ac:dyDescent="0.25">
      <c r="A3942" s="21">
        <v>3941</v>
      </c>
      <c r="B3942" s="7" t="s">
        <v>8638</v>
      </c>
      <c r="C3942" s="7" t="s">
        <v>8639</v>
      </c>
      <c r="G3942" s="8" t="s">
        <v>15</v>
      </c>
    </row>
    <row r="3943" spans="1:7" hidden="1" x14ac:dyDescent="0.25">
      <c r="A3943" s="21">
        <v>3942</v>
      </c>
      <c r="B3943" s="7" t="s">
        <v>8640</v>
      </c>
      <c r="C3943" s="7" t="s">
        <v>8641</v>
      </c>
      <c r="G3943" s="8" t="s">
        <v>15</v>
      </c>
    </row>
    <row r="3944" spans="1:7" hidden="1" x14ac:dyDescent="0.25">
      <c r="A3944" s="21">
        <v>3943</v>
      </c>
      <c r="B3944" s="7" t="s">
        <v>8642</v>
      </c>
      <c r="C3944" s="7" t="s">
        <v>8643</v>
      </c>
      <c r="G3944" s="8" t="s">
        <v>15</v>
      </c>
    </row>
    <row r="3945" spans="1:7" hidden="1" x14ac:dyDescent="0.25">
      <c r="A3945" s="21">
        <v>3944</v>
      </c>
      <c r="B3945" s="7" t="s">
        <v>8644</v>
      </c>
      <c r="C3945" s="7" t="s">
        <v>8645</v>
      </c>
      <c r="G3945" s="8" t="s">
        <v>15</v>
      </c>
    </row>
    <row r="3946" spans="1:7" hidden="1" x14ac:dyDescent="0.25">
      <c r="A3946" s="21">
        <v>3945</v>
      </c>
      <c r="B3946" s="7" t="s">
        <v>8646</v>
      </c>
      <c r="C3946" s="7" t="s">
        <v>8647</v>
      </c>
      <c r="G3946" s="8" t="s">
        <v>15</v>
      </c>
    </row>
    <row r="3947" spans="1:7" hidden="1" x14ac:dyDescent="0.25">
      <c r="A3947" s="21">
        <v>3946</v>
      </c>
      <c r="B3947" s="7" t="s">
        <v>8648</v>
      </c>
      <c r="C3947" s="7" t="s">
        <v>8649</v>
      </c>
      <c r="G3947" s="8" t="s">
        <v>15</v>
      </c>
    </row>
    <row r="3948" spans="1:7" hidden="1" x14ac:dyDescent="0.25">
      <c r="A3948" s="21">
        <v>3947</v>
      </c>
      <c r="B3948" s="7" t="s">
        <v>8650</v>
      </c>
      <c r="C3948" s="7" t="s">
        <v>8651</v>
      </c>
      <c r="G3948" s="8" t="s">
        <v>15</v>
      </c>
    </row>
    <row r="3949" spans="1:7" hidden="1" x14ac:dyDescent="0.25">
      <c r="A3949" s="21">
        <v>3948</v>
      </c>
      <c r="B3949" s="7" t="s">
        <v>8652</v>
      </c>
      <c r="C3949" s="7" t="s">
        <v>8653</v>
      </c>
      <c r="G3949" s="8" t="s">
        <v>15</v>
      </c>
    </row>
    <row r="3950" spans="1:7" hidden="1" x14ac:dyDescent="0.25">
      <c r="A3950" s="21">
        <v>3949</v>
      </c>
      <c r="B3950" s="7" t="s">
        <v>8654</v>
      </c>
      <c r="C3950" s="7" t="s">
        <v>8655</v>
      </c>
      <c r="G3950" s="8" t="s">
        <v>15</v>
      </c>
    </row>
    <row r="3951" spans="1:7" hidden="1" x14ac:dyDescent="0.25">
      <c r="A3951" s="21">
        <v>3950</v>
      </c>
      <c r="B3951" s="7" t="s">
        <v>8656</v>
      </c>
      <c r="C3951" s="7" t="s">
        <v>8657</v>
      </c>
      <c r="G3951" s="8" t="s">
        <v>15</v>
      </c>
    </row>
    <row r="3952" spans="1:7" hidden="1" x14ac:dyDescent="0.25">
      <c r="A3952" s="21">
        <v>3951</v>
      </c>
      <c r="B3952" s="7" t="s">
        <v>8658</v>
      </c>
      <c r="C3952" s="7" t="s">
        <v>8659</v>
      </c>
      <c r="G3952" s="8" t="s">
        <v>15</v>
      </c>
    </row>
    <row r="3953" spans="1:7" hidden="1" x14ac:dyDescent="0.25">
      <c r="A3953" s="21">
        <v>3952</v>
      </c>
      <c r="B3953" s="7" t="s">
        <v>8660</v>
      </c>
      <c r="C3953" s="7" t="s">
        <v>8661</v>
      </c>
      <c r="G3953" s="8" t="s">
        <v>15</v>
      </c>
    </row>
    <row r="3954" spans="1:7" hidden="1" x14ac:dyDescent="0.25">
      <c r="A3954" s="21">
        <v>3953</v>
      </c>
      <c r="B3954" s="7" t="s">
        <v>8662</v>
      </c>
      <c r="C3954" s="7" t="s">
        <v>8663</v>
      </c>
      <c r="G3954" s="8" t="s">
        <v>15</v>
      </c>
    </row>
    <row r="3955" spans="1:7" hidden="1" x14ac:dyDescent="0.25">
      <c r="A3955" s="21">
        <v>3954</v>
      </c>
      <c r="B3955" s="7" t="s">
        <v>8664</v>
      </c>
      <c r="C3955" s="7" t="s">
        <v>8665</v>
      </c>
      <c r="G3955" s="8" t="s">
        <v>15</v>
      </c>
    </row>
    <row r="3956" spans="1:7" hidden="1" x14ac:dyDescent="0.25">
      <c r="A3956" s="21">
        <v>3955</v>
      </c>
      <c r="B3956" s="7" t="s">
        <v>8666</v>
      </c>
      <c r="C3956" s="7" t="s">
        <v>8667</v>
      </c>
      <c r="G3956" s="8" t="s">
        <v>15</v>
      </c>
    </row>
    <row r="3957" spans="1:7" hidden="1" x14ac:dyDescent="0.25">
      <c r="A3957" s="21">
        <v>3956</v>
      </c>
      <c r="B3957" s="7" t="s">
        <v>8668</v>
      </c>
      <c r="C3957" s="7" t="s">
        <v>8669</v>
      </c>
      <c r="G3957" s="8" t="s">
        <v>15</v>
      </c>
    </row>
    <row r="3958" spans="1:7" hidden="1" x14ac:dyDescent="0.25">
      <c r="A3958" s="21">
        <v>3957</v>
      </c>
      <c r="B3958" s="7" t="s">
        <v>8670</v>
      </c>
      <c r="C3958" s="7" t="s">
        <v>8671</v>
      </c>
      <c r="G3958" s="8" t="s">
        <v>15</v>
      </c>
    </row>
    <row r="3959" spans="1:7" hidden="1" x14ac:dyDescent="0.25">
      <c r="A3959" s="21">
        <v>3958</v>
      </c>
      <c r="B3959" s="7" t="s">
        <v>8672</v>
      </c>
      <c r="C3959" s="7" t="s">
        <v>8673</v>
      </c>
      <c r="G3959" s="8" t="s">
        <v>15</v>
      </c>
    </row>
    <row r="3960" spans="1:7" hidden="1" x14ac:dyDescent="0.25">
      <c r="A3960" s="21">
        <v>3959</v>
      </c>
      <c r="B3960" s="7" t="s">
        <v>8674</v>
      </c>
      <c r="C3960" s="7" t="s">
        <v>8675</v>
      </c>
      <c r="G3960" s="8" t="s">
        <v>15</v>
      </c>
    </row>
    <row r="3961" spans="1:7" hidden="1" x14ac:dyDescent="0.25">
      <c r="A3961" s="21">
        <v>3960</v>
      </c>
      <c r="B3961" s="7" t="s">
        <v>8676</v>
      </c>
      <c r="C3961" s="7" t="s">
        <v>8677</v>
      </c>
      <c r="G3961" s="8" t="s">
        <v>15</v>
      </c>
    </row>
    <row r="3962" spans="1:7" hidden="1" x14ac:dyDescent="0.25">
      <c r="A3962" s="21">
        <v>3961</v>
      </c>
      <c r="B3962" s="7" t="s">
        <v>8678</v>
      </c>
      <c r="C3962" s="7" t="s">
        <v>8679</v>
      </c>
      <c r="G3962" s="8" t="s">
        <v>15</v>
      </c>
    </row>
    <row r="3963" spans="1:7" hidden="1" x14ac:dyDescent="0.25">
      <c r="A3963" s="21">
        <v>3962</v>
      </c>
      <c r="B3963" s="7" t="s">
        <v>8680</v>
      </c>
      <c r="C3963" s="7" t="s">
        <v>8681</v>
      </c>
      <c r="G3963" s="8" t="s">
        <v>15</v>
      </c>
    </row>
    <row r="3964" spans="1:7" hidden="1" x14ac:dyDescent="0.25">
      <c r="A3964" s="21">
        <v>3963</v>
      </c>
      <c r="B3964" s="7" t="s">
        <v>8682</v>
      </c>
      <c r="C3964" s="7" t="s">
        <v>8683</v>
      </c>
      <c r="G3964" s="8" t="s">
        <v>15</v>
      </c>
    </row>
    <row r="3965" spans="1:7" hidden="1" x14ac:dyDescent="0.25">
      <c r="A3965" s="21">
        <v>3964</v>
      </c>
      <c r="B3965" s="7" t="s">
        <v>8684</v>
      </c>
      <c r="C3965" s="7" t="s">
        <v>8685</v>
      </c>
      <c r="G3965" s="8" t="s">
        <v>15</v>
      </c>
    </row>
    <row r="3966" spans="1:7" hidden="1" x14ac:dyDescent="0.25">
      <c r="A3966" s="21">
        <v>3965</v>
      </c>
      <c r="B3966" s="7" t="s">
        <v>8686</v>
      </c>
      <c r="C3966" s="7" t="s">
        <v>8687</v>
      </c>
      <c r="G3966" s="8" t="s">
        <v>15</v>
      </c>
    </row>
    <row r="3967" spans="1:7" hidden="1" x14ac:dyDescent="0.25">
      <c r="A3967" s="21">
        <v>3966</v>
      </c>
      <c r="B3967" s="7" t="s">
        <v>8688</v>
      </c>
      <c r="C3967" s="7" t="s">
        <v>8689</v>
      </c>
      <c r="G3967" s="8" t="s">
        <v>15</v>
      </c>
    </row>
    <row r="3968" spans="1:7" hidden="1" x14ac:dyDescent="0.25">
      <c r="A3968" s="21">
        <v>3967</v>
      </c>
      <c r="B3968" s="7" t="s">
        <v>8690</v>
      </c>
      <c r="C3968" s="7" t="s">
        <v>8691</v>
      </c>
      <c r="G3968" s="8" t="s">
        <v>15</v>
      </c>
    </row>
    <row r="3969" spans="1:7" hidden="1" x14ac:dyDescent="0.25">
      <c r="A3969" s="21">
        <v>3968</v>
      </c>
      <c r="B3969" s="7" t="s">
        <v>8692</v>
      </c>
      <c r="C3969" s="7" t="s">
        <v>8693</v>
      </c>
      <c r="G3969" s="8" t="s">
        <v>15</v>
      </c>
    </row>
    <row r="3970" spans="1:7" hidden="1" x14ac:dyDescent="0.25">
      <c r="A3970" s="21">
        <v>3969</v>
      </c>
      <c r="B3970" s="7" t="s">
        <v>8694</v>
      </c>
      <c r="C3970" s="7" t="s">
        <v>8695</v>
      </c>
      <c r="G3970" s="8" t="s">
        <v>15</v>
      </c>
    </row>
    <row r="3971" spans="1:7" hidden="1" x14ac:dyDescent="0.25">
      <c r="A3971" s="21">
        <v>3970</v>
      </c>
      <c r="B3971" s="7" t="s">
        <v>8696</v>
      </c>
      <c r="C3971" s="7" t="s">
        <v>8697</v>
      </c>
      <c r="G3971" s="8" t="s">
        <v>15</v>
      </c>
    </row>
    <row r="3972" spans="1:7" hidden="1" x14ac:dyDescent="0.25">
      <c r="A3972" s="21">
        <v>3971</v>
      </c>
      <c r="B3972" s="7" t="s">
        <v>8698</v>
      </c>
      <c r="C3972" s="7" t="s">
        <v>8699</v>
      </c>
      <c r="G3972" s="8" t="s">
        <v>15</v>
      </c>
    </row>
    <row r="3973" spans="1:7" hidden="1" x14ac:dyDescent="0.25">
      <c r="A3973" s="21">
        <v>3972</v>
      </c>
      <c r="B3973" s="7" t="s">
        <v>8700</v>
      </c>
      <c r="C3973" s="7" t="s">
        <v>8701</v>
      </c>
      <c r="G3973" s="8" t="s">
        <v>15</v>
      </c>
    </row>
    <row r="3974" spans="1:7" hidden="1" x14ac:dyDescent="0.25">
      <c r="A3974" s="21">
        <v>3973</v>
      </c>
      <c r="B3974" s="7" t="s">
        <v>8702</v>
      </c>
      <c r="C3974" s="7" t="s">
        <v>8703</v>
      </c>
      <c r="G3974" s="8" t="s">
        <v>15</v>
      </c>
    </row>
    <row r="3975" spans="1:7" hidden="1" x14ac:dyDescent="0.25">
      <c r="A3975" s="21">
        <v>3974</v>
      </c>
      <c r="B3975" s="7" t="s">
        <v>8704</v>
      </c>
      <c r="C3975" s="7" t="s">
        <v>8705</v>
      </c>
      <c r="G3975" s="8" t="s">
        <v>15</v>
      </c>
    </row>
    <row r="3976" spans="1:7" hidden="1" x14ac:dyDescent="0.25">
      <c r="A3976" s="21">
        <v>3975</v>
      </c>
      <c r="B3976" s="7" t="s">
        <v>8706</v>
      </c>
      <c r="C3976" s="7" t="s">
        <v>8707</v>
      </c>
      <c r="G3976" s="8" t="s">
        <v>15</v>
      </c>
    </row>
    <row r="3977" spans="1:7" hidden="1" x14ac:dyDescent="0.25">
      <c r="A3977" s="21">
        <v>3976</v>
      </c>
      <c r="B3977" s="7" t="s">
        <v>8708</v>
      </c>
      <c r="C3977" s="7" t="s">
        <v>8709</v>
      </c>
      <c r="G3977" s="8" t="s">
        <v>15</v>
      </c>
    </row>
    <row r="3978" spans="1:7" hidden="1" x14ac:dyDescent="0.25">
      <c r="A3978" s="21">
        <v>3977</v>
      </c>
      <c r="B3978" s="7" t="s">
        <v>8710</v>
      </c>
      <c r="C3978" s="7" t="s">
        <v>8711</v>
      </c>
      <c r="G3978" s="8" t="s">
        <v>15</v>
      </c>
    </row>
    <row r="3979" spans="1:7" hidden="1" x14ac:dyDescent="0.25">
      <c r="A3979" s="21">
        <v>3978</v>
      </c>
      <c r="B3979" s="7" t="s">
        <v>8712</v>
      </c>
      <c r="C3979" s="7" t="s">
        <v>8713</v>
      </c>
      <c r="G3979" s="8" t="s">
        <v>15</v>
      </c>
    </row>
    <row r="3980" spans="1:7" hidden="1" x14ac:dyDescent="0.25">
      <c r="A3980" s="21">
        <v>3979</v>
      </c>
      <c r="B3980" s="7" t="s">
        <v>8714</v>
      </c>
      <c r="C3980" s="7" t="s">
        <v>8715</v>
      </c>
      <c r="G3980" s="8" t="s">
        <v>15</v>
      </c>
    </row>
    <row r="3981" spans="1:7" hidden="1" x14ac:dyDescent="0.25">
      <c r="A3981" s="21">
        <v>3980</v>
      </c>
      <c r="B3981" s="7" t="s">
        <v>8716</v>
      </c>
      <c r="C3981" s="7" t="s">
        <v>8717</v>
      </c>
      <c r="G3981" s="8" t="s">
        <v>15</v>
      </c>
    </row>
    <row r="3982" spans="1:7" hidden="1" x14ac:dyDescent="0.25">
      <c r="A3982" s="21">
        <v>3981</v>
      </c>
      <c r="B3982" s="7" t="s">
        <v>8718</v>
      </c>
      <c r="C3982" s="7" t="s">
        <v>8719</v>
      </c>
      <c r="G3982" s="8" t="s">
        <v>15</v>
      </c>
    </row>
    <row r="3983" spans="1:7" hidden="1" x14ac:dyDescent="0.25">
      <c r="A3983" s="21">
        <v>3982</v>
      </c>
      <c r="B3983" s="7" t="s">
        <v>8720</v>
      </c>
      <c r="C3983" s="7" t="s">
        <v>8721</v>
      </c>
      <c r="G3983" s="8" t="s">
        <v>15</v>
      </c>
    </row>
    <row r="3984" spans="1:7" hidden="1" x14ac:dyDescent="0.25">
      <c r="A3984" s="21">
        <v>3983</v>
      </c>
      <c r="B3984" s="7" t="s">
        <v>8722</v>
      </c>
      <c r="C3984" s="7" t="s">
        <v>8723</v>
      </c>
      <c r="G3984" s="8" t="s">
        <v>15</v>
      </c>
    </row>
    <row r="3985" spans="1:7" hidden="1" x14ac:dyDescent="0.25">
      <c r="A3985" s="21">
        <v>3984</v>
      </c>
      <c r="B3985" s="7" t="s">
        <v>8724</v>
      </c>
      <c r="C3985" s="7" t="s">
        <v>8725</v>
      </c>
      <c r="G3985" s="8" t="s">
        <v>15</v>
      </c>
    </row>
    <row r="3986" spans="1:7" hidden="1" x14ac:dyDescent="0.25">
      <c r="A3986" s="21">
        <v>3985</v>
      </c>
      <c r="B3986" s="7" t="s">
        <v>8726</v>
      </c>
      <c r="C3986" s="7" t="s">
        <v>8727</v>
      </c>
      <c r="G3986" s="8" t="s">
        <v>15</v>
      </c>
    </row>
    <row r="3987" spans="1:7" hidden="1" x14ac:dyDescent="0.25">
      <c r="A3987" s="21">
        <v>3986</v>
      </c>
      <c r="B3987" s="7" t="s">
        <v>8728</v>
      </c>
      <c r="C3987" s="7" t="s">
        <v>8729</v>
      </c>
      <c r="G3987" s="8" t="s">
        <v>15</v>
      </c>
    </row>
    <row r="3988" spans="1:7" hidden="1" x14ac:dyDescent="0.25">
      <c r="A3988" s="21">
        <v>3987</v>
      </c>
      <c r="B3988" s="7" t="s">
        <v>8730</v>
      </c>
      <c r="C3988" s="7" t="s">
        <v>8731</v>
      </c>
      <c r="G3988" s="8" t="s">
        <v>15</v>
      </c>
    </row>
    <row r="3989" spans="1:7" hidden="1" x14ac:dyDescent="0.25">
      <c r="A3989" s="21">
        <v>3988</v>
      </c>
      <c r="B3989" s="7" t="s">
        <v>8732</v>
      </c>
      <c r="C3989" s="7" t="s">
        <v>8733</v>
      </c>
      <c r="G3989" s="8" t="s">
        <v>15</v>
      </c>
    </row>
    <row r="3990" spans="1:7" hidden="1" x14ac:dyDescent="0.25">
      <c r="A3990" s="21">
        <v>3989</v>
      </c>
      <c r="B3990" s="7" t="s">
        <v>8734</v>
      </c>
      <c r="C3990" s="7" t="s">
        <v>8735</v>
      </c>
      <c r="G3990" s="8" t="s">
        <v>15</v>
      </c>
    </row>
    <row r="3991" spans="1:7" hidden="1" x14ac:dyDescent="0.25">
      <c r="A3991" s="21">
        <v>3990</v>
      </c>
      <c r="B3991" s="7" t="s">
        <v>8736</v>
      </c>
      <c r="C3991" s="7" t="s">
        <v>8737</v>
      </c>
      <c r="G3991" s="8" t="s">
        <v>15</v>
      </c>
    </row>
    <row r="3992" spans="1:7" hidden="1" x14ac:dyDescent="0.25">
      <c r="A3992" s="21">
        <v>3991</v>
      </c>
      <c r="B3992" s="7" t="s">
        <v>8738</v>
      </c>
      <c r="C3992" s="7" t="s">
        <v>8739</v>
      </c>
      <c r="G3992" s="8" t="s">
        <v>15</v>
      </c>
    </row>
    <row r="3993" spans="1:7" hidden="1" x14ac:dyDescent="0.25">
      <c r="A3993" s="21">
        <v>3992</v>
      </c>
      <c r="B3993" s="7" t="s">
        <v>8740</v>
      </c>
      <c r="C3993" s="7" t="s">
        <v>8741</v>
      </c>
      <c r="G3993" s="8" t="s">
        <v>15</v>
      </c>
    </row>
    <row r="3994" spans="1:7" hidden="1" x14ac:dyDescent="0.25">
      <c r="A3994" s="21">
        <v>3993</v>
      </c>
      <c r="B3994" s="7" t="s">
        <v>8742</v>
      </c>
      <c r="C3994" s="7" t="s">
        <v>8743</v>
      </c>
      <c r="G3994" s="8" t="s">
        <v>15</v>
      </c>
    </row>
    <row r="3995" spans="1:7" hidden="1" x14ac:dyDescent="0.25">
      <c r="A3995" s="21">
        <v>3994</v>
      </c>
      <c r="B3995" s="7" t="s">
        <v>8744</v>
      </c>
      <c r="C3995" s="7" t="s">
        <v>8745</v>
      </c>
      <c r="G3995" s="8" t="s">
        <v>15</v>
      </c>
    </row>
    <row r="3996" spans="1:7" hidden="1" x14ac:dyDescent="0.25">
      <c r="A3996" s="21">
        <v>3995</v>
      </c>
      <c r="B3996" s="7" t="s">
        <v>8746</v>
      </c>
      <c r="C3996" s="7" t="s">
        <v>8747</v>
      </c>
      <c r="G3996" s="8" t="s">
        <v>15</v>
      </c>
    </row>
    <row r="3997" spans="1:7" hidden="1" x14ac:dyDescent="0.25">
      <c r="A3997" s="21">
        <v>3996</v>
      </c>
      <c r="B3997" s="7" t="s">
        <v>8748</v>
      </c>
      <c r="C3997" s="7" t="s">
        <v>8749</v>
      </c>
      <c r="G3997" s="8" t="s">
        <v>15</v>
      </c>
    </row>
    <row r="3998" spans="1:7" hidden="1" x14ac:dyDescent="0.25">
      <c r="A3998" s="21">
        <v>3997</v>
      </c>
      <c r="B3998" s="7" t="s">
        <v>8750</v>
      </c>
      <c r="C3998" s="7" t="s">
        <v>8751</v>
      </c>
      <c r="G3998" s="8" t="s">
        <v>15</v>
      </c>
    </row>
    <row r="3999" spans="1:7" hidden="1" x14ac:dyDescent="0.25">
      <c r="A3999" s="21">
        <v>3998</v>
      </c>
      <c r="B3999" s="7" t="s">
        <v>8752</v>
      </c>
      <c r="C3999" s="7" t="s">
        <v>8753</v>
      </c>
      <c r="G3999" s="8" t="s">
        <v>15</v>
      </c>
    </row>
    <row r="4000" spans="1:7" hidden="1" x14ac:dyDescent="0.25">
      <c r="A4000" s="21">
        <v>3999</v>
      </c>
      <c r="B4000" s="7" t="s">
        <v>8754</v>
      </c>
      <c r="C4000" s="7" t="s">
        <v>8755</v>
      </c>
      <c r="G4000" s="8" t="s">
        <v>15</v>
      </c>
    </row>
    <row r="4001" spans="1:7" hidden="1" x14ac:dyDescent="0.25">
      <c r="A4001" s="21">
        <v>4000</v>
      </c>
      <c r="B4001" s="7" t="s">
        <v>8756</v>
      </c>
      <c r="C4001" s="7" t="s">
        <v>8757</v>
      </c>
      <c r="G4001" s="8" t="s">
        <v>15</v>
      </c>
    </row>
    <row r="4002" spans="1:7" hidden="1" x14ac:dyDescent="0.25">
      <c r="A4002" s="21">
        <v>4001</v>
      </c>
      <c r="B4002" s="7" t="s">
        <v>8758</v>
      </c>
      <c r="C4002" s="7" t="s">
        <v>8759</v>
      </c>
      <c r="G4002" s="8" t="s">
        <v>15</v>
      </c>
    </row>
    <row r="4003" spans="1:7" hidden="1" x14ac:dyDescent="0.25">
      <c r="A4003" s="21">
        <v>4002</v>
      </c>
      <c r="B4003" s="7" t="s">
        <v>8760</v>
      </c>
      <c r="C4003" s="7" t="s">
        <v>8761</v>
      </c>
      <c r="G4003" s="8" t="s">
        <v>15</v>
      </c>
    </row>
    <row r="4004" spans="1:7" hidden="1" x14ac:dyDescent="0.25">
      <c r="A4004" s="21">
        <v>4003</v>
      </c>
      <c r="B4004" s="7" t="s">
        <v>8762</v>
      </c>
      <c r="C4004" s="7" t="s">
        <v>8763</v>
      </c>
      <c r="G4004" s="8" t="s">
        <v>15</v>
      </c>
    </row>
    <row r="4005" spans="1:7" hidden="1" x14ac:dyDescent="0.25">
      <c r="A4005" s="21">
        <v>4004</v>
      </c>
      <c r="B4005" s="7" t="s">
        <v>8764</v>
      </c>
      <c r="C4005" s="7" t="s">
        <v>8765</v>
      </c>
      <c r="G4005" s="8" t="s">
        <v>15</v>
      </c>
    </row>
    <row r="4006" spans="1:7" hidden="1" x14ac:dyDescent="0.25">
      <c r="A4006" s="21">
        <v>4005</v>
      </c>
      <c r="B4006" s="7" t="s">
        <v>8766</v>
      </c>
      <c r="C4006" s="7" t="s">
        <v>8767</v>
      </c>
      <c r="G4006" s="8" t="s">
        <v>15</v>
      </c>
    </row>
    <row r="4007" spans="1:7" hidden="1" x14ac:dyDescent="0.25">
      <c r="A4007" s="21">
        <v>4006</v>
      </c>
      <c r="B4007" s="7" t="s">
        <v>8768</v>
      </c>
      <c r="C4007" s="7" t="s">
        <v>8769</v>
      </c>
      <c r="G4007" s="8" t="s">
        <v>15</v>
      </c>
    </row>
    <row r="4008" spans="1:7" hidden="1" x14ac:dyDescent="0.25">
      <c r="A4008" s="21">
        <v>4007</v>
      </c>
      <c r="B4008" s="7" t="s">
        <v>8770</v>
      </c>
      <c r="C4008" s="7" t="s">
        <v>8771</v>
      </c>
      <c r="G4008" s="8" t="s">
        <v>15</v>
      </c>
    </row>
    <row r="4009" spans="1:7" hidden="1" x14ac:dyDescent="0.25">
      <c r="A4009" s="21">
        <v>4008</v>
      </c>
      <c r="B4009" s="7" t="s">
        <v>8772</v>
      </c>
      <c r="C4009" s="7" t="s">
        <v>8773</v>
      </c>
      <c r="G4009" s="8" t="s">
        <v>15</v>
      </c>
    </row>
    <row r="4010" spans="1:7" hidden="1" x14ac:dyDescent="0.25">
      <c r="A4010" s="21">
        <v>4009</v>
      </c>
      <c r="B4010" s="7" t="s">
        <v>8774</v>
      </c>
      <c r="C4010" s="7" t="s">
        <v>8775</v>
      </c>
      <c r="G4010" s="8" t="s">
        <v>15</v>
      </c>
    </row>
    <row r="4011" spans="1:7" hidden="1" x14ac:dyDescent="0.25">
      <c r="A4011" s="21">
        <v>4010</v>
      </c>
      <c r="B4011" s="7" t="s">
        <v>8776</v>
      </c>
      <c r="C4011" s="7" t="s">
        <v>8777</v>
      </c>
      <c r="G4011" s="8" t="s">
        <v>15</v>
      </c>
    </row>
    <row r="4012" spans="1:7" hidden="1" x14ac:dyDescent="0.25">
      <c r="A4012" s="21">
        <v>4011</v>
      </c>
      <c r="B4012" s="7" t="s">
        <v>8778</v>
      </c>
      <c r="C4012" s="7" t="s">
        <v>8779</v>
      </c>
      <c r="G4012" s="8" t="s">
        <v>15</v>
      </c>
    </row>
    <row r="4013" spans="1:7" hidden="1" x14ac:dyDescent="0.25">
      <c r="A4013" s="21">
        <v>4012</v>
      </c>
      <c r="B4013" s="7" t="s">
        <v>8780</v>
      </c>
      <c r="C4013" s="7" t="s">
        <v>8781</v>
      </c>
      <c r="G4013" s="8" t="s">
        <v>15</v>
      </c>
    </row>
    <row r="4014" spans="1:7" hidden="1" x14ac:dyDescent="0.25">
      <c r="A4014" s="21">
        <v>4013</v>
      </c>
      <c r="B4014" s="7" t="s">
        <v>8782</v>
      </c>
      <c r="C4014" s="7" t="s">
        <v>8783</v>
      </c>
      <c r="G4014" s="8" t="s">
        <v>15</v>
      </c>
    </row>
    <row r="4015" spans="1:7" hidden="1" x14ac:dyDescent="0.25">
      <c r="A4015" s="21">
        <v>4014</v>
      </c>
      <c r="B4015" s="7" t="s">
        <v>8784</v>
      </c>
      <c r="C4015" s="7" t="s">
        <v>8785</v>
      </c>
      <c r="G4015" s="8" t="s">
        <v>15</v>
      </c>
    </row>
    <row r="4016" spans="1:7" hidden="1" x14ac:dyDescent="0.25">
      <c r="A4016" s="21">
        <v>4015</v>
      </c>
      <c r="B4016" s="7" t="s">
        <v>8786</v>
      </c>
      <c r="C4016" s="7" t="s">
        <v>8787</v>
      </c>
      <c r="G4016" s="8" t="s">
        <v>15</v>
      </c>
    </row>
    <row r="4017" spans="1:7" hidden="1" x14ac:dyDescent="0.25">
      <c r="A4017" s="21">
        <v>4016</v>
      </c>
      <c r="B4017" s="7" t="s">
        <v>8788</v>
      </c>
      <c r="C4017" s="7" t="s">
        <v>8789</v>
      </c>
      <c r="G4017" s="8" t="s">
        <v>15</v>
      </c>
    </row>
    <row r="4018" spans="1:7" hidden="1" x14ac:dyDescent="0.25">
      <c r="A4018" s="21">
        <v>4017</v>
      </c>
      <c r="B4018" s="7" t="s">
        <v>8790</v>
      </c>
      <c r="C4018" s="7" t="s">
        <v>8791</v>
      </c>
      <c r="G4018" s="8" t="s">
        <v>15</v>
      </c>
    </row>
    <row r="4019" spans="1:7" hidden="1" x14ac:dyDescent="0.25">
      <c r="A4019" s="21">
        <v>4018</v>
      </c>
      <c r="B4019" s="7" t="s">
        <v>8792</v>
      </c>
      <c r="C4019" s="7" t="s">
        <v>8793</v>
      </c>
      <c r="G4019" s="8" t="s">
        <v>15</v>
      </c>
    </row>
    <row r="4020" spans="1:7" hidden="1" x14ac:dyDescent="0.25">
      <c r="A4020" s="21">
        <v>4019</v>
      </c>
      <c r="B4020" s="7" t="s">
        <v>8794</v>
      </c>
      <c r="C4020" s="7" t="s">
        <v>8795</v>
      </c>
      <c r="G4020" s="8" t="s">
        <v>15</v>
      </c>
    </row>
    <row r="4021" spans="1:7" hidden="1" x14ac:dyDescent="0.25">
      <c r="A4021" s="21">
        <v>4020</v>
      </c>
      <c r="B4021" s="7" t="s">
        <v>8796</v>
      </c>
      <c r="C4021" s="7" t="s">
        <v>8797</v>
      </c>
      <c r="G4021" s="8" t="s">
        <v>15</v>
      </c>
    </row>
    <row r="4022" spans="1:7" hidden="1" x14ac:dyDescent="0.25">
      <c r="A4022" s="21">
        <v>4021</v>
      </c>
      <c r="B4022" s="7" t="s">
        <v>8798</v>
      </c>
      <c r="C4022" s="7" t="s">
        <v>8799</v>
      </c>
      <c r="G4022" s="8" t="s">
        <v>15</v>
      </c>
    </row>
    <row r="4023" spans="1:7" hidden="1" x14ac:dyDescent="0.25">
      <c r="A4023" s="21">
        <v>4022</v>
      </c>
      <c r="B4023" s="7" t="s">
        <v>8800</v>
      </c>
      <c r="C4023" s="7" t="s">
        <v>8801</v>
      </c>
      <c r="G4023" s="8" t="s">
        <v>15</v>
      </c>
    </row>
    <row r="4024" spans="1:7" hidden="1" x14ac:dyDescent="0.25">
      <c r="A4024" s="21">
        <v>4023</v>
      </c>
      <c r="B4024" s="7" t="s">
        <v>8802</v>
      </c>
      <c r="C4024" s="7" t="s">
        <v>8803</v>
      </c>
      <c r="G4024" s="8" t="s">
        <v>15</v>
      </c>
    </row>
    <row r="4025" spans="1:7" hidden="1" x14ac:dyDescent="0.25">
      <c r="A4025" s="21">
        <v>4024</v>
      </c>
      <c r="B4025" s="7" t="s">
        <v>8804</v>
      </c>
      <c r="C4025" s="7" t="s">
        <v>8805</v>
      </c>
      <c r="G4025" s="8" t="s">
        <v>15</v>
      </c>
    </row>
    <row r="4026" spans="1:7" hidden="1" x14ac:dyDescent="0.25">
      <c r="A4026" s="21">
        <v>4025</v>
      </c>
      <c r="B4026" s="7" t="s">
        <v>8806</v>
      </c>
      <c r="C4026" s="7" t="s">
        <v>8807</v>
      </c>
      <c r="G4026" s="8" t="s">
        <v>15</v>
      </c>
    </row>
    <row r="4027" spans="1:7" hidden="1" x14ac:dyDescent="0.25">
      <c r="A4027" s="21">
        <v>4026</v>
      </c>
      <c r="B4027" s="7" t="s">
        <v>8808</v>
      </c>
      <c r="C4027" s="7" t="s">
        <v>8809</v>
      </c>
      <c r="G4027" s="8" t="s">
        <v>15</v>
      </c>
    </row>
    <row r="4028" spans="1:7" hidden="1" x14ac:dyDescent="0.25">
      <c r="A4028" s="21">
        <v>4027</v>
      </c>
      <c r="B4028" s="7" t="s">
        <v>8810</v>
      </c>
      <c r="C4028" s="7" t="s">
        <v>8811</v>
      </c>
      <c r="G4028" s="8" t="s">
        <v>15</v>
      </c>
    </row>
    <row r="4029" spans="1:7" hidden="1" x14ac:dyDescent="0.25">
      <c r="A4029" s="21">
        <v>4028</v>
      </c>
      <c r="B4029" s="7" t="s">
        <v>8812</v>
      </c>
      <c r="C4029" s="7" t="s">
        <v>8813</v>
      </c>
      <c r="G4029" s="8" t="s">
        <v>15</v>
      </c>
    </row>
    <row r="4030" spans="1:7" hidden="1" x14ac:dyDescent="0.25">
      <c r="A4030" s="21">
        <v>4029</v>
      </c>
      <c r="B4030" s="7" t="s">
        <v>8814</v>
      </c>
      <c r="C4030" s="7" t="s">
        <v>8815</v>
      </c>
      <c r="G4030" s="8" t="s">
        <v>15</v>
      </c>
    </row>
    <row r="4031" spans="1:7" hidden="1" x14ac:dyDescent="0.25">
      <c r="A4031" s="21">
        <v>4030</v>
      </c>
      <c r="B4031" s="7" t="s">
        <v>8816</v>
      </c>
      <c r="C4031" s="7" t="s">
        <v>8817</v>
      </c>
      <c r="G4031" s="8" t="s">
        <v>15</v>
      </c>
    </row>
    <row r="4032" spans="1:7" hidden="1" x14ac:dyDescent="0.25">
      <c r="A4032" s="21">
        <v>4031</v>
      </c>
      <c r="B4032" s="7" t="s">
        <v>8818</v>
      </c>
      <c r="C4032" s="7" t="s">
        <v>8819</v>
      </c>
      <c r="G4032" s="8" t="s">
        <v>15</v>
      </c>
    </row>
    <row r="4033" spans="1:7" hidden="1" x14ac:dyDescent="0.25">
      <c r="A4033" s="21">
        <v>4032</v>
      </c>
      <c r="B4033" s="7" t="s">
        <v>8820</v>
      </c>
      <c r="C4033" s="7" t="s">
        <v>8821</v>
      </c>
      <c r="G4033" s="8" t="s">
        <v>15</v>
      </c>
    </row>
    <row r="4034" spans="1:7" hidden="1" x14ac:dyDescent="0.25">
      <c r="A4034" s="21">
        <v>4033</v>
      </c>
      <c r="B4034" s="7" t="s">
        <v>8822</v>
      </c>
      <c r="C4034" s="7" t="s">
        <v>8823</v>
      </c>
      <c r="G4034" s="8" t="s">
        <v>15</v>
      </c>
    </row>
    <row r="4035" spans="1:7" hidden="1" x14ac:dyDescent="0.25">
      <c r="A4035" s="21">
        <v>4034</v>
      </c>
      <c r="B4035" s="7" t="s">
        <v>8824</v>
      </c>
      <c r="C4035" s="7" t="s">
        <v>8825</v>
      </c>
      <c r="G4035" s="8" t="s">
        <v>15</v>
      </c>
    </row>
    <row r="4036" spans="1:7" hidden="1" x14ac:dyDescent="0.25">
      <c r="A4036" s="21">
        <v>4035</v>
      </c>
      <c r="B4036" s="7" t="s">
        <v>8826</v>
      </c>
      <c r="C4036" s="7" t="s">
        <v>8827</v>
      </c>
      <c r="G4036" s="8" t="s">
        <v>15</v>
      </c>
    </row>
    <row r="4037" spans="1:7" hidden="1" x14ac:dyDescent="0.25">
      <c r="A4037" s="21">
        <v>4036</v>
      </c>
      <c r="B4037" s="7" t="s">
        <v>8828</v>
      </c>
      <c r="C4037" s="7" t="s">
        <v>8829</v>
      </c>
      <c r="G4037" s="8" t="s">
        <v>15</v>
      </c>
    </row>
    <row r="4038" spans="1:7" hidden="1" x14ac:dyDescent="0.25">
      <c r="A4038" s="21">
        <v>4037</v>
      </c>
      <c r="B4038" s="7" t="s">
        <v>8830</v>
      </c>
      <c r="C4038" s="7" t="s">
        <v>8831</v>
      </c>
      <c r="G4038" s="8" t="s">
        <v>15</v>
      </c>
    </row>
    <row r="4039" spans="1:7" hidden="1" x14ac:dyDescent="0.25">
      <c r="A4039" s="21">
        <v>4038</v>
      </c>
      <c r="B4039" s="7" t="s">
        <v>8832</v>
      </c>
      <c r="C4039" s="7" t="s">
        <v>8833</v>
      </c>
      <c r="G4039" s="8" t="s">
        <v>15</v>
      </c>
    </row>
    <row r="4040" spans="1:7" hidden="1" x14ac:dyDescent="0.25">
      <c r="A4040" s="21">
        <v>4039</v>
      </c>
      <c r="B4040" s="7" t="s">
        <v>8834</v>
      </c>
      <c r="C4040" s="7" t="s">
        <v>8835</v>
      </c>
      <c r="G4040" s="8" t="s">
        <v>15</v>
      </c>
    </row>
    <row r="4041" spans="1:7" hidden="1" x14ac:dyDescent="0.25">
      <c r="A4041" s="21">
        <v>4040</v>
      </c>
      <c r="B4041" s="7" t="s">
        <v>8836</v>
      </c>
      <c r="C4041" s="7" t="s">
        <v>8837</v>
      </c>
      <c r="G4041" s="8" t="s">
        <v>15</v>
      </c>
    </row>
    <row r="4042" spans="1:7" hidden="1" x14ac:dyDescent="0.25">
      <c r="A4042" s="21">
        <v>4041</v>
      </c>
      <c r="B4042" s="7" t="s">
        <v>8838</v>
      </c>
      <c r="C4042" s="7" t="s">
        <v>8839</v>
      </c>
      <c r="G4042" s="8" t="s">
        <v>15</v>
      </c>
    </row>
    <row r="4043" spans="1:7" hidden="1" x14ac:dyDescent="0.25">
      <c r="A4043" s="21">
        <v>4042</v>
      </c>
      <c r="B4043" s="7" t="s">
        <v>8840</v>
      </c>
      <c r="C4043" s="7" t="s">
        <v>8841</v>
      </c>
      <c r="G4043" s="8" t="s">
        <v>15</v>
      </c>
    </row>
    <row r="4044" spans="1:7" hidden="1" x14ac:dyDescent="0.25">
      <c r="A4044" s="21">
        <v>4043</v>
      </c>
      <c r="B4044" s="7" t="s">
        <v>8842</v>
      </c>
      <c r="C4044" s="7" t="s">
        <v>8843</v>
      </c>
      <c r="G4044" s="8" t="s">
        <v>15</v>
      </c>
    </row>
    <row r="4045" spans="1:7" hidden="1" x14ac:dyDescent="0.25">
      <c r="A4045" s="21">
        <v>4044</v>
      </c>
      <c r="B4045" s="7" t="s">
        <v>8844</v>
      </c>
      <c r="C4045" s="7" t="s">
        <v>8845</v>
      </c>
      <c r="G4045" s="8" t="s">
        <v>15</v>
      </c>
    </row>
    <row r="4046" spans="1:7" hidden="1" x14ac:dyDescent="0.25">
      <c r="A4046" s="21">
        <v>4045</v>
      </c>
      <c r="B4046" s="7" t="s">
        <v>8846</v>
      </c>
      <c r="C4046" s="7" t="s">
        <v>8847</v>
      </c>
      <c r="G4046" s="8" t="s">
        <v>15</v>
      </c>
    </row>
    <row r="4047" spans="1:7" hidden="1" x14ac:dyDescent="0.25">
      <c r="A4047" s="21">
        <v>4046</v>
      </c>
      <c r="B4047" s="7" t="s">
        <v>8848</v>
      </c>
      <c r="C4047" s="7" t="s">
        <v>8849</v>
      </c>
      <c r="G4047" s="8" t="s">
        <v>15</v>
      </c>
    </row>
    <row r="4048" spans="1:7" hidden="1" x14ac:dyDescent="0.25">
      <c r="A4048" s="21">
        <v>4047</v>
      </c>
      <c r="B4048" s="7" t="s">
        <v>8850</v>
      </c>
      <c r="C4048" s="7" t="s">
        <v>8851</v>
      </c>
      <c r="G4048" s="8" t="s">
        <v>15</v>
      </c>
    </row>
    <row r="4049" spans="1:7" hidden="1" x14ac:dyDescent="0.25">
      <c r="A4049" s="21">
        <v>4048</v>
      </c>
      <c r="B4049" s="7" t="s">
        <v>8852</v>
      </c>
      <c r="C4049" s="7" t="s">
        <v>8853</v>
      </c>
      <c r="G4049" s="8" t="s">
        <v>15</v>
      </c>
    </row>
    <row r="4050" spans="1:7" hidden="1" x14ac:dyDescent="0.25">
      <c r="A4050" s="21">
        <v>4049</v>
      </c>
      <c r="B4050" s="7" t="s">
        <v>8854</v>
      </c>
      <c r="C4050" s="7" t="s">
        <v>8855</v>
      </c>
      <c r="G4050" s="8" t="s">
        <v>15</v>
      </c>
    </row>
    <row r="4051" spans="1:7" hidden="1" x14ac:dyDescent="0.25">
      <c r="A4051" s="21">
        <v>4050</v>
      </c>
      <c r="B4051" s="7" t="s">
        <v>8856</v>
      </c>
      <c r="C4051" s="7" t="s">
        <v>8857</v>
      </c>
      <c r="G4051" s="8" t="s">
        <v>15</v>
      </c>
    </row>
    <row r="4052" spans="1:7" hidden="1" x14ac:dyDescent="0.25">
      <c r="A4052" s="21">
        <v>4051</v>
      </c>
      <c r="B4052" s="7" t="s">
        <v>8858</v>
      </c>
      <c r="C4052" s="7" t="s">
        <v>8859</v>
      </c>
      <c r="G4052" s="8" t="s">
        <v>15</v>
      </c>
    </row>
    <row r="4053" spans="1:7" hidden="1" x14ac:dyDescent="0.25">
      <c r="A4053" s="21">
        <v>4052</v>
      </c>
      <c r="B4053" s="7" t="s">
        <v>8860</v>
      </c>
      <c r="C4053" s="7" t="s">
        <v>8861</v>
      </c>
      <c r="G4053" s="8" t="s">
        <v>15</v>
      </c>
    </row>
    <row r="4054" spans="1:7" hidden="1" x14ac:dyDescent="0.25">
      <c r="A4054" s="21">
        <v>4053</v>
      </c>
      <c r="B4054" s="7" t="s">
        <v>8862</v>
      </c>
      <c r="C4054" s="7" t="s">
        <v>8863</v>
      </c>
      <c r="G4054" s="8" t="s">
        <v>15</v>
      </c>
    </row>
    <row r="4055" spans="1:7" hidden="1" x14ac:dyDescent="0.25">
      <c r="A4055" s="21">
        <v>4054</v>
      </c>
      <c r="B4055" s="7" t="s">
        <v>8864</v>
      </c>
      <c r="C4055" s="7" t="s">
        <v>8865</v>
      </c>
      <c r="G4055" s="8" t="s">
        <v>15</v>
      </c>
    </row>
    <row r="4056" spans="1:7" hidden="1" x14ac:dyDescent="0.25">
      <c r="A4056" s="21">
        <v>4055</v>
      </c>
      <c r="B4056" s="7" t="s">
        <v>8866</v>
      </c>
      <c r="C4056" s="7" t="s">
        <v>8867</v>
      </c>
      <c r="G4056" s="8" t="s">
        <v>15</v>
      </c>
    </row>
    <row r="4057" spans="1:7" hidden="1" x14ac:dyDescent="0.25">
      <c r="A4057" s="21">
        <v>4056</v>
      </c>
      <c r="B4057" s="7" t="s">
        <v>8868</v>
      </c>
      <c r="C4057" s="7" t="s">
        <v>8869</v>
      </c>
      <c r="G4057" s="8" t="s">
        <v>15</v>
      </c>
    </row>
    <row r="4058" spans="1:7" hidden="1" x14ac:dyDescent="0.25">
      <c r="A4058" s="21">
        <v>4057</v>
      </c>
      <c r="B4058" s="7" t="s">
        <v>8870</v>
      </c>
      <c r="C4058" s="7" t="s">
        <v>8871</v>
      </c>
      <c r="G4058" s="8" t="s">
        <v>15</v>
      </c>
    </row>
    <row r="4059" spans="1:7" hidden="1" x14ac:dyDescent="0.25">
      <c r="A4059" s="21">
        <v>4058</v>
      </c>
      <c r="B4059" s="7" t="s">
        <v>8872</v>
      </c>
      <c r="C4059" s="7" t="s">
        <v>8873</v>
      </c>
      <c r="G4059" s="8" t="s">
        <v>15</v>
      </c>
    </row>
    <row r="4060" spans="1:7" hidden="1" x14ac:dyDescent="0.25">
      <c r="A4060" s="21">
        <v>4059</v>
      </c>
      <c r="B4060" s="7" t="s">
        <v>8874</v>
      </c>
      <c r="C4060" s="7" t="s">
        <v>8875</v>
      </c>
      <c r="G4060" s="8" t="s">
        <v>15</v>
      </c>
    </row>
    <row r="4061" spans="1:7" hidden="1" x14ac:dyDescent="0.25">
      <c r="A4061" s="21">
        <v>4060</v>
      </c>
      <c r="B4061" s="7" t="s">
        <v>8876</v>
      </c>
      <c r="C4061" s="7" t="s">
        <v>8877</v>
      </c>
      <c r="G4061" s="8" t="s">
        <v>15</v>
      </c>
    </row>
    <row r="4062" spans="1:7" hidden="1" x14ac:dyDescent="0.25">
      <c r="A4062" s="21">
        <v>4061</v>
      </c>
      <c r="B4062" s="7" t="s">
        <v>8878</v>
      </c>
      <c r="C4062" s="7" t="s">
        <v>8879</v>
      </c>
      <c r="G4062" s="8" t="s">
        <v>15</v>
      </c>
    </row>
    <row r="4063" spans="1:7" hidden="1" x14ac:dyDescent="0.25">
      <c r="A4063" s="21">
        <v>4062</v>
      </c>
      <c r="B4063" s="7" t="s">
        <v>8880</v>
      </c>
      <c r="C4063" s="7" t="s">
        <v>8881</v>
      </c>
      <c r="G4063" s="8" t="s">
        <v>15</v>
      </c>
    </row>
    <row r="4064" spans="1:7" hidden="1" x14ac:dyDescent="0.25">
      <c r="A4064" s="21">
        <v>4063</v>
      </c>
      <c r="B4064" s="7" t="s">
        <v>8882</v>
      </c>
      <c r="C4064" s="7" t="s">
        <v>8883</v>
      </c>
      <c r="G4064" s="8" t="s">
        <v>15</v>
      </c>
    </row>
    <row r="4065" spans="1:7" hidden="1" x14ac:dyDescent="0.25">
      <c r="A4065" s="21">
        <v>4064</v>
      </c>
      <c r="B4065" s="7" t="s">
        <v>8884</v>
      </c>
      <c r="C4065" s="7" t="s">
        <v>8885</v>
      </c>
      <c r="G4065" s="8" t="s">
        <v>15</v>
      </c>
    </row>
    <row r="4066" spans="1:7" hidden="1" x14ac:dyDescent="0.25">
      <c r="A4066" s="21">
        <v>4065</v>
      </c>
      <c r="B4066" s="7" t="s">
        <v>8886</v>
      </c>
      <c r="C4066" s="7" t="s">
        <v>8887</v>
      </c>
      <c r="G4066" s="8" t="s">
        <v>15</v>
      </c>
    </row>
    <row r="4067" spans="1:7" hidden="1" x14ac:dyDescent="0.25">
      <c r="A4067" s="21">
        <v>4066</v>
      </c>
      <c r="B4067" s="7" t="s">
        <v>8888</v>
      </c>
      <c r="C4067" s="7" t="s">
        <v>8889</v>
      </c>
      <c r="G4067" s="8" t="s">
        <v>15</v>
      </c>
    </row>
    <row r="4068" spans="1:7" hidden="1" x14ac:dyDescent="0.25">
      <c r="A4068" s="21">
        <v>4067</v>
      </c>
      <c r="B4068" s="7" t="s">
        <v>8890</v>
      </c>
      <c r="C4068" s="7" t="s">
        <v>8891</v>
      </c>
      <c r="G4068" s="8" t="s">
        <v>15</v>
      </c>
    </row>
    <row r="4069" spans="1:7" hidden="1" x14ac:dyDescent="0.25">
      <c r="A4069" s="21">
        <v>4068</v>
      </c>
      <c r="B4069" s="7" t="s">
        <v>8892</v>
      </c>
      <c r="C4069" s="7" t="s">
        <v>8893</v>
      </c>
      <c r="G4069" s="8" t="s">
        <v>15</v>
      </c>
    </row>
    <row r="4070" spans="1:7" hidden="1" x14ac:dyDescent="0.25">
      <c r="A4070" s="21">
        <v>4069</v>
      </c>
      <c r="B4070" s="7" t="s">
        <v>8894</v>
      </c>
      <c r="C4070" s="7" t="s">
        <v>8895</v>
      </c>
      <c r="G4070" s="8" t="s">
        <v>15</v>
      </c>
    </row>
    <row r="4071" spans="1:7" hidden="1" x14ac:dyDescent="0.25">
      <c r="A4071" s="21">
        <v>4070</v>
      </c>
      <c r="B4071" s="7" t="s">
        <v>8896</v>
      </c>
      <c r="C4071" s="7" t="s">
        <v>8897</v>
      </c>
      <c r="G4071" s="8" t="s">
        <v>15</v>
      </c>
    </row>
    <row r="4072" spans="1:7" hidden="1" x14ac:dyDescent="0.25">
      <c r="A4072" s="21">
        <v>4071</v>
      </c>
      <c r="B4072" s="7" t="s">
        <v>8898</v>
      </c>
      <c r="C4072" s="7" t="s">
        <v>8899</v>
      </c>
      <c r="G4072" s="8" t="s">
        <v>15</v>
      </c>
    </row>
    <row r="4073" spans="1:7" hidden="1" x14ac:dyDescent="0.25">
      <c r="A4073" s="21">
        <v>4072</v>
      </c>
      <c r="B4073" s="7" t="s">
        <v>8900</v>
      </c>
      <c r="C4073" s="7" t="s">
        <v>8901</v>
      </c>
      <c r="G4073" s="8" t="s">
        <v>15</v>
      </c>
    </row>
    <row r="4074" spans="1:7" hidden="1" x14ac:dyDescent="0.25">
      <c r="A4074" s="21">
        <v>4073</v>
      </c>
      <c r="B4074" s="7" t="s">
        <v>8902</v>
      </c>
      <c r="C4074" s="7" t="s">
        <v>8903</v>
      </c>
      <c r="G4074" s="8" t="s">
        <v>15</v>
      </c>
    </row>
    <row r="4075" spans="1:7" hidden="1" x14ac:dyDescent="0.25">
      <c r="A4075" s="21">
        <v>4074</v>
      </c>
      <c r="B4075" s="7" t="s">
        <v>8904</v>
      </c>
      <c r="C4075" s="7" t="s">
        <v>8905</v>
      </c>
      <c r="G4075" s="8" t="s">
        <v>15</v>
      </c>
    </row>
    <row r="4076" spans="1:7" hidden="1" x14ac:dyDescent="0.25">
      <c r="A4076" s="21">
        <v>4075</v>
      </c>
      <c r="B4076" s="7" t="s">
        <v>8906</v>
      </c>
      <c r="C4076" s="7" t="s">
        <v>8907</v>
      </c>
      <c r="G4076" s="8" t="s">
        <v>15</v>
      </c>
    </row>
    <row r="4077" spans="1:7" hidden="1" x14ac:dyDescent="0.25">
      <c r="A4077" s="21">
        <v>4076</v>
      </c>
      <c r="B4077" s="7" t="s">
        <v>8908</v>
      </c>
      <c r="C4077" s="7" t="s">
        <v>8909</v>
      </c>
      <c r="G4077" s="8" t="s">
        <v>15</v>
      </c>
    </row>
    <row r="4078" spans="1:7" hidden="1" x14ac:dyDescent="0.25">
      <c r="A4078" s="21">
        <v>4077</v>
      </c>
      <c r="B4078" s="7" t="s">
        <v>8910</v>
      </c>
      <c r="C4078" s="7" t="s">
        <v>8911</v>
      </c>
      <c r="G4078" s="8" t="s">
        <v>15</v>
      </c>
    </row>
    <row r="4079" spans="1:7" hidden="1" x14ac:dyDescent="0.25">
      <c r="A4079" s="21">
        <v>4078</v>
      </c>
      <c r="B4079" s="7" t="s">
        <v>8912</v>
      </c>
      <c r="C4079" s="7" t="s">
        <v>8913</v>
      </c>
      <c r="G4079" s="8" t="s">
        <v>15</v>
      </c>
    </row>
    <row r="4080" spans="1:7" hidden="1" x14ac:dyDescent="0.25">
      <c r="A4080" s="21">
        <v>4079</v>
      </c>
      <c r="B4080" s="7" t="s">
        <v>8914</v>
      </c>
      <c r="C4080" s="7" t="s">
        <v>8915</v>
      </c>
      <c r="G4080" s="8" t="s">
        <v>15</v>
      </c>
    </row>
    <row r="4081" spans="1:8" hidden="1" x14ac:dyDescent="0.25">
      <c r="A4081" s="21">
        <v>4080</v>
      </c>
      <c r="B4081" s="7" t="s">
        <v>8916</v>
      </c>
      <c r="C4081" s="7" t="s">
        <v>8917</v>
      </c>
      <c r="G4081" s="8" t="s">
        <v>15</v>
      </c>
      <c r="H4081" t="str">
        <f>_xlfn.XLOOKUP(B4081,Data!T:T,Data!F:F)</f>
        <v>Pack of 10 Amps</v>
      </c>
    </row>
    <row r="4082" spans="1:8" hidden="1" x14ac:dyDescent="0.25">
      <c r="A4082" s="21">
        <v>4081</v>
      </c>
      <c r="B4082" s="7" t="s">
        <v>8918</v>
      </c>
      <c r="C4082" s="7" t="s">
        <v>8919</v>
      </c>
      <c r="G4082" s="8" t="s">
        <v>15</v>
      </c>
    </row>
    <row r="4083" spans="1:8" hidden="1" x14ac:dyDescent="0.25">
      <c r="A4083" s="21">
        <v>4082</v>
      </c>
      <c r="B4083" s="7" t="s">
        <v>8920</v>
      </c>
      <c r="C4083" s="7" t="s">
        <v>8921</v>
      </c>
      <c r="G4083" s="8" t="s">
        <v>15</v>
      </c>
    </row>
    <row r="4084" spans="1:8" hidden="1" x14ac:dyDescent="0.25">
      <c r="A4084" s="21">
        <v>4083</v>
      </c>
      <c r="B4084" s="7" t="s">
        <v>8922</v>
      </c>
      <c r="C4084" s="7" t="s">
        <v>8923</v>
      </c>
      <c r="G4084" s="8" t="s">
        <v>15</v>
      </c>
    </row>
    <row r="4085" spans="1:8" hidden="1" x14ac:dyDescent="0.25">
      <c r="A4085" s="21">
        <v>4084</v>
      </c>
      <c r="B4085" s="7" t="s">
        <v>8924</v>
      </c>
      <c r="C4085" s="7" t="s">
        <v>8925</v>
      </c>
      <c r="G4085" s="8" t="s">
        <v>15</v>
      </c>
    </row>
    <row r="4086" spans="1:8" hidden="1" x14ac:dyDescent="0.25">
      <c r="A4086" s="21">
        <v>4085</v>
      </c>
      <c r="B4086" s="7" t="s">
        <v>8926</v>
      </c>
      <c r="C4086" s="7" t="s">
        <v>8927</v>
      </c>
      <c r="G4086" s="8" t="s">
        <v>15</v>
      </c>
    </row>
    <row r="4087" spans="1:8" hidden="1" x14ac:dyDescent="0.25">
      <c r="A4087" s="21">
        <v>4086</v>
      </c>
      <c r="B4087" s="7" t="s">
        <v>8928</v>
      </c>
      <c r="C4087" s="7" t="s">
        <v>8929</v>
      </c>
      <c r="G4087" s="8" t="s">
        <v>15</v>
      </c>
    </row>
    <row r="4088" spans="1:8" hidden="1" x14ac:dyDescent="0.25">
      <c r="A4088" s="21">
        <v>4087</v>
      </c>
      <c r="B4088" s="7" t="s">
        <v>8930</v>
      </c>
      <c r="C4088" s="7" t="s">
        <v>8931</v>
      </c>
      <c r="G4088" s="8" t="s">
        <v>15</v>
      </c>
    </row>
    <row r="4089" spans="1:8" hidden="1" x14ac:dyDescent="0.25">
      <c r="A4089" s="21">
        <v>4088</v>
      </c>
      <c r="B4089" s="7" t="s">
        <v>8932</v>
      </c>
      <c r="C4089" s="7" t="s">
        <v>8933</v>
      </c>
      <c r="G4089" s="8" t="s">
        <v>15</v>
      </c>
    </row>
    <row r="4090" spans="1:8" hidden="1" x14ac:dyDescent="0.25">
      <c r="A4090" s="21">
        <v>4089</v>
      </c>
      <c r="B4090" s="7" t="s">
        <v>8934</v>
      </c>
      <c r="C4090" s="7" t="s">
        <v>8935</v>
      </c>
      <c r="G4090" s="8" t="s">
        <v>15</v>
      </c>
    </row>
    <row r="4091" spans="1:8" hidden="1" x14ac:dyDescent="0.25">
      <c r="A4091" s="21">
        <v>4090</v>
      </c>
      <c r="B4091" s="7" t="s">
        <v>8936</v>
      </c>
      <c r="C4091" s="7" t="s">
        <v>8937</v>
      </c>
      <c r="G4091" s="8" t="s">
        <v>15</v>
      </c>
    </row>
    <row r="4092" spans="1:8" hidden="1" x14ac:dyDescent="0.25">
      <c r="A4092" s="21">
        <v>4091</v>
      </c>
      <c r="B4092" s="7" t="s">
        <v>8938</v>
      </c>
      <c r="C4092" s="7" t="s">
        <v>8939</v>
      </c>
      <c r="G4092" s="8" t="s">
        <v>15</v>
      </c>
    </row>
    <row r="4093" spans="1:8" hidden="1" x14ac:dyDescent="0.25">
      <c r="A4093" s="21">
        <v>4092</v>
      </c>
      <c r="B4093" s="7" t="s">
        <v>8940</v>
      </c>
      <c r="C4093" s="7" t="s">
        <v>8941</v>
      </c>
      <c r="G4093" s="8" t="s">
        <v>15</v>
      </c>
    </row>
    <row r="4094" spans="1:8" hidden="1" x14ac:dyDescent="0.25">
      <c r="A4094" s="21">
        <v>4093</v>
      </c>
      <c r="B4094" s="7" t="s">
        <v>8942</v>
      </c>
      <c r="C4094" s="7" t="s">
        <v>8943</v>
      </c>
      <c r="G4094" s="8" t="s">
        <v>15</v>
      </c>
    </row>
    <row r="4095" spans="1:8" hidden="1" x14ac:dyDescent="0.25">
      <c r="A4095" s="21">
        <v>4094</v>
      </c>
      <c r="B4095" s="7" t="s">
        <v>8944</v>
      </c>
      <c r="C4095" s="7" t="s">
        <v>8945</v>
      </c>
      <c r="G4095" s="8" t="s">
        <v>15</v>
      </c>
    </row>
    <row r="4096" spans="1:8" hidden="1" x14ac:dyDescent="0.25">
      <c r="A4096" s="21">
        <v>4095</v>
      </c>
      <c r="B4096" s="7" t="s">
        <v>8946</v>
      </c>
      <c r="C4096" s="7" t="s">
        <v>8947</v>
      </c>
      <c r="G4096" s="8" t="s">
        <v>15</v>
      </c>
    </row>
    <row r="4097" spans="1:7" hidden="1" x14ac:dyDescent="0.25">
      <c r="A4097" s="21">
        <v>4096</v>
      </c>
      <c r="B4097" s="7" t="s">
        <v>8948</v>
      </c>
      <c r="C4097" s="7" t="s">
        <v>8949</v>
      </c>
      <c r="G4097" s="8" t="s">
        <v>15</v>
      </c>
    </row>
    <row r="4098" spans="1:7" hidden="1" x14ac:dyDescent="0.25">
      <c r="A4098" s="21">
        <v>4097</v>
      </c>
      <c r="B4098" s="7" t="s">
        <v>8950</v>
      </c>
      <c r="C4098" s="7" t="s">
        <v>8951</v>
      </c>
      <c r="G4098" s="8" t="s">
        <v>15</v>
      </c>
    </row>
    <row r="4099" spans="1:7" hidden="1" x14ac:dyDescent="0.25">
      <c r="A4099" s="21">
        <v>4098</v>
      </c>
      <c r="B4099" s="7" t="s">
        <v>8952</v>
      </c>
      <c r="C4099" s="7" t="s">
        <v>8953</v>
      </c>
      <c r="G4099" s="8" t="s">
        <v>15</v>
      </c>
    </row>
    <row r="4100" spans="1:7" hidden="1" x14ac:dyDescent="0.25">
      <c r="A4100" s="21">
        <v>4099</v>
      </c>
      <c r="B4100" s="7" t="s">
        <v>8954</v>
      </c>
      <c r="C4100" s="7" t="s">
        <v>8955</v>
      </c>
      <c r="G4100" s="8" t="s">
        <v>15</v>
      </c>
    </row>
    <row r="4101" spans="1:7" hidden="1" x14ac:dyDescent="0.25">
      <c r="A4101" s="21">
        <v>4100</v>
      </c>
      <c r="B4101" s="7" t="s">
        <v>8956</v>
      </c>
      <c r="C4101" s="7" t="s">
        <v>8957</v>
      </c>
      <c r="G4101" s="8" t="s">
        <v>15</v>
      </c>
    </row>
    <row r="4102" spans="1:7" hidden="1" x14ac:dyDescent="0.25">
      <c r="A4102" s="21">
        <v>4101</v>
      </c>
      <c r="B4102" s="7" t="s">
        <v>8958</v>
      </c>
      <c r="C4102" s="7" t="s">
        <v>8959</v>
      </c>
      <c r="G4102" s="8" t="s">
        <v>15</v>
      </c>
    </row>
    <row r="4103" spans="1:7" hidden="1" x14ac:dyDescent="0.25">
      <c r="A4103" s="21">
        <v>4102</v>
      </c>
      <c r="B4103" s="7" t="s">
        <v>8960</v>
      </c>
      <c r="C4103" s="7" t="s">
        <v>8961</v>
      </c>
      <c r="G4103" s="8" t="s">
        <v>15</v>
      </c>
    </row>
    <row r="4104" spans="1:7" hidden="1" x14ac:dyDescent="0.25">
      <c r="A4104" s="21">
        <v>4103</v>
      </c>
      <c r="B4104" s="7" t="s">
        <v>8962</v>
      </c>
      <c r="C4104" s="7" t="s">
        <v>8963</v>
      </c>
      <c r="G4104" s="8" t="s">
        <v>15</v>
      </c>
    </row>
    <row r="4105" spans="1:7" hidden="1" x14ac:dyDescent="0.25">
      <c r="A4105" s="21">
        <v>4104</v>
      </c>
      <c r="B4105" s="7" t="s">
        <v>8964</v>
      </c>
      <c r="C4105" s="7" t="s">
        <v>8965</v>
      </c>
      <c r="G4105" s="8" t="s">
        <v>15</v>
      </c>
    </row>
    <row r="4106" spans="1:7" hidden="1" x14ac:dyDescent="0.25">
      <c r="A4106" s="21">
        <v>4105</v>
      </c>
      <c r="B4106" s="7" t="s">
        <v>8966</v>
      </c>
      <c r="C4106" s="7" t="s">
        <v>8967</v>
      </c>
      <c r="G4106" s="8" t="s">
        <v>15</v>
      </c>
    </row>
    <row r="4107" spans="1:7" hidden="1" x14ac:dyDescent="0.25">
      <c r="A4107" s="21">
        <v>4106</v>
      </c>
      <c r="B4107" s="7" t="s">
        <v>8968</v>
      </c>
      <c r="C4107" s="7" t="s">
        <v>8969</v>
      </c>
      <c r="G4107" s="8" t="s">
        <v>15</v>
      </c>
    </row>
    <row r="4108" spans="1:7" hidden="1" x14ac:dyDescent="0.25">
      <c r="A4108" s="21">
        <v>4107</v>
      </c>
      <c r="B4108" s="7" t="s">
        <v>8970</v>
      </c>
      <c r="C4108" s="7" t="s">
        <v>8971</v>
      </c>
      <c r="G4108" s="8" t="s">
        <v>15</v>
      </c>
    </row>
    <row r="4109" spans="1:7" hidden="1" x14ac:dyDescent="0.25">
      <c r="A4109" s="21">
        <v>4108</v>
      </c>
      <c r="B4109" s="7" t="s">
        <v>8972</v>
      </c>
      <c r="C4109" s="7" t="s">
        <v>8973</v>
      </c>
      <c r="G4109" s="8" t="s">
        <v>15</v>
      </c>
    </row>
    <row r="4110" spans="1:7" hidden="1" x14ac:dyDescent="0.25">
      <c r="A4110" s="21">
        <v>4109</v>
      </c>
      <c r="B4110" s="7" t="s">
        <v>8974</v>
      </c>
      <c r="C4110" s="7" t="s">
        <v>8975</v>
      </c>
      <c r="G4110" s="8" t="s">
        <v>15</v>
      </c>
    </row>
    <row r="4111" spans="1:7" hidden="1" x14ac:dyDescent="0.25">
      <c r="A4111" s="21">
        <v>4110</v>
      </c>
      <c r="B4111" s="7" t="s">
        <v>8976</v>
      </c>
      <c r="C4111" s="7" t="s">
        <v>8977</v>
      </c>
      <c r="G4111" s="8" t="s">
        <v>15</v>
      </c>
    </row>
    <row r="4112" spans="1:7" hidden="1" x14ac:dyDescent="0.25">
      <c r="A4112" s="21">
        <v>4111</v>
      </c>
      <c r="B4112" s="7" t="s">
        <v>8978</v>
      </c>
      <c r="C4112" s="7" t="s">
        <v>8979</v>
      </c>
      <c r="G4112" s="8" t="s">
        <v>15</v>
      </c>
    </row>
    <row r="4113" spans="1:7" hidden="1" x14ac:dyDescent="0.25">
      <c r="A4113" s="21">
        <v>4112</v>
      </c>
      <c r="B4113" s="7" t="s">
        <v>8980</v>
      </c>
      <c r="C4113" s="7" t="s">
        <v>8981</v>
      </c>
      <c r="G4113" s="8" t="s">
        <v>15</v>
      </c>
    </row>
    <row r="4114" spans="1:7" hidden="1" x14ac:dyDescent="0.25">
      <c r="A4114" s="21">
        <v>4113</v>
      </c>
      <c r="B4114" s="7" t="s">
        <v>8982</v>
      </c>
      <c r="C4114" s="7" t="s">
        <v>8983</v>
      </c>
      <c r="G4114" s="8" t="s">
        <v>15</v>
      </c>
    </row>
    <row r="4115" spans="1:7" hidden="1" x14ac:dyDescent="0.25">
      <c r="A4115" s="21">
        <v>4114</v>
      </c>
      <c r="B4115" s="7" t="s">
        <v>8984</v>
      </c>
      <c r="C4115" s="7" t="s">
        <v>8985</v>
      </c>
      <c r="G4115" s="8" t="s">
        <v>15</v>
      </c>
    </row>
    <row r="4116" spans="1:7" hidden="1" x14ac:dyDescent="0.25">
      <c r="A4116" s="21">
        <v>4115</v>
      </c>
      <c r="B4116" s="7" t="s">
        <v>8986</v>
      </c>
      <c r="C4116" s="7" t="s">
        <v>8987</v>
      </c>
      <c r="G4116" s="8" t="s">
        <v>15</v>
      </c>
    </row>
    <row r="4117" spans="1:7" hidden="1" x14ac:dyDescent="0.25">
      <c r="A4117" s="21">
        <v>4116</v>
      </c>
      <c r="B4117" s="7" t="s">
        <v>8988</v>
      </c>
      <c r="C4117" s="7" t="s">
        <v>8989</v>
      </c>
      <c r="G4117" s="8" t="s">
        <v>15</v>
      </c>
    </row>
    <row r="4118" spans="1:7" hidden="1" x14ac:dyDescent="0.25">
      <c r="A4118" s="21">
        <v>4117</v>
      </c>
      <c r="B4118" s="7" t="s">
        <v>8990</v>
      </c>
      <c r="C4118" s="7" t="s">
        <v>8991</v>
      </c>
      <c r="G4118" s="8" t="s">
        <v>15</v>
      </c>
    </row>
    <row r="4119" spans="1:7" hidden="1" x14ac:dyDescent="0.25">
      <c r="A4119" s="21">
        <v>4118</v>
      </c>
      <c r="B4119" s="7" t="s">
        <v>8992</v>
      </c>
      <c r="C4119" s="7" t="s">
        <v>8993</v>
      </c>
      <c r="G4119" s="8" t="s">
        <v>15</v>
      </c>
    </row>
    <row r="4120" spans="1:7" hidden="1" x14ac:dyDescent="0.25">
      <c r="A4120" s="21">
        <v>4119</v>
      </c>
      <c r="B4120" s="7" t="s">
        <v>8994</v>
      </c>
      <c r="C4120" s="7" t="s">
        <v>8995</v>
      </c>
      <c r="G4120" s="8" t="s">
        <v>15</v>
      </c>
    </row>
    <row r="4121" spans="1:7" hidden="1" x14ac:dyDescent="0.25">
      <c r="A4121" s="21">
        <v>4120</v>
      </c>
      <c r="B4121" s="7" t="s">
        <v>8996</v>
      </c>
      <c r="C4121" s="7" t="s">
        <v>8997</v>
      </c>
      <c r="G4121" s="8" t="s">
        <v>15</v>
      </c>
    </row>
    <row r="4122" spans="1:7" hidden="1" x14ac:dyDescent="0.25">
      <c r="A4122" s="21">
        <v>4121</v>
      </c>
      <c r="B4122" s="7" t="s">
        <v>8998</v>
      </c>
      <c r="C4122" s="7" t="s">
        <v>8999</v>
      </c>
      <c r="G4122" s="8" t="s">
        <v>15</v>
      </c>
    </row>
    <row r="4123" spans="1:7" hidden="1" x14ac:dyDescent="0.25">
      <c r="A4123" s="21">
        <v>4122</v>
      </c>
      <c r="B4123" s="7" t="s">
        <v>9000</v>
      </c>
      <c r="C4123" s="7" t="s">
        <v>9001</v>
      </c>
      <c r="G4123" s="8" t="s">
        <v>15</v>
      </c>
    </row>
    <row r="4124" spans="1:7" hidden="1" x14ac:dyDescent="0.25">
      <c r="A4124" s="21">
        <v>4123</v>
      </c>
      <c r="B4124" s="7" t="s">
        <v>9002</v>
      </c>
      <c r="C4124" s="7" t="s">
        <v>9003</v>
      </c>
      <c r="G4124" s="8" t="s">
        <v>15</v>
      </c>
    </row>
    <row r="4125" spans="1:7" hidden="1" x14ac:dyDescent="0.25">
      <c r="A4125" s="21">
        <v>4124</v>
      </c>
      <c r="B4125" s="7" t="s">
        <v>9004</v>
      </c>
      <c r="C4125" s="7" t="s">
        <v>9005</v>
      </c>
      <c r="G4125" s="8" t="s">
        <v>15</v>
      </c>
    </row>
    <row r="4126" spans="1:7" hidden="1" x14ac:dyDescent="0.25">
      <c r="A4126" s="21">
        <v>4125</v>
      </c>
      <c r="B4126" s="7" t="s">
        <v>9006</v>
      </c>
      <c r="C4126" s="7" t="s">
        <v>9007</v>
      </c>
      <c r="G4126" s="8" t="s">
        <v>15</v>
      </c>
    </row>
    <row r="4127" spans="1:7" hidden="1" x14ac:dyDescent="0.25">
      <c r="A4127" s="21">
        <v>4126</v>
      </c>
      <c r="B4127" s="7" t="s">
        <v>9008</v>
      </c>
      <c r="C4127" s="7" t="s">
        <v>9009</v>
      </c>
      <c r="G4127" s="8" t="s">
        <v>15</v>
      </c>
    </row>
    <row r="4128" spans="1:7" hidden="1" x14ac:dyDescent="0.25">
      <c r="A4128" s="21">
        <v>4127</v>
      </c>
      <c r="B4128" s="7" t="s">
        <v>9010</v>
      </c>
      <c r="C4128" s="7" t="s">
        <v>9011</v>
      </c>
      <c r="G4128" s="8" t="s">
        <v>15</v>
      </c>
    </row>
    <row r="4129" spans="1:7" hidden="1" x14ac:dyDescent="0.25">
      <c r="A4129" s="21">
        <v>4128</v>
      </c>
      <c r="B4129" s="7" t="s">
        <v>9012</v>
      </c>
      <c r="C4129" s="7" t="s">
        <v>9013</v>
      </c>
      <c r="G4129" s="8" t="s">
        <v>15</v>
      </c>
    </row>
    <row r="4130" spans="1:7" hidden="1" x14ac:dyDescent="0.25">
      <c r="A4130" s="21">
        <v>4129</v>
      </c>
      <c r="B4130" s="7" t="s">
        <v>9014</v>
      </c>
      <c r="C4130" s="7" t="s">
        <v>9015</v>
      </c>
      <c r="G4130" s="8" t="s">
        <v>15</v>
      </c>
    </row>
    <row r="4131" spans="1:7" hidden="1" x14ac:dyDescent="0.25">
      <c r="A4131" s="21">
        <v>4130</v>
      </c>
      <c r="B4131" s="7" t="s">
        <v>9016</v>
      </c>
      <c r="C4131" s="7" t="s">
        <v>9017</v>
      </c>
      <c r="G4131" s="8" t="s">
        <v>15</v>
      </c>
    </row>
    <row r="4132" spans="1:7" hidden="1" x14ac:dyDescent="0.25">
      <c r="A4132" s="21">
        <v>4131</v>
      </c>
      <c r="B4132" s="7" t="s">
        <v>9018</v>
      </c>
      <c r="C4132" s="7" t="s">
        <v>9019</v>
      </c>
      <c r="G4132" s="8" t="s">
        <v>15</v>
      </c>
    </row>
    <row r="4133" spans="1:7" hidden="1" x14ac:dyDescent="0.25">
      <c r="A4133" s="21">
        <v>4132</v>
      </c>
      <c r="B4133" s="7" t="s">
        <v>9020</v>
      </c>
      <c r="C4133" s="7" t="s">
        <v>9021</v>
      </c>
      <c r="G4133" s="8" t="s">
        <v>15</v>
      </c>
    </row>
    <row r="4134" spans="1:7" hidden="1" x14ac:dyDescent="0.25">
      <c r="A4134" s="21">
        <v>4133</v>
      </c>
      <c r="B4134" s="7" t="s">
        <v>9022</v>
      </c>
      <c r="C4134" s="7" t="s">
        <v>9023</v>
      </c>
      <c r="G4134" s="8" t="s">
        <v>15</v>
      </c>
    </row>
    <row r="4135" spans="1:7" hidden="1" x14ac:dyDescent="0.25">
      <c r="A4135" s="21">
        <v>4134</v>
      </c>
      <c r="B4135" s="7" t="s">
        <v>9024</v>
      </c>
      <c r="C4135" s="7" t="s">
        <v>9025</v>
      </c>
      <c r="G4135" s="8" t="s">
        <v>15</v>
      </c>
    </row>
    <row r="4136" spans="1:7" hidden="1" x14ac:dyDescent="0.25">
      <c r="A4136" s="21">
        <v>4135</v>
      </c>
      <c r="B4136" s="7" t="s">
        <v>9026</v>
      </c>
      <c r="C4136" s="7" t="s">
        <v>9027</v>
      </c>
      <c r="G4136" s="8" t="s">
        <v>15</v>
      </c>
    </row>
    <row r="4137" spans="1:7" hidden="1" x14ac:dyDescent="0.25">
      <c r="A4137" s="21">
        <v>4136</v>
      </c>
      <c r="B4137" s="7" t="s">
        <v>9028</v>
      </c>
      <c r="C4137" s="7" t="s">
        <v>9029</v>
      </c>
      <c r="G4137" s="8" t="s">
        <v>15</v>
      </c>
    </row>
    <row r="4138" spans="1:7" hidden="1" x14ac:dyDescent="0.25">
      <c r="A4138" s="21">
        <v>4137</v>
      </c>
      <c r="B4138" s="7" t="s">
        <v>9030</v>
      </c>
      <c r="C4138" s="7" t="s">
        <v>9031</v>
      </c>
      <c r="G4138" s="8" t="s">
        <v>15</v>
      </c>
    </row>
    <row r="4139" spans="1:7" hidden="1" x14ac:dyDescent="0.25">
      <c r="A4139" s="21">
        <v>4138</v>
      </c>
      <c r="B4139" s="7" t="s">
        <v>9032</v>
      </c>
      <c r="C4139" s="7" t="s">
        <v>9033</v>
      </c>
      <c r="G4139" s="8" t="s">
        <v>15</v>
      </c>
    </row>
    <row r="4140" spans="1:7" hidden="1" x14ac:dyDescent="0.25">
      <c r="A4140" s="21">
        <v>4139</v>
      </c>
      <c r="B4140" s="7" t="s">
        <v>9034</v>
      </c>
      <c r="C4140" s="7" t="s">
        <v>9035</v>
      </c>
      <c r="G4140" s="8" t="s">
        <v>15</v>
      </c>
    </row>
    <row r="4141" spans="1:7" hidden="1" x14ac:dyDescent="0.25">
      <c r="A4141" s="21">
        <v>4140</v>
      </c>
      <c r="B4141" s="7" t="s">
        <v>9036</v>
      </c>
      <c r="C4141" s="7" t="s">
        <v>9037</v>
      </c>
      <c r="G4141" s="8" t="s">
        <v>15</v>
      </c>
    </row>
    <row r="4142" spans="1:7" hidden="1" x14ac:dyDescent="0.25">
      <c r="A4142" s="21">
        <v>4141</v>
      </c>
      <c r="B4142" s="7" t="s">
        <v>9038</v>
      </c>
      <c r="C4142" s="7" t="s">
        <v>9039</v>
      </c>
      <c r="G4142" s="8" t="s">
        <v>15</v>
      </c>
    </row>
    <row r="4143" spans="1:7" hidden="1" x14ac:dyDescent="0.25">
      <c r="A4143" s="21">
        <v>4142</v>
      </c>
      <c r="B4143" s="7" t="s">
        <v>9040</v>
      </c>
      <c r="C4143" s="7" t="s">
        <v>9041</v>
      </c>
      <c r="G4143" s="8" t="s">
        <v>15</v>
      </c>
    </row>
    <row r="4144" spans="1:7" hidden="1" x14ac:dyDescent="0.25">
      <c r="A4144" s="21">
        <v>4143</v>
      </c>
      <c r="B4144" s="7" t="s">
        <v>9042</v>
      </c>
      <c r="C4144" s="7" t="s">
        <v>9043</v>
      </c>
      <c r="G4144" s="8" t="s">
        <v>15</v>
      </c>
    </row>
    <row r="4145" spans="1:7" hidden="1" x14ac:dyDescent="0.25">
      <c r="A4145" s="21">
        <v>4144</v>
      </c>
      <c r="B4145" s="7" t="s">
        <v>9044</v>
      </c>
      <c r="C4145" s="7" t="s">
        <v>9045</v>
      </c>
      <c r="G4145" s="8" t="s">
        <v>15</v>
      </c>
    </row>
    <row r="4146" spans="1:7" hidden="1" x14ac:dyDescent="0.25">
      <c r="A4146" s="21">
        <v>4145</v>
      </c>
      <c r="B4146" s="7" t="s">
        <v>9046</v>
      </c>
      <c r="C4146" s="7" t="s">
        <v>9047</v>
      </c>
      <c r="G4146" s="8" t="s">
        <v>15</v>
      </c>
    </row>
    <row r="4147" spans="1:7" hidden="1" x14ac:dyDescent="0.25">
      <c r="A4147" s="21">
        <v>4146</v>
      </c>
      <c r="B4147" s="7" t="s">
        <v>9048</v>
      </c>
      <c r="C4147" s="7" t="s">
        <v>9049</v>
      </c>
      <c r="G4147" s="8" t="s">
        <v>15</v>
      </c>
    </row>
    <row r="4148" spans="1:7" hidden="1" x14ac:dyDescent="0.25">
      <c r="A4148" s="21">
        <v>4147</v>
      </c>
      <c r="B4148" s="7" t="s">
        <v>9050</v>
      </c>
      <c r="C4148" s="7" t="s">
        <v>9051</v>
      </c>
      <c r="G4148" s="8" t="s">
        <v>15</v>
      </c>
    </row>
    <row r="4149" spans="1:7" hidden="1" x14ac:dyDescent="0.25">
      <c r="A4149" s="21">
        <v>4148</v>
      </c>
      <c r="B4149" s="7" t="s">
        <v>9052</v>
      </c>
      <c r="C4149" s="7" t="s">
        <v>9053</v>
      </c>
      <c r="G4149" s="8" t="s">
        <v>15</v>
      </c>
    </row>
    <row r="4150" spans="1:7" hidden="1" x14ac:dyDescent="0.25">
      <c r="A4150" s="21">
        <v>4149</v>
      </c>
      <c r="B4150" s="7" t="s">
        <v>9054</v>
      </c>
      <c r="C4150" s="7" t="s">
        <v>9055</v>
      </c>
      <c r="G4150" s="8" t="s">
        <v>15</v>
      </c>
    </row>
    <row r="4151" spans="1:7" hidden="1" x14ac:dyDescent="0.25">
      <c r="A4151" s="21">
        <v>4150</v>
      </c>
      <c r="B4151" s="7" t="s">
        <v>9056</v>
      </c>
      <c r="C4151" s="7" t="s">
        <v>9057</v>
      </c>
      <c r="G4151" s="8" t="s">
        <v>15</v>
      </c>
    </row>
    <row r="4152" spans="1:7" hidden="1" x14ac:dyDescent="0.25">
      <c r="A4152" s="21">
        <v>4151</v>
      </c>
      <c r="B4152" s="7" t="s">
        <v>9058</v>
      </c>
      <c r="C4152" s="7" t="s">
        <v>9059</v>
      </c>
      <c r="G4152" s="8" t="s">
        <v>15</v>
      </c>
    </row>
    <row r="4153" spans="1:7" hidden="1" x14ac:dyDescent="0.25">
      <c r="A4153" s="21">
        <v>4152</v>
      </c>
      <c r="B4153" s="7" t="s">
        <v>9060</v>
      </c>
      <c r="C4153" s="7" t="s">
        <v>9061</v>
      </c>
      <c r="G4153" s="8" t="s">
        <v>15</v>
      </c>
    </row>
    <row r="4154" spans="1:7" hidden="1" x14ac:dyDescent="0.25">
      <c r="A4154" s="21">
        <v>4153</v>
      </c>
      <c r="B4154" s="7" t="s">
        <v>9062</v>
      </c>
      <c r="C4154" s="7" t="s">
        <v>9063</v>
      </c>
      <c r="G4154" s="8" t="s">
        <v>15</v>
      </c>
    </row>
    <row r="4155" spans="1:7" hidden="1" x14ac:dyDescent="0.25">
      <c r="A4155" s="21">
        <v>4154</v>
      </c>
      <c r="B4155" s="7" t="s">
        <v>9064</v>
      </c>
      <c r="C4155" s="7" t="s">
        <v>9065</v>
      </c>
      <c r="G4155" s="8" t="s">
        <v>15</v>
      </c>
    </row>
    <row r="4156" spans="1:7" hidden="1" x14ac:dyDescent="0.25">
      <c r="A4156" s="21">
        <v>4155</v>
      </c>
      <c r="B4156" s="7" t="s">
        <v>9066</v>
      </c>
      <c r="C4156" s="7" t="s">
        <v>9067</v>
      </c>
      <c r="G4156" s="8" t="s">
        <v>15</v>
      </c>
    </row>
    <row r="4157" spans="1:7" hidden="1" x14ac:dyDescent="0.25">
      <c r="A4157" s="21">
        <v>4156</v>
      </c>
      <c r="B4157" s="7" t="s">
        <v>9068</v>
      </c>
      <c r="C4157" s="7" t="s">
        <v>9069</v>
      </c>
      <c r="G4157" s="8" t="s">
        <v>15</v>
      </c>
    </row>
    <row r="4158" spans="1:7" hidden="1" x14ac:dyDescent="0.25">
      <c r="A4158" s="21">
        <v>4157</v>
      </c>
      <c r="B4158" s="7" t="s">
        <v>9070</v>
      </c>
      <c r="C4158" s="7" t="s">
        <v>9071</v>
      </c>
      <c r="G4158" s="8" t="s">
        <v>15</v>
      </c>
    </row>
    <row r="4159" spans="1:7" hidden="1" x14ac:dyDescent="0.25">
      <c r="A4159" s="21">
        <v>4158</v>
      </c>
      <c r="B4159" s="7" t="s">
        <v>9072</v>
      </c>
      <c r="C4159" s="7" t="s">
        <v>9073</v>
      </c>
      <c r="G4159" s="8" t="s">
        <v>15</v>
      </c>
    </row>
    <row r="4160" spans="1:7" hidden="1" x14ac:dyDescent="0.25">
      <c r="A4160" s="21">
        <v>4159</v>
      </c>
      <c r="B4160" s="7" t="s">
        <v>9074</v>
      </c>
      <c r="C4160" s="7" t="s">
        <v>9075</v>
      </c>
      <c r="G4160" s="8" t="s">
        <v>15</v>
      </c>
    </row>
    <row r="4161" spans="1:7" hidden="1" x14ac:dyDescent="0.25">
      <c r="A4161" s="21">
        <v>4160</v>
      </c>
      <c r="B4161" s="7" t="s">
        <v>9076</v>
      </c>
      <c r="C4161" s="7" t="s">
        <v>9077</v>
      </c>
      <c r="G4161" s="8" t="s">
        <v>15</v>
      </c>
    </row>
    <row r="4162" spans="1:7" hidden="1" x14ac:dyDescent="0.25">
      <c r="A4162" s="21">
        <v>4161</v>
      </c>
      <c r="B4162" s="7" t="s">
        <v>9078</v>
      </c>
      <c r="C4162" s="7" t="s">
        <v>9079</v>
      </c>
      <c r="G4162" s="8" t="s">
        <v>15</v>
      </c>
    </row>
    <row r="4163" spans="1:7" hidden="1" x14ac:dyDescent="0.25">
      <c r="A4163" s="21">
        <v>4162</v>
      </c>
      <c r="B4163" s="7" t="s">
        <v>9080</v>
      </c>
      <c r="C4163" s="7" t="s">
        <v>9081</v>
      </c>
      <c r="G4163" s="8" t="s">
        <v>15</v>
      </c>
    </row>
    <row r="4164" spans="1:7" hidden="1" x14ac:dyDescent="0.25">
      <c r="A4164" s="21">
        <v>4163</v>
      </c>
      <c r="B4164" s="7" t="s">
        <v>9082</v>
      </c>
      <c r="C4164" s="7" t="s">
        <v>9083</v>
      </c>
      <c r="G4164" s="8" t="s">
        <v>15</v>
      </c>
    </row>
    <row r="4165" spans="1:7" hidden="1" x14ac:dyDescent="0.25">
      <c r="A4165" s="21">
        <v>4164</v>
      </c>
      <c r="B4165" s="7" t="s">
        <v>9084</v>
      </c>
      <c r="C4165" s="7" t="s">
        <v>9085</v>
      </c>
      <c r="G4165" s="8" t="s">
        <v>15</v>
      </c>
    </row>
    <row r="4166" spans="1:7" hidden="1" x14ac:dyDescent="0.25">
      <c r="A4166" s="21">
        <v>4165</v>
      </c>
      <c r="B4166" s="7" t="s">
        <v>9086</v>
      </c>
      <c r="C4166" s="7" t="s">
        <v>9087</v>
      </c>
      <c r="G4166" s="8" t="s">
        <v>15</v>
      </c>
    </row>
    <row r="4167" spans="1:7" hidden="1" x14ac:dyDescent="0.25">
      <c r="A4167" s="21">
        <v>4166</v>
      </c>
      <c r="B4167" s="7" t="s">
        <v>9088</v>
      </c>
      <c r="C4167" s="7" t="s">
        <v>9089</v>
      </c>
      <c r="G4167" s="8" t="s">
        <v>15</v>
      </c>
    </row>
    <row r="4168" spans="1:7" hidden="1" x14ac:dyDescent="0.25">
      <c r="A4168" s="21">
        <v>4167</v>
      </c>
      <c r="B4168" s="7" t="s">
        <v>9090</v>
      </c>
      <c r="C4168" s="7" t="s">
        <v>9091</v>
      </c>
      <c r="G4168" s="8" t="s">
        <v>15</v>
      </c>
    </row>
    <row r="4169" spans="1:7" hidden="1" x14ac:dyDescent="0.25">
      <c r="A4169" s="21">
        <v>4168</v>
      </c>
      <c r="B4169" s="7" t="s">
        <v>9092</v>
      </c>
      <c r="C4169" s="7" t="s">
        <v>9093</v>
      </c>
      <c r="G4169" s="8" t="s">
        <v>15</v>
      </c>
    </row>
    <row r="4170" spans="1:7" hidden="1" x14ac:dyDescent="0.25">
      <c r="A4170" s="21">
        <v>4169</v>
      </c>
      <c r="B4170" s="7" t="s">
        <v>9094</v>
      </c>
      <c r="C4170" s="7" t="s">
        <v>9095</v>
      </c>
      <c r="G4170" s="8" t="s">
        <v>15</v>
      </c>
    </row>
    <row r="4171" spans="1:7" hidden="1" x14ac:dyDescent="0.25">
      <c r="A4171" s="21">
        <v>4170</v>
      </c>
      <c r="B4171" s="7" t="s">
        <v>9096</v>
      </c>
      <c r="C4171" s="7" t="s">
        <v>9097</v>
      </c>
      <c r="G4171" s="8" t="s">
        <v>15</v>
      </c>
    </row>
    <row r="4172" spans="1:7" hidden="1" x14ac:dyDescent="0.25">
      <c r="A4172" s="21">
        <v>4171</v>
      </c>
      <c r="B4172" s="7" t="s">
        <v>9098</v>
      </c>
      <c r="C4172" s="7" t="s">
        <v>9099</v>
      </c>
      <c r="G4172" s="8" t="s">
        <v>15</v>
      </c>
    </row>
    <row r="4173" spans="1:7" hidden="1" x14ac:dyDescent="0.25">
      <c r="A4173" s="21">
        <v>4172</v>
      </c>
      <c r="B4173" s="7" t="s">
        <v>9100</v>
      </c>
      <c r="C4173" s="7" t="s">
        <v>9101</v>
      </c>
      <c r="G4173" s="8" t="s">
        <v>15</v>
      </c>
    </row>
    <row r="4174" spans="1:7" hidden="1" x14ac:dyDescent="0.25">
      <c r="A4174" s="21">
        <v>4173</v>
      </c>
      <c r="B4174" s="7" t="s">
        <v>9102</v>
      </c>
      <c r="C4174" s="7" t="s">
        <v>9103</v>
      </c>
      <c r="G4174" s="8" t="s">
        <v>15</v>
      </c>
    </row>
    <row r="4175" spans="1:7" hidden="1" x14ac:dyDescent="0.25">
      <c r="A4175" s="21">
        <v>4174</v>
      </c>
      <c r="B4175" s="7" t="s">
        <v>9104</v>
      </c>
      <c r="C4175" s="7" t="s">
        <v>9105</v>
      </c>
      <c r="G4175" s="8" t="s">
        <v>15</v>
      </c>
    </row>
    <row r="4176" spans="1:7" hidden="1" x14ac:dyDescent="0.25">
      <c r="A4176" s="21">
        <v>4175</v>
      </c>
      <c r="B4176" s="7" t="s">
        <v>9106</v>
      </c>
      <c r="C4176" s="7" t="s">
        <v>9107</v>
      </c>
      <c r="G4176" s="8" t="s">
        <v>15</v>
      </c>
    </row>
    <row r="4177" spans="1:7" hidden="1" x14ac:dyDescent="0.25">
      <c r="A4177" s="21">
        <v>4176</v>
      </c>
      <c r="B4177" s="7" t="s">
        <v>9108</v>
      </c>
      <c r="C4177" s="7" t="s">
        <v>9109</v>
      </c>
      <c r="G4177" s="8" t="s">
        <v>15</v>
      </c>
    </row>
    <row r="4178" spans="1:7" hidden="1" x14ac:dyDescent="0.25">
      <c r="A4178" s="21">
        <v>4177</v>
      </c>
      <c r="B4178" s="7" t="s">
        <v>9110</v>
      </c>
      <c r="C4178" s="7" t="s">
        <v>9111</v>
      </c>
      <c r="G4178" s="8" t="s">
        <v>15</v>
      </c>
    </row>
    <row r="4179" spans="1:7" hidden="1" x14ac:dyDescent="0.25">
      <c r="A4179" s="21">
        <v>4178</v>
      </c>
      <c r="B4179" s="7" t="s">
        <v>9112</v>
      </c>
      <c r="C4179" s="7" t="s">
        <v>9113</v>
      </c>
      <c r="G4179" s="8" t="s">
        <v>15</v>
      </c>
    </row>
    <row r="4180" spans="1:7" hidden="1" x14ac:dyDescent="0.25">
      <c r="A4180" s="21">
        <v>4179</v>
      </c>
      <c r="B4180" s="7" t="s">
        <v>9114</v>
      </c>
      <c r="C4180" s="7" t="s">
        <v>9115</v>
      </c>
      <c r="G4180" s="8" t="s">
        <v>15</v>
      </c>
    </row>
    <row r="4181" spans="1:7" hidden="1" x14ac:dyDescent="0.25">
      <c r="A4181" s="21">
        <v>4180</v>
      </c>
      <c r="B4181" s="7" t="s">
        <v>9116</v>
      </c>
      <c r="C4181" s="7" t="s">
        <v>9117</v>
      </c>
      <c r="G4181" s="8" t="s">
        <v>15</v>
      </c>
    </row>
    <row r="4182" spans="1:7" hidden="1" x14ac:dyDescent="0.25">
      <c r="A4182" s="21">
        <v>4181</v>
      </c>
      <c r="B4182" s="7" t="s">
        <v>9118</v>
      </c>
      <c r="C4182" s="7" t="s">
        <v>9119</v>
      </c>
      <c r="G4182" s="8" t="s">
        <v>15</v>
      </c>
    </row>
    <row r="4183" spans="1:7" hidden="1" x14ac:dyDescent="0.25">
      <c r="A4183" s="21">
        <v>4182</v>
      </c>
      <c r="B4183" s="7" t="s">
        <v>9120</v>
      </c>
      <c r="C4183" s="7" t="s">
        <v>9121</v>
      </c>
      <c r="G4183" s="8" t="s">
        <v>15</v>
      </c>
    </row>
    <row r="4184" spans="1:7" hidden="1" x14ac:dyDescent="0.25">
      <c r="A4184" s="21">
        <v>4183</v>
      </c>
      <c r="B4184" s="7" t="s">
        <v>9122</v>
      </c>
      <c r="C4184" s="7" t="s">
        <v>9123</v>
      </c>
      <c r="G4184" s="8" t="s">
        <v>15</v>
      </c>
    </row>
    <row r="4185" spans="1:7" hidden="1" x14ac:dyDescent="0.25">
      <c r="A4185" s="21">
        <v>4184</v>
      </c>
      <c r="B4185" s="7" t="s">
        <v>9124</v>
      </c>
      <c r="C4185" s="7" t="s">
        <v>9125</v>
      </c>
      <c r="G4185" s="8" t="s">
        <v>15</v>
      </c>
    </row>
    <row r="4186" spans="1:7" hidden="1" x14ac:dyDescent="0.25">
      <c r="A4186" s="21">
        <v>4185</v>
      </c>
      <c r="B4186" s="7" t="s">
        <v>9126</v>
      </c>
      <c r="C4186" s="7" t="s">
        <v>9127</v>
      </c>
      <c r="G4186" s="8" t="s">
        <v>15</v>
      </c>
    </row>
    <row r="4187" spans="1:7" hidden="1" x14ac:dyDescent="0.25">
      <c r="A4187" s="21">
        <v>4186</v>
      </c>
      <c r="B4187" s="7" t="s">
        <v>9128</v>
      </c>
      <c r="C4187" s="7" t="s">
        <v>9129</v>
      </c>
      <c r="G4187" s="8" t="s">
        <v>15</v>
      </c>
    </row>
    <row r="4188" spans="1:7" hidden="1" x14ac:dyDescent="0.25">
      <c r="A4188" s="21">
        <v>4187</v>
      </c>
      <c r="B4188" s="7" t="s">
        <v>9130</v>
      </c>
      <c r="C4188" s="7" t="s">
        <v>9131</v>
      </c>
      <c r="G4188" s="8" t="s">
        <v>15</v>
      </c>
    </row>
    <row r="4189" spans="1:7" hidden="1" x14ac:dyDescent="0.25">
      <c r="A4189" s="21">
        <v>4188</v>
      </c>
      <c r="B4189" s="7" t="s">
        <v>9132</v>
      </c>
      <c r="C4189" s="7" t="s">
        <v>9133</v>
      </c>
      <c r="G4189" s="8" t="s">
        <v>15</v>
      </c>
    </row>
    <row r="4190" spans="1:7" hidden="1" x14ac:dyDescent="0.25">
      <c r="A4190" s="21">
        <v>4189</v>
      </c>
      <c r="B4190" s="7" t="s">
        <v>9134</v>
      </c>
      <c r="C4190" s="7" t="s">
        <v>9135</v>
      </c>
      <c r="G4190" s="8" t="s">
        <v>15</v>
      </c>
    </row>
    <row r="4191" spans="1:7" hidden="1" x14ac:dyDescent="0.25">
      <c r="A4191" s="21">
        <v>4190</v>
      </c>
      <c r="B4191" s="7" t="s">
        <v>9136</v>
      </c>
      <c r="C4191" s="7" t="s">
        <v>9137</v>
      </c>
      <c r="G4191" s="8" t="s">
        <v>15</v>
      </c>
    </row>
    <row r="4192" spans="1:7" hidden="1" x14ac:dyDescent="0.25">
      <c r="A4192" s="21">
        <v>4191</v>
      </c>
      <c r="B4192" s="7" t="s">
        <v>9138</v>
      </c>
      <c r="C4192" s="7" t="s">
        <v>9139</v>
      </c>
      <c r="G4192" s="8" t="s">
        <v>15</v>
      </c>
    </row>
    <row r="4193" spans="1:7" hidden="1" x14ac:dyDescent="0.25">
      <c r="A4193" s="21">
        <v>4192</v>
      </c>
      <c r="B4193" s="7" t="s">
        <v>9140</v>
      </c>
      <c r="C4193" s="7" t="s">
        <v>9141</v>
      </c>
      <c r="G4193" s="8" t="s">
        <v>15</v>
      </c>
    </row>
    <row r="4194" spans="1:7" hidden="1" x14ac:dyDescent="0.25">
      <c r="A4194" s="21">
        <v>4193</v>
      </c>
      <c r="B4194" s="7" t="s">
        <v>9142</v>
      </c>
      <c r="C4194" s="7" t="s">
        <v>9143</v>
      </c>
      <c r="G4194" s="8" t="s">
        <v>15</v>
      </c>
    </row>
    <row r="4195" spans="1:7" hidden="1" x14ac:dyDescent="0.25">
      <c r="A4195" s="21">
        <v>4194</v>
      </c>
      <c r="B4195" s="7" t="s">
        <v>9144</v>
      </c>
      <c r="C4195" s="7" t="s">
        <v>9145</v>
      </c>
      <c r="G4195" s="8" t="s">
        <v>15</v>
      </c>
    </row>
    <row r="4196" spans="1:7" hidden="1" x14ac:dyDescent="0.25">
      <c r="A4196" s="21">
        <v>4195</v>
      </c>
      <c r="B4196" s="7" t="s">
        <v>9146</v>
      </c>
      <c r="C4196" s="7" t="s">
        <v>9147</v>
      </c>
      <c r="G4196" s="8" t="s">
        <v>15</v>
      </c>
    </row>
    <row r="4197" spans="1:7" hidden="1" x14ac:dyDescent="0.25">
      <c r="A4197" s="21">
        <v>4196</v>
      </c>
      <c r="B4197" s="7" t="s">
        <v>9148</v>
      </c>
      <c r="C4197" s="7" t="s">
        <v>9149</v>
      </c>
      <c r="G4197" s="8" t="s">
        <v>15</v>
      </c>
    </row>
    <row r="4198" spans="1:7" hidden="1" x14ac:dyDescent="0.25">
      <c r="A4198" s="21">
        <v>4197</v>
      </c>
      <c r="B4198" s="7" t="s">
        <v>9150</v>
      </c>
      <c r="C4198" s="7" t="s">
        <v>9151</v>
      </c>
      <c r="G4198" s="8" t="s">
        <v>15</v>
      </c>
    </row>
    <row r="4199" spans="1:7" hidden="1" x14ac:dyDescent="0.25">
      <c r="A4199" s="21">
        <v>4198</v>
      </c>
      <c r="B4199" s="7" t="s">
        <v>9152</v>
      </c>
      <c r="C4199" s="7" t="s">
        <v>9153</v>
      </c>
      <c r="G4199" s="8" t="s">
        <v>15</v>
      </c>
    </row>
    <row r="4200" spans="1:7" hidden="1" x14ac:dyDescent="0.25">
      <c r="A4200" s="21">
        <v>4199</v>
      </c>
      <c r="B4200" s="7" t="s">
        <v>9154</v>
      </c>
      <c r="C4200" s="7" t="s">
        <v>9155</v>
      </c>
      <c r="G4200" s="8" t="s">
        <v>15</v>
      </c>
    </row>
    <row r="4201" spans="1:7" hidden="1" x14ac:dyDescent="0.25">
      <c r="A4201" s="21">
        <v>4200</v>
      </c>
      <c r="B4201" s="7" t="s">
        <v>9156</v>
      </c>
      <c r="C4201" s="7" t="s">
        <v>9157</v>
      </c>
      <c r="G4201" s="8" t="s">
        <v>15</v>
      </c>
    </row>
    <row r="4202" spans="1:7" hidden="1" x14ac:dyDescent="0.25">
      <c r="A4202" s="21">
        <v>4201</v>
      </c>
      <c r="B4202" s="7" t="s">
        <v>9158</v>
      </c>
      <c r="C4202" s="7" t="s">
        <v>9159</v>
      </c>
      <c r="G4202" s="8" t="s">
        <v>15</v>
      </c>
    </row>
    <row r="4203" spans="1:7" hidden="1" x14ac:dyDescent="0.25">
      <c r="A4203" s="21">
        <v>4202</v>
      </c>
      <c r="B4203" s="7" t="s">
        <v>9160</v>
      </c>
      <c r="C4203" s="7" t="s">
        <v>9161</v>
      </c>
      <c r="G4203" s="8" t="s">
        <v>15</v>
      </c>
    </row>
    <row r="4204" spans="1:7" hidden="1" x14ac:dyDescent="0.25">
      <c r="A4204" s="21">
        <v>4203</v>
      </c>
      <c r="B4204" s="7" t="s">
        <v>9162</v>
      </c>
      <c r="C4204" s="7" t="s">
        <v>9163</v>
      </c>
      <c r="G4204" s="8" t="s">
        <v>15</v>
      </c>
    </row>
    <row r="4205" spans="1:7" hidden="1" x14ac:dyDescent="0.25">
      <c r="A4205" s="21">
        <v>4204</v>
      </c>
      <c r="B4205" s="7" t="s">
        <v>9164</v>
      </c>
      <c r="C4205" s="7" t="s">
        <v>9165</v>
      </c>
      <c r="G4205" s="8" t="s">
        <v>15</v>
      </c>
    </row>
    <row r="4206" spans="1:7" hidden="1" x14ac:dyDescent="0.25">
      <c r="A4206" s="21">
        <v>4205</v>
      </c>
      <c r="B4206" s="7" t="s">
        <v>9166</v>
      </c>
      <c r="C4206" s="7" t="s">
        <v>9167</v>
      </c>
      <c r="G4206" s="8" t="s">
        <v>15</v>
      </c>
    </row>
    <row r="4207" spans="1:7" hidden="1" x14ac:dyDescent="0.25">
      <c r="A4207" s="21">
        <v>4206</v>
      </c>
      <c r="B4207" s="7" t="s">
        <v>9168</v>
      </c>
      <c r="C4207" s="7" t="s">
        <v>9169</v>
      </c>
      <c r="G4207" s="8" t="s">
        <v>15</v>
      </c>
    </row>
    <row r="4208" spans="1:7" hidden="1" x14ac:dyDescent="0.25">
      <c r="A4208" s="21">
        <v>4207</v>
      </c>
      <c r="B4208" s="7" t="s">
        <v>9170</v>
      </c>
      <c r="C4208" s="7" t="s">
        <v>9171</v>
      </c>
      <c r="G4208" s="8" t="s">
        <v>15</v>
      </c>
    </row>
    <row r="4209" spans="1:7" hidden="1" x14ac:dyDescent="0.25">
      <c r="A4209" s="21">
        <v>4208</v>
      </c>
      <c r="B4209" s="7" t="s">
        <v>9172</v>
      </c>
      <c r="C4209" s="7" t="s">
        <v>9173</v>
      </c>
      <c r="G4209" s="8" t="s">
        <v>15</v>
      </c>
    </row>
    <row r="4210" spans="1:7" hidden="1" x14ac:dyDescent="0.25">
      <c r="A4210" s="21">
        <v>4209</v>
      </c>
      <c r="B4210" s="7" t="s">
        <v>9174</v>
      </c>
      <c r="C4210" s="7" t="s">
        <v>9175</v>
      </c>
      <c r="G4210" s="8" t="s">
        <v>15</v>
      </c>
    </row>
    <row r="4211" spans="1:7" hidden="1" x14ac:dyDescent="0.25">
      <c r="A4211" s="21">
        <v>4210</v>
      </c>
      <c r="B4211" s="7" t="s">
        <v>9176</v>
      </c>
      <c r="C4211" s="7" t="s">
        <v>9177</v>
      </c>
      <c r="G4211" s="8" t="s">
        <v>15</v>
      </c>
    </row>
    <row r="4212" spans="1:7" hidden="1" x14ac:dyDescent="0.25">
      <c r="A4212" s="21">
        <v>4211</v>
      </c>
      <c r="B4212" s="7" t="s">
        <v>9178</v>
      </c>
      <c r="C4212" s="7" t="s">
        <v>9179</v>
      </c>
      <c r="G4212" s="8" t="s">
        <v>15</v>
      </c>
    </row>
    <row r="4213" spans="1:7" hidden="1" x14ac:dyDescent="0.25">
      <c r="A4213" s="21">
        <v>4212</v>
      </c>
      <c r="B4213" s="7" t="s">
        <v>9180</v>
      </c>
      <c r="C4213" s="7" t="s">
        <v>9181</v>
      </c>
      <c r="G4213" s="8" t="s">
        <v>15</v>
      </c>
    </row>
    <row r="4214" spans="1:7" hidden="1" x14ac:dyDescent="0.25">
      <c r="A4214" s="21">
        <v>4213</v>
      </c>
      <c r="B4214" s="7" t="s">
        <v>9182</v>
      </c>
      <c r="C4214" s="7" t="s">
        <v>9183</v>
      </c>
      <c r="G4214" s="8" t="s">
        <v>15</v>
      </c>
    </row>
    <row r="4215" spans="1:7" hidden="1" x14ac:dyDescent="0.25">
      <c r="A4215" s="21">
        <v>4214</v>
      </c>
      <c r="B4215" s="7" t="s">
        <v>9184</v>
      </c>
      <c r="C4215" s="7" t="s">
        <v>9185</v>
      </c>
      <c r="G4215" s="8" t="s">
        <v>15</v>
      </c>
    </row>
    <row r="4216" spans="1:7" hidden="1" x14ac:dyDescent="0.25">
      <c r="A4216" s="21">
        <v>4215</v>
      </c>
      <c r="B4216" s="7" t="s">
        <v>9186</v>
      </c>
      <c r="C4216" s="7" t="s">
        <v>9187</v>
      </c>
      <c r="G4216" s="8" t="s">
        <v>15</v>
      </c>
    </row>
    <row r="4217" spans="1:7" hidden="1" x14ac:dyDescent="0.25">
      <c r="A4217" s="21">
        <v>4216</v>
      </c>
      <c r="B4217" s="7" t="s">
        <v>9188</v>
      </c>
      <c r="C4217" s="7" t="s">
        <v>9189</v>
      </c>
      <c r="G4217" s="8" t="s">
        <v>15</v>
      </c>
    </row>
    <row r="4218" spans="1:7" hidden="1" x14ac:dyDescent="0.25">
      <c r="A4218" s="21">
        <v>4217</v>
      </c>
      <c r="B4218" s="7" t="s">
        <v>9190</v>
      </c>
      <c r="C4218" s="7" t="s">
        <v>9191</v>
      </c>
      <c r="G4218" s="8" t="s">
        <v>15</v>
      </c>
    </row>
    <row r="4219" spans="1:7" hidden="1" x14ac:dyDescent="0.25">
      <c r="A4219" s="21">
        <v>4218</v>
      </c>
      <c r="B4219" s="7" t="s">
        <v>9192</v>
      </c>
      <c r="C4219" s="7" t="s">
        <v>9193</v>
      </c>
      <c r="G4219" s="8" t="s">
        <v>15</v>
      </c>
    </row>
    <row r="4220" spans="1:7" hidden="1" x14ac:dyDescent="0.25">
      <c r="A4220" s="21">
        <v>4219</v>
      </c>
      <c r="B4220" s="7" t="s">
        <v>9194</v>
      </c>
      <c r="C4220" s="7" t="s">
        <v>9195</v>
      </c>
      <c r="G4220" s="8" t="s">
        <v>15</v>
      </c>
    </row>
    <row r="4221" spans="1:7" hidden="1" x14ac:dyDescent="0.25">
      <c r="A4221" s="21">
        <v>4220</v>
      </c>
      <c r="B4221" s="7" t="s">
        <v>9196</v>
      </c>
      <c r="C4221" s="7" t="s">
        <v>9197</v>
      </c>
      <c r="G4221" s="8" t="s">
        <v>15</v>
      </c>
    </row>
    <row r="4222" spans="1:7" hidden="1" x14ac:dyDescent="0.25">
      <c r="A4222" s="21">
        <v>4221</v>
      </c>
      <c r="B4222" s="7" t="s">
        <v>9198</v>
      </c>
      <c r="C4222" s="7" t="s">
        <v>9199</v>
      </c>
      <c r="G4222" s="8" t="s">
        <v>15</v>
      </c>
    </row>
    <row r="4223" spans="1:7" hidden="1" x14ac:dyDescent="0.25">
      <c r="A4223" s="21">
        <v>4222</v>
      </c>
      <c r="B4223" s="7" t="s">
        <v>9200</v>
      </c>
      <c r="C4223" s="7" t="s">
        <v>9201</v>
      </c>
      <c r="G4223" s="8" t="s">
        <v>15</v>
      </c>
    </row>
    <row r="4224" spans="1:7" hidden="1" x14ac:dyDescent="0.25">
      <c r="A4224" s="21">
        <v>4223</v>
      </c>
      <c r="B4224" s="7" t="s">
        <v>9202</v>
      </c>
      <c r="C4224" s="7" t="s">
        <v>9203</v>
      </c>
      <c r="G4224" s="8" t="s">
        <v>15</v>
      </c>
    </row>
    <row r="4225" spans="1:7" hidden="1" x14ac:dyDescent="0.25">
      <c r="A4225" s="21">
        <v>4224</v>
      </c>
      <c r="B4225" s="7" t="s">
        <v>9204</v>
      </c>
      <c r="C4225" s="7" t="s">
        <v>9205</v>
      </c>
      <c r="G4225" s="8" t="s">
        <v>15</v>
      </c>
    </row>
    <row r="4226" spans="1:7" hidden="1" x14ac:dyDescent="0.25">
      <c r="A4226" s="21">
        <v>4225</v>
      </c>
      <c r="B4226" s="7" t="s">
        <v>9206</v>
      </c>
      <c r="C4226" s="7" t="s">
        <v>9207</v>
      </c>
      <c r="G4226" s="8" t="s">
        <v>15</v>
      </c>
    </row>
    <row r="4227" spans="1:7" hidden="1" x14ac:dyDescent="0.25">
      <c r="A4227" s="21">
        <v>4226</v>
      </c>
      <c r="B4227" s="7" t="s">
        <v>9208</v>
      </c>
      <c r="C4227" s="7" t="s">
        <v>9209</v>
      </c>
      <c r="G4227" s="8" t="s">
        <v>15</v>
      </c>
    </row>
    <row r="4228" spans="1:7" hidden="1" x14ac:dyDescent="0.25">
      <c r="A4228" s="21">
        <v>4227</v>
      </c>
      <c r="B4228" s="7" t="s">
        <v>9210</v>
      </c>
      <c r="C4228" s="7" t="s">
        <v>9211</v>
      </c>
      <c r="G4228" s="8" t="s">
        <v>15</v>
      </c>
    </row>
    <row r="4229" spans="1:7" hidden="1" x14ac:dyDescent="0.25">
      <c r="A4229" s="21">
        <v>4228</v>
      </c>
      <c r="B4229" s="7" t="s">
        <v>9212</v>
      </c>
      <c r="C4229" s="7" t="s">
        <v>9213</v>
      </c>
      <c r="G4229" s="8" t="s">
        <v>15</v>
      </c>
    </row>
    <row r="4230" spans="1:7" hidden="1" x14ac:dyDescent="0.25">
      <c r="A4230" s="21">
        <v>4229</v>
      </c>
      <c r="B4230" s="7" t="s">
        <v>9214</v>
      </c>
      <c r="C4230" s="7" t="s">
        <v>9215</v>
      </c>
      <c r="G4230" s="8" t="s">
        <v>15</v>
      </c>
    </row>
    <row r="4231" spans="1:7" hidden="1" x14ac:dyDescent="0.25">
      <c r="A4231" s="21">
        <v>4230</v>
      </c>
      <c r="B4231" s="7" t="s">
        <v>9216</v>
      </c>
      <c r="C4231" s="7" t="s">
        <v>9217</v>
      </c>
      <c r="G4231" s="8" t="s">
        <v>15</v>
      </c>
    </row>
    <row r="4232" spans="1:7" hidden="1" x14ac:dyDescent="0.25">
      <c r="A4232" s="21">
        <v>4231</v>
      </c>
      <c r="B4232" s="7" t="s">
        <v>9218</v>
      </c>
      <c r="C4232" s="7" t="s">
        <v>9219</v>
      </c>
      <c r="G4232" s="8" t="s">
        <v>15</v>
      </c>
    </row>
    <row r="4233" spans="1:7" hidden="1" x14ac:dyDescent="0.25">
      <c r="A4233" s="21">
        <v>4232</v>
      </c>
      <c r="B4233" s="7" t="s">
        <v>9220</v>
      </c>
      <c r="C4233" s="7" t="s">
        <v>9221</v>
      </c>
      <c r="G4233" s="8" t="s">
        <v>15</v>
      </c>
    </row>
    <row r="4234" spans="1:7" hidden="1" x14ac:dyDescent="0.25">
      <c r="A4234" s="21">
        <v>4233</v>
      </c>
      <c r="B4234" s="7" t="s">
        <v>9222</v>
      </c>
      <c r="C4234" s="7" t="s">
        <v>9223</v>
      </c>
      <c r="G4234" s="8" t="s">
        <v>15</v>
      </c>
    </row>
    <row r="4235" spans="1:7" hidden="1" x14ac:dyDescent="0.25">
      <c r="A4235" s="21">
        <v>4234</v>
      </c>
      <c r="B4235" s="7" t="s">
        <v>9224</v>
      </c>
      <c r="C4235" s="7" t="s">
        <v>9225</v>
      </c>
      <c r="G4235" s="8" t="s">
        <v>15</v>
      </c>
    </row>
    <row r="4236" spans="1:7" hidden="1" x14ac:dyDescent="0.25">
      <c r="A4236" s="21">
        <v>4235</v>
      </c>
      <c r="B4236" s="7" t="s">
        <v>9226</v>
      </c>
      <c r="C4236" s="7" t="s">
        <v>9227</v>
      </c>
      <c r="G4236" s="8" t="s">
        <v>15</v>
      </c>
    </row>
    <row r="4237" spans="1:7" hidden="1" x14ac:dyDescent="0.25">
      <c r="A4237" s="21">
        <v>4236</v>
      </c>
      <c r="B4237" s="7" t="s">
        <v>9228</v>
      </c>
      <c r="C4237" s="7" t="s">
        <v>9229</v>
      </c>
      <c r="G4237" s="8" t="s">
        <v>15</v>
      </c>
    </row>
    <row r="4238" spans="1:7" hidden="1" x14ac:dyDescent="0.25">
      <c r="A4238" s="21">
        <v>4237</v>
      </c>
      <c r="B4238" s="7" t="s">
        <v>9230</v>
      </c>
      <c r="C4238" s="7" t="s">
        <v>9231</v>
      </c>
      <c r="G4238" s="8" t="s">
        <v>15</v>
      </c>
    </row>
    <row r="4239" spans="1:7" hidden="1" x14ac:dyDescent="0.25">
      <c r="A4239" s="21">
        <v>4238</v>
      </c>
      <c r="B4239" s="7" t="s">
        <v>9232</v>
      </c>
      <c r="C4239" s="7" t="s">
        <v>9233</v>
      </c>
      <c r="G4239" s="8" t="s">
        <v>15</v>
      </c>
    </row>
    <row r="4240" spans="1:7" hidden="1" x14ac:dyDescent="0.25">
      <c r="A4240" s="21">
        <v>4239</v>
      </c>
      <c r="B4240" s="7" t="s">
        <v>9234</v>
      </c>
      <c r="C4240" s="7" t="s">
        <v>9235</v>
      </c>
      <c r="G4240" s="8" t="s">
        <v>15</v>
      </c>
    </row>
    <row r="4241" spans="1:7" hidden="1" x14ac:dyDescent="0.25">
      <c r="A4241" s="21">
        <v>4240</v>
      </c>
      <c r="B4241" s="7" t="s">
        <v>9236</v>
      </c>
      <c r="C4241" s="7" t="s">
        <v>9237</v>
      </c>
      <c r="G4241" s="8" t="s">
        <v>15</v>
      </c>
    </row>
    <row r="4242" spans="1:7" hidden="1" x14ac:dyDescent="0.25">
      <c r="A4242" s="21">
        <v>4241</v>
      </c>
      <c r="B4242" s="7" t="s">
        <v>9238</v>
      </c>
      <c r="C4242" s="7" t="s">
        <v>9239</v>
      </c>
      <c r="G4242" s="8" t="s">
        <v>15</v>
      </c>
    </row>
    <row r="4243" spans="1:7" hidden="1" x14ac:dyDescent="0.25">
      <c r="A4243" s="21">
        <v>4242</v>
      </c>
      <c r="B4243" s="7" t="s">
        <v>9240</v>
      </c>
      <c r="C4243" s="7" t="s">
        <v>9241</v>
      </c>
      <c r="G4243" s="8" t="s">
        <v>15</v>
      </c>
    </row>
    <row r="4244" spans="1:7" hidden="1" x14ac:dyDescent="0.25">
      <c r="A4244" s="21">
        <v>4243</v>
      </c>
      <c r="B4244" s="7" t="s">
        <v>9242</v>
      </c>
      <c r="C4244" s="7" t="s">
        <v>9243</v>
      </c>
      <c r="G4244" s="8" t="s">
        <v>15</v>
      </c>
    </row>
    <row r="4245" spans="1:7" hidden="1" x14ac:dyDescent="0.25">
      <c r="A4245" s="21">
        <v>4244</v>
      </c>
      <c r="B4245" s="7" t="s">
        <v>9244</v>
      </c>
      <c r="C4245" s="7" t="s">
        <v>9245</v>
      </c>
      <c r="G4245" s="8" t="s">
        <v>15</v>
      </c>
    </row>
    <row r="4246" spans="1:7" hidden="1" x14ac:dyDescent="0.25">
      <c r="A4246" s="21">
        <v>4245</v>
      </c>
      <c r="B4246" s="7" t="s">
        <v>9246</v>
      </c>
      <c r="C4246" s="7" t="s">
        <v>9247</v>
      </c>
      <c r="G4246" s="8" t="s">
        <v>15</v>
      </c>
    </row>
    <row r="4247" spans="1:7" hidden="1" x14ac:dyDescent="0.25">
      <c r="A4247" s="21">
        <v>4246</v>
      </c>
      <c r="B4247" s="7" t="s">
        <v>9248</v>
      </c>
      <c r="C4247" s="7" t="s">
        <v>9249</v>
      </c>
      <c r="G4247" s="8" t="s">
        <v>15</v>
      </c>
    </row>
    <row r="4248" spans="1:7" hidden="1" x14ac:dyDescent="0.25">
      <c r="A4248" s="21">
        <v>4247</v>
      </c>
      <c r="B4248" s="7" t="s">
        <v>9250</v>
      </c>
      <c r="C4248" s="7" t="s">
        <v>9251</v>
      </c>
      <c r="G4248" s="8" t="s">
        <v>15</v>
      </c>
    </row>
    <row r="4249" spans="1:7" hidden="1" x14ac:dyDescent="0.25">
      <c r="A4249" s="21">
        <v>4248</v>
      </c>
      <c r="B4249" s="7" t="s">
        <v>9252</v>
      </c>
      <c r="C4249" s="7" t="s">
        <v>9253</v>
      </c>
      <c r="G4249" s="8" t="s">
        <v>15</v>
      </c>
    </row>
    <row r="4250" spans="1:7" hidden="1" x14ac:dyDescent="0.25">
      <c r="A4250" s="21">
        <v>4249</v>
      </c>
      <c r="B4250" s="7" t="s">
        <v>9254</v>
      </c>
      <c r="C4250" s="7" t="s">
        <v>9255</v>
      </c>
      <c r="G4250" s="8" t="s">
        <v>15</v>
      </c>
    </row>
    <row r="4251" spans="1:7" hidden="1" x14ac:dyDescent="0.25">
      <c r="A4251" s="21">
        <v>4250</v>
      </c>
      <c r="B4251" s="7" t="s">
        <v>9256</v>
      </c>
      <c r="C4251" s="7" t="s">
        <v>9257</v>
      </c>
      <c r="G4251" s="8" t="s">
        <v>15</v>
      </c>
    </row>
    <row r="4252" spans="1:7" hidden="1" x14ac:dyDescent="0.25">
      <c r="A4252" s="21">
        <v>4251</v>
      </c>
      <c r="B4252" s="7" t="s">
        <v>9258</v>
      </c>
      <c r="C4252" s="7" t="s">
        <v>9259</v>
      </c>
      <c r="G4252" s="8" t="s">
        <v>15</v>
      </c>
    </row>
    <row r="4253" spans="1:7" hidden="1" x14ac:dyDescent="0.25">
      <c r="A4253" s="21">
        <v>4252</v>
      </c>
      <c r="B4253" s="7" t="s">
        <v>9260</v>
      </c>
      <c r="C4253" s="7" t="s">
        <v>9261</v>
      </c>
      <c r="G4253" s="8" t="s">
        <v>15</v>
      </c>
    </row>
    <row r="4254" spans="1:7" hidden="1" x14ac:dyDescent="0.25">
      <c r="A4254" s="21">
        <v>4253</v>
      </c>
      <c r="B4254" s="7" t="s">
        <v>9262</v>
      </c>
      <c r="C4254" s="7" t="s">
        <v>9263</v>
      </c>
      <c r="G4254" s="8" t="s">
        <v>15</v>
      </c>
    </row>
    <row r="4255" spans="1:7" hidden="1" x14ac:dyDescent="0.25">
      <c r="A4255" s="21">
        <v>4254</v>
      </c>
      <c r="B4255" s="7" t="s">
        <v>9264</v>
      </c>
      <c r="C4255" s="7" t="s">
        <v>9265</v>
      </c>
      <c r="G4255" s="8" t="s">
        <v>15</v>
      </c>
    </row>
    <row r="4256" spans="1:7" hidden="1" x14ac:dyDescent="0.25">
      <c r="A4256" s="21">
        <v>4255</v>
      </c>
      <c r="B4256" s="7" t="s">
        <v>9266</v>
      </c>
      <c r="C4256" s="7" t="s">
        <v>9267</v>
      </c>
      <c r="G4256" s="8" t="s">
        <v>15</v>
      </c>
    </row>
    <row r="4257" spans="1:7" hidden="1" x14ac:dyDescent="0.25">
      <c r="A4257" s="21">
        <v>4256</v>
      </c>
      <c r="B4257" s="7" t="s">
        <v>9268</v>
      </c>
      <c r="C4257" s="7" t="s">
        <v>9269</v>
      </c>
      <c r="G4257" s="8" t="s">
        <v>15</v>
      </c>
    </row>
    <row r="4258" spans="1:7" hidden="1" x14ac:dyDescent="0.25">
      <c r="A4258" s="21">
        <v>4257</v>
      </c>
      <c r="B4258" s="7" t="s">
        <v>9270</v>
      </c>
      <c r="C4258" s="7" t="s">
        <v>9271</v>
      </c>
      <c r="G4258" s="8" t="s">
        <v>15</v>
      </c>
    </row>
    <row r="4259" spans="1:7" hidden="1" x14ac:dyDescent="0.25">
      <c r="A4259" s="21">
        <v>4258</v>
      </c>
      <c r="B4259" s="7" t="s">
        <v>9272</v>
      </c>
      <c r="C4259" s="7" t="s">
        <v>9273</v>
      </c>
      <c r="G4259" s="8" t="s">
        <v>15</v>
      </c>
    </row>
    <row r="4260" spans="1:7" hidden="1" x14ac:dyDescent="0.25">
      <c r="A4260" s="21">
        <v>4259</v>
      </c>
      <c r="B4260" s="7" t="s">
        <v>9274</v>
      </c>
      <c r="C4260" s="7" t="s">
        <v>9275</v>
      </c>
      <c r="G4260" s="8" t="s">
        <v>15</v>
      </c>
    </row>
    <row r="4261" spans="1:7" hidden="1" x14ac:dyDescent="0.25">
      <c r="A4261" s="21">
        <v>4260</v>
      </c>
      <c r="B4261" s="7" t="s">
        <v>9276</v>
      </c>
      <c r="C4261" s="7" t="s">
        <v>9277</v>
      </c>
      <c r="G4261" s="8" t="s">
        <v>15</v>
      </c>
    </row>
    <row r="4262" spans="1:7" hidden="1" x14ac:dyDescent="0.25">
      <c r="A4262" s="21">
        <v>4261</v>
      </c>
      <c r="B4262" s="7" t="s">
        <v>9278</v>
      </c>
      <c r="C4262" s="7" t="s">
        <v>9279</v>
      </c>
      <c r="G4262" s="8" t="s">
        <v>15</v>
      </c>
    </row>
    <row r="4263" spans="1:7" hidden="1" x14ac:dyDescent="0.25">
      <c r="A4263" s="21">
        <v>4262</v>
      </c>
      <c r="B4263" s="7" t="s">
        <v>9280</v>
      </c>
      <c r="C4263" s="7" t="s">
        <v>9281</v>
      </c>
      <c r="G4263" s="8" t="s">
        <v>15</v>
      </c>
    </row>
    <row r="4264" spans="1:7" hidden="1" x14ac:dyDescent="0.25">
      <c r="A4264" s="21">
        <v>4263</v>
      </c>
      <c r="B4264" s="7" t="s">
        <v>9282</v>
      </c>
      <c r="C4264" s="7" t="s">
        <v>9283</v>
      </c>
      <c r="G4264" s="8" t="s">
        <v>15</v>
      </c>
    </row>
    <row r="4265" spans="1:7" hidden="1" x14ac:dyDescent="0.25">
      <c r="A4265" s="21">
        <v>4264</v>
      </c>
      <c r="B4265" s="7" t="s">
        <v>9284</v>
      </c>
      <c r="C4265" s="7" t="s">
        <v>9285</v>
      </c>
      <c r="G4265" s="8" t="s">
        <v>15</v>
      </c>
    </row>
    <row r="4266" spans="1:7" hidden="1" x14ac:dyDescent="0.25">
      <c r="A4266" s="21">
        <v>4265</v>
      </c>
      <c r="B4266" s="7" t="s">
        <v>9286</v>
      </c>
      <c r="C4266" s="7" t="s">
        <v>9287</v>
      </c>
      <c r="G4266" s="8" t="s">
        <v>15</v>
      </c>
    </row>
    <row r="4267" spans="1:7" hidden="1" x14ac:dyDescent="0.25">
      <c r="A4267" s="21">
        <v>4266</v>
      </c>
      <c r="B4267" s="7" t="s">
        <v>9288</v>
      </c>
      <c r="C4267" s="7" t="s">
        <v>9289</v>
      </c>
      <c r="G4267" s="8" t="s">
        <v>15</v>
      </c>
    </row>
    <row r="4268" spans="1:7" hidden="1" x14ac:dyDescent="0.25">
      <c r="A4268" s="21">
        <v>4267</v>
      </c>
      <c r="B4268" s="7" t="s">
        <v>9290</v>
      </c>
      <c r="C4268" s="7" t="s">
        <v>9291</v>
      </c>
      <c r="G4268" s="8" t="s">
        <v>15</v>
      </c>
    </row>
    <row r="4269" spans="1:7" hidden="1" x14ac:dyDescent="0.25">
      <c r="A4269" s="21">
        <v>4268</v>
      </c>
      <c r="B4269" s="7" t="s">
        <v>9292</v>
      </c>
      <c r="C4269" s="7" t="s">
        <v>9293</v>
      </c>
      <c r="G4269" s="8" t="s">
        <v>15</v>
      </c>
    </row>
    <row r="4270" spans="1:7" hidden="1" x14ac:dyDescent="0.25">
      <c r="A4270" s="21">
        <v>4269</v>
      </c>
      <c r="B4270" s="7" t="s">
        <v>9294</v>
      </c>
      <c r="C4270" s="7" t="s">
        <v>9295</v>
      </c>
      <c r="G4270" s="8" t="s">
        <v>15</v>
      </c>
    </row>
    <row r="4271" spans="1:7" hidden="1" x14ac:dyDescent="0.25">
      <c r="A4271" s="21">
        <v>4270</v>
      </c>
      <c r="B4271" s="7" t="s">
        <v>9296</v>
      </c>
      <c r="C4271" s="7" t="s">
        <v>9297</v>
      </c>
      <c r="G4271" s="8" t="s">
        <v>15</v>
      </c>
    </row>
    <row r="4272" spans="1:7" hidden="1" x14ac:dyDescent="0.25">
      <c r="A4272" s="21">
        <v>4271</v>
      </c>
      <c r="B4272" s="7" t="s">
        <v>9298</v>
      </c>
      <c r="C4272" s="7" t="s">
        <v>9299</v>
      </c>
      <c r="G4272" s="8" t="s">
        <v>15</v>
      </c>
    </row>
    <row r="4273" spans="1:7" hidden="1" x14ac:dyDescent="0.25">
      <c r="A4273" s="21">
        <v>4272</v>
      </c>
      <c r="B4273" s="7" t="s">
        <v>9300</v>
      </c>
      <c r="C4273" s="7" t="s">
        <v>9301</v>
      </c>
      <c r="G4273" s="8" t="s">
        <v>15</v>
      </c>
    </row>
    <row r="4274" spans="1:7" hidden="1" x14ac:dyDescent="0.25">
      <c r="A4274" s="21">
        <v>4273</v>
      </c>
      <c r="B4274" s="7" t="s">
        <v>9302</v>
      </c>
      <c r="C4274" s="7" t="s">
        <v>9303</v>
      </c>
      <c r="G4274" s="8" t="s">
        <v>15</v>
      </c>
    </row>
    <row r="4275" spans="1:7" hidden="1" x14ac:dyDescent="0.25">
      <c r="A4275" s="21">
        <v>4274</v>
      </c>
      <c r="B4275" s="7" t="s">
        <v>9304</v>
      </c>
      <c r="C4275" s="7" t="s">
        <v>9305</v>
      </c>
      <c r="G4275" s="8" t="s">
        <v>15</v>
      </c>
    </row>
    <row r="4276" spans="1:7" hidden="1" x14ac:dyDescent="0.25">
      <c r="A4276" s="21">
        <v>4275</v>
      </c>
      <c r="B4276" s="7" t="s">
        <v>9306</v>
      </c>
      <c r="C4276" s="7" t="s">
        <v>9307</v>
      </c>
      <c r="G4276" s="8" t="s">
        <v>15</v>
      </c>
    </row>
    <row r="4277" spans="1:7" hidden="1" x14ac:dyDescent="0.25">
      <c r="A4277" s="21">
        <v>4276</v>
      </c>
      <c r="B4277" s="7" t="s">
        <v>9308</v>
      </c>
      <c r="C4277" s="7" t="s">
        <v>9309</v>
      </c>
      <c r="G4277" s="8" t="s">
        <v>15</v>
      </c>
    </row>
    <row r="4278" spans="1:7" hidden="1" x14ac:dyDescent="0.25">
      <c r="A4278" s="21">
        <v>4277</v>
      </c>
      <c r="B4278" s="7" t="s">
        <v>9310</v>
      </c>
      <c r="C4278" s="7" t="s">
        <v>9311</v>
      </c>
      <c r="G4278" s="8" t="s">
        <v>15</v>
      </c>
    </row>
    <row r="4279" spans="1:7" hidden="1" x14ac:dyDescent="0.25">
      <c r="A4279" s="21">
        <v>4278</v>
      </c>
      <c r="B4279" s="7" t="s">
        <v>9312</v>
      </c>
      <c r="C4279" s="7" t="s">
        <v>9313</v>
      </c>
      <c r="G4279" s="8" t="s">
        <v>15</v>
      </c>
    </row>
    <row r="4280" spans="1:7" hidden="1" x14ac:dyDescent="0.25">
      <c r="A4280" s="21">
        <v>4279</v>
      </c>
      <c r="B4280" s="7" t="s">
        <v>9314</v>
      </c>
      <c r="C4280" s="7" t="s">
        <v>9315</v>
      </c>
      <c r="G4280" s="8" t="s">
        <v>15</v>
      </c>
    </row>
    <row r="4281" spans="1:7" hidden="1" x14ac:dyDescent="0.25">
      <c r="A4281" s="21">
        <v>4280</v>
      </c>
      <c r="B4281" s="7" t="s">
        <v>9316</v>
      </c>
      <c r="C4281" s="7" t="s">
        <v>9317</v>
      </c>
      <c r="G4281" s="8" t="s">
        <v>15</v>
      </c>
    </row>
    <row r="4282" spans="1:7" hidden="1" x14ac:dyDescent="0.25">
      <c r="A4282" s="21">
        <v>4281</v>
      </c>
      <c r="B4282" s="7" t="s">
        <v>9318</v>
      </c>
      <c r="C4282" s="7" t="s">
        <v>9319</v>
      </c>
      <c r="G4282" s="8" t="s">
        <v>15</v>
      </c>
    </row>
    <row r="4283" spans="1:7" hidden="1" x14ac:dyDescent="0.25">
      <c r="A4283" s="21">
        <v>4282</v>
      </c>
      <c r="B4283" s="7" t="s">
        <v>9320</v>
      </c>
      <c r="C4283" s="7" t="s">
        <v>9321</v>
      </c>
      <c r="G4283" s="8" t="s">
        <v>15</v>
      </c>
    </row>
    <row r="4284" spans="1:7" hidden="1" x14ac:dyDescent="0.25">
      <c r="A4284" s="21">
        <v>4283</v>
      </c>
      <c r="B4284" s="7" t="s">
        <v>9322</v>
      </c>
      <c r="C4284" s="7" t="s">
        <v>9323</v>
      </c>
      <c r="G4284" s="8" t="s">
        <v>15</v>
      </c>
    </row>
    <row r="4285" spans="1:7" hidden="1" x14ac:dyDescent="0.25">
      <c r="A4285" s="21">
        <v>4284</v>
      </c>
      <c r="B4285" s="7" t="s">
        <v>9324</v>
      </c>
      <c r="C4285" s="7" t="s">
        <v>9325</v>
      </c>
      <c r="G4285" s="8" t="s">
        <v>15</v>
      </c>
    </row>
    <row r="4286" spans="1:7" hidden="1" x14ac:dyDescent="0.25">
      <c r="A4286" s="21">
        <v>4285</v>
      </c>
      <c r="B4286" s="7" t="s">
        <v>9326</v>
      </c>
      <c r="C4286" s="7" t="s">
        <v>9327</v>
      </c>
      <c r="G4286" s="8" t="s">
        <v>15</v>
      </c>
    </row>
    <row r="4287" spans="1:7" hidden="1" x14ac:dyDescent="0.25">
      <c r="A4287" s="21">
        <v>4286</v>
      </c>
      <c r="B4287" s="7" t="s">
        <v>9328</v>
      </c>
      <c r="C4287" s="7" t="s">
        <v>9329</v>
      </c>
      <c r="G4287" s="8" t="s">
        <v>15</v>
      </c>
    </row>
    <row r="4288" spans="1:7" hidden="1" x14ac:dyDescent="0.25">
      <c r="A4288" s="21">
        <v>4287</v>
      </c>
      <c r="B4288" s="7" t="s">
        <v>9330</v>
      </c>
      <c r="C4288" s="7" t="s">
        <v>9331</v>
      </c>
      <c r="G4288" s="8" t="s">
        <v>15</v>
      </c>
    </row>
    <row r="4289" spans="1:7" hidden="1" x14ac:dyDescent="0.25">
      <c r="A4289" s="21">
        <v>4288</v>
      </c>
      <c r="B4289" s="7" t="s">
        <v>9332</v>
      </c>
      <c r="C4289" s="7" t="s">
        <v>9333</v>
      </c>
      <c r="G4289" s="8" t="s">
        <v>15</v>
      </c>
    </row>
    <row r="4290" spans="1:7" hidden="1" x14ac:dyDescent="0.25">
      <c r="A4290" s="21">
        <v>4289</v>
      </c>
      <c r="B4290" s="7" t="s">
        <v>9334</v>
      </c>
      <c r="C4290" s="7" t="s">
        <v>9335</v>
      </c>
      <c r="G4290" s="8" t="s">
        <v>15</v>
      </c>
    </row>
    <row r="4291" spans="1:7" hidden="1" x14ac:dyDescent="0.25">
      <c r="A4291" s="21">
        <v>4290</v>
      </c>
      <c r="B4291" s="7" t="s">
        <v>9336</v>
      </c>
      <c r="C4291" s="7" t="s">
        <v>9337</v>
      </c>
      <c r="G4291" s="8" t="s">
        <v>15</v>
      </c>
    </row>
    <row r="4292" spans="1:7" hidden="1" x14ac:dyDescent="0.25">
      <c r="A4292" s="21">
        <v>4291</v>
      </c>
      <c r="B4292" s="7" t="s">
        <v>9338</v>
      </c>
      <c r="C4292" s="7" t="s">
        <v>9339</v>
      </c>
      <c r="G4292" s="8" t="s">
        <v>15</v>
      </c>
    </row>
    <row r="4293" spans="1:7" hidden="1" x14ac:dyDescent="0.25">
      <c r="A4293" s="21">
        <v>4292</v>
      </c>
      <c r="B4293" s="7" t="s">
        <v>9340</v>
      </c>
      <c r="C4293" s="7" t="s">
        <v>9341</v>
      </c>
      <c r="G4293" s="8" t="s">
        <v>15</v>
      </c>
    </row>
    <row r="4294" spans="1:7" hidden="1" x14ac:dyDescent="0.25">
      <c r="A4294" s="21">
        <v>4293</v>
      </c>
      <c r="B4294" s="7" t="s">
        <v>9342</v>
      </c>
      <c r="C4294" s="7" t="s">
        <v>9343</v>
      </c>
      <c r="G4294" s="8" t="s">
        <v>15</v>
      </c>
    </row>
    <row r="4295" spans="1:7" hidden="1" x14ac:dyDescent="0.25">
      <c r="A4295" s="21">
        <v>4294</v>
      </c>
      <c r="B4295" s="7" t="s">
        <v>9344</v>
      </c>
      <c r="C4295" s="7" t="s">
        <v>9345</v>
      </c>
      <c r="G4295" s="8" t="s">
        <v>15</v>
      </c>
    </row>
    <row r="4296" spans="1:7" hidden="1" x14ac:dyDescent="0.25">
      <c r="A4296" s="21">
        <v>4295</v>
      </c>
      <c r="B4296" s="7" t="s">
        <v>9346</v>
      </c>
      <c r="C4296" s="7" t="s">
        <v>9347</v>
      </c>
      <c r="G4296" s="8" t="s">
        <v>15</v>
      </c>
    </row>
    <row r="4297" spans="1:7" hidden="1" x14ac:dyDescent="0.25">
      <c r="A4297" s="21">
        <v>4296</v>
      </c>
      <c r="B4297" s="7" t="s">
        <v>9348</v>
      </c>
      <c r="C4297" s="7" t="s">
        <v>9349</v>
      </c>
      <c r="G4297" s="8" t="s">
        <v>15</v>
      </c>
    </row>
    <row r="4298" spans="1:7" hidden="1" x14ac:dyDescent="0.25">
      <c r="A4298" s="21">
        <v>4297</v>
      </c>
      <c r="B4298" s="7" t="s">
        <v>9350</v>
      </c>
      <c r="C4298" s="7" t="s">
        <v>9351</v>
      </c>
      <c r="G4298" s="8" t="s">
        <v>15</v>
      </c>
    </row>
    <row r="4299" spans="1:7" hidden="1" x14ac:dyDescent="0.25">
      <c r="A4299" s="21">
        <v>4298</v>
      </c>
      <c r="B4299" s="7" t="s">
        <v>9352</v>
      </c>
      <c r="C4299" s="7" t="s">
        <v>9353</v>
      </c>
      <c r="G4299" s="8" t="s">
        <v>15</v>
      </c>
    </row>
    <row r="4300" spans="1:7" hidden="1" x14ac:dyDescent="0.25">
      <c r="A4300" s="21">
        <v>4299</v>
      </c>
      <c r="B4300" s="7" t="s">
        <v>9354</v>
      </c>
      <c r="C4300" s="7" t="s">
        <v>9355</v>
      </c>
      <c r="G4300" s="8" t="s">
        <v>15</v>
      </c>
    </row>
    <row r="4301" spans="1:7" hidden="1" x14ac:dyDescent="0.25">
      <c r="A4301" s="21">
        <v>4300</v>
      </c>
      <c r="B4301" s="7" t="s">
        <v>9356</v>
      </c>
      <c r="C4301" s="7" t="s">
        <v>9357</v>
      </c>
      <c r="G4301" s="8" t="s">
        <v>15</v>
      </c>
    </row>
    <row r="4302" spans="1:7" hidden="1" x14ac:dyDescent="0.25">
      <c r="A4302" s="21">
        <v>4301</v>
      </c>
      <c r="B4302" s="7" t="s">
        <v>9358</v>
      </c>
      <c r="C4302" s="7" t="s">
        <v>9359</v>
      </c>
      <c r="G4302" s="8" t="s">
        <v>15</v>
      </c>
    </row>
    <row r="4303" spans="1:7" hidden="1" x14ac:dyDescent="0.25">
      <c r="A4303" s="21">
        <v>4302</v>
      </c>
      <c r="B4303" s="7" t="s">
        <v>9360</v>
      </c>
      <c r="C4303" s="7" t="s">
        <v>9361</v>
      </c>
      <c r="G4303" s="8" t="s">
        <v>15</v>
      </c>
    </row>
    <row r="4304" spans="1:7" hidden="1" x14ac:dyDescent="0.25">
      <c r="A4304" s="21">
        <v>4303</v>
      </c>
      <c r="B4304" s="7" t="s">
        <v>9362</v>
      </c>
      <c r="C4304" s="7" t="s">
        <v>9363</v>
      </c>
      <c r="G4304" s="8" t="s">
        <v>15</v>
      </c>
    </row>
    <row r="4305" spans="1:7" hidden="1" x14ac:dyDescent="0.25">
      <c r="A4305" s="21">
        <v>4304</v>
      </c>
      <c r="B4305" s="7" t="s">
        <v>9364</v>
      </c>
      <c r="C4305" s="7" t="s">
        <v>9365</v>
      </c>
      <c r="G4305" s="8" t="s">
        <v>15</v>
      </c>
    </row>
    <row r="4306" spans="1:7" hidden="1" x14ac:dyDescent="0.25">
      <c r="A4306" s="21">
        <v>4305</v>
      </c>
      <c r="B4306" s="7" t="s">
        <v>9366</v>
      </c>
      <c r="C4306" s="7" t="s">
        <v>9367</v>
      </c>
      <c r="G4306" s="8" t="s">
        <v>15</v>
      </c>
    </row>
    <row r="4307" spans="1:7" hidden="1" x14ac:dyDescent="0.25">
      <c r="A4307" s="21">
        <v>4306</v>
      </c>
      <c r="B4307" s="7" t="s">
        <v>9368</v>
      </c>
      <c r="C4307" s="7" t="s">
        <v>9369</v>
      </c>
      <c r="G4307" s="8" t="s">
        <v>15</v>
      </c>
    </row>
    <row r="4308" spans="1:7" hidden="1" x14ac:dyDescent="0.25">
      <c r="A4308" s="21">
        <v>4307</v>
      </c>
      <c r="B4308" s="7" t="s">
        <v>9370</v>
      </c>
      <c r="C4308" s="7" t="s">
        <v>9371</v>
      </c>
      <c r="G4308" s="8" t="s">
        <v>15</v>
      </c>
    </row>
    <row r="4309" spans="1:7" hidden="1" x14ac:dyDescent="0.25">
      <c r="A4309" s="21">
        <v>4308</v>
      </c>
      <c r="B4309" s="7" t="s">
        <v>9372</v>
      </c>
      <c r="C4309" s="7" t="s">
        <v>9373</v>
      </c>
      <c r="G4309" s="8" t="s">
        <v>15</v>
      </c>
    </row>
    <row r="4310" spans="1:7" hidden="1" x14ac:dyDescent="0.25">
      <c r="A4310" s="21">
        <v>4309</v>
      </c>
      <c r="B4310" s="7" t="s">
        <v>9374</v>
      </c>
      <c r="C4310" s="7" t="s">
        <v>9375</v>
      </c>
      <c r="G4310" s="8" t="s">
        <v>15</v>
      </c>
    </row>
    <row r="4311" spans="1:7" hidden="1" x14ac:dyDescent="0.25">
      <c r="A4311" s="21">
        <v>4310</v>
      </c>
      <c r="B4311" s="7" t="s">
        <v>9376</v>
      </c>
      <c r="C4311" s="7" t="s">
        <v>9377</v>
      </c>
      <c r="G4311" s="8" t="s">
        <v>15</v>
      </c>
    </row>
    <row r="4312" spans="1:7" hidden="1" x14ac:dyDescent="0.25">
      <c r="A4312" s="21">
        <v>4311</v>
      </c>
      <c r="B4312" s="7" t="s">
        <v>9378</v>
      </c>
      <c r="C4312" s="7" t="s">
        <v>9379</v>
      </c>
      <c r="G4312" s="8" t="s">
        <v>15</v>
      </c>
    </row>
    <row r="4313" spans="1:7" hidden="1" x14ac:dyDescent="0.25">
      <c r="A4313" s="21">
        <v>4312</v>
      </c>
      <c r="B4313" s="7" t="s">
        <v>9380</v>
      </c>
      <c r="C4313" s="7" t="s">
        <v>9381</v>
      </c>
      <c r="G4313" s="8" t="s">
        <v>15</v>
      </c>
    </row>
    <row r="4314" spans="1:7" hidden="1" x14ac:dyDescent="0.25">
      <c r="A4314" s="21">
        <v>4313</v>
      </c>
      <c r="B4314" s="7" t="s">
        <v>9382</v>
      </c>
      <c r="C4314" s="7" t="s">
        <v>9383</v>
      </c>
      <c r="G4314" s="8" t="s">
        <v>15</v>
      </c>
    </row>
    <row r="4315" spans="1:7" hidden="1" x14ac:dyDescent="0.25">
      <c r="A4315" s="21">
        <v>4314</v>
      </c>
      <c r="B4315" s="7" t="s">
        <v>9384</v>
      </c>
      <c r="C4315" s="7" t="s">
        <v>9385</v>
      </c>
      <c r="G4315" s="8" t="s">
        <v>15</v>
      </c>
    </row>
    <row r="4316" spans="1:7" hidden="1" x14ac:dyDescent="0.25">
      <c r="A4316" s="21">
        <v>4315</v>
      </c>
      <c r="B4316" s="7" t="s">
        <v>9386</v>
      </c>
      <c r="C4316" s="7" t="s">
        <v>9387</v>
      </c>
      <c r="G4316" s="8" t="s">
        <v>15</v>
      </c>
    </row>
    <row r="4317" spans="1:7" hidden="1" x14ac:dyDescent="0.25">
      <c r="A4317" s="21">
        <v>4316</v>
      </c>
      <c r="B4317" s="7" t="s">
        <v>9388</v>
      </c>
      <c r="C4317" s="7" t="s">
        <v>9389</v>
      </c>
      <c r="G4317" s="8" t="s">
        <v>15</v>
      </c>
    </row>
    <row r="4318" spans="1:7" hidden="1" x14ac:dyDescent="0.25">
      <c r="A4318" s="21">
        <v>4317</v>
      </c>
      <c r="B4318" s="7" t="s">
        <v>9390</v>
      </c>
      <c r="C4318" s="7" t="s">
        <v>9391</v>
      </c>
      <c r="G4318" s="8" t="s">
        <v>15</v>
      </c>
    </row>
    <row r="4319" spans="1:7" hidden="1" x14ac:dyDescent="0.25">
      <c r="A4319" s="21">
        <v>4318</v>
      </c>
      <c r="B4319" s="7" t="s">
        <v>9392</v>
      </c>
      <c r="C4319" s="7" t="s">
        <v>9393</v>
      </c>
      <c r="G4319" s="8" t="s">
        <v>15</v>
      </c>
    </row>
    <row r="4320" spans="1:7" hidden="1" x14ac:dyDescent="0.25">
      <c r="A4320" s="21">
        <v>4319</v>
      </c>
      <c r="B4320" s="7" t="s">
        <v>9394</v>
      </c>
      <c r="C4320" s="7" t="s">
        <v>9395</v>
      </c>
      <c r="G4320" s="8" t="s">
        <v>15</v>
      </c>
    </row>
    <row r="4321" spans="1:7" hidden="1" x14ac:dyDescent="0.25">
      <c r="A4321" s="21">
        <v>4320</v>
      </c>
      <c r="B4321" s="7" t="s">
        <v>9396</v>
      </c>
      <c r="C4321" s="7" t="s">
        <v>9397</v>
      </c>
      <c r="G4321" s="8" t="s">
        <v>15</v>
      </c>
    </row>
    <row r="4322" spans="1:7" hidden="1" x14ac:dyDescent="0.25">
      <c r="A4322" s="21">
        <v>4321</v>
      </c>
      <c r="B4322" s="7" t="s">
        <v>9398</v>
      </c>
      <c r="C4322" s="7" t="s">
        <v>9399</v>
      </c>
      <c r="G4322" s="8" t="s">
        <v>15</v>
      </c>
    </row>
    <row r="4323" spans="1:7" hidden="1" x14ac:dyDescent="0.25">
      <c r="A4323" s="21">
        <v>4322</v>
      </c>
      <c r="B4323" s="7" t="s">
        <v>9400</v>
      </c>
      <c r="C4323" s="7" t="s">
        <v>9401</v>
      </c>
      <c r="G4323" s="8" t="s">
        <v>15</v>
      </c>
    </row>
    <row r="4324" spans="1:7" hidden="1" x14ac:dyDescent="0.25">
      <c r="A4324" s="21">
        <v>4323</v>
      </c>
      <c r="B4324" s="7" t="s">
        <v>9402</v>
      </c>
      <c r="C4324" s="7" t="s">
        <v>9403</v>
      </c>
      <c r="G4324" s="8" t="s">
        <v>15</v>
      </c>
    </row>
    <row r="4325" spans="1:7" hidden="1" x14ac:dyDescent="0.25">
      <c r="A4325" s="21">
        <v>4324</v>
      </c>
      <c r="B4325" s="7" t="s">
        <v>9404</v>
      </c>
      <c r="C4325" s="7" t="s">
        <v>9405</v>
      </c>
      <c r="G4325" s="8" t="s">
        <v>15</v>
      </c>
    </row>
    <row r="4326" spans="1:7" hidden="1" x14ac:dyDescent="0.25">
      <c r="A4326" s="21">
        <v>4325</v>
      </c>
      <c r="B4326" s="7" t="s">
        <v>9406</v>
      </c>
      <c r="C4326" s="7" t="s">
        <v>9407</v>
      </c>
      <c r="G4326" s="8" t="s">
        <v>15</v>
      </c>
    </row>
    <row r="4327" spans="1:7" hidden="1" x14ac:dyDescent="0.25">
      <c r="A4327" s="21">
        <v>4326</v>
      </c>
      <c r="B4327" s="7" t="s">
        <v>9408</v>
      </c>
      <c r="C4327" s="7" t="s">
        <v>9409</v>
      </c>
      <c r="G4327" s="8" t="s">
        <v>15</v>
      </c>
    </row>
    <row r="4328" spans="1:7" hidden="1" x14ac:dyDescent="0.25">
      <c r="A4328" s="21">
        <v>4327</v>
      </c>
      <c r="B4328" s="7" t="s">
        <v>9410</v>
      </c>
      <c r="C4328" s="7" t="s">
        <v>9411</v>
      </c>
      <c r="G4328" s="8" t="s">
        <v>15</v>
      </c>
    </row>
    <row r="4329" spans="1:7" hidden="1" x14ac:dyDescent="0.25">
      <c r="A4329" s="21">
        <v>4328</v>
      </c>
      <c r="B4329" s="7" t="s">
        <v>9412</v>
      </c>
      <c r="C4329" s="7" t="s">
        <v>9413</v>
      </c>
      <c r="G4329" s="8" t="s">
        <v>15</v>
      </c>
    </row>
    <row r="4330" spans="1:7" hidden="1" x14ac:dyDescent="0.25">
      <c r="A4330" s="21">
        <v>4329</v>
      </c>
      <c r="B4330" s="7" t="s">
        <v>9414</v>
      </c>
      <c r="C4330" s="7" t="s">
        <v>9415</v>
      </c>
      <c r="G4330" s="8" t="s">
        <v>15</v>
      </c>
    </row>
    <row r="4331" spans="1:7" hidden="1" x14ac:dyDescent="0.25">
      <c r="A4331" s="21">
        <v>4330</v>
      </c>
      <c r="B4331" s="7" t="s">
        <v>9416</v>
      </c>
      <c r="C4331" s="7" t="s">
        <v>9417</v>
      </c>
      <c r="G4331" s="8" t="s">
        <v>15</v>
      </c>
    </row>
    <row r="4332" spans="1:7" hidden="1" x14ac:dyDescent="0.25">
      <c r="A4332" s="21">
        <v>4331</v>
      </c>
      <c r="B4332" s="7" t="s">
        <v>9418</v>
      </c>
      <c r="C4332" s="7" t="s">
        <v>9419</v>
      </c>
      <c r="G4332" s="8" t="s">
        <v>15</v>
      </c>
    </row>
    <row r="4333" spans="1:7" hidden="1" x14ac:dyDescent="0.25">
      <c r="A4333" s="21">
        <v>4332</v>
      </c>
      <c r="B4333" s="7" t="s">
        <v>9420</v>
      </c>
      <c r="C4333" s="7" t="s">
        <v>9421</v>
      </c>
      <c r="G4333" s="8" t="s">
        <v>15</v>
      </c>
    </row>
    <row r="4334" spans="1:7" hidden="1" x14ac:dyDescent="0.25">
      <c r="A4334" s="21">
        <v>4333</v>
      </c>
      <c r="B4334" s="7" t="s">
        <v>9422</v>
      </c>
      <c r="C4334" s="7" t="s">
        <v>9423</v>
      </c>
      <c r="G4334" s="8" t="s">
        <v>15</v>
      </c>
    </row>
    <row r="4335" spans="1:7" hidden="1" x14ac:dyDescent="0.25">
      <c r="A4335" s="21">
        <v>4334</v>
      </c>
      <c r="B4335" s="7" t="s">
        <v>9424</v>
      </c>
      <c r="C4335" s="7" t="s">
        <v>9425</v>
      </c>
      <c r="G4335" s="8" t="s">
        <v>15</v>
      </c>
    </row>
    <row r="4336" spans="1:7" hidden="1" x14ac:dyDescent="0.25">
      <c r="A4336" s="21">
        <v>4335</v>
      </c>
      <c r="B4336" s="7" t="s">
        <v>9426</v>
      </c>
      <c r="C4336" s="7" t="s">
        <v>9427</v>
      </c>
      <c r="G4336" s="8" t="s">
        <v>15</v>
      </c>
    </row>
    <row r="4337" spans="1:7" hidden="1" x14ac:dyDescent="0.25">
      <c r="A4337" s="21">
        <v>4336</v>
      </c>
      <c r="B4337" s="7" t="s">
        <v>9428</v>
      </c>
      <c r="C4337" s="7" t="s">
        <v>9429</v>
      </c>
      <c r="G4337" s="8" t="s">
        <v>15</v>
      </c>
    </row>
    <row r="4338" spans="1:7" hidden="1" x14ac:dyDescent="0.25">
      <c r="A4338" s="21">
        <v>4337</v>
      </c>
      <c r="B4338" s="7" t="s">
        <v>9430</v>
      </c>
      <c r="C4338" s="7" t="s">
        <v>9431</v>
      </c>
      <c r="G4338" s="8" t="s">
        <v>15</v>
      </c>
    </row>
    <row r="4339" spans="1:7" hidden="1" x14ac:dyDescent="0.25">
      <c r="A4339" s="21">
        <v>4338</v>
      </c>
      <c r="B4339" s="7" t="s">
        <v>9432</v>
      </c>
      <c r="C4339" s="7" t="s">
        <v>9433</v>
      </c>
      <c r="G4339" s="8" t="s">
        <v>15</v>
      </c>
    </row>
    <row r="4340" spans="1:7" hidden="1" x14ac:dyDescent="0.25">
      <c r="A4340" s="21">
        <v>4339</v>
      </c>
      <c r="B4340" s="7" t="s">
        <v>9434</v>
      </c>
      <c r="C4340" s="7" t="s">
        <v>9435</v>
      </c>
      <c r="G4340" s="8" t="s">
        <v>15</v>
      </c>
    </row>
    <row r="4341" spans="1:7" hidden="1" x14ac:dyDescent="0.25">
      <c r="A4341" s="21">
        <v>4340</v>
      </c>
      <c r="B4341" s="7" t="s">
        <v>9436</v>
      </c>
      <c r="C4341" s="7" t="s">
        <v>9437</v>
      </c>
      <c r="G4341" s="8" t="s">
        <v>15</v>
      </c>
    </row>
    <row r="4342" spans="1:7" hidden="1" x14ac:dyDescent="0.25">
      <c r="A4342" s="21">
        <v>4341</v>
      </c>
      <c r="B4342" s="7" t="s">
        <v>9438</v>
      </c>
      <c r="C4342" s="7" t="s">
        <v>9439</v>
      </c>
      <c r="G4342" s="8" t="s">
        <v>15</v>
      </c>
    </row>
    <row r="4343" spans="1:7" hidden="1" x14ac:dyDescent="0.25">
      <c r="A4343" s="21">
        <v>4342</v>
      </c>
      <c r="B4343" s="7" t="s">
        <v>9440</v>
      </c>
      <c r="C4343" s="7" t="s">
        <v>9441</v>
      </c>
      <c r="G4343" s="8" t="s">
        <v>15</v>
      </c>
    </row>
    <row r="4344" spans="1:7" hidden="1" x14ac:dyDescent="0.25">
      <c r="A4344" s="21">
        <v>4343</v>
      </c>
      <c r="B4344" s="7" t="s">
        <v>9442</v>
      </c>
      <c r="C4344" s="7" t="s">
        <v>9443</v>
      </c>
      <c r="G4344" s="8" t="s">
        <v>15</v>
      </c>
    </row>
    <row r="4345" spans="1:7" hidden="1" x14ac:dyDescent="0.25">
      <c r="A4345" s="21">
        <v>4344</v>
      </c>
      <c r="B4345" s="7" t="s">
        <v>9444</v>
      </c>
      <c r="C4345" s="7" t="s">
        <v>9445</v>
      </c>
      <c r="G4345" s="8" t="s">
        <v>15</v>
      </c>
    </row>
    <row r="4346" spans="1:7" hidden="1" x14ac:dyDescent="0.25">
      <c r="A4346" s="21">
        <v>4345</v>
      </c>
      <c r="B4346" s="7" t="s">
        <v>9446</v>
      </c>
      <c r="C4346" s="7" t="s">
        <v>9447</v>
      </c>
      <c r="G4346" s="8" t="s">
        <v>15</v>
      </c>
    </row>
    <row r="4347" spans="1:7" hidden="1" x14ac:dyDescent="0.25">
      <c r="A4347" s="21">
        <v>4346</v>
      </c>
      <c r="B4347" s="7" t="s">
        <v>9448</v>
      </c>
      <c r="C4347" s="7" t="s">
        <v>9449</v>
      </c>
      <c r="G4347" s="8" t="s">
        <v>15</v>
      </c>
    </row>
    <row r="4348" spans="1:7" hidden="1" x14ac:dyDescent="0.25">
      <c r="A4348" s="21">
        <v>4347</v>
      </c>
      <c r="B4348" s="7" t="s">
        <v>9450</v>
      </c>
      <c r="C4348" s="7" t="s">
        <v>9451</v>
      </c>
      <c r="G4348" s="8" t="s">
        <v>15</v>
      </c>
    </row>
    <row r="4349" spans="1:7" hidden="1" x14ac:dyDescent="0.25">
      <c r="A4349" s="21">
        <v>4348</v>
      </c>
      <c r="B4349" s="7" t="s">
        <v>9452</v>
      </c>
      <c r="C4349" s="7" t="s">
        <v>9453</v>
      </c>
      <c r="G4349" s="8" t="s">
        <v>15</v>
      </c>
    </row>
    <row r="4350" spans="1:7" hidden="1" x14ac:dyDescent="0.25">
      <c r="A4350" s="21">
        <v>4349</v>
      </c>
      <c r="B4350" s="7" t="s">
        <v>9454</v>
      </c>
      <c r="C4350" s="7" t="s">
        <v>9455</v>
      </c>
      <c r="G4350" s="8" t="s">
        <v>15</v>
      </c>
    </row>
    <row r="4351" spans="1:7" hidden="1" x14ac:dyDescent="0.25">
      <c r="A4351" s="21">
        <v>4350</v>
      </c>
      <c r="B4351" s="7" t="s">
        <v>9456</v>
      </c>
      <c r="C4351" s="7" t="s">
        <v>9457</v>
      </c>
      <c r="G4351" s="8" t="s">
        <v>15</v>
      </c>
    </row>
    <row r="4352" spans="1:7" hidden="1" x14ac:dyDescent="0.25">
      <c r="A4352" s="21">
        <v>4351</v>
      </c>
      <c r="B4352" s="7" t="s">
        <v>9458</v>
      </c>
      <c r="C4352" s="7" t="s">
        <v>9459</v>
      </c>
      <c r="G4352" s="8" t="s">
        <v>15</v>
      </c>
    </row>
    <row r="4353" spans="1:7" hidden="1" x14ac:dyDescent="0.25">
      <c r="A4353" s="21">
        <v>4352</v>
      </c>
      <c r="B4353" s="7" t="s">
        <v>9460</v>
      </c>
      <c r="C4353" s="7" t="s">
        <v>9461</v>
      </c>
      <c r="G4353" s="8" t="s">
        <v>15</v>
      </c>
    </row>
    <row r="4354" spans="1:7" hidden="1" x14ac:dyDescent="0.25">
      <c r="A4354" s="21">
        <v>4353</v>
      </c>
      <c r="B4354" s="7" t="s">
        <v>9462</v>
      </c>
      <c r="C4354" s="7" t="s">
        <v>9463</v>
      </c>
      <c r="G4354" s="8" t="s">
        <v>15</v>
      </c>
    </row>
    <row r="4355" spans="1:7" hidden="1" x14ac:dyDescent="0.25">
      <c r="A4355" s="21">
        <v>4354</v>
      </c>
      <c r="B4355" s="7" t="s">
        <v>9464</v>
      </c>
      <c r="C4355" s="7" t="s">
        <v>9465</v>
      </c>
      <c r="G4355" s="8" t="s">
        <v>15</v>
      </c>
    </row>
    <row r="4356" spans="1:7" hidden="1" x14ac:dyDescent="0.25">
      <c r="A4356" s="21">
        <v>4355</v>
      </c>
      <c r="B4356" s="7" t="s">
        <v>9466</v>
      </c>
      <c r="C4356" s="7" t="s">
        <v>9467</v>
      </c>
      <c r="G4356" s="8" t="s">
        <v>15</v>
      </c>
    </row>
    <row r="4357" spans="1:7" hidden="1" x14ac:dyDescent="0.25">
      <c r="A4357" s="21">
        <v>4356</v>
      </c>
      <c r="B4357" s="7" t="s">
        <v>9468</v>
      </c>
      <c r="C4357" s="7" t="s">
        <v>9469</v>
      </c>
      <c r="G4357" s="8" t="s">
        <v>15</v>
      </c>
    </row>
    <row r="4358" spans="1:7" hidden="1" x14ac:dyDescent="0.25">
      <c r="A4358" s="21">
        <v>4357</v>
      </c>
      <c r="B4358" s="7" t="s">
        <v>9470</v>
      </c>
      <c r="C4358" s="7" t="s">
        <v>9471</v>
      </c>
      <c r="G4358" s="8" t="s">
        <v>15</v>
      </c>
    </row>
    <row r="4359" spans="1:7" hidden="1" x14ac:dyDescent="0.25">
      <c r="A4359" s="21">
        <v>4358</v>
      </c>
      <c r="B4359" s="7" t="s">
        <v>9472</v>
      </c>
      <c r="C4359" s="7" t="s">
        <v>9473</v>
      </c>
      <c r="G4359" s="8" t="s">
        <v>15</v>
      </c>
    </row>
    <row r="4360" spans="1:7" hidden="1" x14ac:dyDescent="0.25">
      <c r="A4360" s="21">
        <v>4359</v>
      </c>
      <c r="B4360" s="7" t="s">
        <v>9474</v>
      </c>
      <c r="C4360" s="7" t="s">
        <v>9475</v>
      </c>
      <c r="G4360" s="8" t="s">
        <v>15</v>
      </c>
    </row>
    <row r="4361" spans="1:7" hidden="1" x14ac:dyDescent="0.25">
      <c r="A4361" s="21">
        <v>4360</v>
      </c>
      <c r="B4361" s="7" t="s">
        <v>9476</v>
      </c>
      <c r="C4361" s="7" t="s">
        <v>9477</v>
      </c>
      <c r="G4361" s="8" t="s">
        <v>15</v>
      </c>
    </row>
    <row r="4362" spans="1:7" hidden="1" x14ac:dyDescent="0.25">
      <c r="A4362" s="21">
        <v>4361</v>
      </c>
      <c r="B4362" s="7" t="s">
        <v>9478</v>
      </c>
      <c r="C4362" s="7" t="s">
        <v>9479</v>
      </c>
      <c r="G4362" s="8" t="s">
        <v>15</v>
      </c>
    </row>
    <row r="4363" spans="1:7" hidden="1" x14ac:dyDescent="0.25">
      <c r="A4363" s="21">
        <v>4362</v>
      </c>
      <c r="B4363" s="7" t="s">
        <v>9480</v>
      </c>
      <c r="C4363" s="7" t="s">
        <v>9481</v>
      </c>
      <c r="G4363" s="8" t="s">
        <v>15</v>
      </c>
    </row>
    <row r="4364" spans="1:7" hidden="1" x14ac:dyDescent="0.25">
      <c r="A4364" s="21">
        <v>4363</v>
      </c>
      <c r="B4364" s="7" t="s">
        <v>9482</v>
      </c>
      <c r="C4364" s="7" t="s">
        <v>9483</v>
      </c>
      <c r="G4364" s="8" t="s">
        <v>15</v>
      </c>
    </row>
    <row r="4365" spans="1:7" hidden="1" x14ac:dyDescent="0.25">
      <c r="A4365" s="21">
        <v>4364</v>
      </c>
      <c r="B4365" s="7" t="s">
        <v>9484</v>
      </c>
      <c r="C4365" s="7" t="s">
        <v>9485</v>
      </c>
      <c r="G4365" s="8" t="s">
        <v>15</v>
      </c>
    </row>
    <row r="4366" spans="1:7" hidden="1" x14ac:dyDescent="0.25">
      <c r="A4366" s="21">
        <v>4365</v>
      </c>
      <c r="B4366" s="7" t="s">
        <v>9486</v>
      </c>
      <c r="C4366" s="7" t="s">
        <v>9487</v>
      </c>
      <c r="G4366" s="8" t="s">
        <v>15</v>
      </c>
    </row>
    <row r="4367" spans="1:7" hidden="1" x14ac:dyDescent="0.25">
      <c r="A4367" s="21">
        <v>4366</v>
      </c>
      <c r="B4367" s="7" t="s">
        <v>9488</v>
      </c>
      <c r="C4367" s="7" t="s">
        <v>9489</v>
      </c>
      <c r="G4367" s="8" t="s">
        <v>15</v>
      </c>
    </row>
    <row r="4368" spans="1:7" hidden="1" x14ac:dyDescent="0.25">
      <c r="A4368" s="21">
        <v>4367</v>
      </c>
      <c r="B4368" s="7" t="s">
        <v>9490</v>
      </c>
      <c r="C4368" s="7" t="s">
        <v>9491</v>
      </c>
      <c r="G4368" s="8" t="s">
        <v>15</v>
      </c>
    </row>
    <row r="4369" spans="1:7" hidden="1" x14ac:dyDescent="0.25">
      <c r="A4369" s="21">
        <v>4368</v>
      </c>
      <c r="B4369" s="7" t="s">
        <v>9492</v>
      </c>
      <c r="C4369" s="7" t="s">
        <v>9493</v>
      </c>
      <c r="G4369" s="8" t="s">
        <v>15</v>
      </c>
    </row>
    <row r="4370" spans="1:7" hidden="1" x14ac:dyDescent="0.25">
      <c r="A4370" s="21">
        <v>4369</v>
      </c>
      <c r="B4370" s="7" t="s">
        <v>9494</v>
      </c>
      <c r="C4370" s="7" t="s">
        <v>9495</v>
      </c>
      <c r="G4370" s="8" t="s">
        <v>15</v>
      </c>
    </row>
    <row r="4371" spans="1:7" hidden="1" x14ac:dyDescent="0.25">
      <c r="A4371" s="21">
        <v>4370</v>
      </c>
      <c r="B4371" s="7" t="s">
        <v>9496</v>
      </c>
      <c r="C4371" s="7" t="s">
        <v>9497</v>
      </c>
      <c r="G4371" s="8" t="s">
        <v>15</v>
      </c>
    </row>
    <row r="4372" spans="1:7" hidden="1" x14ac:dyDescent="0.25">
      <c r="A4372" s="21">
        <v>4371</v>
      </c>
      <c r="B4372" s="7" t="s">
        <v>9498</v>
      </c>
      <c r="C4372" s="7" t="s">
        <v>9499</v>
      </c>
      <c r="G4372" s="8" t="s">
        <v>15</v>
      </c>
    </row>
    <row r="4373" spans="1:7" hidden="1" x14ac:dyDescent="0.25">
      <c r="A4373" s="21">
        <v>4372</v>
      </c>
      <c r="B4373" s="7" t="s">
        <v>9500</v>
      </c>
      <c r="C4373" s="7" t="s">
        <v>9501</v>
      </c>
      <c r="G4373" s="8" t="s">
        <v>15</v>
      </c>
    </row>
    <row r="4374" spans="1:7" hidden="1" x14ac:dyDescent="0.25">
      <c r="A4374" s="21">
        <v>4373</v>
      </c>
      <c r="B4374" s="7" t="s">
        <v>9502</v>
      </c>
      <c r="C4374" s="7" t="s">
        <v>9503</v>
      </c>
      <c r="G4374" s="8" t="s">
        <v>15</v>
      </c>
    </row>
    <row r="4375" spans="1:7" hidden="1" x14ac:dyDescent="0.25">
      <c r="A4375" s="21">
        <v>4374</v>
      </c>
      <c r="B4375" s="7" t="s">
        <v>9504</v>
      </c>
      <c r="C4375" s="7" t="s">
        <v>9505</v>
      </c>
      <c r="G4375" s="8" t="s">
        <v>15</v>
      </c>
    </row>
    <row r="4376" spans="1:7" hidden="1" x14ac:dyDescent="0.25">
      <c r="A4376" s="21">
        <v>4375</v>
      </c>
      <c r="B4376" s="7" t="s">
        <v>9506</v>
      </c>
      <c r="C4376" s="7" t="s">
        <v>9507</v>
      </c>
      <c r="G4376" s="8" t="s">
        <v>15</v>
      </c>
    </row>
    <row r="4377" spans="1:7" hidden="1" x14ac:dyDescent="0.25">
      <c r="A4377" s="21">
        <v>4376</v>
      </c>
      <c r="B4377" s="7" t="s">
        <v>9508</v>
      </c>
      <c r="C4377" s="7" t="s">
        <v>9509</v>
      </c>
      <c r="G4377" s="8" t="s">
        <v>15</v>
      </c>
    </row>
    <row r="4378" spans="1:7" hidden="1" x14ac:dyDescent="0.25">
      <c r="A4378" s="21">
        <v>4377</v>
      </c>
      <c r="B4378" s="7" t="s">
        <v>9510</v>
      </c>
      <c r="C4378" s="7" t="s">
        <v>9511</v>
      </c>
      <c r="G4378" s="8" t="s">
        <v>15</v>
      </c>
    </row>
    <row r="4379" spans="1:7" hidden="1" x14ac:dyDescent="0.25">
      <c r="A4379" s="21">
        <v>4378</v>
      </c>
      <c r="B4379" s="7" t="s">
        <v>9512</v>
      </c>
      <c r="C4379" s="7" t="s">
        <v>9513</v>
      </c>
      <c r="G4379" s="8" t="s">
        <v>15</v>
      </c>
    </row>
    <row r="4380" spans="1:7" hidden="1" x14ac:dyDescent="0.25">
      <c r="A4380" s="21">
        <v>4379</v>
      </c>
      <c r="B4380" s="7" t="s">
        <v>9514</v>
      </c>
      <c r="C4380" s="7" t="s">
        <v>9515</v>
      </c>
      <c r="G4380" s="8" t="s">
        <v>15</v>
      </c>
    </row>
    <row r="4381" spans="1:7" hidden="1" x14ac:dyDescent="0.25">
      <c r="A4381" s="21">
        <v>4380</v>
      </c>
      <c r="B4381" s="7" t="s">
        <v>9516</v>
      </c>
      <c r="C4381" s="7" t="s">
        <v>9517</v>
      </c>
      <c r="G4381" s="8" t="s">
        <v>15</v>
      </c>
    </row>
    <row r="4382" spans="1:7" hidden="1" x14ac:dyDescent="0.25">
      <c r="A4382" s="21">
        <v>4381</v>
      </c>
      <c r="B4382" s="7" t="s">
        <v>9518</v>
      </c>
      <c r="C4382" s="7" t="s">
        <v>9519</v>
      </c>
      <c r="G4382" s="8" t="s">
        <v>15</v>
      </c>
    </row>
    <row r="4383" spans="1:7" hidden="1" x14ac:dyDescent="0.25">
      <c r="A4383" s="21">
        <v>4382</v>
      </c>
      <c r="B4383" s="7" t="s">
        <v>9520</v>
      </c>
      <c r="C4383" s="7" t="s">
        <v>9521</v>
      </c>
      <c r="G4383" s="8" t="s">
        <v>15</v>
      </c>
    </row>
    <row r="4384" spans="1:7" hidden="1" x14ac:dyDescent="0.25">
      <c r="A4384" s="21">
        <v>4383</v>
      </c>
      <c r="B4384" s="7" t="s">
        <v>9522</v>
      </c>
      <c r="C4384" s="7" t="s">
        <v>9523</v>
      </c>
      <c r="G4384" s="8" t="s">
        <v>15</v>
      </c>
    </row>
    <row r="4385" spans="1:7" hidden="1" x14ac:dyDescent="0.25">
      <c r="A4385" s="21">
        <v>4384</v>
      </c>
      <c r="B4385" s="7" t="s">
        <v>9524</v>
      </c>
      <c r="C4385" s="7" t="s">
        <v>9525</v>
      </c>
      <c r="G4385" s="8" t="s">
        <v>15</v>
      </c>
    </row>
    <row r="4386" spans="1:7" hidden="1" x14ac:dyDescent="0.25">
      <c r="A4386" s="21">
        <v>4385</v>
      </c>
      <c r="B4386" s="7" t="s">
        <v>9526</v>
      </c>
      <c r="C4386" s="7" t="s">
        <v>9527</v>
      </c>
      <c r="G4386" s="8" t="s">
        <v>15</v>
      </c>
    </row>
    <row r="4387" spans="1:7" hidden="1" x14ac:dyDescent="0.25">
      <c r="A4387" s="21">
        <v>4386</v>
      </c>
      <c r="B4387" s="7" t="s">
        <v>9528</v>
      </c>
      <c r="C4387" s="7" t="s">
        <v>9529</v>
      </c>
      <c r="G4387" s="8" t="s">
        <v>15</v>
      </c>
    </row>
    <row r="4388" spans="1:7" hidden="1" x14ac:dyDescent="0.25">
      <c r="A4388" s="21">
        <v>4387</v>
      </c>
      <c r="B4388" s="7" t="s">
        <v>9530</v>
      </c>
      <c r="C4388" s="7" t="s">
        <v>9531</v>
      </c>
      <c r="G4388" s="8" t="s">
        <v>15</v>
      </c>
    </row>
    <row r="4389" spans="1:7" hidden="1" x14ac:dyDescent="0.25">
      <c r="A4389" s="21">
        <v>4388</v>
      </c>
      <c r="B4389" s="7" t="s">
        <v>9532</v>
      </c>
      <c r="C4389" s="7" t="s">
        <v>9533</v>
      </c>
      <c r="G4389" s="8" t="s">
        <v>15</v>
      </c>
    </row>
    <row r="4390" spans="1:7" hidden="1" x14ac:dyDescent="0.25">
      <c r="A4390" s="21">
        <v>4389</v>
      </c>
      <c r="B4390" s="7" t="s">
        <v>9534</v>
      </c>
      <c r="C4390" s="7" t="s">
        <v>9535</v>
      </c>
      <c r="G4390" s="8" t="s">
        <v>15</v>
      </c>
    </row>
    <row r="4391" spans="1:7" hidden="1" x14ac:dyDescent="0.25">
      <c r="A4391" s="21">
        <v>4390</v>
      </c>
      <c r="B4391" s="7" t="s">
        <v>9536</v>
      </c>
      <c r="C4391" s="7" t="s">
        <v>9537</v>
      </c>
      <c r="G4391" s="8" t="s">
        <v>15</v>
      </c>
    </row>
    <row r="4392" spans="1:7" hidden="1" x14ac:dyDescent="0.25">
      <c r="A4392" s="21">
        <v>4391</v>
      </c>
      <c r="B4392" s="7" t="s">
        <v>9538</v>
      </c>
      <c r="C4392" s="7" t="s">
        <v>9539</v>
      </c>
      <c r="G4392" s="8" t="s">
        <v>15</v>
      </c>
    </row>
    <row r="4393" spans="1:7" hidden="1" x14ac:dyDescent="0.25">
      <c r="A4393" s="21">
        <v>4392</v>
      </c>
      <c r="B4393" s="7" t="s">
        <v>9540</v>
      </c>
      <c r="C4393" s="7" t="s">
        <v>9541</v>
      </c>
      <c r="G4393" s="8" t="s">
        <v>15</v>
      </c>
    </row>
    <row r="4394" spans="1:7" hidden="1" x14ac:dyDescent="0.25">
      <c r="A4394" s="21">
        <v>4393</v>
      </c>
      <c r="B4394" s="7" t="s">
        <v>9542</v>
      </c>
      <c r="C4394" s="7" t="s">
        <v>9543</v>
      </c>
      <c r="G4394" s="8" t="s">
        <v>15</v>
      </c>
    </row>
    <row r="4395" spans="1:7" hidden="1" x14ac:dyDescent="0.25">
      <c r="A4395" s="21">
        <v>4394</v>
      </c>
      <c r="B4395" s="7" t="s">
        <v>9544</v>
      </c>
      <c r="C4395" s="7" t="s">
        <v>9545</v>
      </c>
      <c r="G4395" s="8" t="s">
        <v>15</v>
      </c>
    </row>
    <row r="4396" spans="1:7" hidden="1" x14ac:dyDescent="0.25">
      <c r="A4396" s="21">
        <v>4395</v>
      </c>
      <c r="B4396" s="7" t="s">
        <v>9546</v>
      </c>
      <c r="C4396" s="7" t="s">
        <v>9547</v>
      </c>
      <c r="G4396" s="8" t="s">
        <v>15</v>
      </c>
    </row>
    <row r="4397" spans="1:7" hidden="1" x14ac:dyDescent="0.25">
      <c r="A4397" s="21">
        <v>4396</v>
      </c>
      <c r="B4397" s="7" t="s">
        <v>9548</v>
      </c>
      <c r="C4397" s="7" t="s">
        <v>9549</v>
      </c>
      <c r="G4397" s="8" t="s">
        <v>15</v>
      </c>
    </row>
    <row r="4398" spans="1:7" hidden="1" x14ac:dyDescent="0.25">
      <c r="A4398" s="21">
        <v>4397</v>
      </c>
      <c r="B4398" s="7" t="s">
        <v>9550</v>
      </c>
      <c r="C4398" s="7" t="s">
        <v>9551</v>
      </c>
      <c r="G4398" s="8" t="s">
        <v>15</v>
      </c>
    </row>
    <row r="4399" spans="1:7" hidden="1" x14ac:dyDescent="0.25">
      <c r="A4399" s="21">
        <v>4398</v>
      </c>
      <c r="B4399" s="7" t="s">
        <v>9552</v>
      </c>
      <c r="C4399" s="7" t="s">
        <v>9553</v>
      </c>
      <c r="G4399" s="8" t="s">
        <v>15</v>
      </c>
    </row>
    <row r="4400" spans="1:7" hidden="1" x14ac:dyDescent="0.25">
      <c r="A4400" s="21">
        <v>4399</v>
      </c>
      <c r="B4400" s="7" t="s">
        <v>9554</v>
      </c>
      <c r="C4400" s="7" t="s">
        <v>9555</v>
      </c>
      <c r="G4400" s="8" t="s">
        <v>15</v>
      </c>
    </row>
    <row r="4401" spans="1:7" hidden="1" x14ac:dyDescent="0.25">
      <c r="A4401" s="21">
        <v>4400</v>
      </c>
      <c r="B4401" s="7" t="s">
        <v>9556</v>
      </c>
      <c r="C4401" s="7" t="s">
        <v>9557</v>
      </c>
      <c r="G4401" s="8" t="s">
        <v>15</v>
      </c>
    </row>
    <row r="4402" spans="1:7" hidden="1" x14ac:dyDescent="0.25">
      <c r="A4402" s="21">
        <v>4401</v>
      </c>
      <c r="B4402" s="7" t="s">
        <v>9558</v>
      </c>
      <c r="C4402" s="7" t="s">
        <v>9559</v>
      </c>
      <c r="G4402" s="8" t="s">
        <v>15</v>
      </c>
    </row>
    <row r="4403" spans="1:7" hidden="1" x14ac:dyDescent="0.25">
      <c r="A4403" s="21">
        <v>4402</v>
      </c>
      <c r="B4403" s="7" t="s">
        <v>9560</v>
      </c>
      <c r="C4403" s="7" t="s">
        <v>9561</v>
      </c>
      <c r="G4403" s="8" t="s">
        <v>15</v>
      </c>
    </row>
    <row r="4404" spans="1:7" hidden="1" x14ac:dyDescent="0.25">
      <c r="A4404" s="21">
        <v>4403</v>
      </c>
      <c r="B4404" s="7" t="s">
        <v>9562</v>
      </c>
      <c r="C4404" s="7" t="s">
        <v>9563</v>
      </c>
      <c r="G4404" s="8" t="s">
        <v>15</v>
      </c>
    </row>
    <row r="4405" spans="1:7" hidden="1" x14ac:dyDescent="0.25">
      <c r="A4405" s="21">
        <v>4404</v>
      </c>
      <c r="B4405" s="7" t="s">
        <v>9564</v>
      </c>
      <c r="C4405" s="7" t="s">
        <v>9565</v>
      </c>
      <c r="G4405" s="8" t="s">
        <v>15</v>
      </c>
    </row>
    <row r="4406" spans="1:7" hidden="1" x14ac:dyDescent="0.25">
      <c r="A4406" s="21">
        <v>4405</v>
      </c>
      <c r="B4406" s="7" t="s">
        <v>9566</v>
      </c>
      <c r="C4406" s="7" t="s">
        <v>9567</v>
      </c>
      <c r="G4406" s="8" t="s">
        <v>15</v>
      </c>
    </row>
    <row r="4407" spans="1:7" hidden="1" x14ac:dyDescent="0.25">
      <c r="A4407" s="21">
        <v>4406</v>
      </c>
      <c r="B4407" s="7" t="s">
        <v>9568</v>
      </c>
      <c r="C4407" s="7" t="s">
        <v>9569</v>
      </c>
      <c r="G4407" s="8" t="s">
        <v>15</v>
      </c>
    </row>
    <row r="4408" spans="1:7" hidden="1" x14ac:dyDescent="0.25">
      <c r="A4408" s="21">
        <v>4407</v>
      </c>
      <c r="B4408" s="7" t="s">
        <v>9570</v>
      </c>
      <c r="C4408" s="7" t="s">
        <v>9571</v>
      </c>
      <c r="G4408" s="8" t="s">
        <v>15</v>
      </c>
    </row>
    <row r="4409" spans="1:7" hidden="1" x14ac:dyDescent="0.25">
      <c r="A4409" s="21">
        <v>4408</v>
      </c>
      <c r="B4409" s="7" t="s">
        <v>9572</v>
      </c>
      <c r="C4409" s="7" t="s">
        <v>9573</v>
      </c>
      <c r="G4409" s="8" t="s">
        <v>15</v>
      </c>
    </row>
    <row r="4410" spans="1:7" hidden="1" x14ac:dyDescent="0.25">
      <c r="A4410" s="21">
        <v>4409</v>
      </c>
      <c r="B4410" s="7" t="s">
        <v>9574</v>
      </c>
      <c r="C4410" s="7" t="s">
        <v>9575</v>
      </c>
      <c r="G4410" s="8" t="s">
        <v>15</v>
      </c>
    </row>
    <row r="4411" spans="1:7" hidden="1" x14ac:dyDescent="0.25">
      <c r="A4411" s="21">
        <v>4410</v>
      </c>
      <c r="B4411" s="7" t="s">
        <v>9576</v>
      </c>
      <c r="C4411" s="7" t="s">
        <v>9577</v>
      </c>
      <c r="G4411" s="8" t="s">
        <v>15</v>
      </c>
    </row>
    <row r="4412" spans="1:7" hidden="1" x14ac:dyDescent="0.25">
      <c r="A4412" s="21">
        <v>4411</v>
      </c>
      <c r="B4412" s="7" t="s">
        <v>9578</v>
      </c>
      <c r="C4412" s="7" t="s">
        <v>9579</v>
      </c>
      <c r="G4412" s="8" t="s">
        <v>15</v>
      </c>
    </row>
    <row r="4413" spans="1:7" hidden="1" x14ac:dyDescent="0.25">
      <c r="A4413" s="21">
        <v>4412</v>
      </c>
      <c r="B4413" s="7" t="s">
        <v>9580</v>
      </c>
      <c r="C4413" s="7" t="s">
        <v>9581</v>
      </c>
      <c r="G4413" s="8" t="s">
        <v>15</v>
      </c>
    </row>
    <row r="4414" spans="1:7" hidden="1" x14ac:dyDescent="0.25">
      <c r="A4414" s="21">
        <v>4413</v>
      </c>
      <c r="B4414" s="7" t="s">
        <v>9582</v>
      </c>
      <c r="C4414" s="7" t="s">
        <v>9583</v>
      </c>
      <c r="G4414" s="8" t="s">
        <v>15</v>
      </c>
    </row>
    <row r="4415" spans="1:7" hidden="1" x14ac:dyDescent="0.25">
      <c r="A4415" s="21">
        <v>4414</v>
      </c>
      <c r="B4415" s="7" t="s">
        <v>9584</v>
      </c>
      <c r="C4415" s="7" t="s">
        <v>9585</v>
      </c>
      <c r="G4415" s="8" t="s">
        <v>15</v>
      </c>
    </row>
    <row r="4416" spans="1:7" hidden="1" x14ac:dyDescent="0.25">
      <c r="A4416" s="21">
        <v>4415</v>
      </c>
      <c r="B4416" s="7" t="s">
        <v>9586</v>
      </c>
      <c r="C4416" s="7" t="s">
        <v>9587</v>
      </c>
      <c r="G4416" s="8" t="s">
        <v>15</v>
      </c>
    </row>
    <row r="4417" spans="1:7" hidden="1" x14ac:dyDescent="0.25">
      <c r="A4417" s="21">
        <v>4416</v>
      </c>
      <c r="B4417" s="7" t="s">
        <v>9588</v>
      </c>
      <c r="C4417" s="7" t="s">
        <v>9589</v>
      </c>
      <c r="G4417" s="8" t="s">
        <v>15</v>
      </c>
    </row>
    <row r="4418" spans="1:7" hidden="1" x14ac:dyDescent="0.25">
      <c r="A4418" s="21">
        <v>4417</v>
      </c>
      <c r="B4418" s="7" t="s">
        <v>9590</v>
      </c>
      <c r="C4418" s="7" t="s">
        <v>9591</v>
      </c>
      <c r="G4418" s="8" t="s">
        <v>15</v>
      </c>
    </row>
    <row r="4419" spans="1:7" hidden="1" x14ac:dyDescent="0.25">
      <c r="A4419" s="21">
        <v>4418</v>
      </c>
      <c r="B4419" s="7" t="s">
        <v>9592</v>
      </c>
      <c r="C4419" s="7" t="s">
        <v>9593</v>
      </c>
      <c r="G4419" s="8" t="s">
        <v>15</v>
      </c>
    </row>
    <row r="4420" spans="1:7" hidden="1" x14ac:dyDescent="0.25">
      <c r="A4420" s="21">
        <v>4419</v>
      </c>
      <c r="B4420" s="7" t="s">
        <v>9594</v>
      </c>
      <c r="C4420" s="7" t="s">
        <v>9595</v>
      </c>
      <c r="G4420" s="8" t="s">
        <v>15</v>
      </c>
    </row>
    <row r="4421" spans="1:7" hidden="1" x14ac:dyDescent="0.25">
      <c r="A4421" s="21">
        <v>4420</v>
      </c>
      <c r="B4421" s="7" t="s">
        <v>9596</v>
      </c>
      <c r="C4421" s="7" t="s">
        <v>9597</v>
      </c>
      <c r="G4421" s="8" t="s">
        <v>15</v>
      </c>
    </row>
    <row r="4422" spans="1:7" hidden="1" x14ac:dyDescent="0.25">
      <c r="A4422" s="21">
        <v>4421</v>
      </c>
      <c r="B4422" s="7" t="s">
        <v>9598</v>
      </c>
      <c r="C4422" s="7" t="s">
        <v>9599</v>
      </c>
      <c r="G4422" s="8" t="s">
        <v>15</v>
      </c>
    </row>
    <row r="4423" spans="1:7" hidden="1" x14ac:dyDescent="0.25">
      <c r="A4423" s="21">
        <v>4422</v>
      </c>
      <c r="B4423" s="7" t="s">
        <v>9600</v>
      </c>
      <c r="C4423" s="7" t="s">
        <v>9601</v>
      </c>
      <c r="G4423" s="8" t="s">
        <v>15</v>
      </c>
    </row>
    <row r="4424" spans="1:7" hidden="1" x14ac:dyDescent="0.25">
      <c r="A4424" s="21">
        <v>4423</v>
      </c>
      <c r="B4424" s="7" t="s">
        <v>9602</v>
      </c>
      <c r="C4424" s="7" t="s">
        <v>9603</v>
      </c>
      <c r="G4424" s="8" t="s">
        <v>15</v>
      </c>
    </row>
    <row r="4425" spans="1:7" hidden="1" x14ac:dyDescent="0.25">
      <c r="A4425" s="21">
        <v>4424</v>
      </c>
      <c r="B4425" s="7" t="s">
        <v>9604</v>
      </c>
      <c r="C4425" s="7" t="s">
        <v>9605</v>
      </c>
      <c r="G4425" s="8" t="s">
        <v>15</v>
      </c>
    </row>
    <row r="4426" spans="1:7" hidden="1" x14ac:dyDescent="0.25">
      <c r="A4426" s="21">
        <v>4425</v>
      </c>
      <c r="B4426" s="7" t="s">
        <v>9606</v>
      </c>
      <c r="C4426" s="7" t="s">
        <v>9607</v>
      </c>
      <c r="G4426" s="8" t="s">
        <v>15</v>
      </c>
    </row>
    <row r="4427" spans="1:7" hidden="1" x14ac:dyDescent="0.25">
      <c r="A4427" s="21">
        <v>4426</v>
      </c>
      <c r="B4427" s="7" t="s">
        <v>9608</v>
      </c>
      <c r="C4427" s="7" t="s">
        <v>9609</v>
      </c>
      <c r="G4427" s="8" t="s">
        <v>15</v>
      </c>
    </row>
    <row r="4428" spans="1:7" hidden="1" x14ac:dyDescent="0.25">
      <c r="A4428" s="21">
        <v>4427</v>
      </c>
      <c r="B4428" s="7" t="s">
        <v>9610</v>
      </c>
      <c r="C4428" s="7" t="s">
        <v>9611</v>
      </c>
      <c r="G4428" s="8" t="s">
        <v>15</v>
      </c>
    </row>
    <row r="4429" spans="1:7" hidden="1" x14ac:dyDescent="0.25">
      <c r="A4429" s="21">
        <v>4428</v>
      </c>
      <c r="B4429" s="7" t="s">
        <v>9612</v>
      </c>
      <c r="C4429" s="7" t="s">
        <v>9613</v>
      </c>
      <c r="G4429" s="8" t="s">
        <v>15</v>
      </c>
    </row>
    <row r="4430" spans="1:7" hidden="1" x14ac:dyDescent="0.25">
      <c r="A4430" s="21">
        <v>4429</v>
      </c>
      <c r="B4430" s="7" t="s">
        <v>9614</v>
      </c>
      <c r="C4430" s="7" t="s">
        <v>9615</v>
      </c>
      <c r="G4430" s="8" t="s">
        <v>15</v>
      </c>
    </row>
    <row r="4431" spans="1:7" hidden="1" x14ac:dyDescent="0.25">
      <c r="A4431" s="21">
        <v>4430</v>
      </c>
      <c r="B4431" s="7" t="s">
        <v>9616</v>
      </c>
      <c r="C4431" s="7" t="s">
        <v>9617</v>
      </c>
      <c r="G4431" s="8" t="s">
        <v>15</v>
      </c>
    </row>
    <row r="4432" spans="1:7" hidden="1" x14ac:dyDescent="0.25">
      <c r="A4432" s="21">
        <v>4431</v>
      </c>
      <c r="B4432" s="7" t="s">
        <v>9618</v>
      </c>
      <c r="C4432" s="7" t="s">
        <v>9619</v>
      </c>
      <c r="G4432" s="8" t="s">
        <v>15</v>
      </c>
    </row>
    <row r="4433" spans="1:7" hidden="1" x14ac:dyDescent="0.25">
      <c r="A4433" s="21">
        <v>4432</v>
      </c>
      <c r="B4433" s="7" t="s">
        <v>9620</v>
      </c>
      <c r="C4433" s="7" t="s">
        <v>9621</v>
      </c>
      <c r="G4433" s="8" t="s">
        <v>15</v>
      </c>
    </row>
    <row r="4434" spans="1:7" hidden="1" x14ac:dyDescent="0.25">
      <c r="A4434" s="21">
        <v>4433</v>
      </c>
      <c r="B4434" s="7" t="s">
        <v>9622</v>
      </c>
      <c r="C4434" s="7" t="s">
        <v>9623</v>
      </c>
      <c r="G4434" s="8" t="s">
        <v>15</v>
      </c>
    </row>
    <row r="4435" spans="1:7" hidden="1" x14ac:dyDescent="0.25">
      <c r="A4435" s="21">
        <v>4434</v>
      </c>
      <c r="B4435" s="7" t="s">
        <v>9624</v>
      </c>
      <c r="C4435" s="7" t="s">
        <v>9625</v>
      </c>
      <c r="G4435" s="8" t="s">
        <v>15</v>
      </c>
    </row>
    <row r="4436" spans="1:7" hidden="1" x14ac:dyDescent="0.25">
      <c r="A4436" s="21">
        <v>4435</v>
      </c>
      <c r="B4436" s="7" t="s">
        <v>9626</v>
      </c>
      <c r="C4436" s="7" t="s">
        <v>9627</v>
      </c>
      <c r="G4436" s="8" t="s">
        <v>15</v>
      </c>
    </row>
    <row r="4437" spans="1:7" hidden="1" x14ac:dyDescent="0.25">
      <c r="A4437" s="21">
        <v>4436</v>
      </c>
      <c r="B4437" s="7" t="s">
        <v>9628</v>
      </c>
      <c r="C4437" s="7" t="s">
        <v>9629</v>
      </c>
      <c r="G4437" s="8" t="s">
        <v>15</v>
      </c>
    </row>
    <row r="4438" spans="1:7" hidden="1" x14ac:dyDescent="0.25">
      <c r="A4438" s="21">
        <v>4437</v>
      </c>
      <c r="B4438" s="7" t="s">
        <v>9630</v>
      </c>
      <c r="C4438" s="7" t="s">
        <v>9631</v>
      </c>
      <c r="G4438" s="8" t="s">
        <v>15</v>
      </c>
    </row>
    <row r="4439" spans="1:7" hidden="1" x14ac:dyDescent="0.25">
      <c r="A4439" s="21">
        <v>4438</v>
      </c>
      <c r="B4439" s="7" t="s">
        <v>9632</v>
      </c>
      <c r="C4439" s="7" t="s">
        <v>9633</v>
      </c>
      <c r="G4439" s="8" t="s">
        <v>15</v>
      </c>
    </row>
    <row r="4440" spans="1:7" hidden="1" x14ac:dyDescent="0.25">
      <c r="A4440" s="21">
        <v>4439</v>
      </c>
      <c r="B4440" s="7" t="s">
        <v>9634</v>
      </c>
      <c r="C4440" s="7" t="s">
        <v>9635</v>
      </c>
      <c r="G4440" s="8" t="s">
        <v>15</v>
      </c>
    </row>
    <row r="4441" spans="1:7" hidden="1" x14ac:dyDescent="0.25">
      <c r="A4441" s="21">
        <v>4440</v>
      </c>
      <c r="B4441" s="7" t="s">
        <v>9636</v>
      </c>
      <c r="C4441" s="7" t="s">
        <v>9637</v>
      </c>
      <c r="G4441" s="8" t="s">
        <v>15</v>
      </c>
    </row>
    <row r="4442" spans="1:7" hidden="1" x14ac:dyDescent="0.25">
      <c r="A4442" s="21">
        <v>4441</v>
      </c>
      <c r="B4442" s="7" t="s">
        <v>9638</v>
      </c>
      <c r="C4442" s="7" t="s">
        <v>9639</v>
      </c>
      <c r="G4442" s="8" t="s">
        <v>15</v>
      </c>
    </row>
    <row r="4443" spans="1:7" hidden="1" x14ac:dyDescent="0.25">
      <c r="A4443" s="21">
        <v>4442</v>
      </c>
      <c r="B4443" s="7" t="s">
        <v>9640</v>
      </c>
      <c r="C4443" s="7" t="s">
        <v>9641</v>
      </c>
      <c r="G4443" s="8" t="s">
        <v>15</v>
      </c>
    </row>
    <row r="4444" spans="1:7" hidden="1" x14ac:dyDescent="0.25">
      <c r="A4444" s="21">
        <v>4443</v>
      </c>
      <c r="B4444" s="7" t="s">
        <v>9642</v>
      </c>
      <c r="C4444" s="7" t="s">
        <v>9643</v>
      </c>
      <c r="G4444" s="8" t="s">
        <v>15</v>
      </c>
    </row>
    <row r="4445" spans="1:7" hidden="1" x14ac:dyDescent="0.25">
      <c r="A4445" s="21">
        <v>4444</v>
      </c>
      <c r="B4445" s="7" t="s">
        <v>9644</v>
      </c>
      <c r="C4445" s="7" t="s">
        <v>9645</v>
      </c>
      <c r="G4445" s="8" t="s">
        <v>15</v>
      </c>
    </row>
    <row r="4446" spans="1:7" hidden="1" x14ac:dyDescent="0.25">
      <c r="A4446" s="21">
        <v>4445</v>
      </c>
      <c r="B4446" s="7" t="s">
        <v>9646</v>
      </c>
      <c r="C4446" s="7" t="s">
        <v>9647</v>
      </c>
      <c r="G4446" s="8" t="s">
        <v>15</v>
      </c>
    </row>
    <row r="4447" spans="1:7" hidden="1" x14ac:dyDescent="0.25">
      <c r="A4447" s="21">
        <v>4446</v>
      </c>
      <c r="B4447" s="7" t="s">
        <v>9648</v>
      </c>
      <c r="C4447" s="7" t="s">
        <v>9649</v>
      </c>
      <c r="G4447" s="8" t="s">
        <v>15</v>
      </c>
    </row>
    <row r="4448" spans="1:7" hidden="1" x14ac:dyDescent="0.25">
      <c r="A4448" s="21">
        <v>4447</v>
      </c>
      <c r="B4448" s="7" t="s">
        <v>9650</v>
      </c>
      <c r="C4448" s="7" t="s">
        <v>9651</v>
      </c>
      <c r="G4448" s="8" t="s">
        <v>15</v>
      </c>
    </row>
    <row r="4449" spans="1:7" hidden="1" x14ac:dyDescent="0.25">
      <c r="A4449" s="21">
        <v>4448</v>
      </c>
      <c r="B4449" s="7" t="s">
        <v>9652</v>
      </c>
      <c r="C4449" s="7" t="s">
        <v>9653</v>
      </c>
      <c r="G4449" s="8" t="s">
        <v>15</v>
      </c>
    </row>
    <row r="4450" spans="1:7" hidden="1" x14ac:dyDescent="0.25">
      <c r="A4450" s="21">
        <v>4449</v>
      </c>
      <c r="B4450" s="7" t="s">
        <v>9654</v>
      </c>
      <c r="C4450" s="7" t="s">
        <v>9655</v>
      </c>
      <c r="G4450" s="8" t="s">
        <v>15</v>
      </c>
    </row>
    <row r="4451" spans="1:7" hidden="1" x14ac:dyDescent="0.25">
      <c r="A4451" s="21">
        <v>4450</v>
      </c>
      <c r="B4451" s="7" t="s">
        <v>9656</v>
      </c>
      <c r="C4451" s="7" t="s">
        <v>9657</v>
      </c>
      <c r="G4451" s="8" t="s">
        <v>15</v>
      </c>
    </row>
    <row r="4452" spans="1:7" hidden="1" x14ac:dyDescent="0.25">
      <c r="A4452" s="21">
        <v>4451</v>
      </c>
      <c r="B4452" s="7" t="s">
        <v>9658</v>
      </c>
      <c r="C4452" s="7" t="s">
        <v>9659</v>
      </c>
      <c r="G4452" s="8" t="s">
        <v>15</v>
      </c>
    </row>
    <row r="4453" spans="1:7" hidden="1" x14ac:dyDescent="0.25">
      <c r="A4453" s="21">
        <v>4452</v>
      </c>
      <c r="B4453" s="7" t="s">
        <v>9660</v>
      </c>
      <c r="C4453" s="7" t="s">
        <v>9661</v>
      </c>
      <c r="G4453" s="8" t="s">
        <v>15</v>
      </c>
    </row>
    <row r="4454" spans="1:7" hidden="1" x14ac:dyDescent="0.25">
      <c r="A4454" s="21">
        <v>4453</v>
      </c>
      <c r="B4454" s="7" t="s">
        <v>9662</v>
      </c>
      <c r="C4454" s="7" t="s">
        <v>9663</v>
      </c>
      <c r="G4454" s="8" t="s">
        <v>15</v>
      </c>
    </row>
    <row r="4455" spans="1:7" hidden="1" x14ac:dyDescent="0.25">
      <c r="A4455" s="21">
        <v>4454</v>
      </c>
      <c r="B4455" s="7" t="s">
        <v>9664</v>
      </c>
      <c r="C4455" s="7" t="s">
        <v>9665</v>
      </c>
      <c r="G4455" s="8" t="s">
        <v>15</v>
      </c>
    </row>
    <row r="4456" spans="1:7" hidden="1" x14ac:dyDescent="0.25">
      <c r="A4456" s="21">
        <v>4455</v>
      </c>
      <c r="B4456" s="7" t="s">
        <v>9666</v>
      </c>
      <c r="C4456" s="7" t="s">
        <v>9667</v>
      </c>
      <c r="G4456" s="8" t="s">
        <v>15</v>
      </c>
    </row>
    <row r="4457" spans="1:7" hidden="1" x14ac:dyDescent="0.25">
      <c r="A4457" s="21">
        <v>4456</v>
      </c>
      <c r="B4457" s="7" t="s">
        <v>9668</v>
      </c>
      <c r="C4457" s="7" t="s">
        <v>9669</v>
      </c>
      <c r="G4457" s="8" t="s">
        <v>15</v>
      </c>
    </row>
    <row r="4458" spans="1:7" hidden="1" x14ac:dyDescent="0.25">
      <c r="A4458" s="21">
        <v>4457</v>
      </c>
      <c r="B4458" s="7" t="s">
        <v>9670</v>
      </c>
      <c r="C4458" s="7" t="s">
        <v>9671</v>
      </c>
      <c r="G4458" s="8" t="s">
        <v>15</v>
      </c>
    </row>
    <row r="4459" spans="1:7" hidden="1" x14ac:dyDescent="0.25">
      <c r="A4459" s="21">
        <v>4458</v>
      </c>
      <c r="B4459" s="7" t="s">
        <v>9672</v>
      </c>
      <c r="C4459" s="7" t="s">
        <v>9673</v>
      </c>
      <c r="G4459" s="8" t="s">
        <v>15</v>
      </c>
    </row>
    <row r="4460" spans="1:7" hidden="1" x14ac:dyDescent="0.25">
      <c r="A4460" s="21">
        <v>4459</v>
      </c>
      <c r="B4460" s="7" t="s">
        <v>9674</v>
      </c>
      <c r="C4460" s="7" t="s">
        <v>9675</v>
      </c>
      <c r="G4460" s="8" t="s">
        <v>15</v>
      </c>
    </row>
    <row r="4461" spans="1:7" hidden="1" x14ac:dyDescent="0.25">
      <c r="A4461" s="21">
        <v>4460</v>
      </c>
      <c r="B4461" s="7" t="s">
        <v>9676</v>
      </c>
      <c r="C4461" s="7" t="s">
        <v>9677</v>
      </c>
      <c r="G4461" s="8" t="s">
        <v>15</v>
      </c>
    </row>
    <row r="4462" spans="1:7" hidden="1" x14ac:dyDescent="0.25">
      <c r="A4462" s="21">
        <v>4461</v>
      </c>
      <c r="B4462" s="7" t="s">
        <v>9678</v>
      </c>
      <c r="C4462" s="7" t="s">
        <v>9679</v>
      </c>
      <c r="G4462" s="8" t="s">
        <v>15</v>
      </c>
    </row>
    <row r="4463" spans="1:7" hidden="1" x14ac:dyDescent="0.25">
      <c r="A4463" s="21">
        <v>4462</v>
      </c>
      <c r="B4463" s="7" t="s">
        <v>9680</v>
      </c>
      <c r="C4463" s="7" t="s">
        <v>9681</v>
      </c>
      <c r="G4463" s="8" t="s">
        <v>15</v>
      </c>
    </row>
    <row r="4464" spans="1:7" hidden="1" x14ac:dyDescent="0.25">
      <c r="A4464" s="21">
        <v>4463</v>
      </c>
      <c r="B4464" s="7" t="s">
        <v>9682</v>
      </c>
      <c r="C4464" s="7" t="s">
        <v>9683</v>
      </c>
      <c r="G4464" s="8" t="s">
        <v>15</v>
      </c>
    </row>
    <row r="4465" spans="1:7" hidden="1" x14ac:dyDescent="0.25">
      <c r="A4465" s="21">
        <v>4464</v>
      </c>
      <c r="B4465" s="7" t="s">
        <v>9684</v>
      </c>
      <c r="C4465" s="7" t="s">
        <v>9685</v>
      </c>
      <c r="G4465" s="8" t="s">
        <v>15</v>
      </c>
    </row>
    <row r="4466" spans="1:7" hidden="1" x14ac:dyDescent="0.25">
      <c r="A4466" s="21">
        <v>4465</v>
      </c>
      <c r="B4466" s="7" t="s">
        <v>9686</v>
      </c>
      <c r="C4466" s="7" t="s">
        <v>9687</v>
      </c>
      <c r="G4466" s="8" t="s">
        <v>15</v>
      </c>
    </row>
    <row r="4467" spans="1:7" hidden="1" x14ac:dyDescent="0.25">
      <c r="A4467" s="21">
        <v>4466</v>
      </c>
      <c r="B4467" s="7" t="s">
        <v>9688</v>
      </c>
      <c r="C4467" s="7" t="s">
        <v>9689</v>
      </c>
      <c r="G4467" s="8" t="s">
        <v>15</v>
      </c>
    </row>
    <row r="4468" spans="1:7" hidden="1" x14ac:dyDescent="0.25">
      <c r="A4468" s="21">
        <v>4467</v>
      </c>
      <c r="B4468" s="7" t="s">
        <v>9690</v>
      </c>
      <c r="C4468" s="7" t="s">
        <v>9691</v>
      </c>
      <c r="G4468" s="8" t="s">
        <v>15</v>
      </c>
    </row>
    <row r="4469" spans="1:7" hidden="1" x14ac:dyDescent="0.25">
      <c r="A4469" s="21">
        <v>4468</v>
      </c>
      <c r="B4469" s="7" t="s">
        <v>9692</v>
      </c>
      <c r="C4469" s="7" t="s">
        <v>9693</v>
      </c>
      <c r="G4469" s="8" t="s">
        <v>15</v>
      </c>
    </row>
    <row r="4470" spans="1:7" hidden="1" x14ac:dyDescent="0.25">
      <c r="A4470" s="21">
        <v>4469</v>
      </c>
      <c r="B4470" s="7" t="s">
        <v>9694</v>
      </c>
      <c r="C4470" s="7" t="s">
        <v>9695</v>
      </c>
      <c r="G4470" s="8" t="s">
        <v>15</v>
      </c>
    </row>
    <row r="4471" spans="1:7" hidden="1" x14ac:dyDescent="0.25">
      <c r="A4471" s="21">
        <v>4470</v>
      </c>
      <c r="B4471" s="7" t="s">
        <v>9696</v>
      </c>
      <c r="C4471" s="7" t="s">
        <v>9697</v>
      </c>
      <c r="G4471" s="8" t="s">
        <v>15</v>
      </c>
    </row>
    <row r="4472" spans="1:7" hidden="1" x14ac:dyDescent="0.25">
      <c r="A4472" s="21">
        <v>4471</v>
      </c>
      <c r="B4472" s="7" t="s">
        <v>9698</v>
      </c>
      <c r="C4472" s="7" t="s">
        <v>9699</v>
      </c>
      <c r="G4472" s="8" t="s">
        <v>15</v>
      </c>
    </row>
    <row r="4473" spans="1:7" hidden="1" x14ac:dyDescent="0.25">
      <c r="A4473" s="21">
        <v>4472</v>
      </c>
      <c r="B4473" s="7" t="s">
        <v>9700</v>
      </c>
      <c r="C4473" s="7" t="s">
        <v>9701</v>
      </c>
      <c r="G4473" s="8" t="s">
        <v>15</v>
      </c>
    </row>
    <row r="4474" spans="1:7" hidden="1" x14ac:dyDescent="0.25">
      <c r="A4474" s="21">
        <v>4473</v>
      </c>
      <c r="B4474" s="7" t="s">
        <v>9702</v>
      </c>
      <c r="C4474" s="7" t="s">
        <v>9703</v>
      </c>
      <c r="G4474" s="8" t="s">
        <v>15</v>
      </c>
    </row>
    <row r="4475" spans="1:7" hidden="1" x14ac:dyDescent="0.25">
      <c r="A4475" s="21">
        <v>4474</v>
      </c>
      <c r="B4475" s="7" t="s">
        <v>9704</v>
      </c>
      <c r="C4475" s="7" t="s">
        <v>9705</v>
      </c>
      <c r="G4475" s="8" t="s">
        <v>15</v>
      </c>
    </row>
    <row r="4476" spans="1:7" hidden="1" x14ac:dyDescent="0.25">
      <c r="A4476" s="21">
        <v>4475</v>
      </c>
      <c r="B4476" s="7" t="s">
        <v>9706</v>
      </c>
      <c r="C4476" s="7" t="s">
        <v>9707</v>
      </c>
      <c r="G4476" s="8" t="s">
        <v>15</v>
      </c>
    </row>
    <row r="4477" spans="1:7" hidden="1" x14ac:dyDescent="0.25">
      <c r="A4477" s="21">
        <v>4476</v>
      </c>
      <c r="B4477" s="7" t="s">
        <v>9708</v>
      </c>
      <c r="C4477" s="7" t="s">
        <v>9709</v>
      </c>
      <c r="G4477" s="8" t="s">
        <v>15</v>
      </c>
    </row>
    <row r="4478" spans="1:7" hidden="1" x14ac:dyDescent="0.25">
      <c r="A4478" s="21">
        <v>4477</v>
      </c>
      <c r="B4478" s="7" t="s">
        <v>9710</v>
      </c>
      <c r="C4478" s="7" t="s">
        <v>9711</v>
      </c>
      <c r="G4478" s="8" t="s">
        <v>15</v>
      </c>
    </row>
    <row r="4479" spans="1:7" hidden="1" x14ac:dyDescent="0.25">
      <c r="A4479" s="21">
        <v>4478</v>
      </c>
      <c r="B4479" s="7" t="s">
        <v>9712</v>
      </c>
      <c r="C4479" s="7" t="s">
        <v>9713</v>
      </c>
      <c r="G4479" s="8" t="s">
        <v>15</v>
      </c>
    </row>
    <row r="4480" spans="1:7" hidden="1" x14ac:dyDescent="0.25">
      <c r="A4480" s="21">
        <v>4479</v>
      </c>
      <c r="B4480" s="7" t="s">
        <v>9714</v>
      </c>
      <c r="C4480" s="7" t="s">
        <v>9715</v>
      </c>
      <c r="G4480" s="8" t="s">
        <v>15</v>
      </c>
    </row>
    <row r="4481" spans="1:8" hidden="1" x14ac:dyDescent="0.25">
      <c r="A4481" s="21">
        <v>4480</v>
      </c>
      <c r="B4481" s="7" t="s">
        <v>9716</v>
      </c>
      <c r="C4481" s="7" t="s">
        <v>9717</v>
      </c>
      <c r="G4481" s="8" t="s">
        <v>15</v>
      </c>
    </row>
    <row r="4482" spans="1:8" hidden="1" x14ac:dyDescent="0.25">
      <c r="A4482" s="21">
        <v>4481</v>
      </c>
      <c r="B4482" s="7" t="s">
        <v>9718</v>
      </c>
      <c r="C4482" s="7" t="s">
        <v>9719</v>
      </c>
      <c r="G4482" s="8" t="s">
        <v>15</v>
      </c>
    </row>
    <row r="4483" spans="1:8" hidden="1" x14ac:dyDescent="0.25">
      <c r="A4483" s="21">
        <v>4482</v>
      </c>
      <c r="B4483" s="7" t="s">
        <v>9720</v>
      </c>
      <c r="C4483" s="7" t="s">
        <v>9721</v>
      </c>
      <c r="G4483" s="8" t="s">
        <v>15</v>
      </c>
    </row>
    <row r="4484" spans="1:8" hidden="1" x14ac:dyDescent="0.25">
      <c r="A4484" s="21">
        <v>4483</v>
      </c>
      <c r="B4484" s="7" t="s">
        <v>9722</v>
      </c>
      <c r="C4484" s="7" t="s">
        <v>9723</v>
      </c>
      <c r="G4484" s="8" t="s">
        <v>15</v>
      </c>
    </row>
    <row r="4485" spans="1:8" hidden="1" x14ac:dyDescent="0.25">
      <c r="A4485" s="21">
        <v>4484</v>
      </c>
      <c r="B4485" s="7" t="s">
        <v>9724</v>
      </c>
      <c r="C4485" s="7" t="s">
        <v>9725</v>
      </c>
      <c r="G4485" s="8" t="s">
        <v>15</v>
      </c>
    </row>
    <row r="4486" spans="1:8" hidden="1" x14ac:dyDescent="0.25">
      <c r="A4486" s="21">
        <v>4485</v>
      </c>
      <c r="B4486" s="7" t="s">
        <v>9726</v>
      </c>
      <c r="C4486" s="7" t="s">
        <v>9727</v>
      </c>
      <c r="G4486" s="8" t="s">
        <v>15</v>
      </c>
    </row>
    <row r="4487" spans="1:8" hidden="1" x14ac:dyDescent="0.25">
      <c r="A4487" s="21">
        <v>4486</v>
      </c>
      <c r="B4487" s="7" t="s">
        <v>9728</v>
      </c>
      <c r="C4487" s="7" t="s">
        <v>9729</v>
      </c>
      <c r="G4487" s="8" t="s">
        <v>15</v>
      </c>
    </row>
    <row r="4488" spans="1:8" hidden="1" x14ac:dyDescent="0.25">
      <c r="A4488" s="21">
        <v>4487</v>
      </c>
      <c r="B4488" s="7" t="s">
        <v>9730</v>
      </c>
      <c r="C4488" s="7" t="s">
        <v>9731</v>
      </c>
      <c r="G4488" s="8" t="s">
        <v>15</v>
      </c>
      <c r="H4488" t="str">
        <f>_xlfn.XLOOKUP(B4488,Data!T:T,Data!F:F)</f>
        <v>75 gm</v>
      </c>
    </row>
    <row r="4489" spans="1:8" hidden="1" x14ac:dyDescent="0.25">
      <c r="A4489" s="21">
        <v>4488</v>
      </c>
      <c r="B4489" s="7" t="s">
        <v>9732</v>
      </c>
      <c r="C4489" s="7" t="s">
        <v>9733</v>
      </c>
      <c r="G4489" s="8" t="s">
        <v>15</v>
      </c>
    </row>
    <row r="4490" spans="1:8" hidden="1" x14ac:dyDescent="0.25">
      <c r="A4490" s="21">
        <v>4489</v>
      </c>
      <c r="B4490" s="7" t="s">
        <v>9734</v>
      </c>
      <c r="C4490" s="7" t="s">
        <v>9735</v>
      </c>
      <c r="G4490" s="8" t="s">
        <v>15</v>
      </c>
    </row>
    <row r="4491" spans="1:8" hidden="1" x14ac:dyDescent="0.25">
      <c r="A4491" s="21">
        <v>4490</v>
      </c>
      <c r="B4491" s="7" t="s">
        <v>9736</v>
      </c>
      <c r="C4491" s="7" t="s">
        <v>9737</v>
      </c>
      <c r="G4491" s="8" t="s">
        <v>15</v>
      </c>
    </row>
    <row r="4492" spans="1:8" hidden="1" x14ac:dyDescent="0.25">
      <c r="A4492" s="21">
        <v>4491</v>
      </c>
      <c r="B4492" s="7" t="s">
        <v>9738</v>
      </c>
      <c r="C4492" s="7" t="s">
        <v>9739</v>
      </c>
      <c r="G4492" s="8" t="s">
        <v>15</v>
      </c>
    </row>
    <row r="4493" spans="1:8" hidden="1" x14ac:dyDescent="0.25">
      <c r="A4493" s="21">
        <v>4492</v>
      </c>
      <c r="B4493" s="7" t="s">
        <v>9740</v>
      </c>
      <c r="C4493" s="7" t="s">
        <v>9741</v>
      </c>
      <c r="G4493" s="8" t="s">
        <v>15</v>
      </c>
    </row>
    <row r="4494" spans="1:8" hidden="1" x14ac:dyDescent="0.25">
      <c r="A4494" s="21">
        <v>4493</v>
      </c>
      <c r="B4494" s="7" t="s">
        <v>9742</v>
      </c>
      <c r="C4494" s="7" t="s">
        <v>9743</v>
      </c>
      <c r="G4494" s="8" t="s">
        <v>15</v>
      </c>
    </row>
    <row r="4495" spans="1:8" hidden="1" x14ac:dyDescent="0.25">
      <c r="A4495" s="21">
        <v>4494</v>
      </c>
      <c r="B4495" s="7" t="s">
        <v>9744</v>
      </c>
      <c r="C4495" s="7" t="s">
        <v>9745</v>
      </c>
      <c r="G4495" s="8" t="s">
        <v>15</v>
      </c>
    </row>
    <row r="4496" spans="1:8" hidden="1" x14ac:dyDescent="0.25">
      <c r="A4496" s="21">
        <v>4495</v>
      </c>
      <c r="B4496" s="7" t="s">
        <v>9746</v>
      </c>
      <c r="C4496" s="7" t="s">
        <v>9747</v>
      </c>
      <c r="G4496" s="8" t="s">
        <v>15</v>
      </c>
    </row>
    <row r="4497" spans="1:7" hidden="1" x14ac:dyDescent="0.25">
      <c r="A4497" s="21">
        <v>4496</v>
      </c>
      <c r="B4497" s="7" t="s">
        <v>9748</v>
      </c>
      <c r="C4497" s="7" t="s">
        <v>9749</v>
      </c>
      <c r="G4497" s="8" t="s">
        <v>15</v>
      </c>
    </row>
    <row r="4498" spans="1:7" hidden="1" x14ac:dyDescent="0.25">
      <c r="A4498" s="21">
        <v>4497</v>
      </c>
      <c r="B4498" s="7" t="s">
        <v>9750</v>
      </c>
      <c r="C4498" s="7" t="s">
        <v>9751</v>
      </c>
      <c r="G4498" s="8" t="s">
        <v>15</v>
      </c>
    </row>
    <row r="4499" spans="1:7" hidden="1" x14ac:dyDescent="0.25">
      <c r="A4499" s="21">
        <v>4498</v>
      </c>
      <c r="B4499" s="7" t="s">
        <v>9752</v>
      </c>
      <c r="C4499" s="7" t="s">
        <v>9753</v>
      </c>
      <c r="G4499" s="8" t="s">
        <v>15</v>
      </c>
    </row>
    <row r="4500" spans="1:7" hidden="1" x14ac:dyDescent="0.25">
      <c r="A4500" s="21">
        <v>4499</v>
      </c>
      <c r="B4500" s="7" t="s">
        <v>9754</v>
      </c>
      <c r="C4500" s="7" t="s">
        <v>9755</v>
      </c>
      <c r="G4500" s="8" t="s">
        <v>15</v>
      </c>
    </row>
    <row r="4501" spans="1:7" hidden="1" x14ac:dyDescent="0.25">
      <c r="A4501" s="21">
        <v>4500</v>
      </c>
      <c r="B4501" s="7" t="s">
        <v>9756</v>
      </c>
      <c r="C4501" s="7" t="s">
        <v>9757</v>
      </c>
      <c r="G4501" s="8" t="s">
        <v>15</v>
      </c>
    </row>
    <row r="4502" spans="1:7" hidden="1" x14ac:dyDescent="0.25">
      <c r="A4502" s="21">
        <v>4501</v>
      </c>
      <c r="B4502" s="7" t="s">
        <v>9758</v>
      </c>
      <c r="C4502" s="7" t="s">
        <v>9759</v>
      </c>
      <c r="G4502" s="8" t="s">
        <v>15</v>
      </c>
    </row>
    <row r="4503" spans="1:7" hidden="1" x14ac:dyDescent="0.25">
      <c r="A4503" s="21">
        <v>4502</v>
      </c>
      <c r="B4503" s="7" t="s">
        <v>9760</v>
      </c>
      <c r="C4503" s="7" t="s">
        <v>9761</v>
      </c>
      <c r="G4503" s="8" t="s">
        <v>15</v>
      </c>
    </row>
    <row r="4504" spans="1:7" hidden="1" x14ac:dyDescent="0.25">
      <c r="A4504" s="21">
        <v>4503</v>
      </c>
      <c r="B4504" s="7" t="s">
        <v>9762</v>
      </c>
      <c r="C4504" s="7" t="s">
        <v>9763</v>
      </c>
      <c r="G4504" s="8" t="s">
        <v>15</v>
      </c>
    </row>
    <row r="4505" spans="1:7" hidden="1" x14ac:dyDescent="0.25">
      <c r="A4505" s="21">
        <v>4504</v>
      </c>
      <c r="B4505" s="7" t="s">
        <v>9764</v>
      </c>
      <c r="C4505" s="7" t="s">
        <v>9765</v>
      </c>
      <c r="G4505" s="8" t="s">
        <v>15</v>
      </c>
    </row>
    <row r="4506" spans="1:7" hidden="1" x14ac:dyDescent="0.25">
      <c r="A4506" s="21">
        <v>4505</v>
      </c>
      <c r="B4506" s="7" t="s">
        <v>9766</v>
      </c>
      <c r="C4506" s="7" t="s">
        <v>9767</v>
      </c>
      <c r="G4506" s="8" t="s">
        <v>15</v>
      </c>
    </row>
    <row r="4507" spans="1:7" hidden="1" x14ac:dyDescent="0.25">
      <c r="A4507" s="21">
        <v>4506</v>
      </c>
      <c r="B4507" s="7" t="s">
        <v>9768</v>
      </c>
      <c r="C4507" s="7" t="s">
        <v>9769</v>
      </c>
      <c r="G4507" s="8" t="s">
        <v>15</v>
      </c>
    </row>
    <row r="4508" spans="1:7" hidden="1" x14ac:dyDescent="0.25">
      <c r="A4508" s="21">
        <v>4507</v>
      </c>
      <c r="B4508" s="7" t="s">
        <v>9770</v>
      </c>
      <c r="C4508" s="7" t="s">
        <v>9771</v>
      </c>
      <c r="G4508" s="8" t="s">
        <v>15</v>
      </c>
    </row>
    <row r="4509" spans="1:7" hidden="1" x14ac:dyDescent="0.25">
      <c r="A4509" s="21">
        <v>4508</v>
      </c>
      <c r="B4509" s="7" t="s">
        <v>9772</v>
      </c>
      <c r="C4509" s="7" t="s">
        <v>9773</v>
      </c>
      <c r="G4509" s="8" t="s">
        <v>15</v>
      </c>
    </row>
    <row r="4510" spans="1:7" hidden="1" x14ac:dyDescent="0.25">
      <c r="A4510" s="21">
        <v>4509</v>
      </c>
      <c r="B4510" s="7" t="s">
        <v>9774</v>
      </c>
      <c r="C4510" s="7" t="s">
        <v>9775</v>
      </c>
      <c r="G4510" s="8" t="s">
        <v>15</v>
      </c>
    </row>
    <row r="4511" spans="1:7" hidden="1" x14ac:dyDescent="0.25">
      <c r="A4511" s="21">
        <v>4510</v>
      </c>
      <c r="B4511" s="7" t="s">
        <v>9776</v>
      </c>
      <c r="C4511" s="7" t="s">
        <v>9777</v>
      </c>
      <c r="G4511" s="8" t="s">
        <v>15</v>
      </c>
    </row>
    <row r="4512" spans="1:7" hidden="1" x14ac:dyDescent="0.25">
      <c r="A4512" s="21">
        <v>4511</v>
      </c>
      <c r="B4512" s="7" t="s">
        <v>9778</v>
      </c>
      <c r="C4512" s="7" t="s">
        <v>9779</v>
      </c>
      <c r="G4512" s="8" t="s">
        <v>15</v>
      </c>
    </row>
    <row r="4513" spans="1:7" hidden="1" x14ac:dyDescent="0.25">
      <c r="A4513" s="21">
        <v>4512</v>
      </c>
      <c r="B4513" s="7" t="s">
        <v>9780</v>
      </c>
      <c r="C4513" s="7" t="s">
        <v>9781</v>
      </c>
      <c r="G4513" s="8" t="s">
        <v>15</v>
      </c>
    </row>
    <row r="4514" spans="1:7" hidden="1" x14ac:dyDescent="0.25">
      <c r="A4514" s="21">
        <v>4513</v>
      </c>
      <c r="B4514" s="7" t="s">
        <v>9782</v>
      </c>
      <c r="C4514" s="7" t="s">
        <v>9783</v>
      </c>
      <c r="G4514" s="8" t="s">
        <v>15</v>
      </c>
    </row>
    <row r="4515" spans="1:7" hidden="1" x14ac:dyDescent="0.25">
      <c r="A4515" s="21">
        <v>4514</v>
      </c>
      <c r="B4515" s="7" t="s">
        <v>9784</v>
      </c>
      <c r="C4515" s="7" t="s">
        <v>9785</v>
      </c>
      <c r="G4515" s="8" t="s">
        <v>15</v>
      </c>
    </row>
    <row r="4516" spans="1:7" hidden="1" x14ac:dyDescent="0.25">
      <c r="A4516" s="21">
        <v>4515</v>
      </c>
      <c r="B4516" s="7" t="s">
        <v>9786</v>
      </c>
      <c r="C4516" s="7" t="s">
        <v>9787</v>
      </c>
      <c r="G4516" s="8" t="s">
        <v>15</v>
      </c>
    </row>
    <row r="4517" spans="1:7" hidden="1" x14ac:dyDescent="0.25">
      <c r="A4517" s="21">
        <v>4516</v>
      </c>
      <c r="B4517" s="7" t="s">
        <v>9788</v>
      </c>
      <c r="C4517" s="7" t="s">
        <v>9789</v>
      </c>
      <c r="G4517" s="8" t="s">
        <v>15</v>
      </c>
    </row>
    <row r="4518" spans="1:7" hidden="1" x14ac:dyDescent="0.25">
      <c r="A4518" s="21">
        <v>4517</v>
      </c>
      <c r="B4518" s="7" t="s">
        <v>9790</v>
      </c>
      <c r="C4518" s="7" t="s">
        <v>9791</v>
      </c>
      <c r="G4518" s="8" t="s">
        <v>15</v>
      </c>
    </row>
    <row r="4519" spans="1:7" hidden="1" x14ac:dyDescent="0.25">
      <c r="A4519" s="21">
        <v>4518</v>
      </c>
      <c r="B4519" s="7" t="s">
        <v>9792</v>
      </c>
      <c r="C4519" s="7" t="s">
        <v>9793</v>
      </c>
      <c r="G4519" s="8" t="s">
        <v>15</v>
      </c>
    </row>
    <row r="4520" spans="1:7" hidden="1" x14ac:dyDescent="0.25">
      <c r="A4520" s="21">
        <v>4519</v>
      </c>
      <c r="B4520" s="7" t="s">
        <v>9794</v>
      </c>
      <c r="C4520" s="7" t="s">
        <v>9795</v>
      </c>
      <c r="G4520" s="8" t="s">
        <v>15</v>
      </c>
    </row>
    <row r="4521" spans="1:7" hidden="1" x14ac:dyDescent="0.25">
      <c r="A4521" s="21">
        <v>4520</v>
      </c>
      <c r="B4521" s="7" t="s">
        <v>9796</v>
      </c>
      <c r="C4521" s="7" t="s">
        <v>9797</v>
      </c>
      <c r="G4521" s="8" t="s">
        <v>15</v>
      </c>
    </row>
    <row r="4522" spans="1:7" hidden="1" x14ac:dyDescent="0.25">
      <c r="A4522" s="21">
        <v>4521</v>
      </c>
      <c r="B4522" s="7" t="s">
        <v>9798</v>
      </c>
      <c r="C4522" s="7" t="s">
        <v>9799</v>
      </c>
      <c r="G4522" s="8" t="s">
        <v>15</v>
      </c>
    </row>
    <row r="4523" spans="1:7" hidden="1" x14ac:dyDescent="0.25">
      <c r="A4523" s="21">
        <v>4522</v>
      </c>
      <c r="B4523" s="7" t="s">
        <v>9800</v>
      </c>
      <c r="C4523" s="7" t="s">
        <v>9801</v>
      </c>
      <c r="G4523" s="8" t="s">
        <v>15</v>
      </c>
    </row>
    <row r="4524" spans="1:7" hidden="1" x14ac:dyDescent="0.25">
      <c r="A4524" s="21">
        <v>4523</v>
      </c>
      <c r="B4524" s="7" t="s">
        <v>9802</v>
      </c>
      <c r="C4524" s="7" t="s">
        <v>9803</v>
      </c>
      <c r="G4524" s="8" t="s">
        <v>15</v>
      </c>
    </row>
    <row r="4525" spans="1:7" hidden="1" x14ac:dyDescent="0.25">
      <c r="A4525" s="21">
        <v>4524</v>
      </c>
      <c r="B4525" s="7" t="s">
        <v>9804</v>
      </c>
      <c r="C4525" s="7" t="s">
        <v>9805</v>
      </c>
      <c r="G4525" s="8" t="s">
        <v>15</v>
      </c>
    </row>
    <row r="4526" spans="1:7" hidden="1" x14ac:dyDescent="0.25">
      <c r="A4526" s="21">
        <v>4525</v>
      </c>
      <c r="B4526" s="7" t="s">
        <v>9806</v>
      </c>
      <c r="C4526" s="7" t="s">
        <v>9807</v>
      </c>
      <c r="G4526" s="8" t="s">
        <v>15</v>
      </c>
    </row>
    <row r="4527" spans="1:7" hidden="1" x14ac:dyDescent="0.25">
      <c r="A4527" s="21">
        <v>4526</v>
      </c>
      <c r="B4527" s="7" t="s">
        <v>9808</v>
      </c>
      <c r="C4527" s="7" t="s">
        <v>9809</v>
      </c>
      <c r="G4527" s="8" t="s">
        <v>15</v>
      </c>
    </row>
    <row r="4528" spans="1:7" hidden="1" x14ac:dyDescent="0.25">
      <c r="A4528" s="21">
        <v>4527</v>
      </c>
      <c r="B4528" s="7" t="s">
        <v>9810</v>
      </c>
      <c r="C4528" s="7" t="s">
        <v>9811</v>
      </c>
      <c r="G4528" s="8" t="s">
        <v>15</v>
      </c>
    </row>
    <row r="4529" spans="1:7" hidden="1" x14ac:dyDescent="0.25">
      <c r="A4529" s="21">
        <v>4528</v>
      </c>
      <c r="B4529" s="7" t="s">
        <v>9812</v>
      </c>
      <c r="C4529" s="7" t="s">
        <v>9813</v>
      </c>
      <c r="G4529" s="8" t="s">
        <v>15</v>
      </c>
    </row>
    <row r="4530" spans="1:7" hidden="1" x14ac:dyDescent="0.25">
      <c r="A4530" s="21">
        <v>4529</v>
      </c>
      <c r="B4530" s="7" t="s">
        <v>9814</v>
      </c>
      <c r="C4530" s="7" t="s">
        <v>9815</v>
      </c>
      <c r="G4530" s="8" t="s">
        <v>15</v>
      </c>
    </row>
    <row r="4531" spans="1:7" hidden="1" x14ac:dyDescent="0.25">
      <c r="A4531" s="21">
        <v>4530</v>
      </c>
      <c r="B4531" s="7" t="s">
        <v>9816</v>
      </c>
      <c r="C4531" s="7" t="s">
        <v>9817</v>
      </c>
      <c r="G4531" s="8" t="s">
        <v>15</v>
      </c>
    </row>
    <row r="4532" spans="1:7" hidden="1" x14ac:dyDescent="0.25">
      <c r="A4532" s="21">
        <v>4531</v>
      </c>
      <c r="B4532" s="7" t="s">
        <v>9818</v>
      </c>
      <c r="C4532" s="7" t="s">
        <v>9819</v>
      </c>
      <c r="G4532" s="8" t="s">
        <v>15</v>
      </c>
    </row>
    <row r="4533" spans="1:7" hidden="1" x14ac:dyDescent="0.25">
      <c r="A4533" s="21">
        <v>4532</v>
      </c>
      <c r="B4533" s="7" t="s">
        <v>9820</v>
      </c>
      <c r="C4533" s="7" t="s">
        <v>9821</v>
      </c>
      <c r="G4533" s="8" t="s">
        <v>15</v>
      </c>
    </row>
    <row r="4534" spans="1:7" hidden="1" x14ac:dyDescent="0.25">
      <c r="A4534" s="21">
        <v>4533</v>
      </c>
      <c r="B4534" s="7" t="s">
        <v>9822</v>
      </c>
      <c r="C4534" s="7" t="s">
        <v>9823</v>
      </c>
      <c r="G4534" s="8" t="s">
        <v>15</v>
      </c>
    </row>
    <row r="4535" spans="1:7" hidden="1" x14ac:dyDescent="0.25">
      <c r="A4535" s="21">
        <v>4534</v>
      </c>
      <c r="B4535" s="7" t="s">
        <v>9824</v>
      </c>
      <c r="C4535" s="7" t="s">
        <v>9825</v>
      </c>
      <c r="G4535" s="8" t="s">
        <v>15</v>
      </c>
    </row>
    <row r="4536" spans="1:7" hidden="1" x14ac:dyDescent="0.25">
      <c r="A4536" s="21">
        <v>4535</v>
      </c>
      <c r="B4536" s="7" t="s">
        <v>9826</v>
      </c>
      <c r="C4536" s="7" t="s">
        <v>9827</v>
      </c>
      <c r="G4536" s="8" t="s">
        <v>15</v>
      </c>
    </row>
    <row r="4537" spans="1:7" hidden="1" x14ac:dyDescent="0.25">
      <c r="A4537" s="21">
        <v>4536</v>
      </c>
      <c r="B4537" s="7" t="s">
        <v>9828</v>
      </c>
      <c r="C4537" s="7" t="s">
        <v>9829</v>
      </c>
      <c r="G4537" s="8" t="s">
        <v>15</v>
      </c>
    </row>
    <row r="4538" spans="1:7" hidden="1" x14ac:dyDescent="0.25">
      <c r="A4538" s="21">
        <v>4537</v>
      </c>
      <c r="B4538" s="7" t="s">
        <v>9830</v>
      </c>
      <c r="C4538" s="7" t="s">
        <v>9831</v>
      </c>
      <c r="G4538" s="8" t="s">
        <v>15</v>
      </c>
    </row>
    <row r="4539" spans="1:7" hidden="1" x14ac:dyDescent="0.25">
      <c r="A4539" s="21">
        <v>4538</v>
      </c>
      <c r="B4539" s="7" t="s">
        <v>9832</v>
      </c>
      <c r="C4539" s="7" t="s">
        <v>9833</v>
      </c>
      <c r="G4539" s="8" t="s">
        <v>15</v>
      </c>
    </row>
    <row r="4540" spans="1:7" hidden="1" x14ac:dyDescent="0.25">
      <c r="A4540" s="21">
        <v>4539</v>
      </c>
      <c r="B4540" s="7" t="s">
        <v>9834</v>
      </c>
      <c r="C4540" s="7" t="s">
        <v>9835</v>
      </c>
      <c r="G4540" s="8" t="s">
        <v>15</v>
      </c>
    </row>
    <row r="4541" spans="1:7" hidden="1" x14ac:dyDescent="0.25">
      <c r="A4541" s="21">
        <v>4540</v>
      </c>
      <c r="B4541" s="7" t="s">
        <v>9836</v>
      </c>
      <c r="C4541" s="7" t="s">
        <v>9837</v>
      </c>
      <c r="G4541" s="8" t="s">
        <v>15</v>
      </c>
    </row>
    <row r="4542" spans="1:7" hidden="1" x14ac:dyDescent="0.25">
      <c r="A4542" s="21">
        <v>4541</v>
      </c>
      <c r="B4542" s="7" t="s">
        <v>9838</v>
      </c>
      <c r="C4542" s="7" t="s">
        <v>9839</v>
      </c>
      <c r="G4542" s="8" t="s">
        <v>15</v>
      </c>
    </row>
    <row r="4543" spans="1:7" hidden="1" x14ac:dyDescent="0.25">
      <c r="A4543" s="21">
        <v>4542</v>
      </c>
      <c r="B4543" s="7" t="s">
        <v>9840</v>
      </c>
      <c r="C4543" s="7" t="s">
        <v>9841</v>
      </c>
      <c r="G4543" s="8" t="s">
        <v>15</v>
      </c>
    </row>
    <row r="4544" spans="1:7" hidden="1" x14ac:dyDescent="0.25">
      <c r="A4544" s="21">
        <v>4543</v>
      </c>
      <c r="B4544" s="7" t="s">
        <v>9842</v>
      </c>
      <c r="C4544" s="7" t="s">
        <v>9843</v>
      </c>
      <c r="G4544" s="8" t="s">
        <v>15</v>
      </c>
    </row>
    <row r="4545" spans="1:7" hidden="1" x14ac:dyDescent="0.25">
      <c r="A4545" s="21">
        <v>4544</v>
      </c>
      <c r="B4545" s="7" t="s">
        <v>9844</v>
      </c>
      <c r="C4545" s="7" t="s">
        <v>9845</v>
      </c>
      <c r="G4545" s="8" t="s">
        <v>15</v>
      </c>
    </row>
    <row r="4546" spans="1:7" hidden="1" x14ac:dyDescent="0.25">
      <c r="A4546" s="21">
        <v>4545</v>
      </c>
      <c r="B4546" s="7" t="s">
        <v>9846</v>
      </c>
      <c r="C4546" s="7" t="s">
        <v>9847</v>
      </c>
      <c r="G4546" s="8" t="s">
        <v>15</v>
      </c>
    </row>
    <row r="4547" spans="1:7" hidden="1" x14ac:dyDescent="0.25">
      <c r="A4547" s="21">
        <v>4546</v>
      </c>
      <c r="B4547" s="7" t="s">
        <v>9848</v>
      </c>
      <c r="C4547" s="7" t="s">
        <v>9849</v>
      </c>
      <c r="G4547" s="8" t="s">
        <v>15</v>
      </c>
    </row>
    <row r="4548" spans="1:7" hidden="1" x14ac:dyDescent="0.25">
      <c r="A4548" s="21">
        <v>4547</v>
      </c>
      <c r="B4548" s="7" t="s">
        <v>9850</v>
      </c>
      <c r="C4548" s="7" t="s">
        <v>9851</v>
      </c>
      <c r="G4548" s="8" t="s">
        <v>15</v>
      </c>
    </row>
    <row r="4549" spans="1:7" hidden="1" x14ac:dyDescent="0.25">
      <c r="A4549" s="21">
        <v>4548</v>
      </c>
      <c r="B4549" s="7" t="s">
        <v>9852</v>
      </c>
      <c r="C4549" s="7" t="s">
        <v>9853</v>
      </c>
      <c r="G4549" s="8" t="s">
        <v>15</v>
      </c>
    </row>
    <row r="4550" spans="1:7" hidden="1" x14ac:dyDescent="0.25">
      <c r="A4550" s="21">
        <v>4549</v>
      </c>
      <c r="B4550" s="7" t="s">
        <v>9854</v>
      </c>
      <c r="C4550" s="7" t="s">
        <v>9855</v>
      </c>
      <c r="G4550" s="8" t="s">
        <v>15</v>
      </c>
    </row>
    <row r="4551" spans="1:7" hidden="1" x14ac:dyDescent="0.25">
      <c r="A4551" s="21">
        <v>4550</v>
      </c>
      <c r="B4551" s="7" t="s">
        <v>9856</v>
      </c>
      <c r="C4551" s="7" t="s">
        <v>9857</v>
      </c>
      <c r="G4551" s="8" t="s">
        <v>15</v>
      </c>
    </row>
    <row r="4552" spans="1:7" hidden="1" x14ac:dyDescent="0.25">
      <c r="A4552" s="21">
        <v>4551</v>
      </c>
      <c r="B4552" s="7" t="s">
        <v>9858</v>
      </c>
      <c r="C4552" s="7" t="s">
        <v>9859</v>
      </c>
      <c r="G4552" s="8" t="s">
        <v>15</v>
      </c>
    </row>
    <row r="4553" spans="1:7" hidden="1" x14ac:dyDescent="0.25">
      <c r="A4553" s="21">
        <v>4552</v>
      </c>
      <c r="B4553" s="7" t="s">
        <v>9860</v>
      </c>
      <c r="C4553" s="7" t="s">
        <v>9861</v>
      </c>
      <c r="G4553" s="8" t="s">
        <v>15</v>
      </c>
    </row>
    <row r="4554" spans="1:7" hidden="1" x14ac:dyDescent="0.25">
      <c r="A4554" s="21">
        <v>4553</v>
      </c>
      <c r="B4554" s="7" t="s">
        <v>9862</v>
      </c>
      <c r="C4554" s="7" t="s">
        <v>9863</v>
      </c>
      <c r="G4554" s="8" t="s">
        <v>15</v>
      </c>
    </row>
    <row r="4555" spans="1:7" hidden="1" x14ac:dyDescent="0.25">
      <c r="A4555" s="21">
        <v>4554</v>
      </c>
      <c r="B4555" s="7" t="s">
        <v>9864</v>
      </c>
      <c r="C4555" s="7" t="s">
        <v>9865</v>
      </c>
      <c r="G4555" s="8" t="s">
        <v>15</v>
      </c>
    </row>
    <row r="4556" spans="1:7" hidden="1" x14ac:dyDescent="0.25">
      <c r="A4556" s="21">
        <v>4555</v>
      </c>
      <c r="B4556" s="7" t="s">
        <v>9866</v>
      </c>
      <c r="C4556" s="7" t="s">
        <v>9867</v>
      </c>
      <c r="G4556" s="8" t="s">
        <v>15</v>
      </c>
    </row>
    <row r="4557" spans="1:7" hidden="1" x14ac:dyDescent="0.25">
      <c r="A4557" s="21">
        <v>4556</v>
      </c>
      <c r="B4557" s="7" t="s">
        <v>9868</v>
      </c>
      <c r="C4557" s="7" t="s">
        <v>9869</v>
      </c>
      <c r="G4557" s="8" t="s">
        <v>15</v>
      </c>
    </row>
    <row r="4558" spans="1:7" hidden="1" x14ac:dyDescent="0.25">
      <c r="A4558" s="21">
        <v>4557</v>
      </c>
      <c r="B4558" s="7" t="s">
        <v>9870</v>
      </c>
      <c r="C4558" s="7" t="s">
        <v>9871</v>
      </c>
      <c r="G4558" s="8" t="s">
        <v>15</v>
      </c>
    </row>
    <row r="4559" spans="1:7" hidden="1" x14ac:dyDescent="0.25">
      <c r="A4559" s="21">
        <v>4558</v>
      </c>
      <c r="B4559" s="7" t="s">
        <v>9872</v>
      </c>
      <c r="C4559" s="7" t="s">
        <v>9873</v>
      </c>
      <c r="G4559" s="8" t="s">
        <v>15</v>
      </c>
    </row>
    <row r="4560" spans="1:7" hidden="1" x14ac:dyDescent="0.25">
      <c r="A4560" s="21">
        <v>4559</v>
      </c>
      <c r="B4560" s="7" t="s">
        <v>9874</v>
      </c>
      <c r="C4560" s="7" t="s">
        <v>9875</v>
      </c>
      <c r="G4560" s="8" t="s">
        <v>15</v>
      </c>
    </row>
    <row r="4561" spans="1:13" hidden="1" x14ac:dyDescent="0.25">
      <c r="A4561" s="21">
        <v>4560</v>
      </c>
      <c r="B4561" s="7" t="s">
        <v>9876</v>
      </c>
      <c r="C4561" s="7" t="s">
        <v>9877</v>
      </c>
      <c r="G4561" s="8" t="s">
        <v>15</v>
      </c>
    </row>
    <row r="4562" spans="1:13" hidden="1" x14ac:dyDescent="0.25">
      <c r="A4562" s="21">
        <v>4561</v>
      </c>
      <c r="B4562" s="7" t="s">
        <v>9878</v>
      </c>
      <c r="C4562" s="7" t="s">
        <v>9879</v>
      </c>
      <c r="G4562" s="8" t="s">
        <v>15</v>
      </c>
    </row>
    <row r="4563" spans="1:13" hidden="1" x14ac:dyDescent="0.25">
      <c r="A4563" s="21">
        <v>4562</v>
      </c>
      <c r="B4563" s="7" t="s">
        <v>9880</v>
      </c>
      <c r="C4563" s="7" t="s">
        <v>9881</v>
      </c>
      <c r="G4563" s="8" t="s">
        <v>15</v>
      </c>
    </row>
    <row r="4564" spans="1:13" hidden="1" x14ac:dyDescent="0.25">
      <c r="A4564" s="21">
        <v>4563</v>
      </c>
      <c r="B4564" s="7" t="s">
        <v>9882</v>
      </c>
      <c r="C4564" s="7" t="s">
        <v>9883</v>
      </c>
      <c r="G4564" s="8" t="s">
        <v>15</v>
      </c>
    </row>
    <row r="4565" spans="1:13" hidden="1" x14ac:dyDescent="0.25">
      <c r="A4565" s="21">
        <v>4564</v>
      </c>
      <c r="B4565" s="7" t="s">
        <v>9884</v>
      </c>
      <c r="C4565" s="7" t="s">
        <v>9885</v>
      </c>
      <c r="G4565" s="8" t="s">
        <v>15</v>
      </c>
    </row>
    <row r="4566" spans="1:13" hidden="1" x14ac:dyDescent="0.25">
      <c r="A4566" s="21">
        <v>4565</v>
      </c>
      <c r="B4566" s="7" t="s">
        <v>9886</v>
      </c>
      <c r="C4566" s="7" t="s">
        <v>9887</v>
      </c>
      <c r="G4566" s="8" t="s">
        <v>15</v>
      </c>
    </row>
    <row r="4567" spans="1:13" hidden="1" x14ac:dyDescent="0.25">
      <c r="A4567" s="21">
        <v>4566</v>
      </c>
      <c r="B4567" s="7" t="s">
        <v>9888</v>
      </c>
      <c r="C4567" s="7" t="s">
        <v>9889</v>
      </c>
      <c r="G4567" s="8" t="s">
        <v>15</v>
      </c>
    </row>
    <row r="4568" spans="1:13" hidden="1" x14ac:dyDescent="0.25">
      <c r="A4568" s="21">
        <v>4567</v>
      </c>
      <c r="B4568" s="7" t="s">
        <v>9890</v>
      </c>
      <c r="C4568" s="7" t="s">
        <v>9891</v>
      </c>
      <c r="G4568" s="8" t="s">
        <v>15</v>
      </c>
    </row>
    <row r="4569" spans="1:13" hidden="1" x14ac:dyDescent="0.25">
      <c r="A4569" s="21">
        <v>4568</v>
      </c>
      <c r="B4569" s="7" t="s">
        <v>9892</v>
      </c>
      <c r="C4569" s="7" t="s">
        <v>9893</v>
      </c>
      <c r="G4569" s="8" t="s">
        <v>15</v>
      </c>
    </row>
    <row r="4570" spans="1:13" hidden="1" x14ac:dyDescent="0.25">
      <c r="A4570" s="21">
        <v>4569</v>
      </c>
      <c r="B4570" s="7" t="s">
        <v>9894</v>
      </c>
      <c r="C4570" s="7" t="s">
        <v>9895</v>
      </c>
      <c r="G4570" s="8" t="s">
        <v>15</v>
      </c>
    </row>
    <row r="4571" spans="1:13" hidden="1" x14ac:dyDescent="0.25">
      <c r="A4571" s="21">
        <v>4570</v>
      </c>
      <c r="B4571" s="7" t="s">
        <v>9896</v>
      </c>
      <c r="C4571" s="7" t="s">
        <v>9897</v>
      </c>
      <c r="G4571" s="8" t="s">
        <v>15</v>
      </c>
    </row>
    <row r="4572" spans="1:13" hidden="1" x14ac:dyDescent="0.25">
      <c r="A4572" s="21">
        <v>4571</v>
      </c>
      <c r="B4572" s="7" t="s">
        <v>9898</v>
      </c>
      <c r="C4572" s="7" t="s">
        <v>9899</v>
      </c>
      <c r="G4572" s="8" t="s">
        <v>15</v>
      </c>
    </row>
    <row r="4573" spans="1:13" hidden="1" x14ac:dyDescent="0.25">
      <c r="A4573" s="21">
        <v>4572</v>
      </c>
      <c r="B4573" s="7" t="s">
        <v>9900</v>
      </c>
      <c r="C4573" s="7" t="s">
        <v>9901</v>
      </c>
      <c r="G4573" s="8" t="s">
        <v>15</v>
      </c>
    </row>
    <row r="4574" spans="1:13" hidden="1" x14ac:dyDescent="0.25">
      <c r="A4574" s="21">
        <v>4573</v>
      </c>
      <c r="B4574" s="7" t="s">
        <v>9902</v>
      </c>
      <c r="C4574" s="7" t="s">
        <v>9903</v>
      </c>
      <c r="F4574" s="8" t="s">
        <v>5300</v>
      </c>
      <c r="G4574" s="8" t="s">
        <v>15</v>
      </c>
      <c r="H4574" s="8" t="s">
        <v>722</v>
      </c>
      <c r="I4574" s="8" t="s">
        <v>5301</v>
      </c>
      <c r="J4574" s="8" t="s">
        <v>407</v>
      </c>
      <c r="K4574" s="8" t="s">
        <v>724</v>
      </c>
      <c r="L4574" s="8" t="s">
        <v>5302</v>
      </c>
      <c r="M4574" s="8" t="s">
        <v>5303</v>
      </c>
    </row>
    <row r="4575" spans="1:13" hidden="1" x14ac:dyDescent="0.25">
      <c r="A4575" s="21">
        <v>4574</v>
      </c>
      <c r="B4575" s="7" t="s">
        <v>9904</v>
      </c>
      <c r="C4575" s="7" t="s">
        <v>9905</v>
      </c>
      <c r="G4575" s="8" t="s">
        <v>15</v>
      </c>
    </row>
    <row r="4576" spans="1:13" hidden="1" x14ac:dyDescent="0.25">
      <c r="A4576" s="21">
        <v>4575</v>
      </c>
      <c r="B4576" s="7" t="s">
        <v>9906</v>
      </c>
      <c r="C4576" s="7" t="s">
        <v>9907</v>
      </c>
      <c r="G4576" s="8" t="s">
        <v>15</v>
      </c>
    </row>
    <row r="4577" spans="1:7" hidden="1" x14ac:dyDescent="0.25">
      <c r="A4577" s="21">
        <v>4576</v>
      </c>
      <c r="B4577" s="7" t="s">
        <v>9908</v>
      </c>
      <c r="C4577" s="7" t="s">
        <v>9909</v>
      </c>
      <c r="G4577" s="8" t="s">
        <v>15</v>
      </c>
    </row>
    <row r="4578" spans="1:7" hidden="1" x14ac:dyDescent="0.25">
      <c r="A4578" s="21">
        <v>4577</v>
      </c>
      <c r="B4578" s="7" t="s">
        <v>9910</v>
      </c>
      <c r="C4578" s="7" t="s">
        <v>9911</v>
      </c>
      <c r="G4578" s="8" t="s">
        <v>15</v>
      </c>
    </row>
    <row r="4579" spans="1:7" hidden="1" x14ac:dyDescent="0.25">
      <c r="A4579" s="21">
        <v>4578</v>
      </c>
      <c r="B4579" s="7" t="s">
        <v>9912</v>
      </c>
      <c r="C4579" s="7" t="s">
        <v>9913</v>
      </c>
      <c r="G4579" s="8" t="s">
        <v>15</v>
      </c>
    </row>
    <row r="4580" spans="1:7" hidden="1" x14ac:dyDescent="0.25">
      <c r="A4580" s="21">
        <v>4579</v>
      </c>
      <c r="B4580" s="7" t="s">
        <v>9914</v>
      </c>
      <c r="C4580" s="7" t="s">
        <v>9915</v>
      </c>
      <c r="G4580" s="8" t="s">
        <v>15</v>
      </c>
    </row>
    <row r="4581" spans="1:7" hidden="1" x14ac:dyDescent="0.25">
      <c r="A4581" s="21">
        <v>4580</v>
      </c>
      <c r="B4581" s="7" t="s">
        <v>9916</v>
      </c>
      <c r="C4581" s="7" t="s">
        <v>9917</v>
      </c>
      <c r="G4581" s="8" t="s">
        <v>15</v>
      </c>
    </row>
    <row r="4582" spans="1:7" hidden="1" x14ac:dyDescent="0.25">
      <c r="A4582" s="21">
        <v>4581</v>
      </c>
      <c r="B4582" s="7" t="s">
        <v>9918</v>
      </c>
      <c r="C4582" s="7" t="s">
        <v>9919</v>
      </c>
      <c r="G4582" s="8" t="s">
        <v>15</v>
      </c>
    </row>
    <row r="4583" spans="1:7" hidden="1" x14ac:dyDescent="0.25">
      <c r="A4583" s="21">
        <v>4582</v>
      </c>
      <c r="B4583" s="7" t="s">
        <v>9920</v>
      </c>
      <c r="C4583" s="7" t="s">
        <v>9921</v>
      </c>
      <c r="G4583" s="8" t="s">
        <v>15</v>
      </c>
    </row>
    <row r="4584" spans="1:7" hidden="1" x14ac:dyDescent="0.25">
      <c r="A4584" s="21">
        <v>4583</v>
      </c>
      <c r="B4584" s="7" t="s">
        <v>9922</v>
      </c>
      <c r="C4584" s="7" t="s">
        <v>9923</v>
      </c>
      <c r="G4584" s="8" t="s">
        <v>15</v>
      </c>
    </row>
    <row r="4585" spans="1:7" hidden="1" x14ac:dyDescent="0.25">
      <c r="A4585" s="21">
        <v>4584</v>
      </c>
      <c r="B4585" s="7" t="s">
        <v>9924</v>
      </c>
      <c r="C4585" s="7" t="s">
        <v>9925</v>
      </c>
      <c r="G4585" s="8" t="s">
        <v>15</v>
      </c>
    </row>
    <row r="4586" spans="1:7" hidden="1" x14ac:dyDescent="0.25">
      <c r="A4586" s="21">
        <v>4585</v>
      </c>
      <c r="B4586" s="7" t="s">
        <v>9926</v>
      </c>
      <c r="C4586" s="7" t="s">
        <v>9927</v>
      </c>
      <c r="G4586" s="8" t="s">
        <v>15</v>
      </c>
    </row>
    <row r="4587" spans="1:7" hidden="1" x14ac:dyDescent="0.25">
      <c r="A4587" s="21">
        <v>4586</v>
      </c>
      <c r="B4587" s="7" t="s">
        <v>9928</v>
      </c>
      <c r="C4587" s="7" t="s">
        <v>9929</v>
      </c>
      <c r="G4587" s="8" t="s">
        <v>15</v>
      </c>
    </row>
    <row r="4588" spans="1:7" hidden="1" x14ac:dyDescent="0.25">
      <c r="A4588" s="21">
        <v>4587</v>
      </c>
      <c r="B4588" s="7" t="s">
        <v>9930</v>
      </c>
      <c r="C4588" s="7" t="s">
        <v>9931</v>
      </c>
      <c r="G4588" s="8" t="s">
        <v>15</v>
      </c>
    </row>
    <row r="4589" spans="1:7" hidden="1" x14ac:dyDescent="0.25">
      <c r="A4589" s="21">
        <v>4588</v>
      </c>
      <c r="B4589" s="7" t="s">
        <v>9932</v>
      </c>
      <c r="C4589" s="7" t="s">
        <v>9933</v>
      </c>
      <c r="G4589" s="8" t="s">
        <v>15</v>
      </c>
    </row>
    <row r="4590" spans="1:7" hidden="1" x14ac:dyDescent="0.25">
      <c r="A4590" s="21">
        <v>4589</v>
      </c>
      <c r="B4590" s="7" t="s">
        <v>9934</v>
      </c>
      <c r="C4590" s="7" t="s">
        <v>9935</v>
      </c>
      <c r="G4590" s="8" t="s">
        <v>15</v>
      </c>
    </row>
    <row r="4591" spans="1:7" hidden="1" x14ac:dyDescent="0.25">
      <c r="A4591" s="21">
        <v>4590</v>
      </c>
      <c r="B4591" s="7" t="s">
        <v>9936</v>
      </c>
      <c r="C4591" s="7" t="s">
        <v>9937</v>
      </c>
      <c r="G4591" s="8" t="s">
        <v>15</v>
      </c>
    </row>
    <row r="4592" spans="1:7" hidden="1" x14ac:dyDescent="0.25">
      <c r="A4592" s="21">
        <v>4591</v>
      </c>
      <c r="B4592" s="7" t="s">
        <v>9938</v>
      </c>
      <c r="C4592" s="7" t="s">
        <v>9939</v>
      </c>
      <c r="G4592" s="8" t="s">
        <v>15</v>
      </c>
    </row>
    <row r="4593" spans="1:7" hidden="1" x14ac:dyDescent="0.25">
      <c r="A4593" s="21">
        <v>4592</v>
      </c>
      <c r="B4593" s="7" t="s">
        <v>9940</v>
      </c>
      <c r="C4593" s="7" t="s">
        <v>9941</v>
      </c>
      <c r="G4593" s="8" t="s">
        <v>15</v>
      </c>
    </row>
    <row r="4594" spans="1:7" hidden="1" x14ac:dyDescent="0.25">
      <c r="A4594" s="21">
        <v>4593</v>
      </c>
      <c r="B4594" s="7" t="s">
        <v>9942</v>
      </c>
      <c r="C4594" s="7" t="s">
        <v>9943</v>
      </c>
      <c r="G4594" s="8" t="s">
        <v>15</v>
      </c>
    </row>
    <row r="4595" spans="1:7" hidden="1" x14ac:dyDescent="0.25">
      <c r="A4595" s="21">
        <v>4594</v>
      </c>
      <c r="B4595" s="7" t="s">
        <v>9944</v>
      </c>
      <c r="C4595" s="7" t="s">
        <v>9945</v>
      </c>
      <c r="G4595" s="8" t="s">
        <v>15</v>
      </c>
    </row>
    <row r="4596" spans="1:7" hidden="1" x14ac:dyDescent="0.25">
      <c r="A4596" s="21">
        <v>4595</v>
      </c>
      <c r="B4596" s="7" t="s">
        <v>9946</v>
      </c>
      <c r="C4596" s="7" t="s">
        <v>9947</v>
      </c>
      <c r="G4596" s="8" t="s">
        <v>15</v>
      </c>
    </row>
    <row r="4597" spans="1:7" hidden="1" x14ac:dyDescent="0.25">
      <c r="A4597" s="21">
        <v>4596</v>
      </c>
      <c r="B4597" s="7" t="s">
        <v>9948</v>
      </c>
      <c r="C4597" s="7" t="s">
        <v>9949</v>
      </c>
      <c r="G4597" s="8" t="s">
        <v>15</v>
      </c>
    </row>
    <row r="4598" spans="1:7" hidden="1" x14ac:dyDescent="0.25">
      <c r="A4598" s="21">
        <v>4597</v>
      </c>
      <c r="B4598" s="7" t="s">
        <v>9950</v>
      </c>
      <c r="C4598" s="7" t="s">
        <v>9951</v>
      </c>
      <c r="G4598" s="8" t="s">
        <v>15</v>
      </c>
    </row>
    <row r="4599" spans="1:7" hidden="1" x14ac:dyDescent="0.25">
      <c r="A4599" s="21">
        <v>4598</v>
      </c>
      <c r="B4599" s="7" t="s">
        <v>9952</v>
      </c>
      <c r="C4599" s="7" t="s">
        <v>9953</v>
      </c>
      <c r="G4599" s="8" t="s">
        <v>15</v>
      </c>
    </row>
    <row r="4600" spans="1:7" hidden="1" x14ac:dyDescent="0.25">
      <c r="A4600" s="21">
        <v>4599</v>
      </c>
      <c r="B4600" s="7" t="s">
        <v>9954</v>
      </c>
      <c r="C4600" s="7" t="s">
        <v>9955</v>
      </c>
      <c r="G4600" s="8" t="s">
        <v>15</v>
      </c>
    </row>
    <row r="4601" spans="1:7" hidden="1" x14ac:dyDescent="0.25">
      <c r="A4601" s="21">
        <v>4600</v>
      </c>
      <c r="B4601" s="7" t="s">
        <v>9956</v>
      </c>
      <c r="C4601" s="7" t="s">
        <v>9957</v>
      </c>
      <c r="G4601" s="8" t="s">
        <v>15</v>
      </c>
    </row>
    <row r="4602" spans="1:7" hidden="1" x14ac:dyDescent="0.25">
      <c r="A4602" s="21">
        <v>4601</v>
      </c>
      <c r="B4602" s="7" t="s">
        <v>9958</v>
      </c>
      <c r="C4602" s="7" t="s">
        <v>9959</v>
      </c>
      <c r="G4602" s="8" t="s">
        <v>15</v>
      </c>
    </row>
    <row r="4603" spans="1:7" hidden="1" x14ac:dyDescent="0.25">
      <c r="A4603" s="21">
        <v>4602</v>
      </c>
      <c r="B4603" s="7" t="s">
        <v>9960</v>
      </c>
      <c r="C4603" s="7" t="s">
        <v>9961</v>
      </c>
      <c r="G4603" s="8" t="s">
        <v>15</v>
      </c>
    </row>
    <row r="4604" spans="1:7" hidden="1" x14ac:dyDescent="0.25">
      <c r="A4604" s="21">
        <v>4603</v>
      </c>
      <c r="B4604" s="7" t="s">
        <v>9962</v>
      </c>
      <c r="C4604" s="7" t="s">
        <v>9963</v>
      </c>
      <c r="G4604" s="8" t="s">
        <v>15</v>
      </c>
    </row>
    <row r="4605" spans="1:7" hidden="1" x14ac:dyDescent="0.25">
      <c r="A4605" s="21">
        <v>4604</v>
      </c>
      <c r="B4605" s="7" t="s">
        <v>9964</v>
      </c>
      <c r="C4605" s="7" t="s">
        <v>9965</v>
      </c>
      <c r="G4605" s="8" t="s">
        <v>15</v>
      </c>
    </row>
    <row r="4606" spans="1:7" hidden="1" x14ac:dyDescent="0.25">
      <c r="A4606" s="21">
        <v>4605</v>
      </c>
      <c r="B4606" s="7" t="s">
        <v>9966</v>
      </c>
      <c r="C4606" s="7" t="s">
        <v>9967</v>
      </c>
      <c r="G4606" s="8" t="s">
        <v>15</v>
      </c>
    </row>
    <row r="4607" spans="1:7" hidden="1" x14ac:dyDescent="0.25">
      <c r="A4607" s="21">
        <v>4606</v>
      </c>
      <c r="B4607" s="7" t="s">
        <v>9968</v>
      </c>
      <c r="C4607" s="7" t="s">
        <v>9969</v>
      </c>
      <c r="G4607" s="8" t="s">
        <v>15</v>
      </c>
    </row>
    <row r="4608" spans="1:7" hidden="1" x14ac:dyDescent="0.25">
      <c r="A4608" s="21">
        <v>4607</v>
      </c>
      <c r="B4608" s="7" t="s">
        <v>9970</v>
      </c>
      <c r="C4608" s="7" t="s">
        <v>9971</v>
      </c>
      <c r="G4608" s="8" t="s">
        <v>15</v>
      </c>
    </row>
    <row r="4609" spans="1:7" hidden="1" x14ac:dyDescent="0.25">
      <c r="A4609" s="21">
        <v>4608</v>
      </c>
      <c r="B4609" s="7" t="s">
        <v>9972</v>
      </c>
      <c r="C4609" s="7" t="s">
        <v>9973</v>
      </c>
      <c r="G4609" s="8" t="s">
        <v>15</v>
      </c>
    </row>
    <row r="4610" spans="1:7" hidden="1" x14ac:dyDescent="0.25">
      <c r="A4610" s="21">
        <v>4609</v>
      </c>
      <c r="B4610" s="7" t="s">
        <v>9974</v>
      </c>
      <c r="C4610" s="7" t="s">
        <v>9975</v>
      </c>
      <c r="G4610" s="8" t="s">
        <v>15</v>
      </c>
    </row>
    <row r="4611" spans="1:7" hidden="1" x14ac:dyDescent="0.25">
      <c r="A4611" s="21">
        <v>4610</v>
      </c>
      <c r="B4611" s="7" t="s">
        <v>9976</v>
      </c>
      <c r="C4611" s="7" t="s">
        <v>9977</v>
      </c>
      <c r="G4611" s="8" t="s">
        <v>15</v>
      </c>
    </row>
    <row r="4612" spans="1:7" hidden="1" x14ac:dyDescent="0.25">
      <c r="A4612" s="21">
        <v>4611</v>
      </c>
      <c r="B4612" s="7" t="s">
        <v>9978</v>
      </c>
      <c r="C4612" s="7" t="s">
        <v>9979</v>
      </c>
      <c r="G4612" s="8" t="s">
        <v>15</v>
      </c>
    </row>
    <row r="4613" spans="1:7" hidden="1" x14ac:dyDescent="0.25">
      <c r="A4613" s="21">
        <v>4612</v>
      </c>
      <c r="B4613" s="7" t="s">
        <v>9980</v>
      </c>
      <c r="C4613" s="7" t="s">
        <v>9981</v>
      </c>
      <c r="G4613" s="8" t="s">
        <v>15</v>
      </c>
    </row>
    <row r="4614" spans="1:7" hidden="1" x14ac:dyDescent="0.25">
      <c r="A4614" s="21">
        <v>4613</v>
      </c>
      <c r="B4614" s="7" t="s">
        <v>9982</v>
      </c>
      <c r="C4614" s="7" t="s">
        <v>9983</v>
      </c>
      <c r="G4614" s="8" t="s">
        <v>15</v>
      </c>
    </row>
    <row r="4615" spans="1:7" hidden="1" x14ac:dyDescent="0.25">
      <c r="A4615" s="21">
        <v>4614</v>
      </c>
      <c r="B4615" s="7" t="s">
        <v>9984</v>
      </c>
      <c r="C4615" s="7" t="s">
        <v>9985</v>
      </c>
      <c r="G4615" s="8" t="s">
        <v>15</v>
      </c>
    </row>
    <row r="4616" spans="1:7" hidden="1" x14ac:dyDescent="0.25">
      <c r="A4616" s="21">
        <v>4615</v>
      </c>
      <c r="B4616" s="7" t="s">
        <v>9986</v>
      </c>
      <c r="C4616" s="7" t="s">
        <v>9987</v>
      </c>
      <c r="G4616" s="8" t="s">
        <v>15</v>
      </c>
    </row>
    <row r="4617" spans="1:7" hidden="1" x14ac:dyDescent="0.25">
      <c r="A4617" s="21">
        <v>4616</v>
      </c>
      <c r="B4617" s="7" t="s">
        <v>9988</v>
      </c>
      <c r="C4617" s="7" t="s">
        <v>9989</v>
      </c>
      <c r="G4617" s="8" t="s">
        <v>15</v>
      </c>
    </row>
    <row r="4618" spans="1:7" hidden="1" x14ac:dyDescent="0.25">
      <c r="A4618" s="21">
        <v>4617</v>
      </c>
      <c r="B4618" s="7" t="s">
        <v>9990</v>
      </c>
      <c r="C4618" s="7" t="s">
        <v>9991</v>
      </c>
      <c r="G4618" s="8" t="s">
        <v>15</v>
      </c>
    </row>
    <row r="4619" spans="1:7" hidden="1" x14ac:dyDescent="0.25">
      <c r="A4619" s="21">
        <v>4618</v>
      </c>
      <c r="B4619" s="7" t="s">
        <v>9992</v>
      </c>
      <c r="C4619" s="7" t="s">
        <v>9993</v>
      </c>
      <c r="G4619" s="8" t="s">
        <v>15</v>
      </c>
    </row>
    <row r="4620" spans="1:7" hidden="1" x14ac:dyDescent="0.25">
      <c r="A4620" s="21">
        <v>4619</v>
      </c>
      <c r="B4620" s="7" t="s">
        <v>9994</v>
      </c>
      <c r="C4620" s="7" t="s">
        <v>9995</v>
      </c>
      <c r="G4620" s="8" t="s">
        <v>15</v>
      </c>
    </row>
    <row r="4621" spans="1:7" hidden="1" x14ac:dyDescent="0.25">
      <c r="A4621" s="21">
        <v>4620</v>
      </c>
      <c r="B4621" s="7" t="s">
        <v>9996</v>
      </c>
      <c r="C4621" s="7" t="s">
        <v>9997</v>
      </c>
      <c r="G4621" s="8" t="s">
        <v>15</v>
      </c>
    </row>
    <row r="4622" spans="1:7" hidden="1" x14ac:dyDescent="0.25">
      <c r="A4622" s="21">
        <v>4621</v>
      </c>
      <c r="B4622" s="7" t="s">
        <v>9998</v>
      </c>
      <c r="C4622" s="7" t="s">
        <v>9999</v>
      </c>
      <c r="G4622" s="8" t="s">
        <v>15</v>
      </c>
    </row>
    <row r="4623" spans="1:7" hidden="1" x14ac:dyDescent="0.25">
      <c r="A4623" s="21">
        <v>4622</v>
      </c>
      <c r="B4623" s="7" t="s">
        <v>10000</v>
      </c>
      <c r="C4623" s="7" t="s">
        <v>10001</v>
      </c>
      <c r="G4623" s="8" t="s">
        <v>15</v>
      </c>
    </row>
    <row r="4624" spans="1:7" hidden="1" x14ac:dyDescent="0.25">
      <c r="A4624" s="21">
        <v>4623</v>
      </c>
      <c r="B4624" s="7" t="s">
        <v>10002</v>
      </c>
      <c r="C4624" s="7" t="s">
        <v>10003</v>
      </c>
      <c r="G4624" s="8" t="s">
        <v>15</v>
      </c>
    </row>
    <row r="4625" spans="1:7" hidden="1" x14ac:dyDescent="0.25">
      <c r="A4625" s="21">
        <v>4624</v>
      </c>
      <c r="B4625" s="7" t="s">
        <v>10004</v>
      </c>
      <c r="C4625" s="7" t="s">
        <v>10005</v>
      </c>
      <c r="G4625" s="8" t="s">
        <v>15</v>
      </c>
    </row>
    <row r="4626" spans="1:7" hidden="1" x14ac:dyDescent="0.25">
      <c r="A4626" s="21">
        <v>4625</v>
      </c>
      <c r="B4626" s="7" t="s">
        <v>10006</v>
      </c>
      <c r="C4626" s="7" t="s">
        <v>10007</v>
      </c>
      <c r="G4626" s="8" t="s">
        <v>15</v>
      </c>
    </row>
    <row r="4627" spans="1:7" hidden="1" x14ac:dyDescent="0.25">
      <c r="A4627" s="21">
        <v>4626</v>
      </c>
      <c r="B4627" s="7" t="s">
        <v>10008</v>
      </c>
      <c r="C4627" s="7" t="s">
        <v>10009</v>
      </c>
      <c r="G4627" s="8" t="s">
        <v>15</v>
      </c>
    </row>
    <row r="4628" spans="1:7" hidden="1" x14ac:dyDescent="0.25">
      <c r="A4628" s="21">
        <v>4627</v>
      </c>
      <c r="B4628" s="7" t="s">
        <v>10010</v>
      </c>
      <c r="C4628" s="7" t="s">
        <v>10011</v>
      </c>
      <c r="G4628" s="8" t="s">
        <v>15</v>
      </c>
    </row>
    <row r="4629" spans="1:7" hidden="1" x14ac:dyDescent="0.25">
      <c r="A4629" s="21">
        <v>4628</v>
      </c>
      <c r="B4629" s="7" t="s">
        <v>10012</v>
      </c>
      <c r="C4629" s="7" t="s">
        <v>10013</v>
      </c>
      <c r="G4629" s="8" t="s">
        <v>15</v>
      </c>
    </row>
    <row r="4630" spans="1:7" hidden="1" x14ac:dyDescent="0.25">
      <c r="A4630" s="21">
        <v>4629</v>
      </c>
      <c r="B4630" s="7" t="s">
        <v>10014</v>
      </c>
      <c r="C4630" s="7" t="s">
        <v>10015</v>
      </c>
      <c r="G4630" s="8" t="s">
        <v>15</v>
      </c>
    </row>
    <row r="4631" spans="1:7" hidden="1" x14ac:dyDescent="0.25">
      <c r="A4631" s="21">
        <v>4630</v>
      </c>
      <c r="B4631" s="7" t="s">
        <v>10016</v>
      </c>
      <c r="C4631" s="7" t="s">
        <v>10017</v>
      </c>
      <c r="G4631" s="8" t="s">
        <v>15</v>
      </c>
    </row>
    <row r="4632" spans="1:7" hidden="1" x14ac:dyDescent="0.25">
      <c r="A4632" s="21">
        <v>4631</v>
      </c>
      <c r="B4632" s="7" t="s">
        <v>10018</v>
      </c>
      <c r="C4632" s="7" t="s">
        <v>10019</v>
      </c>
      <c r="G4632" s="8" t="s">
        <v>15</v>
      </c>
    </row>
    <row r="4633" spans="1:7" hidden="1" x14ac:dyDescent="0.25">
      <c r="A4633" s="21">
        <v>4632</v>
      </c>
      <c r="B4633" s="7" t="s">
        <v>10020</v>
      </c>
      <c r="C4633" s="7" t="s">
        <v>10021</v>
      </c>
      <c r="G4633" s="8" t="s">
        <v>15</v>
      </c>
    </row>
    <row r="4634" spans="1:7" hidden="1" x14ac:dyDescent="0.25">
      <c r="A4634" s="21">
        <v>4633</v>
      </c>
      <c r="B4634" s="7" t="s">
        <v>10022</v>
      </c>
      <c r="C4634" s="7" t="s">
        <v>10023</v>
      </c>
      <c r="G4634" s="8" t="s">
        <v>15</v>
      </c>
    </row>
    <row r="4635" spans="1:7" hidden="1" x14ac:dyDescent="0.25">
      <c r="A4635" s="21">
        <v>4634</v>
      </c>
      <c r="B4635" s="7" t="s">
        <v>10024</v>
      </c>
      <c r="C4635" s="7" t="s">
        <v>10025</v>
      </c>
      <c r="G4635" s="8" t="s">
        <v>15</v>
      </c>
    </row>
    <row r="4636" spans="1:7" hidden="1" x14ac:dyDescent="0.25">
      <c r="A4636" s="21">
        <v>4635</v>
      </c>
      <c r="B4636" s="7" t="s">
        <v>10026</v>
      </c>
      <c r="C4636" s="7" t="s">
        <v>10027</v>
      </c>
      <c r="G4636" s="8" t="s">
        <v>15</v>
      </c>
    </row>
    <row r="4637" spans="1:7" hidden="1" x14ac:dyDescent="0.25">
      <c r="A4637" s="21">
        <v>4636</v>
      </c>
      <c r="B4637" s="7" t="s">
        <v>10028</v>
      </c>
      <c r="C4637" s="7" t="s">
        <v>10029</v>
      </c>
      <c r="G4637" s="8" t="s">
        <v>15</v>
      </c>
    </row>
    <row r="4638" spans="1:7" hidden="1" x14ac:dyDescent="0.25">
      <c r="A4638" s="21">
        <v>4637</v>
      </c>
      <c r="B4638" s="7" t="s">
        <v>10030</v>
      </c>
      <c r="C4638" s="7" t="s">
        <v>10031</v>
      </c>
      <c r="G4638" s="8" t="s">
        <v>15</v>
      </c>
    </row>
    <row r="4639" spans="1:7" hidden="1" x14ac:dyDescent="0.25">
      <c r="A4639" s="21">
        <v>4638</v>
      </c>
      <c r="B4639" s="7" t="s">
        <v>10032</v>
      </c>
      <c r="C4639" s="7" t="s">
        <v>10033</v>
      </c>
      <c r="G4639" s="8" t="s">
        <v>15</v>
      </c>
    </row>
    <row r="4640" spans="1:7" hidden="1" x14ac:dyDescent="0.25">
      <c r="A4640" s="21">
        <v>4639</v>
      </c>
      <c r="B4640" s="7" t="s">
        <v>10034</v>
      </c>
      <c r="C4640" s="7" t="s">
        <v>10035</v>
      </c>
      <c r="G4640" s="8" t="s">
        <v>15</v>
      </c>
    </row>
    <row r="4641" spans="1:7" hidden="1" x14ac:dyDescent="0.25">
      <c r="A4641" s="21">
        <v>4640</v>
      </c>
      <c r="B4641" s="7" t="s">
        <v>10036</v>
      </c>
      <c r="C4641" s="7" t="s">
        <v>10037</v>
      </c>
      <c r="G4641" s="8" t="s">
        <v>15</v>
      </c>
    </row>
    <row r="4642" spans="1:7" hidden="1" x14ac:dyDescent="0.25">
      <c r="A4642" s="21">
        <v>4641</v>
      </c>
      <c r="B4642" s="7" t="s">
        <v>10038</v>
      </c>
      <c r="C4642" s="7" t="s">
        <v>10039</v>
      </c>
      <c r="G4642" s="8" t="s">
        <v>15</v>
      </c>
    </row>
    <row r="4643" spans="1:7" hidden="1" x14ac:dyDescent="0.25">
      <c r="A4643" s="21">
        <v>4642</v>
      </c>
      <c r="B4643" s="7" t="s">
        <v>10040</v>
      </c>
      <c r="C4643" s="7" t="s">
        <v>10041</v>
      </c>
      <c r="G4643" s="8" t="s">
        <v>15</v>
      </c>
    </row>
    <row r="4644" spans="1:7" hidden="1" x14ac:dyDescent="0.25">
      <c r="A4644" s="21">
        <v>4643</v>
      </c>
      <c r="B4644" s="7" t="s">
        <v>10042</v>
      </c>
      <c r="C4644" s="7" t="s">
        <v>10043</v>
      </c>
      <c r="G4644" s="8" t="s">
        <v>15</v>
      </c>
    </row>
    <row r="4645" spans="1:7" hidden="1" x14ac:dyDescent="0.25">
      <c r="A4645" s="21">
        <v>4644</v>
      </c>
      <c r="B4645" s="7" t="s">
        <v>10044</v>
      </c>
      <c r="C4645" s="7" t="s">
        <v>10045</v>
      </c>
      <c r="G4645" s="8" t="s">
        <v>15</v>
      </c>
    </row>
    <row r="4646" spans="1:7" hidden="1" x14ac:dyDescent="0.25">
      <c r="A4646" s="21">
        <v>4645</v>
      </c>
      <c r="B4646" s="7" t="s">
        <v>10046</v>
      </c>
      <c r="C4646" s="7" t="s">
        <v>10047</v>
      </c>
      <c r="G4646" s="8" t="s">
        <v>15</v>
      </c>
    </row>
    <row r="4647" spans="1:7" hidden="1" x14ac:dyDescent="0.25">
      <c r="A4647" s="21">
        <v>4646</v>
      </c>
      <c r="B4647" s="7" t="s">
        <v>10048</v>
      </c>
      <c r="C4647" s="7" t="s">
        <v>10049</v>
      </c>
      <c r="G4647" s="8" t="s">
        <v>15</v>
      </c>
    </row>
    <row r="4648" spans="1:7" hidden="1" x14ac:dyDescent="0.25">
      <c r="A4648" s="21">
        <v>4647</v>
      </c>
      <c r="B4648" s="7" t="s">
        <v>10050</v>
      </c>
      <c r="C4648" s="7" t="s">
        <v>10051</v>
      </c>
      <c r="G4648" s="8" t="s">
        <v>15</v>
      </c>
    </row>
    <row r="4649" spans="1:7" hidden="1" x14ac:dyDescent="0.25">
      <c r="A4649" s="21">
        <v>4648</v>
      </c>
      <c r="B4649" s="7" t="s">
        <v>10052</v>
      </c>
      <c r="C4649" s="7" t="s">
        <v>10053</v>
      </c>
      <c r="G4649" s="8" t="s">
        <v>15</v>
      </c>
    </row>
    <row r="4650" spans="1:7" hidden="1" x14ac:dyDescent="0.25">
      <c r="A4650" s="21">
        <v>4649</v>
      </c>
      <c r="B4650" s="7" t="s">
        <v>10054</v>
      </c>
      <c r="C4650" s="7" t="s">
        <v>10055</v>
      </c>
      <c r="G4650" s="8" t="s">
        <v>15</v>
      </c>
    </row>
    <row r="4651" spans="1:7" hidden="1" x14ac:dyDescent="0.25">
      <c r="A4651" s="21">
        <v>4650</v>
      </c>
      <c r="B4651" s="7" t="s">
        <v>10056</v>
      </c>
      <c r="C4651" s="7" t="s">
        <v>10057</v>
      </c>
      <c r="G4651" s="8" t="s">
        <v>15</v>
      </c>
    </row>
    <row r="4652" spans="1:7" hidden="1" x14ac:dyDescent="0.25">
      <c r="A4652" s="21">
        <v>4651</v>
      </c>
      <c r="B4652" s="7" t="s">
        <v>10058</v>
      </c>
      <c r="C4652" s="7" t="s">
        <v>10059</v>
      </c>
      <c r="G4652" s="8" t="s">
        <v>15</v>
      </c>
    </row>
    <row r="4653" spans="1:7" hidden="1" x14ac:dyDescent="0.25">
      <c r="A4653" s="21">
        <v>4652</v>
      </c>
      <c r="B4653" s="7" t="s">
        <v>10060</v>
      </c>
      <c r="C4653" s="7" t="s">
        <v>10061</v>
      </c>
      <c r="G4653" s="8" t="s">
        <v>15</v>
      </c>
    </row>
    <row r="4654" spans="1:7" hidden="1" x14ac:dyDescent="0.25">
      <c r="A4654" s="21">
        <v>4653</v>
      </c>
      <c r="B4654" s="7" t="s">
        <v>10062</v>
      </c>
      <c r="C4654" s="7" t="s">
        <v>10063</v>
      </c>
      <c r="G4654" s="8" t="s">
        <v>15</v>
      </c>
    </row>
    <row r="4655" spans="1:7" hidden="1" x14ac:dyDescent="0.25">
      <c r="A4655" s="21">
        <v>4654</v>
      </c>
      <c r="B4655" s="7" t="s">
        <v>10064</v>
      </c>
      <c r="C4655" s="7" t="s">
        <v>10065</v>
      </c>
      <c r="G4655" s="8" t="s">
        <v>15</v>
      </c>
    </row>
    <row r="4656" spans="1:7" hidden="1" x14ac:dyDescent="0.25">
      <c r="A4656" s="21">
        <v>4655</v>
      </c>
      <c r="B4656" s="7" t="s">
        <v>10066</v>
      </c>
      <c r="C4656" s="7" t="s">
        <v>10067</v>
      </c>
      <c r="G4656" s="8" t="s">
        <v>15</v>
      </c>
    </row>
    <row r="4657" spans="1:7" hidden="1" x14ac:dyDescent="0.25">
      <c r="A4657" s="21">
        <v>4656</v>
      </c>
      <c r="B4657" s="7" t="s">
        <v>10068</v>
      </c>
      <c r="C4657" s="7" t="s">
        <v>10069</v>
      </c>
      <c r="G4657" s="8" t="s">
        <v>15</v>
      </c>
    </row>
    <row r="4658" spans="1:7" hidden="1" x14ac:dyDescent="0.25">
      <c r="A4658" s="21">
        <v>4657</v>
      </c>
      <c r="B4658" s="7" t="s">
        <v>10070</v>
      </c>
      <c r="C4658" s="7" t="s">
        <v>10071</v>
      </c>
      <c r="G4658" s="8" t="s">
        <v>15</v>
      </c>
    </row>
    <row r="4659" spans="1:7" hidden="1" x14ac:dyDescent="0.25">
      <c r="A4659" s="21">
        <v>4658</v>
      </c>
      <c r="B4659" s="7" t="s">
        <v>10072</v>
      </c>
      <c r="C4659" s="7" t="s">
        <v>10073</v>
      </c>
      <c r="G4659" s="8" t="s">
        <v>15</v>
      </c>
    </row>
    <row r="4660" spans="1:7" hidden="1" x14ac:dyDescent="0.25">
      <c r="A4660" s="21">
        <v>4659</v>
      </c>
      <c r="B4660" s="7" t="s">
        <v>10074</v>
      </c>
      <c r="C4660" s="7" t="s">
        <v>10075</v>
      </c>
      <c r="G4660" s="8" t="s">
        <v>15</v>
      </c>
    </row>
    <row r="4661" spans="1:7" hidden="1" x14ac:dyDescent="0.25">
      <c r="A4661" s="21">
        <v>4660</v>
      </c>
      <c r="B4661" s="7" t="s">
        <v>10076</v>
      </c>
      <c r="C4661" s="7" t="s">
        <v>10077</v>
      </c>
      <c r="G4661" s="8" t="s">
        <v>15</v>
      </c>
    </row>
    <row r="4662" spans="1:7" hidden="1" x14ac:dyDescent="0.25">
      <c r="A4662" s="21">
        <v>4661</v>
      </c>
      <c r="B4662" s="7" t="s">
        <v>10078</v>
      </c>
      <c r="C4662" s="7" t="s">
        <v>10079</v>
      </c>
      <c r="G4662" s="8" t="s">
        <v>15</v>
      </c>
    </row>
    <row r="4663" spans="1:7" hidden="1" x14ac:dyDescent="0.25">
      <c r="A4663" s="21">
        <v>4662</v>
      </c>
      <c r="B4663" s="7" t="s">
        <v>10080</v>
      </c>
      <c r="C4663" s="7" t="s">
        <v>10081</v>
      </c>
      <c r="G4663" s="8" t="s">
        <v>15</v>
      </c>
    </row>
    <row r="4664" spans="1:7" hidden="1" x14ac:dyDescent="0.25">
      <c r="A4664" s="21">
        <v>4663</v>
      </c>
      <c r="B4664" s="7" t="s">
        <v>10082</v>
      </c>
      <c r="C4664" s="7" t="s">
        <v>10083</v>
      </c>
      <c r="G4664" s="8" t="s">
        <v>15</v>
      </c>
    </row>
    <row r="4665" spans="1:7" hidden="1" x14ac:dyDescent="0.25">
      <c r="A4665" s="21">
        <v>4664</v>
      </c>
      <c r="B4665" s="7" t="s">
        <v>10084</v>
      </c>
      <c r="C4665" s="7" t="s">
        <v>10085</v>
      </c>
      <c r="G4665" s="8" t="s">
        <v>15</v>
      </c>
    </row>
    <row r="4666" spans="1:7" hidden="1" x14ac:dyDescent="0.25">
      <c r="A4666" s="21">
        <v>4665</v>
      </c>
      <c r="B4666" s="7" t="s">
        <v>10086</v>
      </c>
      <c r="C4666" s="7" t="s">
        <v>10087</v>
      </c>
      <c r="G4666" s="8" t="s">
        <v>15</v>
      </c>
    </row>
    <row r="4667" spans="1:7" hidden="1" x14ac:dyDescent="0.25">
      <c r="A4667" s="21">
        <v>4666</v>
      </c>
      <c r="B4667" s="7" t="s">
        <v>10088</v>
      </c>
      <c r="C4667" s="7" t="s">
        <v>10089</v>
      </c>
      <c r="G4667" s="8" t="s">
        <v>15</v>
      </c>
    </row>
    <row r="4668" spans="1:7" hidden="1" x14ac:dyDescent="0.25">
      <c r="A4668" s="21">
        <v>4667</v>
      </c>
      <c r="B4668" s="7" t="s">
        <v>10090</v>
      </c>
      <c r="C4668" s="7" t="s">
        <v>10091</v>
      </c>
      <c r="G4668" s="8" t="s">
        <v>15</v>
      </c>
    </row>
    <row r="4669" spans="1:7" hidden="1" x14ac:dyDescent="0.25">
      <c r="A4669" s="21">
        <v>4668</v>
      </c>
      <c r="B4669" s="7" t="s">
        <v>10092</v>
      </c>
      <c r="C4669" s="7" t="s">
        <v>10093</v>
      </c>
      <c r="G4669" s="8" t="s">
        <v>15</v>
      </c>
    </row>
    <row r="4670" spans="1:7" hidden="1" x14ac:dyDescent="0.25">
      <c r="A4670" s="21">
        <v>4669</v>
      </c>
      <c r="B4670" s="7" t="s">
        <v>10094</v>
      </c>
      <c r="C4670" s="7" t="s">
        <v>10095</v>
      </c>
      <c r="G4670" s="8" t="s">
        <v>15</v>
      </c>
    </row>
    <row r="4671" spans="1:7" hidden="1" x14ac:dyDescent="0.25">
      <c r="A4671" s="21">
        <v>4670</v>
      </c>
      <c r="B4671" s="7" t="s">
        <v>10096</v>
      </c>
      <c r="C4671" s="7" t="s">
        <v>10097</v>
      </c>
      <c r="G4671" s="8" t="s">
        <v>15</v>
      </c>
    </row>
    <row r="4672" spans="1:7" hidden="1" x14ac:dyDescent="0.25">
      <c r="A4672" s="21">
        <v>4671</v>
      </c>
      <c r="B4672" s="7" t="s">
        <v>10098</v>
      </c>
      <c r="C4672" s="7" t="s">
        <v>10099</v>
      </c>
      <c r="G4672" s="8" t="s">
        <v>15</v>
      </c>
    </row>
    <row r="4673" spans="1:7" hidden="1" x14ac:dyDescent="0.25">
      <c r="A4673" s="21">
        <v>4672</v>
      </c>
      <c r="B4673" s="7" t="s">
        <v>10100</v>
      </c>
      <c r="C4673" s="7" t="s">
        <v>10101</v>
      </c>
      <c r="G4673" s="8" t="s">
        <v>15</v>
      </c>
    </row>
    <row r="4674" spans="1:7" hidden="1" x14ac:dyDescent="0.25">
      <c r="A4674" s="21">
        <v>4673</v>
      </c>
      <c r="B4674" s="7" t="s">
        <v>10102</v>
      </c>
      <c r="C4674" s="7" t="s">
        <v>10103</v>
      </c>
      <c r="G4674" s="8" t="s">
        <v>15</v>
      </c>
    </row>
    <row r="4675" spans="1:7" hidden="1" x14ac:dyDescent="0.25">
      <c r="A4675" s="21">
        <v>4674</v>
      </c>
      <c r="B4675" s="7" t="s">
        <v>10104</v>
      </c>
      <c r="C4675" s="7" t="s">
        <v>10105</v>
      </c>
      <c r="G4675" s="8" t="s">
        <v>15</v>
      </c>
    </row>
    <row r="4676" spans="1:7" hidden="1" x14ac:dyDescent="0.25">
      <c r="A4676" s="21">
        <v>4675</v>
      </c>
      <c r="B4676" s="7" t="s">
        <v>10106</v>
      </c>
      <c r="C4676" s="7" t="s">
        <v>10107</v>
      </c>
      <c r="G4676" s="8" t="s">
        <v>15</v>
      </c>
    </row>
    <row r="4677" spans="1:7" hidden="1" x14ac:dyDescent="0.25">
      <c r="A4677" s="21">
        <v>4676</v>
      </c>
      <c r="B4677" s="7" t="s">
        <v>10108</v>
      </c>
      <c r="C4677" s="7" t="s">
        <v>10109</v>
      </c>
      <c r="G4677" s="8" t="s">
        <v>15</v>
      </c>
    </row>
    <row r="4678" spans="1:7" hidden="1" x14ac:dyDescent="0.25">
      <c r="A4678" s="21">
        <v>4677</v>
      </c>
      <c r="B4678" s="7" t="s">
        <v>10110</v>
      </c>
      <c r="C4678" s="7" t="s">
        <v>10111</v>
      </c>
      <c r="G4678" s="8" t="s">
        <v>15</v>
      </c>
    </row>
    <row r="4679" spans="1:7" hidden="1" x14ac:dyDescent="0.25">
      <c r="A4679" s="21">
        <v>4678</v>
      </c>
      <c r="B4679" s="7" t="s">
        <v>10112</v>
      </c>
      <c r="C4679" s="7" t="s">
        <v>10113</v>
      </c>
      <c r="G4679" s="8" t="s">
        <v>15</v>
      </c>
    </row>
    <row r="4680" spans="1:7" hidden="1" x14ac:dyDescent="0.25">
      <c r="A4680" s="21">
        <v>4679</v>
      </c>
      <c r="B4680" s="7" t="s">
        <v>10114</v>
      </c>
      <c r="C4680" s="7" t="s">
        <v>10115</v>
      </c>
      <c r="G4680" s="8" t="s">
        <v>15</v>
      </c>
    </row>
    <row r="4681" spans="1:7" hidden="1" x14ac:dyDescent="0.25">
      <c r="A4681" s="21">
        <v>4680</v>
      </c>
      <c r="B4681" s="7" t="s">
        <v>10116</v>
      </c>
      <c r="C4681" s="7" t="s">
        <v>10117</v>
      </c>
      <c r="G4681" s="8" t="s">
        <v>15</v>
      </c>
    </row>
    <row r="4682" spans="1:7" hidden="1" x14ac:dyDescent="0.25">
      <c r="A4682" s="21">
        <v>4681</v>
      </c>
      <c r="B4682" s="7" t="s">
        <v>10118</v>
      </c>
      <c r="C4682" s="7" t="s">
        <v>10119</v>
      </c>
      <c r="G4682" s="8" t="s">
        <v>15</v>
      </c>
    </row>
    <row r="4683" spans="1:7" hidden="1" x14ac:dyDescent="0.25">
      <c r="A4683" s="21">
        <v>4682</v>
      </c>
      <c r="B4683" s="7" t="s">
        <v>10120</v>
      </c>
      <c r="C4683" s="7" t="s">
        <v>10121</v>
      </c>
      <c r="G4683" s="8" t="s">
        <v>15</v>
      </c>
    </row>
    <row r="4684" spans="1:7" hidden="1" x14ac:dyDescent="0.25">
      <c r="A4684" s="21">
        <v>4683</v>
      </c>
      <c r="B4684" s="7" t="s">
        <v>10122</v>
      </c>
      <c r="C4684" s="7" t="s">
        <v>10123</v>
      </c>
      <c r="G4684" s="8" t="s">
        <v>15</v>
      </c>
    </row>
    <row r="4685" spans="1:7" hidden="1" x14ac:dyDescent="0.25">
      <c r="A4685" s="21">
        <v>4684</v>
      </c>
      <c r="B4685" s="7" t="s">
        <v>10124</v>
      </c>
      <c r="C4685" s="7" t="s">
        <v>10125</v>
      </c>
      <c r="G4685" s="8" t="s">
        <v>15</v>
      </c>
    </row>
    <row r="4686" spans="1:7" hidden="1" x14ac:dyDescent="0.25">
      <c r="A4686" s="21">
        <v>4685</v>
      </c>
      <c r="B4686" s="7" t="s">
        <v>10126</v>
      </c>
      <c r="C4686" s="7" t="s">
        <v>10127</v>
      </c>
      <c r="G4686" s="8" t="s">
        <v>15</v>
      </c>
    </row>
    <row r="4687" spans="1:7" hidden="1" x14ac:dyDescent="0.25">
      <c r="A4687" s="21">
        <v>4686</v>
      </c>
      <c r="B4687" s="7" t="s">
        <v>10128</v>
      </c>
      <c r="C4687" s="7" t="s">
        <v>10129</v>
      </c>
      <c r="G4687" s="8" t="s">
        <v>15</v>
      </c>
    </row>
    <row r="4688" spans="1:7" hidden="1" x14ac:dyDescent="0.25">
      <c r="A4688" s="21">
        <v>4687</v>
      </c>
      <c r="B4688" s="7" t="s">
        <v>10130</v>
      </c>
      <c r="C4688" s="7" t="s">
        <v>10131</v>
      </c>
      <c r="G4688" s="8" t="s">
        <v>15</v>
      </c>
    </row>
    <row r="4689" spans="1:7" hidden="1" x14ac:dyDescent="0.25">
      <c r="A4689" s="21">
        <v>4688</v>
      </c>
      <c r="B4689" s="7" t="s">
        <v>10132</v>
      </c>
      <c r="C4689" s="7" t="s">
        <v>10133</v>
      </c>
      <c r="G4689" s="8" t="s">
        <v>15</v>
      </c>
    </row>
    <row r="4690" spans="1:7" hidden="1" x14ac:dyDescent="0.25">
      <c r="A4690" s="21">
        <v>4689</v>
      </c>
      <c r="B4690" s="7" t="s">
        <v>10134</v>
      </c>
      <c r="C4690" s="7" t="s">
        <v>10135</v>
      </c>
      <c r="G4690" s="8" t="s">
        <v>15</v>
      </c>
    </row>
    <row r="4691" spans="1:7" hidden="1" x14ac:dyDescent="0.25">
      <c r="A4691" s="21">
        <v>4690</v>
      </c>
      <c r="B4691" s="7" t="s">
        <v>10136</v>
      </c>
      <c r="C4691" s="7" t="s">
        <v>10137</v>
      </c>
      <c r="G4691" s="8" t="s">
        <v>15</v>
      </c>
    </row>
    <row r="4692" spans="1:7" hidden="1" x14ac:dyDescent="0.25">
      <c r="A4692" s="21">
        <v>4691</v>
      </c>
      <c r="B4692" s="7" t="s">
        <v>10138</v>
      </c>
      <c r="C4692" s="7" t="s">
        <v>10139</v>
      </c>
      <c r="G4692" s="8" t="s">
        <v>15</v>
      </c>
    </row>
    <row r="4693" spans="1:7" hidden="1" x14ac:dyDescent="0.25">
      <c r="A4693" s="21">
        <v>4692</v>
      </c>
      <c r="B4693" s="7" t="s">
        <v>10140</v>
      </c>
      <c r="C4693" s="7" t="s">
        <v>10141</v>
      </c>
      <c r="G4693" s="8" t="s">
        <v>15</v>
      </c>
    </row>
    <row r="4694" spans="1:7" hidden="1" x14ac:dyDescent="0.25">
      <c r="A4694" s="21">
        <v>4693</v>
      </c>
      <c r="B4694" s="7" t="s">
        <v>10142</v>
      </c>
      <c r="C4694" s="7" t="s">
        <v>10143</v>
      </c>
      <c r="G4694" s="8" t="s">
        <v>15</v>
      </c>
    </row>
    <row r="4695" spans="1:7" hidden="1" x14ac:dyDescent="0.25">
      <c r="A4695" s="21">
        <v>4694</v>
      </c>
      <c r="B4695" s="7" t="s">
        <v>10144</v>
      </c>
      <c r="C4695" s="7" t="s">
        <v>10145</v>
      </c>
      <c r="G4695" s="8" t="s">
        <v>15</v>
      </c>
    </row>
    <row r="4696" spans="1:7" hidden="1" x14ac:dyDescent="0.25">
      <c r="A4696" s="21">
        <v>4695</v>
      </c>
      <c r="B4696" s="7" t="s">
        <v>10146</v>
      </c>
      <c r="C4696" s="7" t="s">
        <v>10147</v>
      </c>
      <c r="G4696" s="8" t="s">
        <v>15</v>
      </c>
    </row>
    <row r="4697" spans="1:7" hidden="1" x14ac:dyDescent="0.25">
      <c r="A4697" s="21">
        <v>4696</v>
      </c>
      <c r="B4697" s="7" t="s">
        <v>10148</v>
      </c>
      <c r="C4697" s="7" t="s">
        <v>10149</v>
      </c>
      <c r="G4697" s="8" t="s">
        <v>15</v>
      </c>
    </row>
    <row r="4698" spans="1:7" hidden="1" x14ac:dyDescent="0.25">
      <c r="A4698" s="21">
        <v>4697</v>
      </c>
      <c r="B4698" s="7" t="s">
        <v>10150</v>
      </c>
      <c r="C4698" s="7" t="s">
        <v>10151</v>
      </c>
      <c r="G4698" s="8" t="s">
        <v>15</v>
      </c>
    </row>
    <row r="4699" spans="1:7" hidden="1" x14ac:dyDescent="0.25">
      <c r="A4699" s="21">
        <v>4698</v>
      </c>
      <c r="B4699" s="7" t="s">
        <v>10152</v>
      </c>
      <c r="C4699" s="7" t="s">
        <v>10153</v>
      </c>
      <c r="G4699" s="8" t="s">
        <v>15</v>
      </c>
    </row>
    <row r="4700" spans="1:7" hidden="1" x14ac:dyDescent="0.25">
      <c r="A4700" s="21">
        <v>4699</v>
      </c>
      <c r="B4700" s="7" t="s">
        <v>10154</v>
      </c>
      <c r="C4700" s="7" t="s">
        <v>10155</v>
      </c>
      <c r="G4700" s="8" t="s">
        <v>15</v>
      </c>
    </row>
    <row r="4701" spans="1:7" hidden="1" x14ac:dyDescent="0.25">
      <c r="A4701" s="21">
        <v>4700</v>
      </c>
      <c r="B4701" s="7" t="s">
        <v>10156</v>
      </c>
      <c r="C4701" s="7" t="s">
        <v>10157</v>
      </c>
      <c r="G4701" s="8" t="s">
        <v>15</v>
      </c>
    </row>
    <row r="4702" spans="1:7" hidden="1" x14ac:dyDescent="0.25">
      <c r="A4702" s="21">
        <v>4701</v>
      </c>
      <c r="B4702" s="7" t="s">
        <v>10158</v>
      </c>
      <c r="C4702" s="7" t="s">
        <v>10159</v>
      </c>
      <c r="G4702" s="8" t="s">
        <v>15</v>
      </c>
    </row>
    <row r="4703" spans="1:7" hidden="1" x14ac:dyDescent="0.25">
      <c r="A4703" s="21">
        <v>4702</v>
      </c>
      <c r="B4703" s="7" t="s">
        <v>10160</v>
      </c>
      <c r="C4703" s="7" t="s">
        <v>10161</v>
      </c>
      <c r="G4703" s="8" t="s">
        <v>15</v>
      </c>
    </row>
    <row r="4704" spans="1:7" hidden="1" x14ac:dyDescent="0.25">
      <c r="A4704" s="21">
        <v>4703</v>
      </c>
      <c r="B4704" s="7" t="s">
        <v>10162</v>
      </c>
      <c r="C4704" s="7" t="s">
        <v>10163</v>
      </c>
      <c r="G4704" s="8" t="s">
        <v>15</v>
      </c>
    </row>
    <row r="4705" spans="1:7" hidden="1" x14ac:dyDescent="0.25">
      <c r="A4705" s="21">
        <v>4704</v>
      </c>
      <c r="B4705" s="7" t="s">
        <v>10164</v>
      </c>
      <c r="C4705" s="7" t="s">
        <v>10165</v>
      </c>
      <c r="G4705" s="8" t="s">
        <v>15</v>
      </c>
    </row>
    <row r="4706" spans="1:7" hidden="1" x14ac:dyDescent="0.25">
      <c r="A4706" s="21">
        <v>4705</v>
      </c>
      <c r="B4706" s="7" t="s">
        <v>10166</v>
      </c>
      <c r="C4706" s="7" t="s">
        <v>10167</v>
      </c>
      <c r="G4706" s="8" t="s">
        <v>15</v>
      </c>
    </row>
    <row r="4707" spans="1:7" hidden="1" x14ac:dyDescent="0.25">
      <c r="A4707" s="21">
        <v>4706</v>
      </c>
      <c r="B4707" s="7" t="s">
        <v>10168</v>
      </c>
      <c r="C4707" s="7" t="s">
        <v>10169</v>
      </c>
      <c r="G4707" s="8" t="s">
        <v>15</v>
      </c>
    </row>
    <row r="4708" spans="1:7" hidden="1" x14ac:dyDescent="0.25">
      <c r="A4708" s="21">
        <v>4707</v>
      </c>
      <c r="B4708" s="7" t="s">
        <v>10170</v>
      </c>
      <c r="C4708" s="7" t="s">
        <v>10171</v>
      </c>
      <c r="G4708" s="8" t="s">
        <v>15</v>
      </c>
    </row>
    <row r="4709" spans="1:7" hidden="1" x14ac:dyDescent="0.25">
      <c r="A4709" s="21">
        <v>4708</v>
      </c>
      <c r="B4709" s="7" t="s">
        <v>10172</v>
      </c>
      <c r="C4709" s="7" t="s">
        <v>10173</v>
      </c>
      <c r="G4709" s="8" t="s">
        <v>15</v>
      </c>
    </row>
    <row r="4710" spans="1:7" hidden="1" x14ac:dyDescent="0.25">
      <c r="A4710" s="21">
        <v>4709</v>
      </c>
      <c r="B4710" s="7" t="s">
        <v>10174</v>
      </c>
      <c r="C4710" s="7" t="s">
        <v>10175</v>
      </c>
      <c r="G4710" s="8" t="s">
        <v>15</v>
      </c>
    </row>
    <row r="4711" spans="1:7" hidden="1" x14ac:dyDescent="0.25">
      <c r="A4711" s="21">
        <v>4710</v>
      </c>
      <c r="B4711" s="7" t="s">
        <v>10176</v>
      </c>
      <c r="C4711" s="7" t="s">
        <v>10177</v>
      </c>
      <c r="G4711" s="8" t="s">
        <v>15</v>
      </c>
    </row>
    <row r="4712" spans="1:7" hidden="1" x14ac:dyDescent="0.25">
      <c r="A4712" s="21">
        <v>4711</v>
      </c>
      <c r="B4712" s="7" t="s">
        <v>10178</v>
      </c>
      <c r="C4712" s="7" t="s">
        <v>10179</v>
      </c>
      <c r="G4712" s="8" t="s">
        <v>15</v>
      </c>
    </row>
    <row r="4713" spans="1:7" hidden="1" x14ac:dyDescent="0.25">
      <c r="A4713" s="21">
        <v>4712</v>
      </c>
      <c r="B4713" s="7" t="s">
        <v>10180</v>
      </c>
      <c r="C4713" s="7" t="s">
        <v>10181</v>
      </c>
      <c r="G4713" s="8" t="s">
        <v>15</v>
      </c>
    </row>
    <row r="4714" spans="1:7" hidden="1" x14ac:dyDescent="0.25">
      <c r="A4714" s="21">
        <v>4713</v>
      </c>
      <c r="B4714" s="7" t="s">
        <v>10182</v>
      </c>
      <c r="C4714" s="7" t="s">
        <v>10183</v>
      </c>
      <c r="G4714" s="8" t="s">
        <v>15</v>
      </c>
    </row>
    <row r="4715" spans="1:7" hidden="1" x14ac:dyDescent="0.25">
      <c r="A4715" s="21">
        <v>4714</v>
      </c>
      <c r="B4715" s="7" t="s">
        <v>10184</v>
      </c>
      <c r="C4715" s="7" t="s">
        <v>10185</v>
      </c>
      <c r="G4715" s="8" t="s">
        <v>15</v>
      </c>
    </row>
    <row r="4716" spans="1:7" hidden="1" x14ac:dyDescent="0.25">
      <c r="A4716" s="21">
        <v>4715</v>
      </c>
      <c r="B4716" s="7" t="s">
        <v>10186</v>
      </c>
      <c r="C4716" s="7" t="s">
        <v>10187</v>
      </c>
      <c r="G4716" s="8" t="s">
        <v>15</v>
      </c>
    </row>
    <row r="4717" spans="1:7" hidden="1" x14ac:dyDescent="0.25">
      <c r="A4717" s="21">
        <v>4716</v>
      </c>
      <c r="B4717" s="7" t="s">
        <v>10188</v>
      </c>
      <c r="C4717" s="7" t="s">
        <v>10189</v>
      </c>
      <c r="G4717" s="8" t="s">
        <v>15</v>
      </c>
    </row>
    <row r="4718" spans="1:7" hidden="1" x14ac:dyDescent="0.25">
      <c r="A4718" s="21">
        <v>4717</v>
      </c>
      <c r="B4718" s="7" t="s">
        <v>10190</v>
      </c>
      <c r="C4718" s="7" t="s">
        <v>10191</v>
      </c>
      <c r="G4718" s="8" t="s">
        <v>15</v>
      </c>
    </row>
    <row r="4719" spans="1:7" hidden="1" x14ac:dyDescent="0.25">
      <c r="A4719" s="21">
        <v>4718</v>
      </c>
      <c r="B4719" s="7" t="s">
        <v>10192</v>
      </c>
      <c r="C4719" s="7" t="s">
        <v>10193</v>
      </c>
      <c r="G4719" s="8" t="s">
        <v>15</v>
      </c>
    </row>
    <row r="4720" spans="1:7" hidden="1" x14ac:dyDescent="0.25">
      <c r="A4720" s="21">
        <v>4719</v>
      </c>
      <c r="B4720" s="7" t="s">
        <v>10194</v>
      </c>
      <c r="C4720" s="7" t="s">
        <v>10195</v>
      </c>
      <c r="G4720" s="8" t="s">
        <v>15</v>
      </c>
    </row>
    <row r="4721" spans="1:7" hidden="1" x14ac:dyDescent="0.25">
      <c r="A4721" s="21">
        <v>4720</v>
      </c>
      <c r="B4721" s="7" t="s">
        <v>10196</v>
      </c>
      <c r="C4721" s="7" t="s">
        <v>10197</v>
      </c>
      <c r="G4721" s="8" t="s">
        <v>15</v>
      </c>
    </row>
    <row r="4722" spans="1:7" hidden="1" x14ac:dyDescent="0.25">
      <c r="A4722" s="21">
        <v>4721</v>
      </c>
      <c r="B4722" s="7" t="s">
        <v>10198</v>
      </c>
      <c r="C4722" s="7" t="s">
        <v>10199</v>
      </c>
      <c r="G4722" s="8" t="s">
        <v>15</v>
      </c>
    </row>
    <row r="4723" spans="1:7" hidden="1" x14ac:dyDescent="0.25">
      <c r="A4723" s="21">
        <v>4722</v>
      </c>
      <c r="B4723" s="7" t="s">
        <v>10200</v>
      </c>
      <c r="C4723" s="7" t="s">
        <v>10201</v>
      </c>
      <c r="G4723" s="8" t="s">
        <v>15</v>
      </c>
    </row>
    <row r="4724" spans="1:7" hidden="1" x14ac:dyDescent="0.25">
      <c r="A4724" s="21">
        <v>4723</v>
      </c>
      <c r="B4724" s="7" t="s">
        <v>10202</v>
      </c>
      <c r="C4724" s="7" t="s">
        <v>10203</v>
      </c>
      <c r="G4724" s="8" t="s">
        <v>15</v>
      </c>
    </row>
    <row r="4725" spans="1:7" hidden="1" x14ac:dyDescent="0.25">
      <c r="A4725" s="21">
        <v>4724</v>
      </c>
      <c r="B4725" s="7" t="s">
        <v>10204</v>
      </c>
      <c r="C4725" s="7" t="s">
        <v>10205</v>
      </c>
      <c r="G4725" s="8" t="s">
        <v>15</v>
      </c>
    </row>
    <row r="4726" spans="1:7" hidden="1" x14ac:dyDescent="0.25">
      <c r="A4726" s="21">
        <v>4725</v>
      </c>
      <c r="B4726" s="7" t="s">
        <v>10206</v>
      </c>
      <c r="C4726" s="7" t="s">
        <v>10207</v>
      </c>
      <c r="G4726" s="8" t="s">
        <v>15</v>
      </c>
    </row>
    <row r="4727" spans="1:7" hidden="1" x14ac:dyDescent="0.25">
      <c r="A4727" s="21">
        <v>4726</v>
      </c>
      <c r="B4727" s="7" t="s">
        <v>10208</v>
      </c>
      <c r="C4727" s="7" t="s">
        <v>10209</v>
      </c>
      <c r="G4727" s="8" t="s">
        <v>15</v>
      </c>
    </row>
    <row r="4728" spans="1:7" hidden="1" x14ac:dyDescent="0.25">
      <c r="A4728" s="21">
        <v>4727</v>
      </c>
      <c r="B4728" s="7" t="s">
        <v>10210</v>
      </c>
      <c r="C4728" s="7" t="s">
        <v>10211</v>
      </c>
      <c r="G4728" s="8" t="s">
        <v>15</v>
      </c>
    </row>
    <row r="4729" spans="1:7" hidden="1" x14ac:dyDescent="0.25">
      <c r="A4729" s="21">
        <v>4728</v>
      </c>
      <c r="B4729" s="7" t="s">
        <v>10212</v>
      </c>
      <c r="C4729" s="7" t="s">
        <v>10213</v>
      </c>
      <c r="G4729" s="8" t="s">
        <v>15</v>
      </c>
    </row>
    <row r="4730" spans="1:7" hidden="1" x14ac:dyDescent="0.25">
      <c r="A4730" s="21">
        <v>4729</v>
      </c>
      <c r="B4730" s="7" t="s">
        <v>10214</v>
      </c>
      <c r="C4730" s="7" t="s">
        <v>10215</v>
      </c>
      <c r="G4730" s="8" t="s">
        <v>15</v>
      </c>
    </row>
    <row r="4731" spans="1:7" hidden="1" x14ac:dyDescent="0.25">
      <c r="A4731" s="21">
        <v>4730</v>
      </c>
      <c r="B4731" s="7" t="s">
        <v>10216</v>
      </c>
      <c r="C4731" s="7" t="s">
        <v>10217</v>
      </c>
      <c r="G4731" s="8" t="s">
        <v>15</v>
      </c>
    </row>
    <row r="4732" spans="1:7" hidden="1" x14ac:dyDescent="0.25">
      <c r="A4732" s="21">
        <v>4731</v>
      </c>
      <c r="B4732" s="7" t="s">
        <v>10218</v>
      </c>
      <c r="C4732" s="7" t="s">
        <v>10219</v>
      </c>
      <c r="G4732" s="8" t="s">
        <v>15</v>
      </c>
    </row>
    <row r="4733" spans="1:7" hidden="1" x14ac:dyDescent="0.25">
      <c r="A4733" s="21">
        <v>4732</v>
      </c>
      <c r="B4733" s="7" t="s">
        <v>10220</v>
      </c>
      <c r="C4733" s="7" t="s">
        <v>10221</v>
      </c>
      <c r="G4733" s="8" t="s">
        <v>15</v>
      </c>
    </row>
    <row r="4734" spans="1:7" hidden="1" x14ac:dyDescent="0.25">
      <c r="A4734" s="21">
        <v>4733</v>
      </c>
      <c r="B4734" s="7" t="s">
        <v>10222</v>
      </c>
      <c r="C4734" s="7" t="s">
        <v>10223</v>
      </c>
      <c r="G4734" s="8" t="s">
        <v>15</v>
      </c>
    </row>
    <row r="4735" spans="1:7" hidden="1" x14ac:dyDescent="0.25">
      <c r="A4735" s="21">
        <v>4734</v>
      </c>
      <c r="B4735" s="7" t="s">
        <v>10224</v>
      </c>
      <c r="C4735" s="7" t="s">
        <v>10225</v>
      </c>
      <c r="G4735" s="8" t="s">
        <v>15</v>
      </c>
    </row>
    <row r="4736" spans="1:7" hidden="1" x14ac:dyDescent="0.25">
      <c r="A4736" s="21">
        <v>4735</v>
      </c>
      <c r="B4736" s="7" t="s">
        <v>10226</v>
      </c>
      <c r="C4736" s="7" t="s">
        <v>10227</v>
      </c>
      <c r="G4736" s="8" t="s">
        <v>15</v>
      </c>
    </row>
    <row r="4737" spans="1:7" hidden="1" x14ac:dyDescent="0.25">
      <c r="A4737" s="21">
        <v>4736</v>
      </c>
      <c r="B4737" s="7" t="s">
        <v>10228</v>
      </c>
      <c r="C4737" s="7" t="s">
        <v>10229</v>
      </c>
      <c r="G4737" s="8" t="s">
        <v>15</v>
      </c>
    </row>
    <row r="4738" spans="1:7" hidden="1" x14ac:dyDescent="0.25">
      <c r="A4738" s="21">
        <v>4737</v>
      </c>
      <c r="B4738" s="7" t="s">
        <v>10230</v>
      </c>
      <c r="C4738" s="7" t="s">
        <v>10231</v>
      </c>
      <c r="G4738" s="8" t="s">
        <v>15</v>
      </c>
    </row>
    <row r="4739" spans="1:7" hidden="1" x14ac:dyDescent="0.25">
      <c r="A4739" s="21">
        <v>4738</v>
      </c>
      <c r="B4739" s="7" t="s">
        <v>10232</v>
      </c>
      <c r="C4739" s="7" t="s">
        <v>10233</v>
      </c>
      <c r="G4739" s="8" t="s">
        <v>15</v>
      </c>
    </row>
    <row r="4740" spans="1:7" hidden="1" x14ac:dyDescent="0.25">
      <c r="A4740" s="21">
        <v>4739</v>
      </c>
      <c r="B4740" s="7" t="s">
        <v>10234</v>
      </c>
      <c r="C4740" s="7" t="s">
        <v>10235</v>
      </c>
      <c r="G4740" s="8" t="s">
        <v>15</v>
      </c>
    </row>
    <row r="4741" spans="1:7" hidden="1" x14ac:dyDescent="0.25">
      <c r="A4741" s="21">
        <v>4740</v>
      </c>
      <c r="B4741" s="7" t="s">
        <v>10236</v>
      </c>
      <c r="C4741" s="7" t="s">
        <v>10237</v>
      </c>
      <c r="G4741" s="8" t="s">
        <v>15</v>
      </c>
    </row>
    <row r="4742" spans="1:7" hidden="1" x14ac:dyDescent="0.25">
      <c r="A4742" s="21">
        <v>4741</v>
      </c>
      <c r="B4742" s="7" t="s">
        <v>10238</v>
      </c>
      <c r="C4742" s="7" t="s">
        <v>10239</v>
      </c>
      <c r="G4742" s="8" t="s">
        <v>15</v>
      </c>
    </row>
    <row r="4743" spans="1:7" hidden="1" x14ac:dyDescent="0.25">
      <c r="A4743" s="21">
        <v>4742</v>
      </c>
      <c r="B4743" s="7" t="s">
        <v>10240</v>
      </c>
      <c r="C4743" s="7" t="s">
        <v>10241</v>
      </c>
      <c r="G4743" s="8" t="s">
        <v>15</v>
      </c>
    </row>
    <row r="4744" spans="1:7" hidden="1" x14ac:dyDescent="0.25">
      <c r="A4744" s="21">
        <v>4743</v>
      </c>
      <c r="B4744" s="7" t="s">
        <v>10242</v>
      </c>
      <c r="C4744" s="7" t="s">
        <v>10243</v>
      </c>
      <c r="G4744" s="8" t="s">
        <v>15</v>
      </c>
    </row>
    <row r="4745" spans="1:7" hidden="1" x14ac:dyDescent="0.25">
      <c r="A4745" s="21">
        <v>4744</v>
      </c>
      <c r="B4745" s="7" t="s">
        <v>10244</v>
      </c>
      <c r="C4745" s="7" t="s">
        <v>10245</v>
      </c>
      <c r="G4745" s="8" t="s">
        <v>15</v>
      </c>
    </row>
    <row r="4746" spans="1:7" hidden="1" x14ac:dyDescent="0.25">
      <c r="A4746" s="21">
        <v>4745</v>
      </c>
      <c r="B4746" s="7" t="s">
        <v>10246</v>
      </c>
      <c r="C4746" s="7" t="s">
        <v>10247</v>
      </c>
      <c r="G4746" s="8" t="s">
        <v>15</v>
      </c>
    </row>
    <row r="4747" spans="1:7" hidden="1" x14ac:dyDescent="0.25">
      <c r="A4747" s="21">
        <v>4746</v>
      </c>
      <c r="B4747" s="7" t="s">
        <v>10248</v>
      </c>
      <c r="C4747" s="7" t="s">
        <v>10249</v>
      </c>
      <c r="G4747" s="8" t="s">
        <v>15</v>
      </c>
    </row>
    <row r="4748" spans="1:7" hidden="1" x14ac:dyDescent="0.25">
      <c r="A4748" s="21">
        <v>4747</v>
      </c>
      <c r="B4748" s="7" t="s">
        <v>10250</v>
      </c>
      <c r="C4748" s="7" t="s">
        <v>10251</v>
      </c>
      <c r="G4748" s="8" t="s">
        <v>15</v>
      </c>
    </row>
    <row r="4749" spans="1:7" hidden="1" x14ac:dyDescent="0.25">
      <c r="A4749" s="21">
        <v>4748</v>
      </c>
      <c r="B4749" s="7" t="s">
        <v>10252</v>
      </c>
      <c r="C4749" s="7" t="s">
        <v>10253</v>
      </c>
      <c r="G4749" s="8" t="s">
        <v>15</v>
      </c>
    </row>
    <row r="4750" spans="1:7" hidden="1" x14ac:dyDescent="0.25">
      <c r="A4750" s="21">
        <v>4749</v>
      </c>
      <c r="B4750" s="7" t="s">
        <v>10254</v>
      </c>
      <c r="C4750" s="7" t="s">
        <v>10255</v>
      </c>
      <c r="G4750" s="8" t="s">
        <v>15</v>
      </c>
    </row>
    <row r="4751" spans="1:7" hidden="1" x14ac:dyDescent="0.25">
      <c r="A4751" s="21">
        <v>4750</v>
      </c>
      <c r="B4751" s="7" t="s">
        <v>10256</v>
      </c>
      <c r="C4751" s="7" t="s">
        <v>10257</v>
      </c>
      <c r="G4751" s="8" t="s">
        <v>15</v>
      </c>
    </row>
    <row r="4752" spans="1:7" hidden="1" x14ac:dyDescent="0.25">
      <c r="A4752" s="21">
        <v>4751</v>
      </c>
      <c r="B4752" s="7" t="s">
        <v>10258</v>
      </c>
      <c r="C4752" s="7" t="s">
        <v>10259</v>
      </c>
      <c r="G4752" s="8" t="s">
        <v>15</v>
      </c>
    </row>
    <row r="4753" spans="1:8" hidden="1" x14ac:dyDescent="0.25">
      <c r="A4753" s="21">
        <v>4752</v>
      </c>
      <c r="B4753" s="7" t="s">
        <v>10260</v>
      </c>
      <c r="C4753" s="7" t="s">
        <v>10261</v>
      </c>
      <c r="G4753" s="8" t="s">
        <v>15</v>
      </c>
    </row>
    <row r="4754" spans="1:8" hidden="1" x14ac:dyDescent="0.25">
      <c r="A4754" s="21">
        <v>4753</v>
      </c>
      <c r="B4754" s="7" t="s">
        <v>10262</v>
      </c>
      <c r="C4754" s="7" t="s">
        <v>10263</v>
      </c>
      <c r="G4754" s="8" t="s">
        <v>15</v>
      </c>
    </row>
    <row r="4755" spans="1:8" hidden="1" x14ac:dyDescent="0.25">
      <c r="A4755" s="21">
        <v>4754</v>
      </c>
      <c r="B4755" s="7" t="s">
        <v>10264</v>
      </c>
      <c r="C4755" s="7" t="s">
        <v>10265</v>
      </c>
      <c r="G4755" s="8" t="s">
        <v>15</v>
      </c>
    </row>
    <row r="4756" spans="1:8" hidden="1" x14ac:dyDescent="0.25">
      <c r="A4756" s="21">
        <v>4755</v>
      </c>
      <c r="B4756" s="7" t="s">
        <v>10266</v>
      </c>
      <c r="C4756" s="7" t="s">
        <v>10267</v>
      </c>
      <c r="G4756" s="8" t="s">
        <v>15</v>
      </c>
    </row>
    <row r="4757" spans="1:8" hidden="1" x14ac:dyDescent="0.25">
      <c r="A4757" s="21">
        <v>4756</v>
      </c>
      <c r="B4757" s="7" t="s">
        <v>10268</v>
      </c>
      <c r="C4757" s="7" t="s">
        <v>10269</v>
      </c>
      <c r="G4757" s="8" t="s">
        <v>15</v>
      </c>
    </row>
    <row r="4758" spans="1:8" hidden="1" x14ac:dyDescent="0.25">
      <c r="A4758" s="21">
        <v>4757</v>
      </c>
      <c r="B4758" s="7" t="s">
        <v>10270</v>
      </c>
      <c r="C4758" s="7" t="s">
        <v>10271</v>
      </c>
      <c r="G4758" s="8" t="s">
        <v>15</v>
      </c>
    </row>
    <row r="4759" spans="1:8" hidden="1" x14ac:dyDescent="0.25">
      <c r="A4759" s="21">
        <v>4758</v>
      </c>
      <c r="B4759" s="7" t="s">
        <v>10272</v>
      </c>
      <c r="C4759" s="7" t="s">
        <v>10273</v>
      </c>
      <c r="G4759" s="8" t="s">
        <v>15</v>
      </c>
    </row>
    <row r="4760" spans="1:8" hidden="1" x14ac:dyDescent="0.25">
      <c r="A4760" s="21">
        <v>4759</v>
      </c>
      <c r="B4760" s="7" t="s">
        <v>10274</v>
      </c>
      <c r="C4760" s="7" t="s">
        <v>10275</v>
      </c>
      <c r="G4760" s="8" t="s">
        <v>15</v>
      </c>
    </row>
    <row r="4761" spans="1:8" hidden="1" x14ac:dyDescent="0.25">
      <c r="A4761" s="21">
        <v>4760</v>
      </c>
      <c r="B4761" s="7" t="s">
        <v>10276</v>
      </c>
      <c r="C4761" s="7" t="s">
        <v>10277</v>
      </c>
      <c r="G4761" s="8" t="s">
        <v>15</v>
      </c>
    </row>
    <row r="4762" spans="1:8" hidden="1" x14ac:dyDescent="0.25">
      <c r="A4762" s="21">
        <v>4761</v>
      </c>
      <c r="B4762" s="7" t="s">
        <v>10278</v>
      </c>
      <c r="C4762" s="7" t="s">
        <v>10279</v>
      </c>
      <c r="G4762" s="8" t="s">
        <v>15</v>
      </c>
    </row>
    <row r="4763" spans="1:8" hidden="1" x14ac:dyDescent="0.25">
      <c r="A4763" s="21">
        <v>4762</v>
      </c>
      <c r="B4763" s="7" t="s">
        <v>10280</v>
      </c>
      <c r="C4763" s="7" t="s">
        <v>10281</v>
      </c>
      <c r="G4763" s="8" t="s">
        <v>15</v>
      </c>
    </row>
    <row r="4764" spans="1:8" hidden="1" x14ac:dyDescent="0.25">
      <c r="A4764" s="21">
        <v>4763</v>
      </c>
      <c r="B4764" s="7" t="s">
        <v>10282</v>
      </c>
      <c r="C4764" s="7" t="s">
        <v>10283</v>
      </c>
      <c r="G4764" s="8" t="s">
        <v>15</v>
      </c>
    </row>
    <row r="4765" spans="1:8" hidden="1" x14ac:dyDescent="0.25">
      <c r="A4765" s="21">
        <v>4764</v>
      </c>
      <c r="B4765" s="7" t="s">
        <v>10284</v>
      </c>
      <c r="C4765" s="7" t="s">
        <v>10285</v>
      </c>
      <c r="G4765" s="8" t="s">
        <v>15</v>
      </c>
      <c r="H4765" t="str">
        <f>_xlfn.XLOOKUP(B4765,Data!T:T,Data!F:F)</f>
        <v>Per Pack 100 Amp</v>
      </c>
    </row>
    <row r="4766" spans="1:8" hidden="1" x14ac:dyDescent="0.25">
      <c r="A4766" s="21">
        <v>4765</v>
      </c>
      <c r="B4766" s="7" t="s">
        <v>10286</v>
      </c>
      <c r="C4766" s="7" t="s">
        <v>10287</v>
      </c>
      <c r="G4766" s="8" t="s">
        <v>15</v>
      </c>
    </row>
    <row r="4767" spans="1:8" hidden="1" x14ac:dyDescent="0.25">
      <c r="A4767" s="21">
        <v>4766</v>
      </c>
      <c r="B4767" s="7" t="s">
        <v>10288</v>
      </c>
      <c r="C4767" s="7" t="s">
        <v>10289</v>
      </c>
      <c r="G4767" s="8" t="s">
        <v>15</v>
      </c>
    </row>
    <row r="4768" spans="1:8" hidden="1" x14ac:dyDescent="0.25">
      <c r="A4768" s="21">
        <v>4767</v>
      </c>
      <c r="B4768" s="7" t="s">
        <v>10290</v>
      </c>
      <c r="C4768" s="7" t="s">
        <v>10291</v>
      </c>
      <c r="G4768" s="8" t="s">
        <v>15</v>
      </c>
    </row>
    <row r="4769" spans="1:7" hidden="1" x14ac:dyDescent="0.25">
      <c r="A4769" s="21">
        <v>4768</v>
      </c>
      <c r="B4769" s="7" t="s">
        <v>10292</v>
      </c>
      <c r="C4769" s="7" t="s">
        <v>10293</v>
      </c>
      <c r="G4769" s="8" t="s">
        <v>15</v>
      </c>
    </row>
    <row r="4770" spans="1:7" hidden="1" x14ac:dyDescent="0.25">
      <c r="A4770" s="21">
        <v>4769</v>
      </c>
      <c r="B4770" s="7" t="s">
        <v>10294</v>
      </c>
      <c r="C4770" s="7" t="s">
        <v>10295</v>
      </c>
      <c r="G4770" s="8" t="s">
        <v>15</v>
      </c>
    </row>
    <row r="4771" spans="1:7" hidden="1" x14ac:dyDescent="0.25">
      <c r="A4771" s="21">
        <v>4770</v>
      </c>
      <c r="B4771" s="7" t="s">
        <v>10296</v>
      </c>
      <c r="C4771" s="7" t="s">
        <v>10297</v>
      </c>
      <c r="G4771" s="8" t="s">
        <v>15</v>
      </c>
    </row>
    <row r="4772" spans="1:7" hidden="1" x14ac:dyDescent="0.25">
      <c r="A4772" s="21">
        <v>4771</v>
      </c>
      <c r="B4772" s="7" t="s">
        <v>10298</v>
      </c>
      <c r="C4772" s="7" t="s">
        <v>10299</v>
      </c>
      <c r="G4772" s="8" t="s">
        <v>15</v>
      </c>
    </row>
    <row r="4773" spans="1:7" hidden="1" x14ac:dyDescent="0.25">
      <c r="A4773" s="21">
        <v>4772</v>
      </c>
      <c r="B4773" s="7" t="s">
        <v>10300</v>
      </c>
      <c r="C4773" s="7" t="s">
        <v>10301</v>
      </c>
      <c r="G4773" s="8" t="s">
        <v>15</v>
      </c>
    </row>
    <row r="4774" spans="1:7" hidden="1" x14ac:dyDescent="0.25">
      <c r="A4774" s="21">
        <v>4773</v>
      </c>
      <c r="B4774" s="7" t="s">
        <v>10302</v>
      </c>
      <c r="C4774" s="7" t="s">
        <v>10303</v>
      </c>
      <c r="G4774" s="8" t="s">
        <v>15</v>
      </c>
    </row>
    <row r="4775" spans="1:7" hidden="1" x14ac:dyDescent="0.25">
      <c r="A4775" s="21">
        <v>4774</v>
      </c>
      <c r="B4775" s="7" t="s">
        <v>10304</v>
      </c>
      <c r="C4775" s="7" t="s">
        <v>10305</v>
      </c>
      <c r="G4775" s="8" t="s">
        <v>15</v>
      </c>
    </row>
    <row r="4776" spans="1:7" hidden="1" x14ac:dyDescent="0.25">
      <c r="A4776" s="21">
        <v>4775</v>
      </c>
      <c r="B4776" s="7" t="s">
        <v>10306</v>
      </c>
      <c r="C4776" s="7" t="s">
        <v>10307</v>
      </c>
      <c r="G4776" s="8" t="s">
        <v>15</v>
      </c>
    </row>
    <row r="4777" spans="1:7" hidden="1" x14ac:dyDescent="0.25">
      <c r="A4777" s="21">
        <v>4776</v>
      </c>
      <c r="B4777" s="7" t="s">
        <v>10308</v>
      </c>
      <c r="C4777" s="7" t="s">
        <v>10309</v>
      </c>
      <c r="G4777" s="8" t="s">
        <v>15</v>
      </c>
    </row>
    <row r="4778" spans="1:7" hidden="1" x14ac:dyDescent="0.25">
      <c r="A4778" s="21">
        <v>4777</v>
      </c>
      <c r="B4778" s="7" t="s">
        <v>10310</v>
      </c>
      <c r="C4778" s="7" t="s">
        <v>10311</v>
      </c>
      <c r="G4778" s="8" t="s">
        <v>15</v>
      </c>
    </row>
    <row r="4779" spans="1:7" hidden="1" x14ac:dyDescent="0.25">
      <c r="A4779" s="21">
        <v>4778</v>
      </c>
      <c r="B4779" s="7" t="s">
        <v>10312</v>
      </c>
      <c r="C4779" s="7" t="s">
        <v>10313</v>
      </c>
      <c r="G4779" s="8" t="s">
        <v>15</v>
      </c>
    </row>
    <row r="4780" spans="1:7" hidden="1" x14ac:dyDescent="0.25">
      <c r="A4780" s="21">
        <v>4779</v>
      </c>
      <c r="B4780" s="7" t="s">
        <v>10314</v>
      </c>
      <c r="C4780" s="7" t="s">
        <v>10315</v>
      </c>
      <c r="G4780" s="8" t="s">
        <v>15</v>
      </c>
    </row>
    <row r="4781" spans="1:7" hidden="1" x14ac:dyDescent="0.25">
      <c r="A4781" s="21">
        <v>4780</v>
      </c>
      <c r="B4781" s="7" t="s">
        <v>10316</v>
      </c>
      <c r="C4781" s="7" t="s">
        <v>10317</v>
      </c>
      <c r="G4781" s="8" t="s">
        <v>15</v>
      </c>
    </row>
    <row r="4782" spans="1:7" hidden="1" x14ac:dyDescent="0.25">
      <c r="A4782" s="21">
        <v>4781</v>
      </c>
      <c r="B4782" s="7" t="s">
        <v>10318</v>
      </c>
      <c r="C4782" s="7" t="s">
        <v>10319</v>
      </c>
      <c r="G4782" s="8" t="s">
        <v>15</v>
      </c>
    </row>
    <row r="4783" spans="1:7" hidden="1" x14ac:dyDescent="0.25">
      <c r="A4783" s="21">
        <v>4782</v>
      </c>
      <c r="B4783" s="7" t="s">
        <v>10320</v>
      </c>
      <c r="C4783" s="7" t="s">
        <v>10321</v>
      </c>
      <c r="G4783" s="8" t="s">
        <v>15</v>
      </c>
    </row>
    <row r="4784" spans="1:7" hidden="1" x14ac:dyDescent="0.25">
      <c r="A4784" s="21">
        <v>4783</v>
      </c>
      <c r="B4784" s="7" t="s">
        <v>10322</v>
      </c>
      <c r="C4784" s="7" t="s">
        <v>10323</v>
      </c>
      <c r="G4784" s="8" t="s">
        <v>15</v>
      </c>
    </row>
    <row r="4785" spans="1:7" hidden="1" x14ac:dyDescent="0.25">
      <c r="A4785" s="21">
        <v>4784</v>
      </c>
      <c r="B4785" s="7" t="s">
        <v>10324</v>
      </c>
      <c r="C4785" s="7" t="s">
        <v>10325</v>
      </c>
      <c r="G4785" s="8" t="s">
        <v>15</v>
      </c>
    </row>
    <row r="4786" spans="1:7" hidden="1" x14ac:dyDescent="0.25">
      <c r="A4786" s="21">
        <v>4785</v>
      </c>
      <c r="B4786" s="7" t="s">
        <v>10326</v>
      </c>
      <c r="C4786" s="7" t="s">
        <v>10327</v>
      </c>
      <c r="G4786" s="8" t="s">
        <v>15</v>
      </c>
    </row>
    <row r="4787" spans="1:7" hidden="1" x14ac:dyDescent="0.25">
      <c r="A4787" s="21">
        <v>4786</v>
      </c>
      <c r="B4787" s="7" t="s">
        <v>10328</v>
      </c>
      <c r="C4787" s="7" t="s">
        <v>10329</v>
      </c>
      <c r="G4787" s="8" t="s">
        <v>15</v>
      </c>
    </row>
    <row r="4788" spans="1:7" hidden="1" x14ac:dyDescent="0.25">
      <c r="A4788" s="21">
        <v>4787</v>
      </c>
      <c r="B4788" s="7" t="s">
        <v>10330</v>
      </c>
      <c r="C4788" s="7" t="s">
        <v>10331</v>
      </c>
      <c r="G4788" s="8" t="s">
        <v>15</v>
      </c>
    </row>
    <row r="4789" spans="1:7" hidden="1" x14ac:dyDescent="0.25">
      <c r="A4789" s="21">
        <v>4788</v>
      </c>
      <c r="B4789" s="7" t="s">
        <v>10332</v>
      </c>
      <c r="C4789" s="7" t="s">
        <v>10333</v>
      </c>
      <c r="G4789" s="8" t="s">
        <v>15</v>
      </c>
    </row>
    <row r="4790" spans="1:7" hidden="1" x14ac:dyDescent="0.25">
      <c r="A4790" s="21">
        <v>4789</v>
      </c>
      <c r="B4790" s="7" t="s">
        <v>10334</v>
      </c>
      <c r="C4790" s="7" t="s">
        <v>10335</v>
      </c>
      <c r="G4790" s="8" t="s">
        <v>15</v>
      </c>
    </row>
    <row r="4791" spans="1:7" hidden="1" x14ac:dyDescent="0.25">
      <c r="A4791" s="21">
        <v>4790</v>
      </c>
      <c r="B4791" s="7" t="s">
        <v>10336</v>
      </c>
      <c r="C4791" s="7" t="s">
        <v>10337</v>
      </c>
      <c r="G4791" s="8" t="s">
        <v>15</v>
      </c>
    </row>
    <row r="4792" spans="1:7" hidden="1" x14ac:dyDescent="0.25">
      <c r="A4792" s="21">
        <v>4791</v>
      </c>
      <c r="B4792" s="7" t="s">
        <v>10338</v>
      </c>
      <c r="C4792" s="7" t="s">
        <v>10339</v>
      </c>
      <c r="G4792" s="8" t="s">
        <v>15</v>
      </c>
    </row>
    <row r="4793" spans="1:7" hidden="1" x14ac:dyDescent="0.25">
      <c r="A4793" s="21">
        <v>4792</v>
      </c>
      <c r="B4793" s="7" t="s">
        <v>10340</v>
      </c>
      <c r="C4793" s="7" t="s">
        <v>10341</v>
      </c>
      <c r="G4793" s="8" t="s">
        <v>15</v>
      </c>
    </row>
    <row r="4794" spans="1:7" hidden="1" x14ac:dyDescent="0.25">
      <c r="A4794" s="21">
        <v>4793</v>
      </c>
      <c r="B4794" s="7" t="s">
        <v>10342</v>
      </c>
      <c r="C4794" s="7" t="s">
        <v>10343</v>
      </c>
      <c r="G4794" s="8" t="s">
        <v>15</v>
      </c>
    </row>
    <row r="4795" spans="1:7" hidden="1" x14ac:dyDescent="0.25">
      <c r="A4795" s="21">
        <v>4794</v>
      </c>
      <c r="B4795" s="7" t="s">
        <v>10344</v>
      </c>
      <c r="C4795" s="7" t="s">
        <v>10345</v>
      </c>
      <c r="G4795" s="8" t="s">
        <v>15</v>
      </c>
    </row>
    <row r="4796" spans="1:7" hidden="1" x14ac:dyDescent="0.25">
      <c r="A4796" s="21">
        <v>4795</v>
      </c>
      <c r="B4796" s="7" t="s">
        <v>10346</v>
      </c>
      <c r="C4796" s="7" t="s">
        <v>10347</v>
      </c>
      <c r="G4796" s="8" t="s">
        <v>15</v>
      </c>
    </row>
    <row r="4797" spans="1:7" hidden="1" x14ac:dyDescent="0.25">
      <c r="A4797" s="21">
        <v>4796</v>
      </c>
      <c r="B4797" s="7" t="s">
        <v>10348</v>
      </c>
      <c r="C4797" s="7" t="s">
        <v>10349</v>
      </c>
      <c r="G4797" s="8" t="s">
        <v>15</v>
      </c>
    </row>
    <row r="4798" spans="1:7" hidden="1" x14ac:dyDescent="0.25">
      <c r="A4798" s="21">
        <v>4797</v>
      </c>
      <c r="B4798" s="7" t="s">
        <v>10350</v>
      </c>
      <c r="C4798" s="7" t="s">
        <v>10351</v>
      </c>
      <c r="G4798" s="8" t="s">
        <v>15</v>
      </c>
    </row>
    <row r="4799" spans="1:7" hidden="1" x14ac:dyDescent="0.25">
      <c r="A4799" s="21">
        <v>4798</v>
      </c>
      <c r="B4799" s="7" t="s">
        <v>10352</v>
      </c>
      <c r="C4799" s="7" t="s">
        <v>10353</v>
      </c>
      <c r="G4799" s="8" t="s">
        <v>15</v>
      </c>
    </row>
    <row r="4800" spans="1:7" hidden="1" x14ac:dyDescent="0.25">
      <c r="A4800" s="21">
        <v>4799</v>
      </c>
      <c r="B4800" s="7" t="s">
        <v>10354</v>
      </c>
      <c r="C4800" s="7" t="s">
        <v>10355</v>
      </c>
      <c r="G4800" s="8" t="s">
        <v>15</v>
      </c>
    </row>
    <row r="4801" spans="1:7" hidden="1" x14ac:dyDescent="0.25">
      <c r="A4801" s="21">
        <v>4800</v>
      </c>
      <c r="B4801" s="7" t="s">
        <v>10356</v>
      </c>
      <c r="C4801" s="7" t="s">
        <v>10357</v>
      </c>
      <c r="G4801" s="8" t="s">
        <v>15</v>
      </c>
    </row>
    <row r="4802" spans="1:7" hidden="1" x14ac:dyDescent="0.25">
      <c r="A4802" s="21">
        <v>4801</v>
      </c>
      <c r="B4802" s="7" t="s">
        <v>10358</v>
      </c>
      <c r="C4802" s="7" t="s">
        <v>10359</v>
      </c>
      <c r="G4802" s="8" t="s">
        <v>15</v>
      </c>
    </row>
    <row r="4803" spans="1:7" hidden="1" x14ac:dyDescent="0.25">
      <c r="A4803" s="21">
        <v>4802</v>
      </c>
      <c r="B4803" s="7" t="s">
        <v>10360</v>
      </c>
      <c r="C4803" s="7" t="s">
        <v>10361</v>
      </c>
      <c r="G4803" s="8" t="s">
        <v>15</v>
      </c>
    </row>
    <row r="4804" spans="1:7" hidden="1" x14ac:dyDescent="0.25">
      <c r="A4804" s="21">
        <v>4803</v>
      </c>
      <c r="B4804" s="7" t="s">
        <v>10362</v>
      </c>
      <c r="C4804" s="7" t="s">
        <v>10363</v>
      </c>
      <c r="G4804" s="8" t="s">
        <v>15</v>
      </c>
    </row>
    <row r="4805" spans="1:7" hidden="1" x14ac:dyDescent="0.25">
      <c r="A4805" s="21">
        <v>4804</v>
      </c>
      <c r="B4805" s="7" t="s">
        <v>10364</v>
      </c>
      <c r="C4805" s="7" t="s">
        <v>10365</v>
      </c>
      <c r="G4805" s="8" t="s">
        <v>15</v>
      </c>
    </row>
    <row r="4806" spans="1:7" hidden="1" x14ac:dyDescent="0.25">
      <c r="A4806" s="21">
        <v>4805</v>
      </c>
      <c r="B4806" s="7" t="s">
        <v>10366</v>
      </c>
      <c r="C4806" s="7" t="s">
        <v>10367</v>
      </c>
      <c r="G4806" s="8" t="s">
        <v>15</v>
      </c>
    </row>
    <row r="4807" spans="1:7" hidden="1" x14ac:dyDescent="0.25">
      <c r="A4807" s="21">
        <v>4806</v>
      </c>
      <c r="B4807" s="7" t="s">
        <v>10368</v>
      </c>
      <c r="C4807" s="7" t="s">
        <v>10369</v>
      </c>
      <c r="G4807" s="8" t="s">
        <v>15</v>
      </c>
    </row>
    <row r="4808" spans="1:7" hidden="1" x14ac:dyDescent="0.25">
      <c r="A4808" s="21">
        <v>4807</v>
      </c>
      <c r="B4808" s="7" t="s">
        <v>10370</v>
      </c>
      <c r="C4808" s="7" t="s">
        <v>10371</v>
      </c>
      <c r="G4808" s="8" t="s">
        <v>15</v>
      </c>
    </row>
    <row r="4809" spans="1:7" hidden="1" x14ac:dyDescent="0.25">
      <c r="A4809" s="21">
        <v>4808</v>
      </c>
      <c r="B4809" s="7" t="s">
        <v>10372</v>
      </c>
      <c r="C4809" s="7" t="s">
        <v>10373</v>
      </c>
      <c r="G4809" s="8" t="s">
        <v>15</v>
      </c>
    </row>
    <row r="4810" spans="1:7" hidden="1" x14ac:dyDescent="0.25">
      <c r="A4810" s="21">
        <v>4809</v>
      </c>
      <c r="B4810" s="7" t="s">
        <v>10374</v>
      </c>
      <c r="C4810" s="7" t="s">
        <v>10375</v>
      </c>
      <c r="G4810" s="8" t="s">
        <v>15</v>
      </c>
    </row>
    <row r="4811" spans="1:7" hidden="1" x14ac:dyDescent="0.25">
      <c r="A4811" s="21">
        <v>4810</v>
      </c>
      <c r="B4811" s="7" t="s">
        <v>10376</v>
      </c>
      <c r="C4811" s="7" t="s">
        <v>10377</v>
      </c>
      <c r="G4811" s="8" t="s">
        <v>15</v>
      </c>
    </row>
    <row r="4812" spans="1:7" hidden="1" x14ac:dyDescent="0.25">
      <c r="A4812" s="21">
        <v>4811</v>
      </c>
      <c r="B4812" s="7" t="s">
        <v>10378</v>
      </c>
      <c r="C4812" s="7" t="s">
        <v>10379</v>
      </c>
      <c r="G4812" s="8" t="s">
        <v>15</v>
      </c>
    </row>
    <row r="4813" spans="1:7" hidden="1" x14ac:dyDescent="0.25">
      <c r="A4813" s="21">
        <v>4812</v>
      </c>
      <c r="B4813" s="7" t="s">
        <v>10380</v>
      </c>
      <c r="C4813" s="7" t="s">
        <v>10381</v>
      </c>
      <c r="G4813" s="8" t="s">
        <v>15</v>
      </c>
    </row>
    <row r="4814" spans="1:7" hidden="1" x14ac:dyDescent="0.25">
      <c r="A4814" s="21">
        <v>4813</v>
      </c>
      <c r="B4814" s="7" t="s">
        <v>10382</v>
      </c>
      <c r="C4814" s="7" t="s">
        <v>10383</v>
      </c>
      <c r="G4814" s="8" t="s">
        <v>15</v>
      </c>
    </row>
    <row r="4815" spans="1:7" hidden="1" x14ac:dyDescent="0.25">
      <c r="A4815" s="21">
        <v>4814</v>
      </c>
      <c r="B4815" s="7" t="s">
        <v>10384</v>
      </c>
      <c r="C4815" s="7" t="s">
        <v>10385</v>
      </c>
      <c r="G4815" s="8" t="s">
        <v>15</v>
      </c>
    </row>
    <row r="4816" spans="1:7" hidden="1" x14ac:dyDescent="0.25">
      <c r="A4816" s="21">
        <v>4815</v>
      </c>
      <c r="B4816" s="7" t="s">
        <v>10386</v>
      </c>
      <c r="C4816" s="7" t="s">
        <v>10387</v>
      </c>
      <c r="G4816" s="8" t="s">
        <v>15</v>
      </c>
    </row>
    <row r="4817" spans="1:7" hidden="1" x14ac:dyDescent="0.25">
      <c r="A4817" s="21">
        <v>4816</v>
      </c>
      <c r="B4817" s="7" t="s">
        <v>10388</v>
      </c>
      <c r="C4817" s="7" t="s">
        <v>10389</v>
      </c>
      <c r="G4817" s="8" t="s">
        <v>15</v>
      </c>
    </row>
    <row r="4818" spans="1:7" hidden="1" x14ac:dyDescent="0.25">
      <c r="A4818" s="21">
        <v>4817</v>
      </c>
      <c r="B4818" s="7" t="s">
        <v>10390</v>
      </c>
      <c r="C4818" s="7" t="s">
        <v>10391</v>
      </c>
      <c r="G4818" s="8" t="s">
        <v>15</v>
      </c>
    </row>
    <row r="4819" spans="1:7" hidden="1" x14ac:dyDescent="0.25">
      <c r="A4819" s="21">
        <v>4818</v>
      </c>
      <c r="B4819" s="7" t="s">
        <v>10392</v>
      </c>
      <c r="C4819" s="7" t="s">
        <v>10393</v>
      </c>
      <c r="G4819" s="8" t="s">
        <v>15</v>
      </c>
    </row>
    <row r="4820" spans="1:7" hidden="1" x14ac:dyDescent="0.25">
      <c r="A4820" s="21">
        <v>4819</v>
      </c>
      <c r="B4820" s="7" t="s">
        <v>10394</v>
      </c>
      <c r="C4820" s="7" t="s">
        <v>10395</v>
      </c>
      <c r="G4820" s="8" t="s">
        <v>15</v>
      </c>
    </row>
    <row r="4821" spans="1:7" hidden="1" x14ac:dyDescent="0.25">
      <c r="A4821" s="21">
        <v>4820</v>
      </c>
      <c r="B4821" s="7" t="s">
        <v>10396</v>
      </c>
      <c r="C4821" s="7" t="s">
        <v>10397</v>
      </c>
      <c r="G4821" s="8" t="s">
        <v>15</v>
      </c>
    </row>
    <row r="4822" spans="1:7" hidden="1" x14ac:dyDescent="0.25">
      <c r="A4822" s="21">
        <v>4821</v>
      </c>
      <c r="B4822" s="7" t="s">
        <v>10398</v>
      </c>
      <c r="C4822" s="7" t="s">
        <v>10399</v>
      </c>
      <c r="G4822" s="8" t="s">
        <v>15</v>
      </c>
    </row>
    <row r="4823" spans="1:7" hidden="1" x14ac:dyDescent="0.25">
      <c r="A4823" s="21">
        <v>4822</v>
      </c>
      <c r="B4823" s="7" t="s">
        <v>10400</v>
      </c>
      <c r="C4823" s="7" t="s">
        <v>10401</v>
      </c>
      <c r="G4823" s="8" t="s">
        <v>15</v>
      </c>
    </row>
    <row r="4824" spans="1:7" hidden="1" x14ac:dyDescent="0.25">
      <c r="A4824" s="21">
        <v>4823</v>
      </c>
      <c r="B4824" s="7" t="s">
        <v>10402</v>
      </c>
      <c r="C4824" s="7" t="s">
        <v>10403</v>
      </c>
      <c r="G4824" s="8" t="s">
        <v>15</v>
      </c>
    </row>
    <row r="4825" spans="1:7" hidden="1" x14ac:dyDescent="0.25">
      <c r="A4825" s="21">
        <v>4824</v>
      </c>
      <c r="B4825" s="7" t="s">
        <v>10404</v>
      </c>
      <c r="C4825" s="7" t="s">
        <v>10405</v>
      </c>
      <c r="G4825" s="8" t="s">
        <v>15</v>
      </c>
    </row>
    <row r="4826" spans="1:7" hidden="1" x14ac:dyDescent="0.25">
      <c r="A4826" s="21">
        <v>4825</v>
      </c>
      <c r="B4826" s="7" t="s">
        <v>10406</v>
      </c>
      <c r="C4826" s="7" t="s">
        <v>10407</v>
      </c>
      <c r="G4826" s="8" t="s">
        <v>15</v>
      </c>
    </row>
    <row r="4827" spans="1:7" hidden="1" x14ac:dyDescent="0.25">
      <c r="A4827" s="21">
        <v>4826</v>
      </c>
      <c r="B4827" s="7" t="s">
        <v>10408</v>
      </c>
      <c r="C4827" s="7" t="s">
        <v>10409</v>
      </c>
      <c r="G4827" s="8" t="s">
        <v>15</v>
      </c>
    </row>
    <row r="4828" spans="1:7" hidden="1" x14ac:dyDescent="0.25">
      <c r="A4828" s="21">
        <v>4827</v>
      </c>
      <c r="B4828" s="7" t="s">
        <v>10410</v>
      </c>
      <c r="C4828" s="7" t="s">
        <v>10411</v>
      </c>
      <c r="G4828" s="8" t="s">
        <v>15</v>
      </c>
    </row>
    <row r="4829" spans="1:7" hidden="1" x14ac:dyDescent="0.25">
      <c r="A4829" s="21">
        <v>4828</v>
      </c>
      <c r="B4829" s="7" t="s">
        <v>10412</v>
      </c>
      <c r="C4829" s="7" t="s">
        <v>10413</v>
      </c>
      <c r="G4829" s="8" t="s">
        <v>15</v>
      </c>
    </row>
    <row r="4830" spans="1:7" hidden="1" x14ac:dyDescent="0.25">
      <c r="A4830" s="21">
        <v>4829</v>
      </c>
      <c r="B4830" s="7" t="s">
        <v>10414</v>
      </c>
      <c r="C4830" s="7" t="s">
        <v>10415</v>
      </c>
      <c r="G4830" s="8" t="s">
        <v>15</v>
      </c>
    </row>
    <row r="4831" spans="1:7" hidden="1" x14ac:dyDescent="0.25">
      <c r="A4831" s="21">
        <v>4830</v>
      </c>
      <c r="B4831" s="7" t="s">
        <v>10416</v>
      </c>
      <c r="C4831" s="7" t="s">
        <v>10417</v>
      </c>
      <c r="G4831" s="8" t="s">
        <v>15</v>
      </c>
    </row>
    <row r="4832" spans="1:7" hidden="1" x14ac:dyDescent="0.25">
      <c r="A4832" s="21">
        <v>4831</v>
      </c>
      <c r="B4832" s="7" t="s">
        <v>10418</v>
      </c>
      <c r="C4832" s="7" t="s">
        <v>10419</v>
      </c>
      <c r="G4832" s="8" t="s">
        <v>15</v>
      </c>
    </row>
    <row r="4833" spans="1:7" hidden="1" x14ac:dyDescent="0.25">
      <c r="A4833" s="21">
        <v>4832</v>
      </c>
      <c r="B4833" s="7" t="s">
        <v>10420</v>
      </c>
      <c r="C4833" s="7" t="s">
        <v>10421</v>
      </c>
      <c r="G4833" s="8" t="s">
        <v>15</v>
      </c>
    </row>
    <row r="4834" spans="1:7" hidden="1" x14ac:dyDescent="0.25">
      <c r="A4834" s="21">
        <v>4833</v>
      </c>
      <c r="B4834" s="7" t="s">
        <v>10422</v>
      </c>
      <c r="C4834" s="7" t="s">
        <v>10423</v>
      </c>
      <c r="G4834" s="8" t="s">
        <v>15</v>
      </c>
    </row>
    <row r="4835" spans="1:7" hidden="1" x14ac:dyDescent="0.25">
      <c r="A4835" s="21">
        <v>4834</v>
      </c>
      <c r="B4835" s="7" t="s">
        <v>10424</v>
      </c>
      <c r="C4835" s="7" t="s">
        <v>10425</v>
      </c>
      <c r="G4835" s="8" t="s">
        <v>15</v>
      </c>
    </row>
    <row r="4836" spans="1:7" hidden="1" x14ac:dyDescent="0.25">
      <c r="A4836" s="21">
        <v>4835</v>
      </c>
      <c r="B4836" s="7" t="s">
        <v>10426</v>
      </c>
      <c r="C4836" s="7" t="s">
        <v>10427</v>
      </c>
      <c r="G4836" s="8" t="s">
        <v>15</v>
      </c>
    </row>
    <row r="4837" spans="1:7" hidden="1" x14ac:dyDescent="0.25">
      <c r="A4837" s="21">
        <v>4836</v>
      </c>
      <c r="B4837" s="7" t="s">
        <v>10428</v>
      </c>
      <c r="C4837" s="7" t="s">
        <v>10429</v>
      </c>
      <c r="G4837" s="8" t="s">
        <v>15</v>
      </c>
    </row>
    <row r="4838" spans="1:7" hidden="1" x14ac:dyDescent="0.25">
      <c r="A4838" s="21">
        <v>4837</v>
      </c>
      <c r="B4838" s="7" t="s">
        <v>10430</v>
      </c>
      <c r="C4838" s="7" t="s">
        <v>10431</v>
      </c>
      <c r="G4838" s="8" t="s">
        <v>15</v>
      </c>
    </row>
    <row r="4839" spans="1:7" hidden="1" x14ac:dyDescent="0.25">
      <c r="A4839" s="21">
        <v>4838</v>
      </c>
      <c r="B4839" s="7" t="s">
        <v>10432</v>
      </c>
      <c r="C4839" s="7" t="s">
        <v>10433</v>
      </c>
      <c r="G4839" s="8" t="s">
        <v>15</v>
      </c>
    </row>
    <row r="4840" spans="1:7" hidden="1" x14ac:dyDescent="0.25">
      <c r="A4840" s="21">
        <v>4839</v>
      </c>
      <c r="B4840" s="7" t="s">
        <v>10434</v>
      </c>
      <c r="C4840" s="7" t="s">
        <v>10435</v>
      </c>
      <c r="G4840" s="8" t="s">
        <v>15</v>
      </c>
    </row>
    <row r="4841" spans="1:7" hidden="1" x14ac:dyDescent="0.25">
      <c r="A4841" s="21">
        <v>4840</v>
      </c>
      <c r="B4841" s="7" t="s">
        <v>10436</v>
      </c>
      <c r="C4841" s="7" t="s">
        <v>10437</v>
      </c>
      <c r="G4841" s="8" t="s">
        <v>15</v>
      </c>
    </row>
    <row r="4842" spans="1:7" hidden="1" x14ac:dyDescent="0.25">
      <c r="A4842" s="21">
        <v>4841</v>
      </c>
      <c r="B4842" s="7" t="s">
        <v>10438</v>
      </c>
      <c r="C4842" s="7" t="s">
        <v>10439</v>
      </c>
      <c r="G4842" s="8" t="s">
        <v>15</v>
      </c>
    </row>
    <row r="4843" spans="1:7" hidden="1" x14ac:dyDescent="0.25">
      <c r="A4843" s="21">
        <v>4842</v>
      </c>
      <c r="B4843" s="7" t="s">
        <v>10440</v>
      </c>
      <c r="C4843" s="7" t="s">
        <v>10441</v>
      </c>
      <c r="G4843" s="8" t="s">
        <v>15</v>
      </c>
    </row>
    <row r="4844" spans="1:7" hidden="1" x14ac:dyDescent="0.25">
      <c r="A4844" s="21">
        <v>4843</v>
      </c>
      <c r="B4844" s="7" t="s">
        <v>10442</v>
      </c>
      <c r="C4844" s="7" t="s">
        <v>10443</v>
      </c>
      <c r="G4844" s="8" t="s">
        <v>15</v>
      </c>
    </row>
    <row r="4845" spans="1:7" hidden="1" x14ac:dyDescent="0.25">
      <c r="A4845" s="21">
        <v>4844</v>
      </c>
      <c r="B4845" s="7" t="s">
        <v>10444</v>
      </c>
      <c r="C4845" s="7" t="s">
        <v>10445</v>
      </c>
      <c r="G4845" s="8" t="s">
        <v>15</v>
      </c>
    </row>
    <row r="4846" spans="1:7" hidden="1" x14ac:dyDescent="0.25">
      <c r="A4846" s="21">
        <v>4845</v>
      </c>
      <c r="B4846" s="7" t="s">
        <v>10446</v>
      </c>
      <c r="C4846" s="7" t="s">
        <v>10447</v>
      </c>
      <c r="G4846" s="8" t="s">
        <v>15</v>
      </c>
    </row>
    <row r="4847" spans="1:7" hidden="1" x14ac:dyDescent="0.25">
      <c r="A4847" s="21">
        <v>4846</v>
      </c>
      <c r="B4847" s="7" t="s">
        <v>10448</v>
      </c>
      <c r="C4847" s="7" t="s">
        <v>10449</v>
      </c>
      <c r="G4847" s="8" t="s">
        <v>15</v>
      </c>
    </row>
    <row r="4848" spans="1:7" hidden="1" x14ac:dyDescent="0.25">
      <c r="A4848" s="21">
        <v>4847</v>
      </c>
      <c r="B4848" s="7" t="s">
        <v>10450</v>
      </c>
      <c r="C4848" s="7" t="s">
        <v>10451</v>
      </c>
      <c r="G4848" s="8" t="s">
        <v>15</v>
      </c>
    </row>
    <row r="4849" spans="1:7" hidden="1" x14ac:dyDescent="0.25">
      <c r="A4849" s="21">
        <v>4848</v>
      </c>
      <c r="B4849" s="7" t="s">
        <v>10452</v>
      </c>
      <c r="C4849" s="7" t="s">
        <v>10453</v>
      </c>
      <c r="G4849" s="8" t="s">
        <v>15</v>
      </c>
    </row>
    <row r="4850" spans="1:7" hidden="1" x14ac:dyDescent="0.25">
      <c r="A4850" s="21">
        <v>4849</v>
      </c>
      <c r="B4850" s="7" t="s">
        <v>10454</v>
      </c>
      <c r="C4850" s="7" t="s">
        <v>10455</v>
      </c>
      <c r="G4850" s="8" t="s">
        <v>15</v>
      </c>
    </row>
    <row r="4851" spans="1:7" hidden="1" x14ac:dyDescent="0.25">
      <c r="A4851" s="21">
        <v>4850</v>
      </c>
      <c r="B4851" s="7" t="s">
        <v>10456</v>
      </c>
      <c r="C4851" s="7" t="s">
        <v>10457</v>
      </c>
      <c r="G4851" s="8" t="s">
        <v>15</v>
      </c>
    </row>
    <row r="4852" spans="1:7" hidden="1" x14ac:dyDescent="0.25">
      <c r="A4852" s="21">
        <v>4851</v>
      </c>
      <c r="B4852" s="7" t="s">
        <v>10458</v>
      </c>
      <c r="C4852" s="7" t="s">
        <v>10459</v>
      </c>
      <c r="G4852" s="8" t="s">
        <v>15</v>
      </c>
    </row>
    <row r="4853" spans="1:7" hidden="1" x14ac:dyDescent="0.25">
      <c r="A4853" s="21">
        <v>4852</v>
      </c>
      <c r="B4853" s="7" t="s">
        <v>10460</v>
      </c>
      <c r="C4853" s="7" t="s">
        <v>10461</v>
      </c>
      <c r="G4853" s="8" t="s">
        <v>15</v>
      </c>
    </row>
    <row r="4854" spans="1:7" hidden="1" x14ac:dyDescent="0.25">
      <c r="A4854" s="21">
        <v>4853</v>
      </c>
      <c r="B4854" s="7" t="s">
        <v>10462</v>
      </c>
      <c r="C4854" s="7" t="s">
        <v>10463</v>
      </c>
      <c r="G4854" s="8" t="s">
        <v>15</v>
      </c>
    </row>
    <row r="4855" spans="1:7" hidden="1" x14ac:dyDescent="0.25">
      <c r="A4855" s="21">
        <v>4854</v>
      </c>
      <c r="B4855" s="7" t="s">
        <v>10464</v>
      </c>
      <c r="C4855" s="7" t="s">
        <v>10465</v>
      </c>
      <c r="G4855" s="8" t="s">
        <v>15</v>
      </c>
    </row>
    <row r="4856" spans="1:7" hidden="1" x14ac:dyDescent="0.25">
      <c r="A4856" s="21">
        <v>4855</v>
      </c>
      <c r="B4856" s="7" t="s">
        <v>10466</v>
      </c>
      <c r="C4856" s="7" t="s">
        <v>10467</v>
      </c>
      <c r="G4856" s="8" t="s">
        <v>15</v>
      </c>
    </row>
    <row r="4857" spans="1:7" hidden="1" x14ac:dyDescent="0.25">
      <c r="A4857" s="21">
        <v>4856</v>
      </c>
      <c r="B4857" s="7" t="s">
        <v>10468</v>
      </c>
      <c r="C4857" s="7" t="s">
        <v>10469</v>
      </c>
      <c r="G4857" s="8" t="s">
        <v>15</v>
      </c>
    </row>
    <row r="4858" spans="1:7" hidden="1" x14ac:dyDescent="0.25">
      <c r="A4858" s="21">
        <v>4857</v>
      </c>
      <c r="B4858" s="7" t="s">
        <v>10470</v>
      </c>
      <c r="C4858" s="7" t="s">
        <v>10471</v>
      </c>
      <c r="G4858" s="8" t="s">
        <v>15</v>
      </c>
    </row>
    <row r="4859" spans="1:7" hidden="1" x14ac:dyDescent="0.25">
      <c r="A4859" s="21">
        <v>4858</v>
      </c>
      <c r="B4859" s="7" t="s">
        <v>10472</v>
      </c>
      <c r="C4859" s="7" t="s">
        <v>10473</v>
      </c>
      <c r="G4859" s="8" t="s">
        <v>15</v>
      </c>
    </row>
    <row r="4860" spans="1:7" hidden="1" x14ac:dyDescent="0.25">
      <c r="A4860" s="21">
        <v>4859</v>
      </c>
      <c r="B4860" s="7" t="s">
        <v>10474</v>
      </c>
      <c r="C4860" s="7" t="s">
        <v>10475</v>
      </c>
      <c r="G4860" s="8" t="s">
        <v>15</v>
      </c>
    </row>
    <row r="4861" spans="1:7" hidden="1" x14ac:dyDescent="0.25">
      <c r="A4861" s="21">
        <v>4860</v>
      </c>
      <c r="B4861" s="7" t="s">
        <v>10476</v>
      </c>
      <c r="C4861" s="7" t="s">
        <v>10477</v>
      </c>
      <c r="G4861" s="8" t="s">
        <v>15</v>
      </c>
    </row>
    <row r="4862" spans="1:7" hidden="1" x14ac:dyDescent="0.25">
      <c r="A4862" s="21">
        <v>4861</v>
      </c>
      <c r="B4862" s="7" t="s">
        <v>10478</v>
      </c>
      <c r="C4862" s="7" t="s">
        <v>10479</v>
      </c>
      <c r="G4862" s="8" t="s">
        <v>15</v>
      </c>
    </row>
    <row r="4863" spans="1:7" hidden="1" x14ac:dyDescent="0.25">
      <c r="A4863" s="21">
        <v>4862</v>
      </c>
      <c r="B4863" s="7" t="s">
        <v>10480</v>
      </c>
      <c r="C4863" s="7" t="s">
        <v>10481</v>
      </c>
      <c r="G4863" s="8" t="s">
        <v>15</v>
      </c>
    </row>
    <row r="4864" spans="1:7" hidden="1" x14ac:dyDescent="0.25">
      <c r="A4864" s="21">
        <v>4863</v>
      </c>
      <c r="B4864" s="7" t="s">
        <v>10482</v>
      </c>
      <c r="C4864" s="7" t="s">
        <v>10483</v>
      </c>
      <c r="G4864" s="8" t="s">
        <v>15</v>
      </c>
    </row>
    <row r="4865" spans="1:7" hidden="1" x14ac:dyDescent="0.25">
      <c r="A4865" s="21">
        <v>4864</v>
      </c>
      <c r="B4865" s="7" t="s">
        <v>10484</v>
      </c>
      <c r="C4865" s="7" t="s">
        <v>10485</v>
      </c>
      <c r="G4865" s="8" t="s">
        <v>15</v>
      </c>
    </row>
    <row r="4866" spans="1:7" hidden="1" x14ac:dyDescent="0.25">
      <c r="A4866" s="21">
        <v>4865</v>
      </c>
      <c r="B4866" s="7" t="s">
        <v>10486</v>
      </c>
      <c r="C4866" s="7" t="s">
        <v>10487</v>
      </c>
      <c r="G4866" s="8" t="s">
        <v>15</v>
      </c>
    </row>
    <row r="4867" spans="1:7" hidden="1" x14ac:dyDescent="0.25">
      <c r="A4867" s="21">
        <v>4866</v>
      </c>
      <c r="B4867" s="7" t="s">
        <v>10488</v>
      </c>
      <c r="C4867" s="7" t="s">
        <v>10489</v>
      </c>
      <c r="G4867" s="8" t="s">
        <v>15</v>
      </c>
    </row>
    <row r="4868" spans="1:7" hidden="1" x14ac:dyDescent="0.25">
      <c r="A4868" s="21">
        <v>4867</v>
      </c>
      <c r="B4868" s="7" t="s">
        <v>10490</v>
      </c>
      <c r="C4868" s="7" t="s">
        <v>10491</v>
      </c>
      <c r="G4868" s="8" t="s">
        <v>15</v>
      </c>
    </row>
    <row r="4869" spans="1:7" hidden="1" x14ac:dyDescent="0.25">
      <c r="A4869" s="21">
        <v>4868</v>
      </c>
      <c r="B4869" s="7" t="s">
        <v>10492</v>
      </c>
      <c r="C4869" s="7" t="s">
        <v>10493</v>
      </c>
      <c r="G4869" s="8" t="s">
        <v>15</v>
      </c>
    </row>
    <row r="4870" spans="1:7" hidden="1" x14ac:dyDescent="0.25">
      <c r="A4870" s="21">
        <v>4869</v>
      </c>
      <c r="B4870" s="7" t="s">
        <v>10494</v>
      </c>
      <c r="C4870" s="7" t="s">
        <v>10495</v>
      </c>
      <c r="G4870" s="8" t="s">
        <v>15</v>
      </c>
    </row>
    <row r="4871" spans="1:7" hidden="1" x14ac:dyDescent="0.25">
      <c r="A4871" s="21">
        <v>4870</v>
      </c>
      <c r="B4871" s="7" t="s">
        <v>10496</v>
      </c>
      <c r="C4871" s="7" t="s">
        <v>10497</v>
      </c>
      <c r="G4871" s="8" t="s">
        <v>15</v>
      </c>
    </row>
    <row r="4872" spans="1:7" hidden="1" x14ac:dyDescent="0.25">
      <c r="A4872" s="21">
        <v>4871</v>
      </c>
      <c r="B4872" s="7" t="s">
        <v>10498</v>
      </c>
      <c r="C4872" s="7" t="s">
        <v>10499</v>
      </c>
      <c r="G4872" s="8" t="s">
        <v>15</v>
      </c>
    </row>
    <row r="4873" spans="1:7" hidden="1" x14ac:dyDescent="0.25">
      <c r="A4873" s="21">
        <v>4872</v>
      </c>
      <c r="B4873" s="7" t="s">
        <v>10500</v>
      </c>
      <c r="C4873" s="7" t="s">
        <v>10501</v>
      </c>
      <c r="G4873" s="8" t="s">
        <v>15</v>
      </c>
    </row>
    <row r="4874" spans="1:7" hidden="1" x14ac:dyDescent="0.25">
      <c r="A4874" s="21">
        <v>4873</v>
      </c>
      <c r="B4874" s="7" t="s">
        <v>10502</v>
      </c>
      <c r="C4874" s="7" t="s">
        <v>10503</v>
      </c>
      <c r="G4874" s="8" t="s">
        <v>15</v>
      </c>
    </row>
    <row r="4875" spans="1:7" hidden="1" x14ac:dyDescent="0.25">
      <c r="A4875" s="21">
        <v>4874</v>
      </c>
      <c r="B4875" s="7" t="s">
        <v>10504</v>
      </c>
      <c r="C4875" s="7" t="s">
        <v>10505</v>
      </c>
      <c r="G4875" s="8" t="s">
        <v>15</v>
      </c>
    </row>
    <row r="4876" spans="1:7" hidden="1" x14ac:dyDescent="0.25">
      <c r="A4876" s="21">
        <v>4875</v>
      </c>
      <c r="B4876" s="7" t="s">
        <v>10506</v>
      </c>
      <c r="C4876" s="7" t="s">
        <v>10507</v>
      </c>
      <c r="G4876" s="8" t="s">
        <v>15</v>
      </c>
    </row>
    <row r="4877" spans="1:7" hidden="1" x14ac:dyDescent="0.25">
      <c r="A4877" s="21">
        <v>4876</v>
      </c>
      <c r="B4877" s="7" t="s">
        <v>10508</v>
      </c>
      <c r="C4877" s="7" t="s">
        <v>10509</v>
      </c>
      <c r="G4877" s="8" t="s">
        <v>15</v>
      </c>
    </row>
    <row r="4878" spans="1:7" hidden="1" x14ac:dyDescent="0.25">
      <c r="A4878" s="21">
        <v>4877</v>
      </c>
      <c r="B4878" s="7" t="s">
        <v>10510</v>
      </c>
      <c r="C4878" s="7" t="s">
        <v>10511</v>
      </c>
      <c r="G4878" s="8" t="s">
        <v>15</v>
      </c>
    </row>
    <row r="4879" spans="1:7" hidden="1" x14ac:dyDescent="0.25">
      <c r="A4879" s="21">
        <v>4878</v>
      </c>
      <c r="B4879" s="7" t="s">
        <v>10512</v>
      </c>
      <c r="C4879" s="7" t="s">
        <v>10513</v>
      </c>
      <c r="G4879" s="8" t="s">
        <v>15</v>
      </c>
    </row>
    <row r="4880" spans="1:7" hidden="1" x14ac:dyDescent="0.25">
      <c r="A4880" s="21">
        <v>4879</v>
      </c>
      <c r="B4880" s="7" t="s">
        <v>10514</v>
      </c>
      <c r="C4880" s="7" t="s">
        <v>10515</v>
      </c>
      <c r="G4880" s="8" t="s">
        <v>15</v>
      </c>
    </row>
    <row r="4881" spans="1:7" hidden="1" x14ac:dyDescent="0.25">
      <c r="A4881" s="21">
        <v>4880</v>
      </c>
      <c r="B4881" s="7" t="s">
        <v>10516</v>
      </c>
      <c r="C4881" s="7" t="s">
        <v>10517</v>
      </c>
      <c r="G4881" s="8" t="s">
        <v>15</v>
      </c>
    </row>
    <row r="4882" spans="1:7" hidden="1" x14ac:dyDescent="0.25">
      <c r="A4882" s="21">
        <v>4881</v>
      </c>
      <c r="B4882" s="7" t="s">
        <v>10518</v>
      </c>
      <c r="C4882" s="7" t="s">
        <v>10519</v>
      </c>
      <c r="G4882" s="8" t="s">
        <v>15</v>
      </c>
    </row>
    <row r="4883" spans="1:7" hidden="1" x14ac:dyDescent="0.25">
      <c r="A4883" s="21">
        <v>4882</v>
      </c>
      <c r="B4883" s="7" t="s">
        <v>10520</v>
      </c>
      <c r="C4883" s="7" t="s">
        <v>10521</v>
      </c>
      <c r="G4883" s="8" t="s">
        <v>15</v>
      </c>
    </row>
    <row r="4884" spans="1:7" hidden="1" x14ac:dyDescent="0.25">
      <c r="A4884" s="21">
        <v>4883</v>
      </c>
      <c r="B4884" s="7" t="s">
        <v>10522</v>
      </c>
      <c r="C4884" s="7" t="s">
        <v>10523</v>
      </c>
      <c r="G4884" s="8" t="s">
        <v>15</v>
      </c>
    </row>
    <row r="4885" spans="1:7" hidden="1" x14ac:dyDescent="0.25">
      <c r="A4885" s="21">
        <v>4884</v>
      </c>
      <c r="B4885" s="7" t="s">
        <v>10524</v>
      </c>
      <c r="C4885" s="7" t="s">
        <v>10525</v>
      </c>
      <c r="G4885" s="8" t="s">
        <v>15</v>
      </c>
    </row>
    <row r="4886" spans="1:7" hidden="1" x14ac:dyDescent="0.25">
      <c r="A4886" s="21">
        <v>4885</v>
      </c>
      <c r="B4886" s="7" t="s">
        <v>10526</v>
      </c>
      <c r="C4886" s="7" t="s">
        <v>10527</v>
      </c>
      <c r="G4886" s="8" t="s">
        <v>15</v>
      </c>
    </row>
    <row r="4887" spans="1:7" hidden="1" x14ac:dyDescent="0.25">
      <c r="A4887" s="21">
        <v>4886</v>
      </c>
      <c r="B4887" s="7" t="s">
        <v>10528</v>
      </c>
      <c r="C4887" s="7" t="s">
        <v>10529</v>
      </c>
      <c r="G4887" s="8" t="s">
        <v>15</v>
      </c>
    </row>
    <row r="4888" spans="1:7" hidden="1" x14ac:dyDescent="0.25">
      <c r="A4888" s="21">
        <v>4887</v>
      </c>
      <c r="B4888" s="7" t="s">
        <v>10530</v>
      </c>
      <c r="C4888" s="7" t="s">
        <v>10531</v>
      </c>
      <c r="G4888" s="8" t="s">
        <v>15</v>
      </c>
    </row>
    <row r="4889" spans="1:7" hidden="1" x14ac:dyDescent="0.25">
      <c r="A4889" s="21">
        <v>4888</v>
      </c>
      <c r="B4889" s="7" t="s">
        <v>10532</v>
      </c>
      <c r="C4889" s="7" t="s">
        <v>10533</v>
      </c>
      <c r="G4889" s="8" t="s">
        <v>15</v>
      </c>
    </row>
    <row r="4890" spans="1:7" hidden="1" x14ac:dyDescent="0.25">
      <c r="A4890" s="21">
        <v>4889</v>
      </c>
      <c r="B4890" s="7" t="s">
        <v>10534</v>
      </c>
      <c r="C4890" s="7" t="s">
        <v>10535</v>
      </c>
      <c r="G4890" s="8" t="s">
        <v>15</v>
      </c>
    </row>
    <row r="4891" spans="1:7" hidden="1" x14ac:dyDescent="0.25">
      <c r="A4891" s="21">
        <v>4890</v>
      </c>
      <c r="B4891" s="7" t="s">
        <v>10536</v>
      </c>
      <c r="C4891" s="7" t="s">
        <v>10537</v>
      </c>
      <c r="G4891" s="8" t="s">
        <v>15</v>
      </c>
    </row>
    <row r="4892" spans="1:7" hidden="1" x14ac:dyDescent="0.25">
      <c r="A4892" s="21">
        <v>4891</v>
      </c>
      <c r="B4892" s="7" t="s">
        <v>10538</v>
      </c>
      <c r="C4892" s="7" t="s">
        <v>10539</v>
      </c>
      <c r="G4892" s="8" t="s">
        <v>15</v>
      </c>
    </row>
    <row r="4893" spans="1:7" hidden="1" x14ac:dyDescent="0.25">
      <c r="A4893" s="21">
        <v>4892</v>
      </c>
      <c r="B4893" s="7" t="s">
        <v>10540</v>
      </c>
      <c r="C4893" s="7" t="s">
        <v>10541</v>
      </c>
      <c r="G4893" s="8" t="s">
        <v>15</v>
      </c>
    </row>
    <row r="4894" spans="1:7" hidden="1" x14ac:dyDescent="0.25">
      <c r="A4894" s="21">
        <v>4893</v>
      </c>
      <c r="B4894" s="7" t="s">
        <v>10542</v>
      </c>
      <c r="C4894" s="7" t="s">
        <v>10543</v>
      </c>
      <c r="G4894" s="8" t="s">
        <v>15</v>
      </c>
    </row>
    <row r="4895" spans="1:7" hidden="1" x14ac:dyDescent="0.25">
      <c r="A4895" s="21">
        <v>4894</v>
      </c>
      <c r="B4895" s="7" t="s">
        <v>10544</v>
      </c>
      <c r="C4895" s="7" t="s">
        <v>10545</v>
      </c>
      <c r="G4895" s="8" t="s">
        <v>15</v>
      </c>
    </row>
    <row r="4896" spans="1:7" hidden="1" x14ac:dyDescent="0.25">
      <c r="A4896" s="21">
        <v>4895</v>
      </c>
      <c r="B4896" s="7" t="s">
        <v>10546</v>
      </c>
      <c r="C4896" s="7" t="s">
        <v>10547</v>
      </c>
      <c r="G4896" s="8" t="s">
        <v>15</v>
      </c>
    </row>
    <row r="4897" spans="1:7" hidden="1" x14ac:dyDescent="0.25">
      <c r="A4897" s="21">
        <v>4896</v>
      </c>
      <c r="B4897" s="7" t="s">
        <v>10548</v>
      </c>
      <c r="C4897" s="7" t="s">
        <v>10549</v>
      </c>
      <c r="G4897" s="8" t="s">
        <v>15</v>
      </c>
    </row>
    <row r="4898" spans="1:7" hidden="1" x14ac:dyDescent="0.25">
      <c r="A4898" s="21">
        <v>4897</v>
      </c>
      <c r="B4898" s="7" t="s">
        <v>10550</v>
      </c>
      <c r="C4898" s="7" t="s">
        <v>10551</v>
      </c>
      <c r="G4898" s="8" t="s">
        <v>15</v>
      </c>
    </row>
    <row r="4899" spans="1:7" hidden="1" x14ac:dyDescent="0.25">
      <c r="A4899" s="21">
        <v>4898</v>
      </c>
      <c r="B4899" s="7" t="s">
        <v>10552</v>
      </c>
      <c r="C4899" s="7" t="s">
        <v>10553</v>
      </c>
      <c r="G4899" s="8" t="s">
        <v>15</v>
      </c>
    </row>
    <row r="4900" spans="1:7" hidden="1" x14ac:dyDescent="0.25">
      <c r="A4900" s="21">
        <v>4899</v>
      </c>
      <c r="B4900" s="7" t="s">
        <v>10554</v>
      </c>
      <c r="C4900" s="7" t="s">
        <v>10555</v>
      </c>
      <c r="G4900" s="8" t="s">
        <v>15</v>
      </c>
    </row>
    <row r="4901" spans="1:7" hidden="1" x14ac:dyDescent="0.25">
      <c r="A4901" s="21">
        <v>4900</v>
      </c>
      <c r="B4901" s="7" t="s">
        <v>10556</v>
      </c>
      <c r="C4901" s="7" t="s">
        <v>10557</v>
      </c>
      <c r="G4901" s="8" t="s">
        <v>15</v>
      </c>
    </row>
    <row r="4902" spans="1:7" hidden="1" x14ac:dyDescent="0.25">
      <c r="A4902" s="21">
        <v>4901</v>
      </c>
      <c r="B4902" s="7" t="s">
        <v>10558</v>
      </c>
      <c r="C4902" s="7" t="s">
        <v>10559</v>
      </c>
      <c r="G4902" s="8" t="s">
        <v>15</v>
      </c>
    </row>
    <row r="4903" spans="1:7" hidden="1" x14ac:dyDescent="0.25">
      <c r="A4903" s="21">
        <v>4902</v>
      </c>
      <c r="B4903" s="7" t="s">
        <v>10560</v>
      </c>
      <c r="C4903" s="7" t="s">
        <v>10561</v>
      </c>
      <c r="G4903" s="8" t="s">
        <v>15</v>
      </c>
    </row>
    <row r="4904" spans="1:7" hidden="1" x14ac:dyDescent="0.25">
      <c r="A4904" s="21">
        <v>4903</v>
      </c>
      <c r="B4904" s="7" t="s">
        <v>10562</v>
      </c>
      <c r="C4904" s="7" t="s">
        <v>10563</v>
      </c>
      <c r="G4904" s="8" t="s">
        <v>15</v>
      </c>
    </row>
    <row r="4905" spans="1:7" hidden="1" x14ac:dyDescent="0.25">
      <c r="A4905" s="21">
        <v>4904</v>
      </c>
      <c r="B4905" s="7" t="s">
        <v>10564</v>
      </c>
      <c r="C4905" s="7" t="s">
        <v>10565</v>
      </c>
      <c r="G4905" s="8" t="s">
        <v>15</v>
      </c>
    </row>
    <row r="4906" spans="1:7" hidden="1" x14ac:dyDescent="0.25">
      <c r="A4906" s="21">
        <v>4905</v>
      </c>
      <c r="B4906" s="7" t="s">
        <v>10566</v>
      </c>
      <c r="C4906" s="7" t="s">
        <v>10567</v>
      </c>
      <c r="G4906" s="8" t="s">
        <v>15</v>
      </c>
    </row>
    <row r="4907" spans="1:7" hidden="1" x14ac:dyDescent="0.25">
      <c r="A4907" s="21">
        <v>4906</v>
      </c>
      <c r="B4907" s="7" t="s">
        <v>10568</v>
      </c>
      <c r="C4907" s="7" t="s">
        <v>10569</v>
      </c>
      <c r="G4907" s="8" t="s">
        <v>15</v>
      </c>
    </row>
    <row r="4908" spans="1:7" hidden="1" x14ac:dyDescent="0.25">
      <c r="A4908" s="21">
        <v>4907</v>
      </c>
      <c r="B4908" s="7" t="s">
        <v>10570</v>
      </c>
      <c r="C4908" s="7" t="s">
        <v>10571</v>
      </c>
      <c r="G4908" s="8" t="s">
        <v>15</v>
      </c>
    </row>
    <row r="4909" spans="1:7" hidden="1" x14ac:dyDescent="0.25">
      <c r="A4909" s="21">
        <v>4908</v>
      </c>
      <c r="B4909" s="7" t="s">
        <v>10572</v>
      </c>
      <c r="C4909" s="7" t="s">
        <v>10573</v>
      </c>
      <c r="G4909" s="8" t="s">
        <v>15</v>
      </c>
    </row>
    <row r="4910" spans="1:7" hidden="1" x14ac:dyDescent="0.25">
      <c r="A4910" s="21">
        <v>4909</v>
      </c>
      <c r="B4910" s="7" t="s">
        <v>10574</v>
      </c>
      <c r="C4910" s="7" t="s">
        <v>10575</v>
      </c>
      <c r="G4910" s="8" t="s">
        <v>15</v>
      </c>
    </row>
    <row r="4911" spans="1:7" hidden="1" x14ac:dyDescent="0.25">
      <c r="A4911" s="21">
        <v>4910</v>
      </c>
      <c r="B4911" s="7" t="s">
        <v>10576</v>
      </c>
      <c r="C4911" s="7" t="s">
        <v>10577</v>
      </c>
      <c r="G4911" s="8" t="s">
        <v>15</v>
      </c>
    </row>
    <row r="4912" spans="1:7" hidden="1" x14ac:dyDescent="0.25">
      <c r="A4912" s="21">
        <v>4911</v>
      </c>
      <c r="B4912" s="7" t="s">
        <v>10578</v>
      </c>
      <c r="C4912" s="7" t="s">
        <v>10579</v>
      </c>
      <c r="G4912" s="8" t="s">
        <v>15</v>
      </c>
    </row>
    <row r="4913" spans="1:7" hidden="1" x14ac:dyDescent="0.25">
      <c r="A4913" s="21">
        <v>4912</v>
      </c>
      <c r="B4913" s="7" t="s">
        <v>10580</v>
      </c>
      <c r="C4913" s="7" t="s">
        <v>10581</v>
      </c>
      <c r="G4913" s="8" t="s">
        <v>15</v>
      </c>
    </row>
    <row r="4914" spans="1:7" hidden="1" x14ac:dyDescent="0.25">
      <c r="A4914" s="21">
        <v>4913</v>
      </c>
      <c r="B4914" s="7" t="s">
        <v>10582</v>
      </c>
      <c r="C4914" s="7" t="s">
        <v>10583</v>
      </c>
      <c r="G4914" s="8" t="s">
        <v>15</v>
      </c>
    </row>
    <row r="4915" spans="1:7" hidden="1" x14ac:dyDescent="0.25">
      <c r="A4915" s="21">
        <v>4914</v>
      </c>
      <c r="B4915" s="7" t="s">
        <v>10584</v>
      </c>
      <c r="C4915" s="7" t="s">
        <v>10585</v>
      </c>
      <c r="G4915" s="8" t="s">
        <v>15</v>
      </c>
    </row>
    <row r="4916" spans="1:7" hidden="1" x14ac:dyDescent="0.25">
      <c r="A4916" s="21">
        <v>4915</v>
      </c>
      <c r="B4916" s="7" t="s">
        <v>10586</v>
      </c>
      <c r="C4916" s="7" t="s">
        <v>10587</v>
      </c>
      <c r="G4916" s="8" t="s">
        <v>15</v>
      </c>
    </row>
    <row r="4917" spans="1:7" hidden="1" x14ac:dyDescent="0.25">
      <c r="A4917" s="21">
        <v>4916</v>
      </c>
      <c r="B4917" s="7" t="s">
        <v>10588</v>
      </c>
      <c r="C4917" s="7" t="s">
        <v>10589</v>
      </c>
      <c r="G4917" s="8" t="s">
        <v>15</v>
      </c>
    </row>
    <row r="4918" spans="1:7" hidden="1" x14ac:dyDescent="0.25">
      <c r="A4918" s="21">
        <v>4917</v>
      </c>
      <c r="B4918" s="7" t="s">
        <v>10590</v>
      </c>
      <c r="C4918" s="7" t="s">
        <v>10591</v>
      </c>
      <c r="G4918" s="8" t="s">
        <v>15</v>
      </c>
    </row>
    <row r="4919" spans="1:7" hidden="1" x14ac:dyDescent="0.25">
      <c r="A4919" s="21">
        <v>4918</v>
      </c>
      <c r="B4919" s="7" t="s">
        <v>10592</v>
      </c>
      <c r="C4919" s="7" t="s">
        <v>10593</v>
      </c>
      <c r="G4919" s="8" t="s">
        <v>15</v>
      </c>
    </row>
    <row r="4920" spans="1:7" hidden="1" x14ac:dyDescent="0.25">
      <c r="A4920" s="21">
        <v>4919</v>
      </c>
      <c r="B4920" s="7" t="s">
        <v>10594</v>
      </c>
      <c r="C4920" s="7" t="s">
        <v>10595</v>
      </c>
      <c r="G4920" s="8" t="s">
        <v>15</v>
      </c>
    </row>
    <row r="4921" spans="1:7" hidden="1" x14ac:dyDescent="0.25">
      <c r="A4921" s="21">
        <v>4920</v>
      </c>
      <c r="B4921" s="7" t="s">
        <v>10596</v>
      </c>
      <c r="C4921" s="7" t="s">
        <v>10597</v>
      </c>
      <c r="G4921" s="8" t="s">
        <v>15</v>
      </c>
    </row>
    <row r="4922" spans="1:7" hidden="1" x14ac:dyDescent="0.25">
      <c r="A4922" s="21">
        <v>4921</v>
      </c>
      <c r="B4922" s="7" t="s">
        <v>10598</v>
      </c>
      <c r="C4922" s="7" t="s">
        <v>10599</v>
      </c>
      <c r="G4922" s="8" t="s">
        <v>15</v>
      </c>
    </row>
    <row r="4923" spans="1:7" hidden="1" x14ac:dyDescent="0.25">
      <c r="A4923" s="21">
        <v>4922</v>
      </c>
      <c r="B4923" s="7" t="s">
        <v>10600</v>
      </c>
      <c r="C4923" s="7" t="s">
        <v>10601</v>
      </c>
      <c r="G4923" s="8" t="s">
        <v>15</v>
      </c>
    </row>
    <row r="4924" spans="1:7" hidden="1" x14ac:dyDescent="0.25">
      <c r="A4924" s="21">
        <v>4923</v>
      </c>
      <c r="B4924" s="7" t="s">
        <v>10602</v>
      </c>
      <c r="C4924" s="7" t="s">
        <v>10603</v>
      </c>
      <c r="G4924" s="8" t="s">
        <v>15</v>
      </c>
    </row>
    <row r="4925" spans="1:7" hidden="1" x14ac:dyDescent="0.25">
      <c r="A4925" s="21">
        <v>4924</v>
      </c>
      <c r="B4925" s="7" t="s">
        <v>10604</v>
      </c>
      <c r="C4925" s="7" t="s">
        <v>10605</v>
      </c>
      <c r="G4925" s="8" t="s">
        <v>15</v>
      </c>
    </row>
    <row r="4926" spans="1:7" hidden="1" x14ac:dyDescent="0.25">
      <c r="A4926" s="21">
        <v>4925</v>
      </c>
      <c r="B4926" s="7" t="s">
        <v>10606</v>
      </c>
      <c r="C4926" s="7" t="s">
        <v>10607</v>
      </c>
      <c r="G4926" s="8" t="s">
        <v>15</v>
      </c>
    </row>
    <row r="4927" spans="1:7" hidden="1" x14ac:dyDescent="0.25">
      <c r="A4927" s="21">
        <v>4926</v>
      </c>
      <c r="B4927" s="7" t="s">
        <v>10608</v>
      </c>
      <c r="C4927" s="7" t="s">
        <v>10609</v>
      </c>
      <c r="G4927" s="8" t="s">
        <v>15</v>
      </c>
    </row>
    <row r="4928" spans="1:7" hidden="1" x14ac:dyDescent="0.25">
      <c r="A4928" s="21">
        <v>4927</v>
      </c>
      <c r="B4928" s="7" t="s">
        <v>10610</v>
      </c>
      <c r="C4928" s="7" t="s">
        <v>10611</v>
      </c>
      <c r="G4928" s="8" t="s">
        <v>15</v>
      </c>
    </row>
    <row r="4929" spans="1:7" hidden="1" x14ac:dyDescent="0.25">
      <c r="A4929" s="21">
        <v>4928</v>
      </c>
      <c r="B4929" s="7" t="s">
        <v>10612</v>
      </c>
      <c r="C4929" s="7" t="s">
        <v>10613</v>
      </c>
      <c r="G4929" s="8" t="s">
        <v>15</v>
      </c>
    </row>
    <row r="4930" spans="1:7" hidden="1" x14ac:dyDescent="0.25">
      <c r="A4930" s="21">
        <v>4929</v>
      </c>
      <c r="B4930" s="7" t="s">
        <v>10614</v>
      </c>
      <c r="C4930" s="7" t="s">
        <v>10615</v>
      </c>
      <c r="G4930" s="8" t="s">
        <v>15</v>
      </c>
    </row>
    <row r="4931" spans="1:7" hidden="1" x14ac:dyDescent="0.25">
      <c r="A4931" s="21">
        <v>4930</v>
      </c>
      <c r="B4931" s="7" t="s">
        <v>10616</v>
      </c>
      <c r="C4931" s="7" t="s">
        <v>10617</v>
      </c>
      <c r="G4931" s="8" t="s">
        <v>15</v>
      </c>
    </row>
    <row r="4932" spans="1:7" hidden="1" x14ac:dyDescent="0.25">
      <c r="A4932" s="21">
        <v>4931</v>
      </c>
      <c r="B4932" s="7" t="s">
        <v>10618</v>
      </c>
      <c r="C4932" s="7" t="s">
        <v>10619</v>
      </c>
      <c r="G4932" s="8" t="s">
        <v>15</v>
      </c>
    </row>
    <row r="4933" spans="1:7" hidden="1" x14ac:dyDescent="0.25">
      <c r="A4933" s="21">
        <v>4932</v>
      </c>
      <c r="B4933" s="7" t="s">
        <v>10620</v>
      </c>
      <c r="C4933" s="7" t="s">
        <v>10621</v>
      </c>
      <c r="G4933" s="8" t="s">
        <v>15</v>
      </c>
    </row>
    <row r="4934" spans="1:7" hidden="1" x14ac:dyDescent="0.25">
      <c r="A4934" s="21">
        <v>4933</v>
      </c>
      <c r="B4934" s="7" t="s">
        <v>10622</v>
      </c>
      <c r="C4934" s="7" t="s">
        <v>10623</v>
      </c>
      <c r="G4934" s="8" t="s">
        <v>15</v>
      </c>
    </row>
    <row r="4935" spans="1:7" hidden="1" x14ac:dyDescent="0.25">
      <c r="A4935" s="21">
        <v>4934</v>
      </c>
      <c r="B4935" s="7" t="s">
        <v>10624</v>
      </c>
      <c r="C4935" s="7" t="s">
        <v>10625</v>
      </c>
      <c r="G4935" s="8" t="s">
        <v>15</v>
      </c>
    </row>
    <row r="4936" spans="1:7" hidden="1" x14ac:dyDescent="0.25">
      <c r="A4936" s="21">
        <v>4935</v>
      </c>
      <c r="B4936" s="7" t="s">
        <v>10626</v>
      </c>
      <c r="C4936" s="7" t="s">
        <v>10627</v>
      </c>
      <c r="G4936" s="8" t="s">
        <v>15</v>
      </c>
    </row>
    <row r="4937" spans="1:7" hidden="1" x14ac:dyDescent="0.25">
      <c r="A4937" s="21">
        <v>4936</v>
      </c>
      <c r="B4937" s="7" t="s">
        <v>10628</v>
      </c>
      <c r="C4937" s="7" t="s">
        <v>10629</v>
      </c>
      <c r="G4937" s="8" t="s">
        <v>15</v>
      </c>
    </row>
    <row r="4938" spans="1:7" hidden="1" x14ac:dyDescent="0.25">
      <c r="A4938" s="21">
        <v>4937</v>
      </c>
      <c r="B4938" s="7" t="s">
        <v>10630</v>
      </c>
      <c r="C4938" s="7" t="s">
        <v>10631</v>
      </c>
      <c r="G4938" s="8" t="s">
        <v>15</v>
      </c>
    </row>
    <row r="4939" spans="1:7" hidden="1" x14ac:dyDescent="0.25">
      <c r="A4939" s="21">
        <v>4938</v>
      </c>
      <c r="B4939" s="7" t="s">
        <v>10632</v>
      </c>
      <c r="C4939" s="7" t="s">
        <v>10633</v>
      </c>
      <c r="G4939" s="8" t="s">
        <v>15</v>
      </c>
    </row>
    <row r="4940" spans="1:7" hidden="1" x14ac:dyDescent="0.25">
      <c r="A4940" s="21">
        <v>4939</v>
      </c>
      <c r="B4940" s="7" t="s">
        <v>10634</v>
      </c>
      <c r="C4940" s="7" t="s">
        <v>10635</v>
      </c>
      <c r="G4940" s="8" t="s">
        <v>15</v>
      </c>
    </row>
    <row r="4941" spans="1:7" hidden="1" x14ac:dyDescent="0.25">
      <c r="A4941" s="21">
        <v>4940</v>
      </c>
      <c r="B4941" s="7" t="s">
        <v>10636</v>
      </c>
      <c r="C4941" s="7" t="s">
        <v>10637</v>
      </c>
      <c r="G4941" s="8" t="s">
        <v>15</v>
      </c>
    </row>
    <row r="4942" spans="1:7" hidden="1" x14ac:dyDescent="0.25">
      <c r="A4942" s="21">
        <v>4941</v>
      </c>
      <c r="B4942" s="7" t="s">
        <v>10638</v>
      </c>
      <c r="C4942" s="7" t="s">
        <v>10639</v>
      </c>
      <c r="G4942" s="8" t="s">
        <v>15</v>
      </c>
    </row>
    <row r="4943" spans="1:7" hidden="1" x14ac:dyDescent="0.25">
      <c r="A4943" s="21">
        <v>4942</v>
      </c>
      <c r="B4943" s="7" t="s">
        <v>10640</v>
      </c>
      <c r="C4943" s="7" t="s">
        <v>10641</v>
      </c>
      <c r="G4943" s="8" t="s">
        <v>15</v>
      </c>
    </row>
    <row r="4944" spans="1:7" hidden="1" x14ac:dyDescent="0.25">
      <c r="A4944" s="21">
        <v>4943</v>
      </c>
      <c r="B4944" s="7" t="s">
        <v>10642</v>
      </c>
      <c r="C4944" s="7" t="s">
        <v>10643</v>
      </c>
      <c r="G4944" s="8" t="s">
        <v>15</v>
      </c>
    </row>
    <row r="4945" spans="1:7" hidden="1" x14ac:dyDescent="0.25">
      <c r="A4945" s="21">
        <v>4944</v>
      </c>
      <c r="B4945" s="7" t="s">
        <v>10644</v>
      </c>
      <c r="C4945" s="7" t="s">
        <v>10645</v>
      </c>
      <c r="G4945" s="8" t="s">
        <v>15</v>
      </c>
    </row>
    <row r="4946" spans="1:7" hidden="1" x14ac:dyDescent="0.25">
      <c r="A4946" s="21">
        <v>4945</v>
      </c>
      <c r="B4946" s="7" t="s">
        <v>10646</v>
      </c>
      <c r="C4946" s="7" t="s">
        <v>10647</v>
      </c>
      <c r="G4946" s="8" t="s">
        <v>15</v>
      </c>
    </row>
    <row r="4947" spans="1:7" hidden="1" x14ac:dyDescent="0.25">
      <c r="A4947" s="21">
        <v>4946</v>
      </c>
      <c r="B4947" s="7" t="s">
        <v>10648</v>
      </c>
      <c r="C4947" s="7" t="s">
        <v>10649</v>
      </c>
      <c r="G4947" s="8" t="s">
        <v>15</v>
      </c>
    </row>
    <row r="4948" spans="1:7" hidden="1" x14ac:dyDescent="0.25">
      <c r="A4948" s="21">
        <v>4947</v>
      </c>
      <c r="B4948" s="7" t="s">
        <v>10650</v>
      </c>
      <c r="C4948" s="7" t="s">
        <v>10651</v>
      </c>
      <c r="G4948" s="8" t="s">
        <v>15</v>
      </c>
    </row>
    <row r="4949" spans="1:7" hidden="1" x14ac:dyDescent="0.25">
      <c r="A4949" s="21">
        <v>4948</v>
      </c>
      <c r="B4949" s="7" t="s">
        <v>10652</v>
      </c>
      <c r="C4949" s="7" t="s">
        <v>10653</v>
      </c>
      <c r="G4949" s="8" t="s">
        <v>15</v>
      </c>
    </row>
    <row r="4950" spans="1:7" hidden="1" x14ac:dyDescent="0.25">
      <c r="A4950" s="21">
        <v>4949</v>
      </c>
      <c r="B4950" s="7" t="s">
        <v>10654</v>
      </c>
      <c r="C4950" s="7" t="s">
        <v>10655</v>
      </c>
      <c r="G4950" s="8" t="s">
        <v>15</v>
      </c>
    </row>
    <row r="4951" spans="1:7" hidden="1" x14ac:dyDescent="0.25">
      <c r="A4951" s="21">
        <v>4950</v>
      </c>
      <c r="B4951" s="7" t="s">
        <v>10656</v>
      </c>
      <c r="C4951" s="7" t="s">
        <v>10657</v>
      </c>
      <c r="G4951" s="8" t="s">
        <v>15</v>
      </c>
    </row>
    <row r="4952" spans="1:7" hidden="1" x14ac:dyDescent="0.25">
      <c r="A4952" s="21">
        <v>4951</v>
      </c>
      <c r="B4952" s="7" t="s">
        <v>10658</v>
      </c>
      <c r="C4952" s="7" t="s">
        <v>10659</v>
      </c>
      <c r="G4952" s="8" t="s">
        <v>15</v>
      </c>
    </row>
    <row r="4953" spans="1:7" hidden="1" x14ac:dyDescent="0.25">
      <c r="A4953" s="21">
        <v>4952</v>
      </c>
      <c r="B4953" s="7" t="s">
        <v>10660</v>
      </c>
      <c r="C4953" s="7" t="s">
        <v>10661</v>
      </c>
      <c r="G4953" s="8" t="s">
        <v>15</v>
      </c>
    </row>
    <row r="4954" spans="1:7" hidden="1" x14ac:dyDescent="0.25">
      <c r="A4954" s="21">
        <v>4953</v>
      </c>
      <c r="B4954" s="7" t="s">
        <v>10662</v>
      </c>
      <c r="C4954" s="7" t="s">
        <v>10663</v>
      </c>
      <c r="G4954" s="8" t="s">
        <v>15</v>
      </c>
    </row>
    <row r="4955" spans="1:7" hidden="1" x14ac:dyDescent="0.25">
      <c r="A4955" s="21">
        <v>4954</v>
      </c>
      <c r="B4955" s="7" t="s">
        <v>10664</v>
      </c>
      <c r="C4955" s="7" t="s">
        <v>10665</v>
      </c>
      <c r="G4955" s="8" t="s">
        <v>15</v>
      </c>
    </row>
    <row r="4956" spans="1:7" hidden="1" x14ac:dyDescent="0.25">
      <c r="A4956" s="21">
        <v>4955</v>
      </c>
      <c r="B4956" s="7" t="s">
        <v>10666</v>
      </c>
      <c r="C4956" s="7" t="s">
        <v>10667</v>
      </c>
      <c r="G4956" s="8" t="s">
        <v>15</v>
      </c>
    </row>
    <row r="4957" spans="1:7" hidden="1" x14ac:dyDescent="0.25">
      <c r="A4957" s="21">
        <v>4956</v>
      </c>
      <c r="B4957" s="7" t="s">
        <v>10668</v>
      </c>
      <c r="C4957" s="7" t="s">
        <v>10669</v>
      </c>
      <c r="G4957" s="8" t="s">
        <v>15</v>
      </c>
    </row>
    <row r="4958" spans="1:7" hidden="1" x14ac:dyDescent="0.25">
      <c r="A4958" s="21">
        <v>4957</v>
      </c>
      <c r="B4958" s="7" t="s">
        <v>10670</v>
      </c>
      <c r="C4958" s="7" t="s">
        <v>10671</v>
      </c>
      <c r="G4958" s="8" t="s">
        <v>15</v>
      </c>
    </row>
    <row r="4959" spans="1:7" hidden="1" x14ac:dyDescent="0.25">
      <c r="A4959" s="21">
        <v>4958</v>
      </c>
      <c r="B4959" s="7" t="s">
        <v>10672</v>
      </c>
      <c r="C4959" s="7" t="s">
        <v>10673</v>
      </c>
      <c r="G4959" s="8" t="s">
        <v>15</v>
      </c>
    </row>
    <row r="4960" spans="1:7" hidden="1" x14ac:dyDescent="0.25">
      <c r="A4960" s="21">
        <v>4959</v>
      </c>
      <c r="B4960" s="7" t="s">
        <v>10674</v>
      </c>
      <c r="C4960" s="7" t="s">
        <v>10675</v>
      </c>
      <c r="G4960" s="8" t="s">
        <v>15</v>
      </c>
    </row>
    <row r="4961" spans="1:7" hidden="1" x14ac:dyDescent="0.25">
      <c r="A4961" s="21">
        <v>4960</v>
      </c>
      <c r="B4961" s="7" t="s">
        <v>10676</v>
      </c>
      <c r="C4961" s="7" t="s">
        <v>10677</v>
      </c>
      <c r="G4961" s="8" t="s">
        <v>15</v>
      </c>
    </row>
    <row r="4962" spans="1:7" hidden="1" x14ac:dyDescent="0.25">
      <c r="A4962" s="21">
        <v>4961</v>
      </c>
      <c r="B4962" s="7" t="s">
        <v>10678</v>
      </c>
      <c r="C4962" s="7" t="s">
        <v>10679</v>
      </c>
      <c r="G4962" s="8" t="s">
        <v>15</v>
      </c>
    </row>
    <row r="4963" spans="1:7" hidden="1" x14ac:dyDescent="0.25">
      <c r="A4963" s="21">
        <v>4962</v>
      </c>
      <c r="B4963" s="7" t="s">
        <v>10680</v>
      </c>
      <c r="C4963" s="7" t="s">
        <v>10681</v>
      </c>
      <c r="G4963" s="8" t="s">
        <v>15</v>
      </c>
    </row>
    <row r="4964" spans="1:7" hidden="1" x14ac:dyDescent="0.25">
      <c r="A4964" s="21">
        <v>4963</v>
      </c>
      <c r="B4964" s="7" t="s">
        <v>10682</v>
      </c>
      <c r="C4964" s="7" t="s">
        <v>10683</v>
      </c>
      <c r="G4964" s="8" t="s">
        <v>15</v>
      </c>
    </row>
    <row r="4965" spans="1:7" hidden="1" x14ac:dyDescent="0.25">
      <c r="A4965" s="21">
        <v>4964</v>
      </c>
      <c r="B4965" s="7" t="s">
        <v>10684</v>
      </c>
      <c r="C4965" s="7" t="s">
        <v>10685</v>
      </c>
      <c r="G4965" s="8" t="s">
        <v>15</v>
      </c>
    </row>
    <row r="4966" spans="1:7" hidden="1" x14ac:dyDescent="0.25">
      <c r="A4966" s="21">
        <v>4965</v>
      </c>
      <c r="B4966" s="7" t="s">
        <v>10686</v>
      </c>
      <c r="C4966" s="7" t="s">
        <v>10687</v>
      </c>
      <c r="G4966" s="8" t="s">
        <v>15</v>
      </c>
    </row>
    <row r="4967" spans="1:7" hidden="1" x14ac:dyDescent="0.25">
      <c r="A4967" s="21">
        <v>4966</v>
      </c>
      <c r="B4967" s="7" t="s">
        <v>10688</v>
      </c>
      <c r="C4967" s="7" t="s">
        <v>10689</v>
      </c>
      <c r="G4967" s="8" t="s">
        <v>15</v>
      </c>
    </row>
    <row r="4968" spans="1:7" hidden="1" x14ac:dyDescent="0.25">
      <c r="A4968" s="21">
        <v>4967</v>
      </c>
      <c r="B4968" s="7" t="s">
        <v>10690</v>
      </c>
      <c r="C4968" s="7" t="s">
        <v>10691</v>
      </c>
      <c r="G4968" s="8" t="s">
        <v>15</v>
      </c>
    </row>
    <row r="4969" spans="1:7" hidden="1" x14ac:dyDescent="0.25">
      <c r="A4969" s="21">
        <v>4968</v>
      </c>
      <c r="B4969" s="7" t="s">
        <v>10692</v>
      </c>
      <c r="C4969" s="7" t="s">
        <v>10693</v>
      </c>
      <c r="G4969" s="8" t="s">
        <v>15</v>
      </c>
    </row>
    <row r="4970" spans="1:7" hidden="1" x14ac:dyDescent="0.25">
      <c r="A4970" s="21">
        <v>4969</v>
      </c>
      <c r="B4970" s="7" t="s">
        <v>10694</v>
      </c>
      <c r="C4970" s="7" t="s">
        <v>10695</v>
      </c>
      <c r="G4970" s="8" t="s">
        <v>15</v>
      </c>
    </row>
    <row r="4971" spans="1:7" hidden="1" x14ac:dyDescent="0.25">
      <c r="A4971" s="21">
        <v>4970</v>
      </c>
      <c r="B4971" s="7" t="s">
        <v>10696</v>
      </c>
      <c r="C4971" s="7" t="s">
        <v>10697</v>
      </c>
      <c r="G4971" s="8" t="s">
        <v>15</v>
      </c>
    </row>
    <row r="4972" spans="1:7" hidden="1" x14ac:dyDescent="0.25">
      <c r="A4972" s="21">
        <v>4971</v>
      </c>
      <c r="B4972" s="7" t="s">
        <v>10698</v>
      </c>
      <c r="C4972" s="7" t="s">
        <v>10699</v>
      </c>
      <c r="G4972" s="8" t="s">
        <v>15</v>
      </c>
    </row>
    <row r="4973" spans="1:7" hidden="1" x14ac:dyDescent="0.25">
      <c r="A4973" s="21">
        <v>4972</v>
      </c>
      <c r="B4973" s="7" t="s">
        <v>10700</v>
      </c>
      <c r="C4973" s="7" t="s">
        <v>10701</v>
      </c>
      <c r="G4973" s="8" t="s">
        <v>15</v>
      </c>
    </row>
    <row r="4974" spans="1:7" hidden="1" x14ac:dyDescent="0.25">
      <c r="A4974" s="21">
        <v>4973</v>
      </c>
      <c r="B4974" s="7" t="s">
        <v>10702</v>
      </c>
      <c r="C4974" s="7" t="s">
        <v>10703</v>
      </c>
      <c r="G4974" s="8" t="s">
        <v>15</v>
      </c>
    </row>
    <row r="4975" spans="1:7" hidden="1" x14ac:dyDescent="0.25">
      <c r="A4975" s="21">
        <v>4974</v>
      </c>
      <c r="B4975" s="7" t="s">
        <v>10704</v>
      </c>
      <c r="C4975" s="7" t="s">
        <v>10705</v>
      </c>
      <c r="G4975" s="8" t="s">
        <v>15</v>
      </c>
    </row>
    <row r="4976" spans="1:7" hidden="1" x14ac:dyDescent="0.25">
      <c r="A4976" s="21">
        <v>4975</v>
      </c>
      <c r="B4976" s="7" t="s">
        <v>10706</v>
      </c>
      <c r="C4976" s="7" t="s">
        <v>10707</v>
      </c>
      <c r="G4976" s="8" t="s">
        <v>15</v>
      </c>
    </row>
    <row r="4977" spans="1:7" hidden="1" x14ac:dyDescent="0.25">
      <c r="A4977" s="21">
        <v>4976</v>
      </c>
      <c r="B4977" s="7" t="s">
        <v>10708</v>
      </c>
      <c r="C4977" s="7" t="s">
        <v>10709</v>
      </c>
      <c r="G4977" s="8" t="s">
        <v>15</v>
      </c>
    </row>
    <row r="4978" spans="1:7" hidden="1" x14ac:dyDescent="0.25">
      <c r="A4978" s="21">
        <v>4977</v>
      </c>
      <c r="B4978" s="7" t="s">
        <v>10710</v>
      </c>
      <c r="C4978" s="7" t="s">
        <v>10711</v>
      </c>
      <c r="G4978" s="8" t="s">
        <v>15</v>
      </c>
    </row>
    <row r="4979" spans="1:7" hidden="1" x14ac:dyDescent="0.25">
      <c r="A4979" s="21">
        <v>4978</v>
      </c>
      <c r="B4979" s="7" t="s">
        <v>10712</v>
      </c>
      <c r="C4979" s="7" t="s">
        <v>10713</v>
      </c>
      <c r="G4979" s="8" t="s">
        <v>15</v>
      </c>
    </row>
    <row r="4980" spans="1:7" hidden="1" x14ac:dyDescent="0.25">
      <c r="A4980" s="21">
        <v>4979</v>
      </c>
      <c r="B4980" s="7" t="s">
        <v>10714</v>
      </c>
      <c r="C4980" s="7" t="s">
        <v>10715</v>
      </c>
      <c r="G4980" s="8" t="s">
        <v>15</v>
      </c>
    </row>
    <row r="4981" spans="1:7" hidden="1" x14ac:dyDescent="0.25">
      <c r="A4981" s="21">
        <v>4980</v>
      </c>
      <c r="B4981" s="7" t="s">
        <v>10716</v>
      </c>
      <c r="C4981" s="7" t="s">
        <v>10717</v>
      </c>
      <c r="G4981" s="8" t="s">
        <v>15</v>
      </c>
    </row>
    <row r="4982" spans="1:7" hidden="1" x14ac:dyDescent="0.25">
      <c r="A4982" s="21">
        <v>4981</v>
      </c>
      <c r="B4982" s="7" t="s">
        <v>10718</v>
      </c>
      <c r="C4982" s="7" t="s">
        <v>10719</v>
      </c>
      <c r="G4982" s="8" t="s">
        <v>15</v>
      </c>
    </row>
    <row r="4983" spans="1:7" hidden="1" x14ac:dyDescent="0.25">
      <c r="A4983" s="21">
        <v>4982</v>
      </c>
      <c r="B4983" s="7" t="s">
        <v>10720</v>
      </c>
      <c r="C4983" s="7" t="s">
        <v>10721</v>
      </c>
      <c r="G4983" s="8" t="s">
        <v>15</v>
      </c>
    </row>
    <row r="4984" spans="1:7" hidden="1" x14ac:dyDescent="0.25">
      <c r="A4984" s="21">
        <v>4983</v>
      </c>
      <c r="B4984" s="7" t="s">
        <v>10722</v>
      </c>
      <c r="C4984" s="7" t="s">
        <v>10723</v>
      </c>
      <c r="G4984" s="8" t="s">
        <v>15</v>
      </c>
    </row>
    <row r="4985" spans="1:7" hidden="1" x14ac:dyDescent="0.25">
      <c r="A4985" s="21">
        <v>4984</v>
      </c>
      <c r="B4985" s="7" t="s">
        <v>10724</v>
      </c>
      <c r="C4985" s="7" t="s">
        <v>10725</v>
      </c>
      <c r="G4985" s="8" t="s">
        <v>15</v>
      </c>
    </row>
    <row r="4986" spans="1:7" hidden="1" x14ac:dyDescent="0.25">
      <c r="A4986" s="21">
        <v>4985</v>
      </c>
      <c r="B4986" s="7" t="s">
        <v>10726</v>
      </c>
      <c r="C4986" s="7" t="s">
        <v>10727</v>
      </c>
      <c r="G4986" s="8" t="s">
        <v>15</v>
      </c>
    </row>
    <row r="4987" spans="1:7" hidden="1" x14ac:dyDescent="0.25">
      <c r="A4987" s="21">
        <v>4986</v>
      </c>
      <c r="B4987" s="7" t="s">
        <v>10728</v>
      </c>
      <c r="C4987" s="7" t="s">
        <v>10729</v>
      </c>
      <c r="G4987" s="8" t="s">
        <v>15</v>
      </c>
    </row>
    <row r="4988" spans="1:7" hidden="1" x14ac:dyDescent="0.25">
      <c r="A4988" s="21">
        <v>4987</v>
      </c>
      <c r="B4988" s="7" t="s">
        <v>10730</v>
      </c>
      <c r="C4988" s="7" t="s">
        <v>10731</v>
      </c>
      <c r="G4988" s="8" t="s">
        <v>15</v>
      </c>
    </row>
    <row r="4989" spans="1:7" hidden="1" x14ac:dyDescent="0.25">
      <c r="A4989" s="21">
        <v>4988</v>
      </c>
      <c r="B4989" s="7" t="s">
        <v>10732</v>
      </c>
      <c r="C4989" s="7" t="s">
        <v>10733</v>
      </c>
      <c r="G4989" s="8" t="s">
        <v>15</v>
      </c>
    </row>
    <row r="4990" spans="1:7" hidden="1" x14ac:dyDescent="0.25">
      <c r="A4990" s="21">
        <v>4989</v>
      </c>
      <c r="B4990" s="7" t="s">
        <v>10734</v>
      </c>
      <c r="C4990" s="7" t="s">
        <v>10735</v>
      </c>
      <c r="G4990" s="8" t="s">
        <v>15</v>
      </c>
    </row>
    <row r="4991" spans="1:7" hidden="1" x14ac:dyDescent="0.25">
      <c r="A4991" s="21">
        <v>4990</v>
      </c>
      <c r="B4991" s="7" t="s">
        <v>10736</v>
      </c>
      <c r="C4991" s="7" t="s">
        <v>10737</v>
      </c>
      <c r="G4991" s="8" t="s">
        <v>15</v>
      </c>
    </row>
    <row r="4992" spans="1:7" hidden="1" x14ac:dyDescent="0.25">
      <c r="A4992" s="21">
        <v>4991</v>
      </c>
      <c r="B4992" s="7" t="s">
        <v>10738</v>
      </c>
      <c r="C4992" s="7" t="s">
        <v>10739</v>
      </c>
      <c r="G4992" s="8" t="s">
        <v>15</v>
      </c>
    </row>
    <row r="4993" spans="1:7" hidden="1" x14ac:dyDescent="0.25">
      <c r="A4993" s="21">
        <v>4992</v>
      </c>
      <c r="B4993" s="7" t="s">
        <v>10740</v>
      </c>
      <c r="C4993" s="7" t="s">
        <v>10741</v>
      </c>
      <c r="G4993" s="8" t="s">
        <v>15</v>
      </c>
    </row>
    <row r="4994" spans="1:7" hidden="1" x14ac:dyDescent="0.25">
      <c r="A4994" s="21">
        <v>4993</v>
      </c>
      <c r="B4994" s="7" t="s">
        <v>10742</v>
      </c>
      <c r="C4994" s="7" t="s">
        <v>10743</v>
      </c>
      <c r="G4994" s="8" t="s">
        <v>15</v>
      </c>
    </row>
    <row r="4995" spans="1:7" hidden="1" x14ac:dyDescent="0.25">
      <c r="A4995" s="21">
        <v>4994</v>
      </c>
      <c r="B4995" s="7" t="s">
        <v>10744</v>
      </c>
      <c r="C4995" s="7" t="s">
        <v>10745</v>
      </c>
      <c r="G4995" s="8" t="s">
        <v>15</v>
      </c>
    </row>
    <row r="4996" spans="1:7" hidden="1" x14ac:dyDescent="0.25">
      <c r="A4996" s="21">
        <v>4995</v>
      </c>
      <c r="B4996" s="7" t="s">
        <v>10746</v>
      </c>
      <c r="C4996" s="7" t="s">
        <v>10747</v>
      </c>
      <c r="G4996" s="8" t="s">
        <v>15</v>
      </c>
    </row>
    <row r="4997" spans="1:7" hidden="1" x14ac:dyDescent="0.25">
      <c r="A4997" s="21">
        <v>4996</v>
      </c>
      <c r="B4997" s="7" t="s">
        <v>10748</v>
      </c>
      <c r="C4997" s="7" t="s">
        <v>10749</v>
      </c>
      <c r="G4997" s="8" t="s">
        <v>15</v>
      </c>
    </row>
    <row r="4998" spans="1:7" hidden="1" x14ac:dyDescent="0.25">
      <c r="A4998" s="21">
        <v>4997</v>
      </c>
      <c r="B4998" s="7" t="s">
        <v>10750</v>
      </c>
      <c r="C4998" s="7" t="s">
        <v>10751</v>
      </c>
      <c r="G4998" s="8" t="s">
        <v>15</v>
      </c>
    </row>
    <row r="4999" spans="1:7" hidden="1" x14ac:dyDescent="0.25">
      <c r="A4999" s="21">
        <v>4998</v>
      </c>
      <c r="B4999" s="7" t="s">
        <v>10752</v>
      </c>
      <c r="C4999" s="7" t="s">
        <v>10753</v>
      </c>
      <c r="G4999" s="8" t="s">
        <v>15</v>
      </c>
    </row>
    <row r="5000" spans="1:7" hidden="1" x14ac:dyDescent="0.25">
      <c r="A5000" s="21">
        <v>4999</v>
      </c>
      <c r="B5000" s="7" t="s">
        <v>10754</v>
      </c>
      <c r="C5000" s="7" t="s">
        <v>10755</v>
      </c>
      <c r="G5000" s="8" t="s">
        <v>15</v>
      </c>
    </row>
    <row r="5001" spans="1:7" hidden="1" x14ac:dyDescent="0.25">
      <c r="A5001" s="21">
        <v>5000</v>
      </c>
      <c r="B5001" s="7" t="s">
        <v>10756</v>
      </c>
      <c r="C5001" s="7" t="s">
        <v>10757</v>
      </c>
      <c r="G5001" s="8" t="s">
        <v>15</v>
      </c>
    </row>
    <row r="5002" spans="1:7" hidden="1" x14ac:dyDescent="0.25">
      <c r="A5002" s="21">
        <v>5001</v>
      </c>
      <c r="B5002" s="7" t="s">
        <v>10758</v>
      </c>
      <c r="C5002" s="7" t="s">
        <v>10759</v>
      </c>
      <c r="G5002" s="8" t="s">
        <v>15</v>
      </c>
    </row>
    <row r="5003" spans="1:7" hidden="1" x14ac:dyDescent="0.25">
      <c r="A5003" s="21">
        <v>5002</v>
      </c>
      <c r="B5003" s="7" t="s">
        <v>10760</v>
      </c>
      <c r="C5003" s="7" t="s">
        <v>10761</v>
      </c>
      <c r="G5003" s="8" t="s">
        <v>15</v>
      </c>
    </row>
    <row r="5004" spans="1:7" hidden="1" x14ac:dyDescent="0.25">
      <c r="A5004" s="21">
        <v>5003</v>
      </c>
      <c r="B5004" s="7" t="s">
        <v>10762</v>
      </c>
      <c r="C5004" s="7" t="s">
        <v>10763</v>
      </c>
      <c r="G5004" s="8" t="s">
        <v>15</v>
      </c>
    </row>
    <row r="5005" spans="1:7" hidden="1" x14ac:dyDescent="0.25">
      <c r="A5005" s="21">
        <v>5004</v>
      </c>
      <c r="B5005" s="7" t="s">
        <v>10764</v>
      </c>
      <c r="C5005" s="7" t="s">
        <v>10765</v>
      </c>
      <c r="G5005" s="8" t="s">
        <v>15</v>
      </c>
    </row>
    <row r="5006" spans="1:7" hidden="1" x14ac:dyDescent="0.25">
      <c r="A5006" s="21">
        <v>5005</v>
      </c>
      <c r="B5006" s="7" t="s">
        <v>10766</v>
      </c>
      <c r="C5006" s="7" t="s">
        <v>10767</v>
      </c>
      <c r="G5006" s="8" t="s">
        <v>15</v>
      </c>
    </row>
    <row r="5007" spans="1:7" hidden="1" x14ac:dyDescent="0.25">
      <c r="A5007" s="21">
        <v>5006</v>
      </c>
      <c r="B5007" s="7" t="s">
        <v>10768</v>
      </c>
      <c r="C5007" s="7" t="s">
        <v>10769</v>
      </c>
      <c r="G5007" s="8" t="s">
        <v>15</v>
      </c>
    </row>
    <row r="5008" spans="1:7" hidden="1" x14ac:dyDescent="0.25">
      <c r="A5008" s="21">
        <v>5007</v>
      </c>
      <c r="B5008" s="7" t="s">
        <v>10770</v>
      </c>
      <c r="C5008" s="7" t="s">
        <v>10771</v>
      </c>
      <c r="G5008" s="8" t="s">
        <v>15</v>
      </c>
    </row>
    <row r="5009" spans="1:7" hidden="1" x14ac:dyDescent="0.25">
      <c r="A5009" s="21">
        <v>5008</v>
      </c>
      <c r="B5009" s="7" t="s">
        <v>10772</v>
      </c>
      <c r="C5009" s="7" t="s">
        <v>10773</v>
      </c>
      <c r="G5009" s="8" t="s">
        <v>15</v>
      </c>
    </row>
    <row r="5010" spans="1:7" hidden="1" x14ac:dyDescent="0.25">
      <c r="A5010" s="21">
        <v>5009</v>
      </c>
      <c r="B5010" s="7" t="s">
        <v>10774</v>
      </c>
      <c r="C5010" s="7" t="s">
        <v>10775</v>
      </c>
      <c r="G5010" s="8" t="s">
        <v>15</v>
      </c>
    </row>
    <row r="5011" spans="1:7" hidden="1" x14ac:dyDescent="0.25">
      <c r="A5011" s="21">
        <v>5010</v>
      </c>
      <c r="B5011" s="7" t="s">
        <v>10776</v>
      </c>
      <c r="C5011" s="7" t="s">
        <v>10777</v>
      </c>
      <c r="G5011" s="8" t="s">
        <v>15</v>
      </c>
    </row>
    <row r="5012" spans="1:7" hidden="1" x14ac:dyDescent="0.25">
      <c r="A5012" s="21">
        <v>5011</v>
      </c>
      <c r="B5012" s="7" t="s">
        <v>10778</v>
      </c>
      <c r="C5012" s="7" t="s">
        <v>10779</v>
      </c>
      <c r="G5012" s="8" t="s">
        <v>15</v>
      </c>
    </row>
    <row r="5013" spans="1:7" hidden="1" x14ac:dyDescent="0.25">
      <c r="A5013" s="21">
        <v>5012</v>
      </c>
      <c r="B5013" s="7" t="s">
        <v>10780</v>
      </c>
      <c r="C5013" s="7" t="s">
        <v>10781</v>
      </c>
      <c r="G5013" s="8" t="s">
        <v>15</v>
      </c>
    </row>
    <row r="5014" spans="1:7" hidden="1" x14ac:dyDescent="0.25">
      <c r="A5014" s="21">
        <v>5013</v>
      </c>
      <c r="B5014" s="7" t="s">
        <v>10782</v>
      </c>
      <c r="C5014" s="7" t="s">
        <v>10783</v>
      </c>
      <c r="G5014" s="8" t="s">
        <v>15</v>
      </c>
    </row>
    <row r="5015" spans="1:7" hidden="1" x14ac:dyDescent="0.25">
      <c r="A5015" s="21">
        <v>5014</v>
      </c>
      <c r="B5015" s="7" t="s">
        <v>10784</v>
      </c>
      <c r="C5015" s="7" t="s">
        <v>10785</v>
      </c>
      <c r="G5015" s="8" t="s">
        <v>15</v>
      </c>
    </row>
    <row r="5016" spans="1:7" hidden="1" x14ac:dyDescent="0.25">
      <c r="A5016" s="21">
        <v>5015</v>
      </c>
      <c r="B5016" s="7" t="s">
        <v>10786</v>
      </c>
      <c r="C5016" s="7" t="s">
        <v>10787</v>
      </c>
      <c r="G5016" s="8" t="s">
        <v>15</v>
      </c>
    </row>
    <row r="5017" spans="1:7" hidden="1" x14ac:dyDescent="0.25">
      <c r="A5017" s="21">
        <v>5016</v>
      </c>
      <c r="B5017" s="7" t="s">
        <v>10788</v>
      </c>
      <c r="C5017" s="7" t="s">
        <v>10789</v>
      </c>
      <c r="G5017" s="8" t="s">
        <v>15</v>
      </c>
    </row>
    <row r="5018" spans="1:7" hidden="1" x14ac:dyDescent="0.25">
      <c r="A5018" s="21">
        <v>5017</v>
      </c>
      <c r="B5018" s="7" t="s">
        <v>10790</v>
      </c>
      <c r="C5018" s="7" t="s">
        <v>10791</v>
      </c>
      <c r="G5018" s="8" t="s">
        <v>15</v>
      </c>
    </row>
    <row r="5019" spans="1:7" hidden="1" x14ac:dyDescent="0.25">
      <c r="A5019" s="21">
        <v>5018</v>
      </c>
      <c r="B5019" s="7" t="s">
        <v>10792</v>
      </c>
      <c r="C5019" s="7" t="s">
        <v>10793</v>
      </c>
      <c r="G5019" s="8" t="s">
        <v>15</v>
      </c>
    </row>
    <row r="5020" spans="1:7" hidden="1" x14ac:dyDescent="0.25">
      <c r="A5020" s="21">
        <v>5019</v>
      </c>
      <c r="B5020" s="7" t="s">
        <v>10794</v>
      </c>
      <c r="C5020" s="7" t="s">
        <v>10795</v>
      </c>
      <c r="G5020" s="8" t="s">
        <v>15</v>
      </c>
    </row>
    <row r="5021" spans="1:7" hidden="1" x14ac:dyDescent="0.25">
      <c r="A5021" s="21">
        <v>5020</v>
      </c>
      <c r="B5021" s="7" t="s">
        <v>10796</v>
      </c>
      <c r="C5021" s="7" t="s">
        <v>10797</v>
      </c>
      <c r="G5021" s="8" t="s">
        <v>15</v>
      </c>
    </row>
    <row r="5022" spans="1:7" hidden="1" x14ac:dyDescent="0.25">
      <c r="A5022" s="21">
        <v>5021</v>
      </c>
      <c r="B5022" s="7" t="s">
        <v>10798</v>
      </c>
      <c r="C5022" s="7" t="s">
        <v>10799</v>
      </c>
      <c r="G5022" s="8" t="s">
        <v>15</v>
      </c>
    </row>
    <row r="5023" spans="1:7" hidden="1" x14ac:dyDescent="0.25">
      <c r="A5023" s="21">
        <v>5022</v>
      </c>
      <c r="B5023" s="7" t="s">
        <v>10800</v>
      </c>
      <c r="C5023" s="7" t="s">
        <v>10801</v>
      </c>
      <c r="G5023" s="8" t="s">
        <v>15</v>
      </c>
    </row>
    <row r="5024" spans="1:7" hidden="1" x14ac:dyDescent="0.25">
      <c r="A5024" s="21">
        <v>5023</v>
      </c>
      <c r="B5024" s="7" t="s">
        <v>10802</v>
      </c>
      <c r="C5024" s="7" t="s">
        <v>10803</v>
      </c>
      <c r="G5024" s="8" t="s">
        <v>15</v>
      </c>
    </row>
    <row r="5025" spans="1:7" hidden="1" x14ac:dyDescent="0.25">
      <c r="A5025" s="21">
        <v>5024</v>
      </c>
      <c r="B5025" s="7" t="s">
        <v>10804</v>
      </c>
      <c r="C5025" s="7" t="s">
        <v>10805</v>
      </c>
      <c r="G5025" s="8" t="s">
        <v>15</v>
      </c>
    </row>
    <row r="5026" spans="1:7" hidden="1" x14ac:dyDescent="0.25">
      <c r="A5026" s="21">
        <v>5025</v>
      </c>
      <c r="B5026" s="7" t="s">
        <v>10806</v>
      </c>
      <c r="C5026" s="7" t="s">
        <v>10807</v>
      </c>
      <c r="G5026" s="8" t="s">
        <v>15</v>
      </c>
    </row>
    <row r="5027" spans="1:7" hidden="1" x14ac:dyDescent="0.25">
      <c r="A5027" s="21">
        <v>5026</v>
      </c>
      <c r="B5027" s="7" t="s">
        <v>10808</v>
      </c>
      <c r="C5027" s="7" t="s">
        <v>10809</v>
      </c>
      <c r="G5027" s="8" t="s">
        <v>15</v>
      </c>
    </row>
    <row r="5028" spans="1:7" hidden="1" x14ac:dyDescent="0.25">
      <c r="A5028" s="21">
        <v>5027</v>
      </c>
      <c r="B5028" s="7" t="s">
        <v>10810</v>
      </c>
      <c r="C5028" s="7" t="s">
        <v>10811</v>
      </c>
      <c r="G5028" s="8" t="s">
        <v>15</v>
      </c>
    </row>
    <row r="5029" spans="1:7" hidden="1" x14ac:dyDescent="0.25">
      <c r="A5029" s="21">
        <v>5028</v>
      </c>
      <c r="B5029" s="7" t="s">
        <v>10812</v>
      </c>
      <c r="C5029" s="7" t="s">
        <v>10813</v>
      </c>
      <c r="G5029" s="8" t="s">
        <v>15</v>
      </c>
    </row>
    <row r="5030" spans="1:7" hidden="1" x14ac:dyDescent="0.25">
      <c r="A5030" s="21">
        <v>5029</v>
      </c>
      <c r="B5030" s="7" t="s">
        <v>10814</v>
      </c>
      <c r="C5030" s="7" t="s">
        <v>10815</v>
      </c>
      <c r="G5030" s="8" t="s">
        <v>15</v>
      </c>
    </row>
    <row r="5031" spans="1:7" hidden="1" x14ac:dyDescent="0.25">
      <c r="A5031" s="21">
        <v>5030</v>
      </c>
      <c r="B5031" s="7" t="s">
        <v>10816</v>
      </c>
      <c r="C5031" s="7" t="s">
        <v>10817</v>
      </c>
      <c r="G5031" s="8" t="s">
        <v>15</v>
      </c>
    </row>
    <row r="5032" spans="1:7" hidden="1" x14ac:dyDescent="0.25">
      <c r="A5032" s="21">
        <v>5031</v>
      </c>
      <c r="B5032" s="7" t="s">
        <v>10818</v>
      </c>
      <c r="C5032" s="7" t="s">
        <v>10819</v>
      </c>
      <c r="G5032" s="8" t="s">
        <v>15</v>
      </c>
    </row>
    <row r="5033" spans="1:7" hidden="1" x14ac:dyDescent="0.25">
      <c r="A5033" s="21">
        <v>5032</v>
      </c>
      <c r="B5033" s="7" t="s">
        <v>10820</v>
      </c>
      <c r="C5033" s="7" t="s">
        <v>10821</v>
      </c>
      <c r="G5033" s="8" t="s">
        <v>15</v>
      </c>
    </row>
    <row r="5034" spans="1:7" hidden="1" x14ac:dyDescent="0.25">
      <c r="A5034" s="21">
        <v>5033</v>
      </c>
      <c r="B5034" s="7" t="s">
        <v>10822</v>
      </c>
      <c r="C5034" s="7" t="s">
        <v>10823</v>
      </c>
      <c r="G5034" s="8" t="s">
        <v>15</v>
      </c>
    </row>
    <row r="5035" spans="1:7" hidden="1" x14ac:dyDescent="0.25">
      <c r="A5035" s="21">
        <v>5034</v>
      </c>
      <c r="B5035" s="7" t="s">
        <v>10824</v>
      </c>
      <c r="C5035" s="7" t="s">
        <v>10825</v>
      </c>
      <c r="G5035" s="8" t="s">
        <v>15</v>
      </c>
    </row>
    <row r="5036" spans="1:7" hidden="1" x14ac:dyDescent="0.25">
      <c r="A5036" s="21">
        <v>5035</v>
      </c>
      <c r="B5036" s="7" t="s">
        <v>10826</v>
      </c>
      <c r="C5036" s="7" t="s">
        <v>10827</v>
      </c>
      <c r="G5036" s="8" t="s">
        <v>15</v>
      </c>
    </row>
    <row r="5037" spans="1:7" hidden="1" x14ac:dyDescent="0.25">
      <c r="A5037" s="21">
        <v>5036</v>
      </c>
      <c r="B5037" s="7" t="s">
        <v>10828</v>
      </c>
      <c r="C5037" s="7" t="s">
        <v>10829</v>
      </c>
      <c r="G5037" s="8" t="s">
        <v>15</v>
      </c>
    </row>
    <row r="5038" spans="1:7" hidden="1" x14ac:dyDescent="0.25">
      <c r="A5038" s="21">
        <v>5037</v>
      </c>
      <c r="B5038" s="7" t="s">
        <v>10830</v>
      </c>
      <c r="C5038" s="7" t="s">
        <v>10831</v>
      </c>
      <c r="G5038" s="8" t="s">
        <v>15</v>
      </c>
    </row>
    <row r="5039" spans="1:7" hidden="1" x14ac:dyDescent="0.25">
      <c r="A5039" s="21">
        <v>5038</v>
      </c>
      <c r="B5039" s="7" t="s">
        <v>10832</v>
      </c>
      <c r="C5039" s="7" t="s">
        <v>10833</v>
      </c>
      <c r="G5039" s="8" t="s">
        <v>15</v>
      </c>
    </row>
    <row r="5040" spans="1:7" hidden="1" x14ac:dyDescent="0.25">
      <c r="A5040" s="21">
        <v>5039</v>
      </c>
      <c r="B5040" s="7" t="s">
        <v>10834</v>
      </c>
      <c r="C5040" s="7" t="s">
        <v>10835</v>
      </c>
      <c r="G5040" s="8" t="s">
        <v>15</v>
      </c>
    </row>
    <row r="5041" spans="1:7" hidden="1" x14ac:dyDescent="0.25">
      <c r="A5041" s="21">
        <v>5040</v>
      </c>
      <c r="B5041" s="7" t="s">
        <v>10836</v>
      </c>
      <c r="C5041" s="7" t="s">
        <v>10837</v>
      </c>
      <c r="G5041" s="8" t="s">
        <v>15</v>
      </c>
    </row>
    <row r="5042" spans="1:7" hidden="1" x14ac:dyDescent="0.25">
      <c r="A5042" s="21">
        <v>5041</v>
      </c>
      <c r="B5042" s="7" t="s">
        <v>10838</v>
      </c>
      <c r="C5042" s="7" t="s">
        <v>10839</v>
      </c>
      <c r="G5042" s="8" t="s">
        <v>15</v>
      </c>
    </row>
    <row r="5043" spans="1:7" hidden="1" x14ac:dyDescent="0.25">
      <c r="A5043" s="21">
        <v>5042</v>
      </c>
      <c r="B5043" s="7" t="s">
        <v>10840</v>
      </c>
      <c r="C5043" s="7" t="s">
        <v>10841</v>
      </c>
      <c r="G5043" s="8" t="s">
        <v>15</v>
      </c>
    </row>
    <row r="5044" spans="1:7" hidden="1" x14ac:dyDescent="0.25">
      <c r="A5044" s="21">
        <v>5043</v>
      </c>
      <c r="B5044" s="7" t="s">
        <v>10842</v>
      </c>
      <c r="C5044" s="7" t="s">
        <v>10843</v>
      </c>
      <c r="G5044" s="8" t="s">
        <v>15</v>
      </c>
    </row>
    <row r="5045" spans="1:7" hidden="1" x14ac:dyDescent="0.25">
      <c r="A5045" s="21">
        <v>5044</v>
      </c>
      <c r="B5045" s="7" t="s">
        <v>10844</v>
      </c>
      <c r="C5045" s="7" t="s">
        <v>10845</v>
      </c>
      <c r="G5045" s="8" t="s">
        <v>15</v>
      </c>
    </row>
    <row r="5046" spans="1:7" hidden="1" x14ac:dyDescent="0.25">
      <c r="A5046" s="21">
        <v>5045</v>
      </c>
      <c r="B5046" s="7" t="s">
        <v>10846</v>
      </c>
      <c r="C5046" s="7" t="s">
        <v>10847</v>
      </c>
      <c r="G5046" s="8" t="s">
        <v>15</v>
      </c>
    </row>
    <row r="5047" spans="1:7" hidden="1" x14ac:dyDescent="0.25">
      <c r="A5047" s="21">
        <v>5046</v>
      </c>
      <c r="B5047" s="7" t="s">
        <v>10848</v>
      </c>
      <c r="C5047" s="7" t="s">
        <v>10849</v>
      </c>
      <c r="G5047" s="8" t="s">
        <v>15</v>
      </c>
    </row>
    <row r="5048" spans="1:7" hidden="1" x14ac:dyDescent="0.25">
      <c r="A5048" s="21">
        <v>5047</v>
      </c>
      <c r="B5048" s="7" t="s">
        <v>10850</v>
      </c>
      <c r="C5048" s="7" t="s">
        <v>10851</v>
      </c>
      <c r="G5048" s="8" t="s">
        <v>15</v>
      </c>
    </row>
    <row r="5049" spans="1:7" hidden="1" x14ac:dyDescent="0.25">
      <c r="A5049" s="21">
        <v>5048</v>
      </c>
      <c r="B5049" s="7" t="s">
        <v>10852</v>
      </c>
      <c r="C5049" s="7" t="s">
        <v>10853</v>
      </c>
      <c r="G5049" s="8" t="s">
        <v>15</v>
      </c>
    </row>
    <row r="5050" spans="1:7" hidden="1" x14ac:dyDescent="0.25">
      <c r="A5050" s="21">
        <v>5049</v>
      </c>
      <c r="B5050" s="7" t="s">
        <v>10854</v>
      </c>
      <c r="C5050" s="7" t="s">
        <v>10855</v>
      </c>
      <c r="G5050" s="8" t="s">
        <v>15</v>
      </c>
    </row>
    <row r="5051" spans="1:7" hidden="1" x14ac:dyDescent="0.25">
      <c r="A5051" s="21">
        <v>5050</v>
      </c>
      <c r="B5051" s="7" t="s">
        <v>10856</v>
      </c>
      <c r="C5051" s="7" t="s">
        <v>10857</v>
      </c>
      <c r="G5051" s="8" t="s">
        <v>15</v>
      </c>
    </row>
    <row r="5052" spans="1:7" hidden="1" x14ac:dyDescent="0.25">
      <c r="A5052" s="21">
        <v>5051</v>
      </c>
      <c r="B5052" s="7" t="s">
        <v>10858</v>
      </c>
      <c r="C5052" s="7" t="s">
        <v>10859</v>
      </c>
      <c r="G5052" s="8" t="s">
        <v>15</v>
      </c>
    </row>
    <row r="5053" spans="1:7" hidden="1" x14ac:dyDescent="0.25">
      <c r="A5053" s="21">
        <v>5052</v>
      </c>
      <c r="B5053" s="7" t="s">
        <v>10860</v>
      </c>
      <c r="C5053" s="7" t="s">
        <v>10861</v>
      </c>
      <c r="G5053" s="8" t="s">
        <v>15</v>
      </c>
    </row>
    <row r="5054" spans="1:7" hidden="1" x14ac:dyDescent="0.25">
      <c r="A5054" s="21">
        <v>5053</v>
      </c>
      <c r="B5054" s="7" t="s">
        <v>10862</v>
      </c>
      <c r="C5054" s="7" t="s">
        <v>10863</v>
      </c>
      <c r="G5054" s="8" t="s">
        <v>15</v>
      </c>
    </row>
    <row r="5055" spans="1:7" hidden="1" x14ac:dyDescent="0.25">
      <c r="A5055" s="21">
        <v>5054</v>
      </c>
      <c r="B5055" s="7" t="s">
        <v>10864</v>
      </c>
      <c r="C5055" s="7" t="s">
        <v>10865</v>
      </c>
      <c r="G5055" s="8" t="s">
        <v>15</v>
      </c>
    </row>
    <row r="5056" spans="1:7" hidden="1" x14ac:dyDescent="0.25">
      <c r="A5056" s="21">
        <v>5055</v>
      </c>
      <c r="B5056" s="7" t="s">
        <v>10866</v>
      </c>
      <c r="C5056" s="7" t="s">
        <v>10867</v>
      </c>
      <c r="G5056" s="8" t="s">
        <v>15</v>
      </c>
    </row>
    <row r="5057" spans="1:7" hidden="1" x14ac:dyDescent="0.25">
      <c r="A5057" s="21">
        <v>5056</v>
      </c>
      <c r="B5057" s="7" t="s">
        <v>10868</v>
      </c>
      <c r="C5057" s="7" t="s">
        <v>10869</v>
      </c>
      <c r="G5057" s="8" t="s">
        <v>15</v>
      </c>
    </row>
    <row r="5058" spans="1:7" hidden="1" x14ac:dyDescent="0.25">
      <c r="A5058" s="21">
        <v>5057</v>
      </c>
      <c r="B5058" s="7" t="s">
        <v>10870</v>
      </c>
      <c r="C5058" s="7" t="s">
        <v>10871</v>
      </c>
      <c r="G5058" s="8" t="s">
        <v>15</v>
      </c>
    </row>
    <row r="5059" spans="1:7" hidden="1" x14ac:dyDescent="0.25">
      <c r="A5059" s="21">
        <v>5058</v>
      </c>
      <c r="B5059" s="7" t="s">
        <v>10872</v>
      </c>
      <c r="C5059" s="7" t="s">
        <v>10873</v>
      </c>
      <c r="G5059" s="8" t="s">
        <v>15</v>
      </c>
    </row>
    <row r="5060" spans="1:7" hidden="1" x14ac:dyDescent="0.25">
      <c r="A5060" s="21">
        <v>5059</v>
      </c>
      <c r="B5060" s="7" t="s">
        <v>10874</v>
      </c>
      <c r="C5060" s="7" t="s">
        <v>10875</v>
      </c>
      <c r="G5060" s="8" t="s">
        <v>15</v>
      </c>
    </row>
    <row r="5061" spans="1:7" hidden="1" x14ac:dyDescent="0.25">
      <c r="A5061" s="21">
        <v>5060</v>
      </c>
      <c r="B5061" s="7" t="s">
        <v>10876</v>
      </c>
      <c r="C5061" s="7" t="s">
        <v>10877</v>
      </c>
      <c r="G5061" s="8" t="s">
        <v>15</v>
      </c>
    </row>
    <row r="5062" spans="1:7" hidden="1" x14ac:dyDescent="0.25">
      <c r="A5062" s="21">
        <v>5061</v>
      </c>
      <c r="B5062" s="7" t="s">
        <v>10878</v>
      </c>
      <c r="C5062" s="7" t="s">
        <v>10879</v>
      </c>
      <c r="G5062" s="8" t="s">
        <v>15</v>
      </c>
    </row>
    <row r="5063" spans="1:7" hidden="1" x14ac:dyDescent="0.25">
      <c r="A5063" s="21">
        <v>5062</v>
      </c>
      <c r="B5063" s="7" t="s">
        <v>10880</v>
      </c>
      <c r="C5063" s="7" t="s">
        <v>10881</v>
      </c>
      <c r="G5063" s="8" t="s">
        <v>15</v>
      </c>
    </row>
    <row r="5064" spans="1:7" hidden="1" x14ac:dyDescent="0.25">
      <c r="A5064" s="21">
        <v>5063</v>
      </c>
      <c r="B5064" s="7" t="s">
        <v>10882</v>
      </c>
      <c r="C5064" s="7" t="s">
        <v>10883</v>
      </c>
      <c r="G5064" s="8" t="s">
        <v>15</v>
      </c>
    </row>
    <row r="5065" spans="1:7" hidden="1" x14ac:dyDescent="0.25">
      <c r="A5065" s="21">
        <v>5064</v>
      </c>
      <c r="B5065" s="7" t="s">
        <v>10884</v>
      </c>
      <c r="C5065" s="7" t="s">
        <v>10885</v>
      </c>
      <c r="G5065" s="8" t="s">
        <v>15</v>
      </c>
    </row>
    <row r="5066" spans="1:7" hidden="1" x14ac:dyDescent="0.25">
      <c r="A5066" s="21">
        <v>5065</v>
      </c>
      <c r="B5066" s="7" t="s">
        <v>10886</v>
      </c>
      <c r="C5066" s="7" t="s">
        <v>10887</v>
      </c>
      <c r="G5066" s="8" t="s">
        <v>15</v>
      </c>
    </row>
    <row r="5067" spans="1:7" hidden="1" x14ac:dyDescent="0.25">
      <c r="A5067" s="21">
        <v>5066</v>
      </c>
      <c r="B5067" s="7" t="s">
        <v>10888</v>
      </c>
      <c r="C5067" s="7" t="s">
        <v>10889</v>
      </c>
      <c r="G5067" s="8" t="s">
        <v>15</v>
      </c>
    </row>
    <row r="5068" spans="1:7" hidden="1" x14ac:dyDescent="0.25">
      <c r="A5068" s="21">
        <v>5067</v>
      </c>
      <c r="B5068" s="7" t="s">
        <v>10890</v>
      </c>
      <c r="C5068" s="7" t="s">
        <v>10891</v>
      </c>
      <c r="G5068" s="8" t="s">
        <v>15</v>
      </c>
    </row>
    <row r="5069" spans="1:7" hidden="1" x14ac:dyDescent="0.25">
      <c r="A5069" s="21">
        <v>5068</v>
      </c>
      <c r="B5069" s="7" t="s">
        <v>10892</v>
      </c>
      <c r="C5069" s="7" t="s">
        <v>10893</v>
      </c>
      <c r="G5069" s="8" t="s">
        <v>15</v>
      </c>
    </row>
    <row r="5070" spans="1:7" hidden="1" x14ac:dyDescent="0.25">
      <c r="A5070" s="21">
        <v>5069</v>
      </c>
      <c r="B5070" s="7" t="s">
        <v>10894</v>
      </c>
      <c r="C5070" s="7" t="s">
        <v>10895</v>
      </c>
      <c r="G5070" s="8" t="s">
        <v>15</v>
      </c>
    </row>
    <row r="5071" spans="1:7" hidden="1" x14ac:dyDescent="0.25">
      <c r="A5071" s="21">
        <v>5070</v>
      </c>
      <c r="B5071" s="7" t="s">
        <v>10896</v>
      </c>
      <c r="C5071" s="7" t="s">
        <v>10897</v>
      </c>
      <c r="G5071" s="8" t="s">
        <v>15</v>
      </c>
    </row>
    <row r="5072" spans="1:7" hidden="1" x14ac:dyDescent="0.25">
      <c r="A5072" s="21">
        <v>5071</v>
      </c>
      <c r="B5072" s="7" t="s">
        <v>10898</v>
      </c>
      <c r="C5072" s="7" t="s">
        <v>10899</v>
      </c>
      <c r="G5072" s="8" t="s">
        <v>15</v>
      </c>
    </row>
    <row r="5073" spans="1:7" hidden="1" x14ac:dyDescent="0.25">
      <c r="A5073" s="21">
        <v>5072</v>
      </c>
      <c r="B5073" s="7" t="s">
        <v>10900</v>
      </c>
      <c r="C5073" s="7" t="s">
        <v>10901</v>
      </c>
      <c r="G5073" s="8" t="s">
        <v>15</v>
      </c>
    </row>
    <row r="5074" spans="1:7" hidden="1" x14ac:dyDescent="0.25">
      <c r="A5074" s="21">
        <v>5073</v>
      </c>
      <c r="B5074" s="7" t="s">
        <v>10902</v>
      </c>
      <c r="C5074" s="7" t="s">
        <v>10903</v>
      </c>
      <c r="G5074" s="8" t="s">
        <v>15</v>
      </c>
    </row>
    <row r="5075" spans="1:7" hidden="1" x14ac:dyDescent="0.25">
      <c r="A5075" s="21">
        <v>5074</v>
      </c>
      <c r="B5075" s="7" t="s">
        <v>10904</v>
      </c>
      <c r="C5075" s="7" t="s">
        <v>10905</v>
      </c>
      <c r="G5075" s="8" t="s">
        <v>15</v>
      </c>
    </row>
    <row r="5076" spans="1:7" hidden="1" x14ac:dyDescent="0.25">
      <c r="A5076" s="21">
        <v>5075</v>
      </c>
      <c r="B5076" s="7" t="s">
        <v>10906</v>
      </c>
      <c r="C5076" s="7" t="s">
        <v>10907</v>
      </c>
      <c r="G5076" s="8" t="s">
        <v>15</v>
      </c>
    </row>
    <row r="5077" spans="1:7" hidden="1" x14ac:dyDescent="0.25">
      <c r="A5077" s="21">
        <v>5076</v>
      </c>
      <c r="B5077" s="7" t="s">
        <v>10908</v>
      </c>
      <c r="C5077" s="7" t="s">
        <v>10909</v>
      </c>
      <c r="G5077" s="8" t="s">
        <v>15</v>
      </c>
    </row>
    <row r="5078" spans="1:7" hidden="1" x14ac:dyDescent="0.25">
      <c r="A5078" s="21">
        <v>5077</v>
      </c>
      <c r="B5078" s="7" t="s">
        <v>10910</v>
      </c>
      <c r="C5078" s="7" t="s">
        <v>10911</v>
      </c>
      <c r="G5078" s="8" t="s">
        <v>15</v>
      </c>
    </row>
    <row r="5079" spans="1:7" hidden="1" x14ac:dyDescent="0.25">
      <c r="A5079" s="21">
        <v>5078</v>
      </c>
      <c r="B5079" s="7" t="s">
        <v>10912</v>
      </c>
      <c r="C5079" s="7" t="s">
        <v>10913</v>
      </c>
      <c r="G5079" s="8" t="s">
        <v>15</v>
      </c>
    </row>
    <row r="5080" spans="1:7" hidden="1" x14ac:dyDescent="0.25">
      <c r="A5080" s="21">
        <v>5079</v>
      </c>
      <c r="B5080" s="7" t="s">
        <v>10914</v>
      </c>
      <c r="C5080" s="7" t="s">
        <v>10915</v>
      </c>
      <c r="G5080" s="8" t="s">
        <v>15</v>
      </c>
    </row>
    <row r="5081" spans="1:7" hidden="1" x14ac:dyDescent="0.25">
      <c r="A5081" s="21">
        <v>5080</v>
      </c>
      <c r="B5081" s="7" t="s">
        <v>10916</v>
      </c>
      <c r="C5081" s="7" t="s">
        <v>10917</v>
      </c>
      <c r="G5081" s="8" t="s">
        <v>15</v>
      </c>
    </row>
    <row r="5082" spans="1:7" hidden="1" x14ac:dyDescent="0.25">
      <c r="A5082" s="21">
        <v>5081</v>
      </c>
      <c r="B5082" s="7" t="s">
        <v>10918</v>
      </c>
      <c r="C5082" s="7" t="s">
        <v>10919</v>
      </c>
      <c r="G5082" s="8" t="s">
        <v>15</v>
      </c>
    </row>
    <row r="5083" spans="1:7" hidden="1" x14ac:dyDescent="0.25">
      <c r="A5083" s="21">
        <v>5082</v>
      </c>
      <c r="B5083" s="7" t="s">
        <v>10920</v>
      </c>
      <c r="C5083" s="7" t="s">
        <v>10921</v>
      </c>
      <c r="G5083" s="8" t="s">
        <v>15</v>
      </c>
    </row>
    <row r="5084" spans="1:7" hidden="1" x14ac:dyDescent="0.25">
      <c r="A5084" s="21">
        <v>5083</v>
      </c>
      <c r="B5084" s="7" t="s">
        <v>10922</v>
      </c>
      <c r="C5084" s="7" t="s">
        <v>10923</v>
      </c>
      <c r="G5084" s="8" t="s">
        <v>15</v>
      </c>
    </row>
    <row r="5085" spans="1:7" hidden="1" x14ac:dyDescent="0.25">
      <c r="A5085" s="21">
        <v>5084</v>
      </c>
      <c r="B5085" s="7" t="s">
        <v>10924</v>
      </c>
      <c r="C5085" s="7" t="s">
        <v>10925</v>
      </c>
      <c r="G5085" s="8" t="s">
        <v>15</v>
      </c>
    </row>
    <row r="5086" spans="1:7" hidden="1" x14ac:dyDescent="0.25">
      <c r="A5086" s="21">
        <v>5085</v>
      </c>
      <c r="B5086" s="7" t="s">
        <v>10926</v>
      </c>
      <c r="C5086" s="7" t="s">
        <v>10927</v>
      </c>
      <c r="G5086" s="8" t="s">
        <v>15</v>
      </c>
    </row>
    <row r="5087" spans="1:7" hidden="1" x14ac:dyDescent="0.25">
      <c r="A5087" s="21">
        <v>5086</v>
      </c>
      <c r="B5087" s="7" t="s">
        <v>10928</v>
      </c>
      <c r="C5087" s="7" t="s">
        <v>10929</v>
      </c>
      <c r="G5087" s="8" t="s">
        <v>15</v>
      </c>
    </row>
    <row r="5088" spans="1:7" hidden="1" x14ac:dyDescent="0.25">
      <c r="A5088" s="21">
        <v>5087</v>
      </c>
      <c r="B5088" s="7" t="s">
        <v>10930</v>
      </c>
      <c r="C5088" s="7" t="s">
        <v>10931</v>
      </c>
      <c r="G5088" s="8" t="s">
        <v>15</v>
      </c>
    </row>
    <row r="5089" spans="1:7" hidden="1" x14ac:dyDescent="0.25">
      <c r="A5089" s="21">
        <v>5088</v>
      </c>
      <c r="B5089" s="7" t="s">
        <v>10932</v>
      </c>
      <c r="C5089" s="7" t="s">
        <v>10933</v>
      </c>
      <c r="G5089" s="8" t="s">
        <v>15</v>
      </c>
    </row>
    <row r="5090" spans="1:7" hidden="1" x14ac:dyDescent="0.25">
      <c r="A5090" s="21">
        <v>5089</v>
      </c>
      <c r="B5090" s="7" t="s">
        <v>10934</v>
      </c>
      <c r="C5090" s="7" t="s">
        <v>10935</v>
      </c>
      <c r="G5090" s="8" t="s">
        <v>15</v>
      </c>
    </row>
    <row r="5091" spans="1:7" hidden="1" x14ac:dyDescent="0.25">
      <c r="A5091" s="21">
        <v>5090</v>
      </c>
      <c r="B5091" s="7" t="s">
        <v>10936</v>
      </c>
      <c r="C5091" s="7" t="s">
        <v>10937</v>
      </c>
      <c r="G5091" s="8" t="s">
        <v>15</v>
      </c>
    </row>
    <row r="5092" spans="1:7" hidden="1" x14ac:dyDescent="0.25">
      <c r="A5092" s="21">
        <v>5091</v>
      </c>
      <c r="B5092" s="7" t="s">
        <v>10938</v>
      </c>
      <c r="C5092" s="7" t="s">
        <v>10939</v>
      </c>
      <c r="G5092" s="8" t="s">
        <v>15</v>
      </c>
    </row>
    <row r="5093" spans="1:7" hidden="1" x14ac:dyDescent="0.25">
      <c r="A5093" s="21">
        <v>5092</v>
      </c>
      <c r="B5093" s="7" t="s">
        <v>10940</v>
      </c>
      <c r="C5093" s="7" t="s">
        <v>10941</v>
      </c>
      <c r="G5093" s="8" t="s">
        <v>15</v>
      </c>
    </row>
    <row r="5094" spans="1:7" hidden="1" x14ac:dyDescent="0.25">
      <c r="A5094" s="21">
        <v>5093</v>
      </c>
      <c r="B5094" s="7" t="s">
        <v>10942</v>
      </c>
      <c r="C5094" s="7" t="s">
        <v>10943</v>
      </c>
      <c r="G5094" s="8" t="s">
        <v>15</v>
      </c>
    </row>
    <row r="5095" spans="1:7" hidden="1" x14ac:dyDescent="0.25">
      <c r="A5095" s="21">
        <v>5094</v>
      </c>
      <c r="B5095" s="7" t="s">
        <v>10944</v>
      </c>
      <c r="C5095" s="7" t="s">
        <v>10945</v>
      </c>
      <c r="G5095" s="8" t="s">
        <v>15</v>
      </c>
    </row>
    <row r="5096" spans="1:7" hidden="1" x14ac:dyDescent="0.25">
      <c r="A5096" s="21">
        <v>5095</v>
      </c>
      <c r="B5096" s="7" t="s">
        <v>10946</v>
      </c>
      <c r="C5096" s="7" t="s">
        <v>10947</v>
      </c>
      <c r="G5096" s="8" t="s">
        <v>15</v>
      </c>
    </row>
    <row r="5097" spans="1:7" hidden="1" x14ac:dyDescent="0.25">
      <c r="A5097" s="21">
        <v>5096</v>
      </c>
      <c r="B5097" s="7" t="s">
        <v>10948</v>
      </c>
      <c r="C5097" s="7" t="s">
        <v>10949</v>
      </c>
      <c r="G5097" s="8" t="s">
        <v>15</v>
      </c>
    </row>
    <row r="5098" spans="1:7" hidden="1" x14ac:dyDescent="0.25">
      <c r="A5098" s="21">
        <v>5097</v>
      </c>
      <c r="B5098" s="7" t="s">
        <v>10950</v>
      </c>
      <c r="C5098" s="7" t="s">
        <v>10951</v>
      </c>
      <c r="G5098" s="8" t="s">
        <v>15</v>
      </c>
    </row>
    <row r="5099" spans="1:7" hidden="1" x14ac:dyDescent="0.25">
      <c r="A5099" s="21">
        <v>5098</v>
      </c>
      <c r="B5099" s="7" t="s">
        <v>10952</v>
      </c>
      <c r="C5099" s="7" t="s">
        <v>10953</v>
      </c>
      <c r="G5099" s="8" t="s">
        <v>15</v>
      </c>
    </row>
    <row r="5100" spans="1:7" hidden="1" x14ac:dyDescent="0.25">
      <c r="A5100" s="21">
        <v>5099</v>
      </c>
      <c r="B5100" s="7" t="s">
        <v>10954</v>
      </c>
      <c r="C5100" s="7" t="s">
        <v>10955</v>
      </c>
      <c r="G5100" s="8" t="s">
        <v>15</v>
      </c>
    </row>
    <row r="5101" spans="1:7" hidden="1" x14ac:dyDescent="0.25">
      <c r="A5101" s="21">
        <v>5100</v>
      </c>
      <c r="B5101" s="7" t="s">
        <v>10956</v>
      </c>
      <c r="C5101" s="7" t="s">
        <v>10957</v>
      </c>
      <c r="G5101" s="8" t="s">
        <v>15</v>
      </c>
    </row>
    <row r="5102" spans="1:7" hidden="1" x14ac:dyDescent="0.25">
      <c r="A5102" s="21">
        <v>5101</v>
      </c>
      <c r="B5102" s="7" t="s">
        <v>10958</v>
      </c>
      <c r="C5102" s="7" t="s">
        <v>10959</v>
      </c>
      <c r="G5102" s="8" t="s">
        <v>15</v>
      </c>
    </row>
    <row r="5103" spans="1:7" hidden="1" x14ac:dyDescent="0.25">
      <c r="A5103" s="21">
        <v>5102</v>
      </c>
      <c r="B5103" s="7" t="s">
        <v>10960</v>
      </c>
      <c r="C5103" s="7" t="s">
        <v>10961</v>
      </c>
      <c r="G5103" s="8" t="s">
        <v>15</v>
      </c>
    </row>
    <row r="5104" spans="1:7" hidden="1" x14ac:dyDescent="0.25">
      <c r="A5104" s="21">
        <v>5103</v>
      </c>
      <c r="B5104" s="7" t="s">
        <v>10962</v>
      </c>
      <c r="C5104" s="7" t="s">
        <v>10963</v>
      </c>
      <c r="G5104" s="8" t="s">
        <v>15</v>
      </c>
    </row>
    <row r="5105" spans="1:7" hidden="1" x14ac:dyDescent="0.25">
      <c r="A5105" s="21">
        <v>5104</v>
      </c>
      <c r="B5105" s="7" t="s">
        <v>10964</v>
      </c>
      <c r="C5105" s="7" t="s">
        <v>10965</v>
      </c>
      <c r="G5105" s="8" t="s">
        <v>15</v>
      </c>
    </row>
    <row r="5106" spans="1:7" hidden="1" x14ac:dyDescent="0.25">
      <c r="A5106" s="21">
        <v>5105</v>
      </c>
      <c r="B5106" s="7" t="s">
        <v>10966</v>
      </c>
      <c r="C5106" s="7" t="s">
        <v>10967</v>
      </c>
      <c r="G5106" s="8" t="s">
        <v>15</v>
      </c>
    </row>
    <row r="5107" spans="1:7" hidden="1" x14ac:dyDescent="0.25">
      <c r="A5107" s="21">
        <v>5106</v>
      </c>
      <c r="B5107" s="7" t="s">
        <v>10968</v>
      </c>
      <c r="C5107" s="7" t="s">
        <v>10969</v>
      </c>
      <c r="G5107" s="8" t="s">
        <v>15</v>
      </c>
    </row>
    <row r="5108" spans="1:7" hidden="1" x14ac:dyDescent="0.25">
      <c r="A5108" s="21">
        <v>5107</v>
      </c>
      <c r="B5108" s="7" t="s">
        <v>10970</v>
      </c>
      <c r="C5108" s="7" t="s">
        <v>10971</v>
      </c>
      <c r="G5108" s="8" t="s">
        <v>15</v>
      </c>
    </row>
    <row r="5109" spans="1:7" hidden="1" x14ac:dyDescent="0.25">
      <c r="A5109" s="21">
        <v>5108</v>
      </c>
      <c r="B5109" s="7" t="s">
        <v>10972</v>
      </c>
      <c r="C5109" s="7" t="s">
        <v>10973</v>
      </c>
      <c r="G5109" s="8" t="s">
        <v>15</v>
      </c>
    </row>
    <row r="5110" spans="1:7" hidden="1" x14ac:dyDescent="0.25">
      <c r="A5110" s="21">
        <v>5109</v>
      </c>
      <c r="B5110" s="7" t="s">
        <v>10974</v>
      </c>
      <c r="C5110" s="7" t="s">
        <v>10975</v>
      </c>
      <c r="G5110" s="8" t="s">
        <v>15</v>
      </c>
    </row>
    <row r="5111" spans="1:7" hidden="1" x14ac:dyDescent="0.25">
      <c r="A5111" s="21">
        <v>5110</v>
      </c>
      <c r="B5111" s="7" t="s">
        <v>10976</v>
      </c>
      <c r="C5111" s="7" t="s">
        <v>10977</v>
      </c>
      <c r="G5111" s="8" t="s">
        <v>15</v>
      </c>
    </row>
    <row r="5112" spans="1:7" hidden="1" x14ac:dyDescent="0.25">
      <c r="A5112" s="21">
        <v>5111</v>
      </c>
      <c r="B5112" s="7" t="s">
        <v>10978</v>
      </c>
      <c r="C5112" s="7" t="s">
        <v>10979</v>
      </c>
      <c r="G5112" s="8" t="s">
        <v>15</v>
      </c>
    </row>
    <row r="5113" spans="1:7" hidden="1" x14ac:dyDescent="0.25">
      <c r="A5113" s="21">
        <v>5112</v>
      </c>
      <c r="B5113" s="7" t="s">
        <v>10980</v>
      </c>
      <c r="C5113" s="7" t="s">
        <v>10981</v>
      </c>
      <c r="G5113" s="8" t="s">
        <v>15</v>
      </c>
    </row>
    <row r="5114" spans="1:7" hidden="1" x14ac:dyDescent="0.25">
      <c r="A5114" s="21">
        <v>5113</v>
      </c>
      <c r="B5114" s="7" t="s">
        <v>10982</v>
      </c>
      <c r="C5114" s="7" t="s">
        <v>10983</v>
      </c>
      <c r="G5114" s="8" t="s">
        <v>15</v>
      </c>
    </row>
    <row r="5115" spans="1:7" hidden="1" x14ac:dyDescent="0.25">
      <c r="A5115" s="21">
        <v>5114</v>
      </c>
      <c r="B5115" s="7" t="s">
        <v>10984</v>
      </c>
      <c r="C5115" s="7" t="s">
        <v>10985</v>
      </c>
      <c r="G5115" s="8" t="s">
        <v>15</v>
      </c>
    </row>
    <row r="5116" spans="1:7" hidden="1" x14ac:dyDescent="0.25">
      <c r="A5116" s="21">
        <v>5115</v>
      </c>
      <c r="B5116" s="7" t="s">
        <v>10986</v>
      </c>
      <c r="C5116" s="7" t="s">
        <v>10987</v>
      </c>
      <c r="G5116" s="8" t="s">
        <v>15</v>
      </c>
    </row>
    <row r="5117" spans="1:7" hidden="1" x14ac:dyDescent="0.25">
      <c r="A5117" s="21">
        <v>5116</v>
      </c>
      <c r="B5117" s="7" t="s">
        <v>10988</v>
      </c>
      <c r="C5117" s="7" t="s">
        <v>10989</v>
      </c>
      <c r="G5117" s="8" t="s">
        <v>15</v>
      </c>
    </row>
    <row r="5118" spans="1:7" hidden="1" x14ac:dyDescent="0.25">
      <c r="A5118" s="21">
        <v>5117</v>
      </c>
      <c r="B5118" s="7" t="s">
        <v>10990</v>
      </c>
      <c r="C5118" s="7" t="s">
        <v>10991</v>
      </c>
      <c r="G5118" s="8" t="s">
        <v>15</v>
      </c>
    </row>
    <row r="5119" spans="1:7" hidden="1" x14ac:dyDescent="0.25">
      <c r="A5119" s="21">
        <v>5118</v>
      </c>
      <c r="B5119" s="7" t="s">
        <v>10992</v>
      </c>
      <c r="C5119" s="7" t="s">
        <v>10993</v>
      </c>
      <c r="G5119" s="8" t="s">
        <v>15</v>
      </c>
    </row>
    <row r="5120" spans="1:7" hidden="1" x14ac:dyDescent="0.25">
      <c r="A5120" s="21">
        <v>5119</v>
      </c>
      <c r="B5120" s="7" t="s">
        <v>10994</v>
      </c>
      <c r="C5120" s="7" t="s">
        <v>10995</v>
      </c>
      <c r="G5120" s="8" t="s">
        <v>15</v>
      </c>
    </row>
    <row r="5121" spans="1:7" hidden="1" x14ac:dyDescent="0.25">
      <c r="A5121" s="21">
        <v>5120</v>
      </c>
      <c r="B5121" s="7" t="s">
        <v>10996</v>
      </c>
      <c r="C5121" s="7" t="s">
        <v>10997</v>
      </c>
      <c r="G5121" s="8" t="s">
        <v>15</v>
      </c>
    </row>
    <row r="5122" spans="1:7" hidden="1" x14ac:dyDescent="0.25">
      <c r="A5122" s="21">
        <v>5121</v>
      </c>
      <c r="B5122" s="7" t="s">
        <v>10998</v>
      </c>
      <c r="C5122" s="7" t="s">
        <v>10999</v>
      </c>
      <c r="G5122" s="8" t="s">
        <v>15</v>
      </c>
    </row>
    <row r="5123" spans="1:7" hidden="1" x14ac:dyDescent="0.25">
      <c r="A5123" s="21">
        <v>5122</v>
      </c>
      <c r="B5123" s="7" t="s">
        <v>11000</v>
      </c>
      <c r="C5123" s="7" t="s">
        <v>11001</v>
      </c>
      <c r="G5123" s="8" t="s">
        <v>15</v>
      </c>
    </row>
    <row r="5124" spans="1:7" hidden="1" x14ac:dyDescent="0.25">
      <c r="A5124" s="21">
        <v>5123</v>
      </c>
      <c r="B5124" s="7" t="s">
        <v>11002</v>
      </c>
      <c r="C5124" s="7" t="s">
        <v>11003</v>
      </c>
      <c r="G5124" s="8" t="s">
        <v>15</v>
      </c>
    </row>
    <row r="5125" spans="1:7" hidden="1" x14ac:dyDescent="0.25">
      <c r="A5125" s="21">
        <v>5124</v>
      </c>
      <c r="B5125" s="7" t="s">
        <v>11004</v>
      </c>
      <c r="C5125" s="7" t="s">
        <v>11005</v>
      </c>
      <c r="G5125" s="8" t="s">
        <v>15</v>
      </c>
    </row>
    <row r="5126" spans="1:7" hidden="1" x14ac:dyDescent="0.25">
      <c r="A5126" s="21">
        <v>5125</v>
      </c>
      <c r="B5126" s="7" t="s">
        <v>11006</v>
      </c>
      <c r="C5126" s="7" t="s">
        <v>11007</v>
      </c>
      <c r="G5126" s="8" t="s">
        <v>15</v>
      </c>
    </row>
    <row r="5127" spans="1:7" hidden="1" x14ac:dyDescent="0.25">
      <c r="A5127" s="21">
        <v>5126</v>
      </c>
      <c r="B5127" s="7" t="s">
        <v>11008</v>
      </c>
      <c r="C5127" s="7" t="s">
        <v>11009</v>
      </c>
      <c r="G5127" s="8" t="s">
        <v>15</v>
      </c>
    </row>
    <row r="5128" spans="1:7" hidden="1" x14ac:dyDescent="0.25">
      <c r="A5128" s="21">
        <v>5127</v>
      </c>
      <c r="B5128" s="7" t="s">
        <v>11010</v>
      </c>
      <c r="C5128" s="7" t="s">
        <v>11011</v>
      </c>
      <c r="G5128" s="8" t="s">
        <v>15</v>
      </c>
    </row>
    <row r="5129" spans="1:7" hidden="1" x14ac:dyDescent="0.25">
      <c r="A5129" s="21">
        <v>5128</v>
      </c>
      <c r="B5129" s="7" t="s">
        <v>11012</v>
      </c>
      <c r="C5129" s="7" t="s">
        <v>11013</v>
      </c>
      <c r="G5129" s="8" t="s">
        <v>15</v>
      </c>
    </row>
    <row r="5130" spans="1:7" hidden="1" x14ac:dyDescent="0.25">
      <c r="A5130" s="21">
        <v>5129</v>
      </c>
      <c r="B5130" s="7" t="s">
        <v>11014</v>
      </c>
      <c r="C5130" s="7" t="s">
        <v>11015</v>
      </c>
      <c r="G5130" s="8" t="s">
        <v>15</v>
      </c>
    </row>
    <row r="5131" spans="1:7" hidden="1" x14ac:dyDescent="0.25">
      <c r="A5131" s="21">
        <v>5130</v>
      </c>
      <c r="B5131" s="7" t="s">
        <v>11016</v>
      </c>
      <c r="C5131" s="7" t="s">
        <v>11017</v>
      </c>
      <c r="G5131" s="8" t="s">
        <v>15</v>
      </c>
    </row>
    <row r="5132" spans="1:7" hidden="1" x14ac:dyDescent="0.25">
      <c r="A5132" s="21">
        <v>5131</v>
      </c>
      <c r="B5132" s="7" t="s">
        <v>11018</v>
      </c>
      <c r="C5132" s="7" t="s">
        <v>11019</v>
      </c>
      <c r="G5132" s="8" t="s">
        <v>15</v>
      </c>
    </row>
    <row r="5133" spans="1:7" hidden="1" x14ac:dyDescent="0.25">
      <c r="A5133" s="21">
        <v>5132</v>
      </c>
      <c r="B5133" s="7" t="s">
        <v>11020</v>
      </c>
      <c r="C5133" s="7" t="s">
        <v>11021</v>
      </c>
      <c r="G5133" s="8" t="s">
        <v>15</v>
      </c>
    </row>
    <row r="5134" spans="1:7" hidden="1" x14ac:dyDescent="0.25">
      <c r="A5134" s="21">
        <v>5133</v>
      </c>
      <c r="B5134" s="7" t="s">
        <v>11022</v>
      </c>
      <c r="C5134" s="7" t="s">
        <v>11023</v>
      </c>
      <c r="G5134" s="8" t="s">
        <v>15</v>
      </c>
    </row>
    <row r="5135" spans="1:7" hidden="1" x14ac:dyDescent="0.25">
      <c r="A5135" s="21">
        <v>5134</v>
      </c>
      <c r="B5135" s="7" t="s">
        <v>11024</v>
      </c>
      <c r="C5135" s="7" t="s">
        <v>11025</v>
      </c>
      <c r="G5135" s="8" t="s">
        <v>15</v>
      </c>
    </row>
    <row r="5136" spans="1:7" hidden="1" x14ac:dyDescent="0.25">
      <c r="A5136" s="21">
        <v>5135</v>
      </c>
      <c r="B5136" s="7" t="s">
        <v>11026</v>
      </c>
      <c r="C5136" s="7" t="s">
        <v>11027</v>
      </c>
      <c r="G5136" s="8" t="s">
        <v>15</v>
      </c>
    </row>
    <row r="5137" spans="1:7" hidden="1" x14ac:dyDescent="0.25">
      <c r="A5137" s="21">
        <v>5136</v>
      </c>
      <c r="B5137" s="7" t="s">
        <v>11028</v>
      </c>
      <c r="C5137" s="7" t="s">
        <v>11029</v>
      </c>
      <c r="G5137" s="8" t="s">
        <v>15</v>
      </c>
    </row>
    <row r="5138" spans="1:7" hidden="1" x14ac:dyDescent="0.25">
      <c r="A5138" s="21">
        <v>5137</v>
      </c>
      <c r="B5138" s="7" t="s">
        <v>11030</v>
      </c>
      <c r="C5138" s="7" t="s">
        <v>11031</v>
      </c>
      <c r="G5138" s="8" t="s">
        <v>15</v>
      </c>
    </row>
    <row r="5139" spans="1:7" hidden="1" x14ac:dyDescent="0.25">
      <c r="A5139" s="21">
        <v>5138</v>
      </c>
      <c r="B5139" s="7" t="s">
        <v>11032</v>
      </c>
      <c r="C5139" s="7" t="s">
        <v>11033</v>
      </c>
      <c r="G5139" s="8" t="s">
        <v>15</v>
      </c>
    </row>
    <row r="5140" spans="1:7" hidden="1" x14ac:dyDescent="0.25">
      <c r="A5140" s="21">
        <v>5139</v>
      </c>
      <c r="B5140" s="7" t="s">
        <v>11034</v>
      </c>
      <c r="C5140" s="7" t="s">
        <v>11035</v>
      </c>
      <c r="G5140" s="8" t="s">
        <v>15</v>
      </c>
    </row>
    <row r="5141" spans="1:7" hidden="1" x14ac:dyDescent="0.25">
      <c r="A5141" s="21">
        <v>5140</v>
      </c>
      <c r="B5141" s="7" t="s">
        <v>11036</v>
      </c>
      <c r="C5141" s="7" t="s">
        <v>11037</v>
      </c>
      <c r="G5141" s="8" t="s">
        <v>15</v>
      </c>
    </row>
    <row r="5142" spans="1:7" hidden="1" x14ac:dyDescent="0.25">
      <c r="A5142" s="21">
        <v>5141</v>
      </c>
      <c r="B5142" s="7" t="s">
        <v>11038</v>
      </c>
      <c r="C5142" s="7" t="s">
        <v>11039</v>
      </c>
      <c r="G5142" s="8" t="s">
        <v>15</v>
      </c>
    </row>
    <row r="5143" spans="1:7" hidden="1" x14ac:dyDescent="0.25">
      <c r="A5143" s="21">
        <v>5142</v>
      </c>
      <c r="B5143" s="7" t="s">
        <v>11040</v>
      </c>
      <c r="C5143" s="7" t="s">
        <v>11041</v>
      </c>
      <c r="G5143" s="8" t="s">
        <v>15</v>
      </c>
    </row>
    <row r="5144" spans="1:7" hidden="1" x14ac:dyDescent="0.25">
      <c r="A5144" s="21">
        <v>5143</v>
      </c>
      <c r="B5144" s="7" t="s">
        <v>11042</v>
      </c>
      <c r="C5144" s="7" t="s">
        <v>11043</v>
      </c>
      <c r="G5144" s="8" t="s">
        <v>15</v>
      </c>
    </row>
    <row r="5145" spans="1:7" hidden="1" x14ac:dyDescent="0.25">
      <c r="A5145" s="21">
        <v>5144</v>
      </c>
      <c r="B5145" s="7" t="s">
        <v>11044</v>
      </c>
      <c r="C5145" s="7" t="s">
        <v>11045</v>
      </c>
      <c r="G5145" s="8" t="s">
        <v>15</v>
      </c>
    </row>
    <row r="5146" spans="1:7" hidden="1" x14ac:dyDescent="0.25">
      <c r="A5146" s="21">
        <v>5145</v>
      </c>
      <c r="B5146" s="7" t="s">
        <v>11046</v>
      </c>
      <c r="C5146" s="7" t="s">
        <v>11047</v>
      </c>
      <c r="G5146" s="8" t="s">
        <v>15</v>
      </c>
    </row>
    <row r="5147" spans="1:7" hidden="1" x14ac:dyDescent="0.25">
      <c r="A5147" s="21">
        <v>5146</v>
      </c>
      <c r="B5147" s="7" t="s">
        <v>11048</v>
      </c>
      <c r="C5147" s="7" t="s">
        <v>11049</v>
      </c>
      <c r="G5147" s="8" t="s">
        <v>15</v>
      </c>
    </row>
    <row r="5148" spans="1:7" hidden="1" x14ac:dyDescent="0.25">
      <c r="A5148" s="21">
        <v>5147</v>
      </c>
      <c r="B5148" s="7" t="s">
        <v>11050</v>
      </c>
      <c r="C5148" s="7" t="s">
        <v>11051</v>
      </c>
      <c r="G5148" s="8" t="s">
        <v>15</v>
      </c>
    </row>
    <row r="5149" spans="1:7" hidden="1" x14ac:dyDescent="0.25">
      <c r="A5149" s="21">
        <v>5148</v>
      </c>
      <c r="B5149" s="7" t="s">
        <v>11052</v>
      </c>
      <c r="C5149" s="7" t="s">
        <v>11053</v>
      </c>
      <c r="G5149" s="8" t="s">
        <v>15</v>
      </c>
    </row>
    <row r="5150" spans="1:7" hidden="1" x14ac:dyDescent="0.25">
      <c r="A5150" s="21">
        <v>5149</v>
      </c>
      <c r="B5150" s="7" t="s">
        <v>11054</v>
      </c>
      <c r="C5150" s="7" t="s">
        <v>11055</v>
      </c>
      <c r="G5150" s="8" t="s">
        <v>15</v>
      </c>
    </row>
    <row r="5151" spans="1:7" hidden="1" x14ac:dyDescent="0.25">
      <c r="A5151" s="21">
        <v>5150</v>
      </c>
      <c r="B5151" s="7" t="s">
        <v>11056</v>
      </c>
      <c r="C5151" s="7" t="s">
        <v>11057</v>
      </c>
      <c r="G5151" s="8" t="s">
        <v>15</v>
      </c>
    </row>
    <row r="5152" spans="1:7" hidden="1" x14ac:dyDescent="0.25">
      <c r="A5152" s="21">
        <v>5151</v>
      </c>
      <c r="B5152" s="7" t="s">
        <v>11058</v>
      </c>
      <c r="C5152" s="7" t="s">
        <v>11059</v>
      </c>
      <c r="G5152" s="8" t="s">
        <v>15</v>
      </c>
    </row>
    <row r="5153" spans="1:7" hidden="1" x14ac:dyDescent="0.25">
      <c r="A5153" s="21">
        <v>5152</v>
      </c>
      <c r="B5153" s="7" t="s">
        <v>11060</v>
      </c>
      <c r="C5153" s="7" t="s">
        <v>11061</v>
      </c>
      <c r="G5153" s="8" t="s">
        <v>15</v>
      </c>
    </row>
    <row r="5154" spans="1:7" hidden="1" x14ac:dyDescent="0.25">
      <c r="A5154" s="21">
        <v>5153</v>
      </c>
      <c r="B5154" s="7" t="s">
        <v>11062</v>
      </c>
      <c r="C5154" s="7" t="s">
        <v>11063</v>
      </c>
      <c r="G5154" s="8" t="s">
        <v>15</v>
      </c>
    </row>
    <row r="5155" spans="1:7" hidden="1" x14ac:dyDescent="0.25">
      <c r="A5155" s="21">
        <v>5154</v>
      </c>
      <c r="B5155" s="7" t="s">
        <v>11064</v>
      </c>
      <c r="C5155" s="7" t="s">
        <v>11065</v>
      </c>
      <c r="G5155" s="8" t="s">
        <v>15</v>
      </c>
    </row>
    <row r="5156" spans="1:7" hidden="1" x14ac:dyDescent="0.25">
      <c r="A5156" s="21">
        <v>5155</v>
      </c>
      <c r="B5156" s="7" t="s">
        <v>11066</v>
      </c>
      <c r="C5156" s="7" t="s">
        <v>11067</v>
      </c>
      <c r="G5156" s="8" t="s">
        <v>15</v>
      </c>
    </row>
    <row r="5157" spans="1:7" hidden="1" x14ac:dyDescent="0.25">
      <c r="A5157" s="21">
        <v>5156</v>
      </c>
      <c r="B5157" s="7" t="s">
        <v>11068</v>
      </c>
      <c r="C5157" s="7" t="s">
        <v>11069</v>
      </c>
      <c r="G5157" s="8" t="s">
        <v>15</v>
      </c>
    </row>
    <row r="5158" spans="1:7" hidden="1" x14ac:dyDescent="0.25">
      <c r="A5158" s="21">
        <v>5157</v>
      </c>
      <c r="B5158" s="7" t="s">
        <v>11070</v>
      </c>
      <c r="C5158" s="7" t="s">
        <v>11071</v>
      </c>
      <c r="G5158" s="8" t="s">
        <v>15</v>
      </c>
    </row>
    <row r="5159" spans="1:7" hidden="1" x14ac:dyDescent="0.25">
      <c r="A5159" s="21">
        <v>5158</v>
      </c>
      <c r="B5159" s="7" t="s">
        <v>11072</v>
      </c>
      <c r="C5159" s="7" t="s">
        <v>11073</v>
      </c>
      <c r="G5159" s="8" t="s">
        <v>15</v>
      </c>
    </row>
    <row r="5160" spans="1:7" hidden="1" x14ac:dyDescent="0.25">
      <c r="A5160" s="21">
        <v>5159</v>
      </c>
      <c r="B5160" s="7" t="s">
        <v>11074</v>
      </c>
      <c r="C5160" s="7" t="s">
        <v>11075</v>
      </c>
      <c r="G5160" s="8" t="s">
        <v>15</v>
      </c>
    </row>
    <row r="5161" spans="1:7" hidden="1" x14ac:dyDescent="0.25">
      <c r="A5161" s="21">
        <v>5160</v>
      </c>
      <c r="B5161" s="7" t="s">
        <v>11076</v>
      </c>
      <c r="C5161" s="7" t="s">
        <v>11077</v>
      </c>
      <c r="G5161" s="8" t="s">
        <v>15</v>
      </c>
    </row>
    <row r="5162" spans="1:7" hidden="1" x14ac:dyDescent="0.25">
      <c r="A5162" s="21">
        <v>5161</v>
      </c>
      <c r="B5162" s="7" t="s">
        <v>11078</v>
      </c>
      <c r="C5162" s="7" t="s">
        <v>11079</v>
      </c>
      <c r="G5162" s="8" t="s">
        <v>15</v>
      </c>
    </row>
    <row r="5163" spans="1:7" hidden="1" x14ac:dyDescent="0.25">
      <c r="A5163" s="21">
        <v>5162</v>
      </c>
      <c r="B5163" s="7" t="s">
        <v>11080</v>
      </c>
      <c r="C5163" s="7" t="s">
        <v>11081</v>
      </c>
      <c r="G5163" s="8" t="s">
        <v>15</v>
      </c>
    </row>
    <row r="5164" spans="1:7" hidden="1" x14ac:dyDescent="0.25">
      <c r="A5164" s="21">
        <v>5163</v>
      </c>
      <c r="B5164" s="7" t="s">
        <v>11082</v>
      </c>
      <c r="C5164" s="7" t="s">
        <v>11083</v>
      </c>
      <c r="G5164" s="8" t="s">
        <v>15</v>
      </c>
    </row>
    <row r="5165" spans="1:7" hidden="1" x14ac:dyDescent="0.25">
      <c r="A5165" s="21">
        <v>5164</v>
      </c>
      <c r="B5165" s="7" t="s">
        <v>11084</v>
      </c>
      <c r="C5165" s="7" t="s">
        <v>11085</v>
      </c>
      <c r="G5165" s="8" t="s">
        <v>15</v>
      </c>
    </row>
    <row r="5166" spans="1:7" hidden="1" x14ac:dyDescent="0.25">
      <c r="A5166" s="21">
        <v>5165</v>
      </c>
      <c r="B5166" s="7" t="s">
        <v>11086</v>
      </c>
      <c r="C5166" s="7" t="s">
        <v>11087</v>
      </c>
      <c r="G5166" s="8" t="s">
        <v>15</v>
      </c>
    </row>
    <row r="5167" spans="1:7" hidden="1" x14ac:dyDescent="0.25">
      <c r="A5167" s="21">
        <v>5166</v>
      </c>
      <c r="B5167" s="7" t="s">
        <v>11088</v>
      </c>
      <c r="C5167" s="7" t="s">
        <v>11089</v>
      </c>
      <c r="G5167" s="8" t="s">
        <v>15</v>
      </c>
    </row>
    <row r="5168" spans="1:7" hidden="1" x14ac:dyDescent="0.25">
      <c r="A5168" s="21">
        <v>5167</v>
      </c>
      <c r="B5168" s="7" t="s">
        <v>11090</v>
      </c>
      <c r="C5168" s="7" t="s">
        <v>11091</v>
      </c>
      <c r="G5168" s="8" t="s">
        <v>15</v>
      </c>
    </row>
    <row r="5169" spans="1:7" hidden="1" x14ac:dyDescent="0.25">
      <c r="A5169" s="21">
        <v>5168</v>
      </c>
      <c r="B5169" s="7" t="s">
        <v>11092</v>
      </c>
      <c r="C5169" s="7" t="s">
        <v>11093</v>
      </c>
      <c r="G5169" s="8" t="s">
        <v>15</v>
      </c>
    </row>
    <row r="5170" spans="1:7" hidden="1" x14ac:dyDescent="0.25">
      <c r="A5170" s="21">
        <v>5169</v>
      </c>
      <c r="B5170" s="7" t="s">
        <v>11094</v>
      </c>
      <c r="C5170" s="7" t="s">
        <v>11095</v>
      </c>
      <c r="G5170" s="8" t="s">
        <v>15</v>
      </c>
    </row>
    <row r="5171" spans="1:7" hidden="1" x14ac:dyDescent="0.25">
      <c r="A5171" s="21">
        <v>5170</v>
      </c>
      <c r="B5171" s="7" t="s">
        <v>11096</v>
      </c>
      <c r="C5171" s="7" t="s">
        <v>11097</v>
      </c>
      <c r="G5171" s="8" t="s">
        <v>15</v>
      </c>
    </row>
    <row r="5172" spans="1:7" hidden="1" x14ac:dyDescent="0.25">
      <c r="A5172" s="21">
        <v>5171</v>
      </c>
      <c r="B5172" s="7" t="s">
        <v>11098</v>
      </c>
      <c r="C5172" s="7" t="s">
        <v>11099</v>
      </c>
      <c r="G5172" s="8" t="s">
        <v>15</v>
      </c>
    </row>
    <row r="5173" spans="1:7" hidden="1" x14ac:dyDescent="0.25">
      <c r="A5173" s="21">
        <v>5172</v>
      </c>
      <c r="B5173" s="7" t="s">
        <v>11100</v>
      </c>
      <c r="C5173" s="7" t="s">
        <v>11101</v>
      </c>
      <c r="G5173" s="8" t="s">
        <v>15</v>
      </c>
    </row>
    <row r="5174" spans="1:7" hidden="1" x14ac:dyDescent="0.25">
      <c r="A5174" s="21">
        <v>5173</v>
      </c>
      <c r="B5174" s="7" t="s">
        <v>11102</v>
      </c>
      <c r="C5174" s="7" t="s">
        <v>11103</v>
      </c>
      <c r="G5174" s="8" t="s">
        <v>15</v>
      </c>
    </row>
    <row r="5175" spans="1:7" hidden="1" x14ac:dyDescent="0.25">
      <c r="A5175" s="21">
        <v>5174</v>
      </c>
      <c r="B5175" s="7" t="s">
        <v>11104</v>
      </c>
      <c r="C5175" s="7" t="s">
        <v>11105</v>
      </c>
      <c r="G5175" s="8" t="s">
        <v>15</v>
      </c>
    </row>
    <row r="5176" spans="1:7" hidden="1" x14ac:dyDescent="0.25">
      <c r="A5176" s="21">
        <v>5175</v>
      </c>
      <c r="B5176" s="7" t="s">
        <v>11106</v>
      </c>
      <c r="C5176" s="7" t="s">
        <v>11107</v>
      </c>
      <c r="G5176" s="8" t="s">
        <v>15</v>
      </c>
    </row>
    <row r="5177" spans="1:7" hidden="1" x14ac:dyDescent="0.25">
      <c r="A5177" s="21">
        <v>5176</v>
      </c>
      <c r="B5177" s="7" t="s">
        <v>11108</v>
      </c>
      <c r="C5177" s="7" t="s">
        <v>11109</v>
      </c>
      <c r="G5177" s="8" t="s">
        <v>15</v>
      </c>
    </row>
    <row r="5178" spans="1:7" hidden="1" x14ac:dyDescent="0.25">
      <c r="A5178" s="21">
        <v>5177</v>
      </c>
      <c r="B5178" s="7" t="s">
        <v>11110</v>
      </c>
      <c r="C5178" s="7" t="s">
        <v>11111</v>
      </c>
      <c r="G5178" s="8" t="s">
        <v>15</v>
      </c>
    </row>
    <row r="5179" spans="1:7" hidden="1" x14ac:dyDescent="0.25">
      <c r="A5179" s="21">
        <v>5178</v>
      </c>
      <c r="B5179" s="7" t="s">
        <v>11112</v>
      </c>
      <c r="C5179" s="7" t="s">
        <v>11113</v>
      </c>
      <c r="G5179" s="8" t="s">
        <v>15</v>
      </c>
    </row>
    <row r="5180" spans="1:7" hidden="1" x14ac:dyDescent="0.25">
      <c r="A5180" s="21">
        <v>5179</v>
      </c>
      <c r="B5180" s="7" t="s">
        <v>11114</v>
      </c>
      <c r="C5180" s="7" t="s">
        <v>11115</v>
      </c>
      <c r="G5180" s="8" t="s">
        <v>15</v>
      </c>
    </row>
    <row r="5181" spans="1:7" hidden="1" x14ac:dyDescent="0.25">
      <c r="A5181" s="21">
        <v>5180</v>
      </c>
      <c r="B5181" s="7" t="s">
        <v>11116</v>
      </c>
      <c r="C5181" s="7" t="s">
        <v>11117</v>
      </c>
      <c r="G5181" s="8" t="s">
        <v>15</v>
      </c>
    </row>
    <row r="5182" spans="1:7" hidden="1" x14ac:dyDescent="0.25">
      <c r="A5182" s="21">
        <v>5181</v>
      </c>
      <c r="B5182" s="7" t="s">
        <v>11118</v>
      </c>
      <c r="C5182" s="7" t="s">
        <v>11119</v>
      </c>
      <c r="G5182" s="8" t="s">
        <v>15</v>
      </c>
    </row>
    <row r="5183" spans="1:7" hidden="1" x14ac:dyDescent="0.25">
      <c r="A5183" s="21">
        <v>5182</v>
      </c>
      <c r="B5183" s="7" t="s">
        <v>11120</v>
      </c>
      <c r="C5183" s="7" t="s">
        <v>11121</v>
      </c>
      <c r="G5183" s="8" t="s">
        <v>15</v>
      </c>
    </row>
    <row r="5184" spans="1:7" hidden="1" x14ac:dyDescent="0.25">
      <c r="A5184" s="21">
        <v>5183</v>
      </c>
      <c r="B5184" s="7" t="s">
        <v>11122</v>
      </c>
      <c r="C5184" s="7" t="s">
        <v>11123</v>
      </c>
      <c r="G5184" s="8" t="s">
        <v>15</v>
      </c>
    </row>
    <row r="5185" spans="1:7" hidden="1" x14ac:dyDescent="0.25">
      <c r="A5185" s="21">
        <v>5184</v>
      </c>
      <c r="B5185" s="7" t="s">
        <v>11124</v>
      </c>
      <c r="C5185" s="7" t="s">
        <v>11125</v>
      </c>
      <c r="G5185" s="8" t="s">
        <v>15</v>
      </c>
    </row>
    <row r="5186" spans="1:7" hidden="1" x14ac:dyDescent="0.25">
      <c r="A5186" s="21">
        <v>5185</v>
      </c>
      <c r="B5186" s="7" t="s">
        <v>11126</v>
      </c>
      <c r="C5186" s="7" t="s">
        <v>11127</v>
      </c>
      <c r="G5186" s="8" t="s">
        <v>15</v>
      </c>
    </row>
    <row r="5187" spans="1:7" hidden="1" x14ac:dyDescent="0.25">
      <c r="A5187" s="21">
        <v>5186</v>
      </c>
      <c r="B5187" s="7" t="s">
        <v>11128</v>
      </c>
      <c r="C5187" s="7" t="s">
        <v>11129</v>
      </c>
      <c r="G5187" s="8" t="s">
        <v>15</v>
      </c>
    </row>
    <row r="5188" spans="1:7" hidden="1" x14ac:dyDescent="0.25">
      <c r="A5188" s="21">
        <v>5187</v>
      </c>
      <c r="B5188" s="7" t="s">
        <v>11130</v>
      </c>
      <c r="C5188" s="7" t="s">
        <v>11131</v>
      </c>
      <c r="G5188" s="8" t="s">
        <v>15</v>
      </c>
    </row>
    <row r="5189" spans="1:7" hidden="1" x14ac:dyDescent="0.25">
      <c r="A5189" s="21">
        <v>5188</v>
      </c>
      <c r="B5189" s="7" t="s">
        <v>11132</v>
      </c>
      <c r="C5189" s="7" t="s">
        <v>11133</v>
      </c>
      <c r="G5189" s="8" t="s">
        <v>15</v>
      </c>
    </row>
    <row r="5190" spans="1:7" hidden="1" x14ac:dyDescent="0.25">
      <c r="A5190" s="21">
        <v>5189</v>
      </c>
      <c r="B5190" s="7" t="s">
        <v>11134</v>
      </c>
      <c r="C5190" s="7" t="s">
        <v>11135</v>
      </c>
      <c r="G5190" s="8" t="s">
        <v>15</v>
      </c>
    </row>
    <row r="5191" spans="1:7" hidden="1" x14ac:dyDescent="0.25">
      <c r="A5191" s="21">
        <v>5190</v>
      </c>
      <c r="B5191" s="7" t="s">
        <v>11136</v>
      </c>
      <c r="C5191" s="7" t="s">
        <v>11137</v>
      </c>
      <c r="G5191" s="8" t="s">
        <v>15</v>
      </c>
    </row>
    <row r="5192" spans="1:7" hidden="1" x14ac:dyDescent="0.25">
      <c r="A5192" s="21">
        <v>5191</v>
      </c>
      <c r="B5192" s="7" t="s">
        <v>11138</v>
      </c>
      <c r="C5192" s="7" t="s">
        <v>11139</v>
      </c>
      <c r="G5192" s="8" t="s">
        <v>15</v>
      </c>
    </row>
    <row r="5193" spans="1:7" hidden="1" x14ac:dyDescent="0.25">
      <c r="A5193" s="21">
        <v>5192</v>
      </c>
      <c r="B5193" s="7" t="s">
        <v>11140</v>
      </c>
      <c r="C5193" s="7" t="s">
        <v>11141</v>
      </c>
      <c r="G5193" s="8" t="s">
        <v>15</v>
      </c>
    </row>
    <row r="5194" spans="1:7" hidden="1" x14ac:dyDescent="0.25">
      <c r="A5194" s="21">
        <v>5193</v>
      </c>
      <c r="B5194" s="7" t="s">
        <v>11142</v>
      </c>
      <c r="C5194" s="7" t="s">
        <v>11143</v>
      </c>
      <c r="G5194" s="8" t="s">
        <v>15</v>
      </c>
    </row>
    <row r="5195" spans="1:7" hidden="1" x14ac:dyDescent="0.25">
      <c r="A5195" s="21">
        <v>5194</v>
      </c>
      <c r="B5195" s="7" t="s">
        <v>11144</v>
      </c>
      <c r="C5195" s="7" t="s">
        <v>11145</v>
      </c>
      <c r="G5195" s="8" t="s">
        <v>15</v>
      </c>
    </row>
    <row r="5196" spans="1:7" hidden="1" x14ac:dyDescent="0.25">
      <c r="A5196" s="21">
        <v>5195</v>
      </c>
      <c r="B5196" s="7" t="s">
        <v>11146</v>
      </c>
      <c r="C5196" s="7" t="s">
        <v>11147</v>
      </c>
      <c r="G5196" s="8" t="s">
        <v>15</v>
      </c>
    </row>
    <row r="5197" spans="1:7" hidden="1" x14ac:dyDescent="0.25">
      <c r="A5197" s="21">
        <v>5196</v>
      </c>
      <c r="B5197" s="7" t="s">
        <v>11148</v>
      </c>
      <c r="C5197" s="7" t="s">
        <v>11149</v>
      </c>
      <c r="G5197" s="8" t="s">
        <v>15</v>
      </c>
    </row>
    <row r="5198" spans="1:7" hidden="1" x14ac:dyDescent="0.25">
      <c r="A5198" s="21">
        <v>5197</v>
      </c>
      <c r="B5198" s="7" t="s">
        <v>11150</v>
      </c>
      <c r="C5198" s="7" t="s">
        <v>11151</v>
      </c>
      <c r="G5198" s="8" t="s">
        <v>15</v>
      </c>
    </row>
    <row r="5199" spans="1:7" hidden="1" x14ac:dyDescent="0.25">
      <c r="A5199" s="21">
        <v>5198</v>
      </c>
      <c r="B5199" s="7" t="s">
        <v>11152</v>
      </c>
      <c r="C5199" s="7" t="s">
        <v>11153</v>
      </c>
      <c r="G5199" s="8" t="s">
        <v>15</v>
      </c>
    </row>
    <row r="5200" spans="1:7" hidden="1" x14ac:dyDescent="0.25">
      <c r="A5200" s="21">
        <v>5199</v>
      </c>
      <c r="B5200" s="7" t="s">
        <v>11154</v>
      </c>
      <c r="C5200" s="7" t="s">
        <v>11155</v>
      </c>
      <c r="G5200" s="8" t="s">
        <v>15</v>
      </c>
    </row>
    <row r="5201" spans="1:7" hidden="1" x14ac:dyDescent="0.25">
      <c r="A5201" s="21">
        <v>5200</v>
      </c>
      <c r="B5201" s="7" t="s">
        <v>11156</v>
      </c>
      <c r="C5201" s="7" t="s">
        <v>11157</v>
      </c>
      <c r="G5201" s="8" t="s">
        <v>15</v>
      </c>
    </row>
    <row r="5202" spans="1:7" hidden="1" x14ac:dyDescent="0.25">
      <c r="A5202" s="21">
        <v>5201</v>
      </c>
      <c r="B5202" s="7" t="s">
        <v>11158</v>
      </c>
      <c r="C5202" s="7" t="s">
        <v>11159</v>
      </c>
      <c r="G5202" s="8" t="s">
        <v>15</v>
      </c>
    </row>
    <row r="5203" spans="1:7" hidden="1" x14ac:dyDescent="0.25">
      <c r="A5203" s="21">
        <v>5202</v>
      </c>
      <c r="B5203" s="7" t="s">
        <v>11160</v>
      </c>
      <c r="C5203" s="7" t="s">
        <v>11161</v>
      </c>
      <c r="G5203" s="8" t="s">
        <v>15</v>
      </c>
    </row>
    <row r="5204" spans="1:7" hidden="1" x14ac:dyDescent="0.25">
      <c r="A5204" s="21">
        <v>5203</v>
      </c>
      <c r="B5204" s="7" t="s">
        <v>11162</v>
      </c>
      <c r="C5204" s="7" t="s">
        <v>11163</v>
      </c>
      <c r="G5204" s="8" t="s">
        <v>15</v>
      </c>
    </row>
    <row r="5205" spans="1:7" hidden="1" x14ac:dyDescent="0.25">
      <c r="A5205" s="21">
        <v>5204</v>
      </c>
      <c r="B5205" s="7" t="s">
        <v>11164</v>
      </c>
      <c r="C5205" s="7" t="s">
        <v>11165</v>
      </c>
      <c r="G5205" s="8" t="s">
        <v>15</v>
      </c>
    </row>
    <row r="5206" spans="1:7" hidden="1" x14ac:dyDescent="0.25">
      <c r="A5206" s="21">
        <v>5205</v>
      </c>
      <c r="B5206" s="7" t="s">
        <v>11166</v>
      </c>
      <c r="C5206" s="7" t="s">
        <v>11167</v>
      </c>
      <c r="G5206" s="8" t="s">
        <v>15</v>
      </c>
    </row>
    <row r="5207" spans="1:7" hidden="1" x14ac:dyDescent="0.25">
      <c r="A5207" s="21">
        <v>5206</v>
      </c>
      <c r="B5207" s="7" t="s">
        <v>11168</v>
      </c>
      <c r="C5207" s="7" t="s">
        <v>11169</v>
      </c>
      <c r="G5207" s="8" t="s">
        <v>15</v>
      </c>
    </row>
    <row r="5208" spans="1:7" hidden="1" x14ac:dyDescent="0.25">
      <c r="A5208" s="21">
        <v>5207</v>
      </c>
      <c r="B5208" s="7" t="s">
        <v>11170</v>
      </c>
      <c r="C5208" s="7" t="s">
        <v>11171</v>
      </c>
      <c r="G5208" s="8" t="s">
        <v>15</v>
      </c>
    </row>
    <row r="5209" spans="1:7" hidden="1" x14ac:dyDescent="0.25">
      <c r="A5209" s="21">
        <v>5208</v>
      </c>
      <c r="B5209" s="7" t="s">
        <v>11172</v>
      </c>
      <c r="C5209" s="7" t="s">
        <v>11173</v>
      </c>
      <c r="G5209" s="8" t="s">
        <v>15</v>
      </c>
    </row>
    <row r="5210" spans="1:7" hidden="1" x14ac:dyDescent="0.25">
      <c r="A5210" s="21">
        <v>5209</v>
      </c>
      <c r="B5210" s="7" t="s">
        <v>11174</v>
      </c>
      <c r="C5210" s="7" t="s">
        <v>11175</v>
      </c>
      <c r="G5210" s="8" t="s">
        <v>15</v>
      </c>
    </row>
    <row r="5211" spans="1:7" hidden="1" x14ac:dyDescent="0.25">
      <c r="A5211" s="21">
        <v>5210</v>
      </c>
      <c r="B5211" s="7" t="s">
        <v>11176</v>
      </c>
      <c r="C5211" s="7" t="s">
        <v>11177</v>
      </c>
      <c r="G5211" s="8" t="s">
        <v>15</v>
      </c>
    </row>
    <row r="5212" spans="1:7" hidden="1" x14ac:dyDescent="0.25">
      <c r="A5212" s="21">
        <v>5211</v>
      </c>
      <c r="B5212" s="7" t="s">
        <v>11178</v>
      </c>
      <c r="C5212" s="7" t="s">
        <v>11179</v>
      </c>
      <c r="G5212" s="8" t="s">
        <v>15</v>
      </c>
    </row>
    <row r="5213" spans="1:7" hidden="1" x14ac:dyDescent="0.25">
      <c r="A5213" s="21">
        <v>5212</v>
      </c>
      <c r="B5213" s="7" t="s">
        <v>11180</v>
      </c>
      <c r="C5213" s="7" t="s">
        <v>11181</v>
      </c>
      <c r="G5213" s="8" t="s">
        <v>15</v>
      </c>
    </row>
    <row r="5214" spans="1:7" hidden="1" x14ac:dyDescent="0.25">
      <c r="A5214" s="21">
        <v>5213</v>
      </c>
      <c r="B5214" s="7" t="s">
        <v>11182</v>
      </c>
      <c r="C5214" s="7" t="s">
        <v>11183</v>
      </c>
      <c r="G5214" s="8" t="s">
        <v>15</v>
      </c>
    </row>
    <row r="5215" spans="1:7" hidden="1" x14ac:dyDescent="0.25">
      <c r="A5215" s="21">
        <v>5214</v>
      </c>
      <c r="B5215" s="7" t="s">
        <v>11184</v>
      </c>
      <c r="C5215" s="7" t="s">
        <v>11185</v>
      </c>
      <c r="G5215" s="8" t="s">
        <v>15</v>
      </c>
    </row>
    <row r="5216" spans="1:7" hidden="1" x14ac:dyDescent="0.25">
      <c r="A5216" s="21">
        <v>5215</v>
      </c>
      <c r="B5216" s="7" t="s">
        <v>11186</v>
      </c>
      <c r="C5216" s="7" t="s">
        <v>11187</v>
      </c>
      <c r="G5216" s="8" t="s">
        <v>15</v>
      </c>
    </row>
    <row r="5217" spans="1:7" hidden="1" x14ac:dyDescent="0.25">
      <c r="A5217" s="21">
        <v>5216</v>
      </c>
      <c r="B5217" s="7" t="s">
        <v>11188</v>
      </c>
      <c r="C5217" s="7" t="s">
        <v>11189</v>
      </c>
      <c r="G5217" s="8" t="s">
        <v>15</v>
      </c>
    </row>
    <row r="5218" spans="1:7" hidden="1" x14ac:dyDescent="0.25">
      <c r="A5218" s="21">
        <v>5217</v>
      </c>
      <c r="B5218" s="7" t="s">
        <v>11190</v>
      </c>
      <c r="C5218" s="7" t="s">
        <v>11191</v>
      </c>
      <c r="G5218" s="8" t="s">
        <v>15</v>
      </c>
    </row>
    <row r="5219" spans="1:7" hidden="1" x14ac:dyDescent="0.25">
      <c r="A5219" s="21">
        <v>5218</v>
      </c>
      <c r="B5219" s="7" t="s">
        <v>11192</v>
      </c>
      <c r="C5219" s="7" t="s">
        <v>11193</v>
      </c>
      <c r="G5219" s="8" t="s">
        <v>15</v>
      </c>
    </row>
    <row r="5220" spans="1:7" hidden="1" x14ac:dyDescent="0.25">
      <c r="A5220" s="21">
        <v>5219</v>
      </c>
      <c r="B5220" s="7" t="s">
        <v>11194</v>
      </c>
      <c r="C5220" s="7" t="s">
        <v>11195</v>
      </c>
      <c r="G5220" s="8" t="s">
        <v>15</v>
      </c>
    </row>
    <row r="5221" spans="1:7" hidden="1" x14ac:dyDescent="0.25">
      <c r="A5221" s="21">
        <v>5220</v>
      </c>
      <c r="B5221" s="7" t="s">
        <v>11196</v>
      </c>
      <c r="C5221" s="7" t="s">
        <v>11197</v>
      </c>
      <c r="G5221" s="8" t="s">
        <v>15</v>
      </c>
    </row>
    <row r="5222" spans="1:7" hidden="1" x14ac:dyDescent="0.25">
      <c r="A5222" s="21">
        <v>5221</v>
      </c>
      <c r="B5222" s="7" t="s">
        <v>11198</v>
      </c>
      <c r="C5222" s="7" t="s">
        <v>11199</v>
      </c>
      <c r="G5222" s="8" t="s">
        <v>15</v>
      </c>
    </row>
    <row r="5223" spans="1:7" hidden="1" x14ac:dyDescent="0.25">
      <c r="A5223" s="21">
        <v>5222</v>
      </c>
      <c r="B5223" s="7" t="s">
        <v>11200</v>
      </c>
      <c r="C5223" s="7" t="s">
        <v>11201</v>
      </c>
      <c r="G5223" s="8" t="s">
        <v>15</v>
      </c>
    </row>
    <row r="5224" spans="1:7" hidden="1" x14ac:dyDescent="0.25">
      <c r="A5224" s="21">
        <v>5223</v>
      </c>
      <c r="B5224" s="7" t="s">
        <v>11202</v>
      </c>
      <c r="C5224" s="7" t="s">
        <v>11203</v>
      </c>
      <c r="G5224" s="8" t="s">
        <v>15</v>
      </c>
    </row>
    <row r="5225" spans="1:7" hidden="1" x14ac:dyDescent="0.25">
      <c r="A5225" s="21">
        <v>5224</v>
      </c>
      <c r="B5225" s="7" t="s">
        <v>11204</v>
      </c>
      <c r="C5225" s="7" t="s">
        <v>11205</v>
      </c>
      <c r="G5225" s="8" t="s">
        <v>15</v>
      </c>
    </row>
    <row r="5226" spans="1:7" hidden="1" x14ac:dyDescent="0.25">
      <c r="A5226" s="21">
        <v>5225</v>
      </c>
      <c r="B5226" s="7" t="s">
        <v>11206</v>
      </c>
      <c r="C5226" s="7" t="s">
        <v>11207</v>
      </c>
      <c r="G5226" s="8" t="s">
        <v>15</v>
      </c>
    </row>
    <row r="5227" spans="1:7" hidden="1" x14ac:dyDescent="0.25">
      <c r="A5227" s="21">
        <v>5226</v>
      </c>
      <c r="B5227" s="7" t="s">
        <v>11208</v>
      </c>
      <c r="C5227" s="7" t="s">
        <v>11209</v>
      </c>
      <c r="G5227" s="8" t="s">
        <v>15</v>
      </c>
    </row>
    <row r="5228" spans="1:7" hidden="1" x14ac:dyDescent="0.25">
      <c r="A5228" s="21">
        <v>5227</v>
      </c>
      <c r="B5228" s="7" t="s">
        <v>11210</v>
      </c>
      <c r="C5228" s="7" t="s">
        <v>11211</v>
      </c>
      <c r="G5228" s="8" t="s">
        <v>15</v>
      </c>
    </row>
    <row r="5229" spans="1:7" hidden="1" x14ac:dyDescent="0.25">
      <c r="A5229" s="21">
        <v>5228</v>
      </c>
      <c r="B5229" s="7" t="s">
        <v>11212</v>
      </c>
      <c r="C5229" s="7" t="s">
        <v>11213</v>
      </c>
      <c r="G5229" s="8" t="s">
        <v>15</v>
      </c>
    </row>
    <row r="5230" spans="1:7" hidden="1" x14ac:dyDescent="0.25">
      <c r="A5230" s="21">
        <v>5229</v>
      </c>
      <c r="B5230" s="7" t="s">
        <v>11214</v>
      </c>
      <c r="C5230" s="7" t="s">
        <v>11215</v>
      </c>
      <c r="G5230" s="8" t="s">
        <v>15</v>
      </c>
    </row>
    <row r="5231" spans="1:7" hidden="1" x14ac:dyDescent="0.25">
      <c r="A5231" s="21">
        <v>5230</v>
      </c>
      <c r="B5231" s="7" t="s">
        <v>11216</v>
      </c>
      <c r="C5231" s="7" t="s">
        <v>11217</v>
      </c>
      <c r="G5231" s="8" t="s">
        <v>15</v>
      </c>
    </row>
    <row r="5232" spans="1:7" hidden="1" x14ac:dyDescent="0.25">
      <c r="A5232" s="21">
        <v>5231</v>
      </c>
      <c r="B5232" s="7" t="s">
        <v>11218</v>
      </c>
      <c r="C5232" s="7" t="s">
        <v>11219</v>
      </c>
      <c r="G5232" s="8" t="s">
        <v>15</v>
      </c>
    </row>
    <row r="5233" spans="1:7" hidden="1" x14ac:dyDescent="0.25">
      <c r="A5233" s="21">
        <v>5232</v>
      </c>
      <c r="B5233" s="7" t="s">
        <v>11220</v>
      </c>
      <c r="C5233" s="7" t="s">
        <v>11221</v>
      </c>
      <c r="G5233" s="8" t="s">
        <v>15</v>
      </c>
    </row>
    <row r="5234" spans="1:7" hidden="1" x14ac:dyDescent="0.25">
      <c r="A5234" s="21">
        <v>5233</v>
      </c>
      <c r="B5234" s="7" t="s">
        <v>11222</v>
      </c>
      <c r="C5234" s="7" t="s">
        <v>11223</v>
      </c>
      <c r="G5234" s="8" t="s">
        <v>15</v>
      </c>
    </row>
    <row r="5235" spans="1:7" hidden="1" x14ac:dyDescent="0.25">
      <c r="A5235" s="21">
        <v>5234</v>
      </c>
      <c r="B5235" s="7" t="s">
        <v>11224</v>
      </c>
      <c r="C5235" s="7" t="s">
        <v>11225</v>
      </c>
      <c r="G5235" s="8" t="s">
        <v>15</v>
      </c>
    </row>
    <row r="5236" spans="1:7" hidden="1" x14ac:dyDescent="0.25">
      <c r="A5236" s="21">
        <v>5235</v>
      </c>
      <c r="B5236" s="7" t="s">
        <v>11226</v>
      </c>
      <c r="C5236" s="7" t="s">
        <v>11227</v>
      </c>
      <c r="G5236" s="8" t="s">
        <v>15</v>
      </c>
    </row>
    <row r="5237" spans="1:7" hidden="1" x14ac:dyDescent="0.25">
      <c r="A5237" s="21">
        <v>5236</v>
      </c>
      <c r="B5237" s="7" t="s">
        <v>11228</v>
      </c>
      <c r="C5237" s="7" t="s">
        <v>11229</v>
      </c>
      <c r="G5237" s="8" t="s">
        <v>15</v>
      </c>
    </row>
    <row r="5238" spans="1:7" hidden="1" x14ac:dyDescent="0.25">
      <c r="A5238" s="21">
        <v>5237</v>
      </c>
      <c r="B5238" s="7" t="s">
        <v>11230</v>
      </c>
      <c r="C5238" s="7" t="s">
        <v>11231</v>
      </c>
      <c r="G5238" s="8" t="s">
        <v>15</v>
      </c>
    </row>
    <row r="5239" spans="1:7" hidden="1" x14ac:dyDescent="0.25">
      <c r="A5239" s="21">
        <v>5238</v>
      </c>
      <c r="B5239" s="7" t="s">
        <v>11232</v>
      </c>
      <c r="C5239" s="7" t="s">
        <v>11233</v>
      </c>
      <c r="G5239" s="8" t="s">
        <v>15</v>
      </c>
    </row>
    <row r="5240" spans="1:7" hidden="1" x14ac:dyDescent="0.25">
      <c r="A5240" s="21">
        <v>5239</v>
      </c>
      <c r="B5240" s="7" t="s">
        <v>11234</v>
      </c>
      <c r="C5240" s="7" t="s">
        <v>11235</v>
      </c>
      <c r="G5240" s="8" t="s">
        <v>15</v>
      </c>
    </row>
    <row r="5241" spans="1:7" hidden="1" x14ac:dyDescent="0.25">
      <c r="A5241" s="21">
        <v>5240</v>
      </c>
      <c r="B5241" s="7" t="s">
        <v>11236</v>
      </c>
      <c r="C5241" s="7" t="s">
        <v>11237</v>
      </c>
      <c r="G5241" s="8" t="s">
        <v>15</v>
      </c>
    </row>
    <row r="5242" spans="1:7" hidden="1" x14ac:dyDescent="0.25">
      <c r="A5242" s="21">
        <v>5241</v>
      </c>
      <c r="B5242" s="7" t="s">
        <v>11238</v>
      </c>
      <c r="C5242" s="7" t="s">
        <v>11239</v>
      </c>
      <c r="G5242" s="8" t="s">
        <v>15</v>
      </c>
    </row>
    <row r="5243" spans="1:7" hidden="1" x14ac:dyDescent="0.25">
      <c r="A5243" s="21">
        <v>5242</v>
      </c>
      <c r="B5243" s="7" t="s">
        <v>11240</v>
      </c>
      <c r="C5243" s="7" t="s">
        <v>11241</v>
      </c>
      <c r="G5243" s="8" t="s">
        <v>15</v>
      </c>
    </row>
    <row r="5244" spans="1:7" hidden="1" x14ac:dyDescent="0.25">
      <c r="A5244" s="21">
        <v>5243</v>
      </c>
      <c r="B5244" s="7" t="s">
        <v>11242</v>
      </c>
      <c r="C5244" s="7" t="s">
        <v>11243</v>
      </c>
      <c r="G5244" s="8" t="s">
        <v>15</v>
      </c>
    </row>
    <row r="5245" spans="1:7" hidden="1" x14ac:dyDescent="0.25">
      <c r="A5245" s="21">
        <v>5244</v>
      </c>
      <c r="B5245" s="7" t="s">
        <v>11244</v>
      </c>
      <c r="C5245" s="7" t="s">
        <v>11245</v>
      </c>
      <c r="G5245" s="8" t="s">
        <v>15</v>
      </c>
    </row>
    <row r="5246" spans="1:7" hidden="1" x14ac:dyDescent="0.25">
      <c r="A5246" s="21">
        <v>5245</v>
      </c>
      <c r="B5246" s="7" t="s">
        <v>11246</v>
      </c>
      <c r="C5246" s="7" t="s">
        <v>11247</v>
      </c>
      <c r="G5246" s="8" t="s">
        <v>15</v>
      </c>
    </row>
    <row r="5247" spans="1:7" hidden="1" x14ac:dyDescent="0.25">
      <c r="A5247" s="21">
        <v>5246</v>
      </c>
      <c r="B5247" s="7" t="s">
        <v>11248</v>
      </c>
      <c r="C5247" s="7" t="s">
        <v>11249</v>
      </c>
      <c r="G5247" s="8" t="s">
        <v>15</v>
      </c>
    </row>
    <row r="5248" spans="1:7" hidden="1" x14ac:dyDescent="0.25">
      <c r="A5248" s="21">
        <v>5247</v>
      </c>
      <c r="B5248" s="7" t="s">
        <v>11250</v>
      </c>
      <c r="C5248" s="7" t="s">
        <v>11251</v>
      </c>
      <c r="G5248" s="8" t="s">
        <v>15</v>
      </c>
    </row>
    <row r="5249" spans="1:7" hidden="1" x14ac:dyDescent="0.25">
      <c r="A5249" s="21">
        <v>5248</v>
      </c>
      <c r="B5249" s="7" t="s">
        <v>11252</v>
      </c>
      <c r="C5249" s="7" t="s">
        <v>11253</v>
      </c>
      <c r="G5249" s="8" t="s">
        <v>15</v>
      </c>
    </row>
    <row r="5250" spans="1:7" hidden="1" x14ac:dyDescent="0.25">
      <c r="A5250" s="21">
        <v>5249</v>
      </c>
      <c r="B5250" s="7" t="s">
        <v>11254</v>
      </c>
      <c r="C5250" s="7" t="s">
        <v>11255</v>
      </c>
      <c r="G5250" s="8" t="s">
        <v>15</v>
      </c>
    </row>
    <row r="5251" spans="1:7" hidden="1" x14ac:dyDescent="0.25">
      <c r="A5251" s="21">
        <v>5250</v>
      </c>
      <c r="B5251" s="7" t="s">
        <v>11256</v>
      </c>
      <c r="C5251" s="7" t="s">
        <v>11257</v>
      </c>
      <c r="G5251" s="8" t="s">
        <v>15</v>
      </c>
    </row>
    <row r="5252" spans="1:7" hidden="1" x14ac:dyDescent="0.25">
      <c r="A5252" s="21">
        <v>5251</v>
      </c>
      <c r="B5252" s="7" t="s">
        <v>11258</v>
      </c>
      <c r="C5252" s="7" t="s">
        <v>11259</v>
      </c>
      <c r="G5252" s="8" t="s">
        <v>15</v>
      </c>
    </row>
    <row r="5253" spans="1:7" hidden="1" x14ac:dyDescent="0.25">
      <c r="A5253" s="21">
        <v>5252</v>
      </c>
      <c r="B5253" s="7" t="s">
        <v>11260</v>
      </c>
      <c r="C5253" s="7" t="s">
        <v>11261</v>
      </c>
      <c r="G5253" s="8" t="s">
        <v>15</v>
      </c>
    </row>
    <row r="5254" spans="1:7" hidden="1" x14ac:dyDescent="0.25">
      <c r="A5254" s="21">
        <v>5253</v>
      </c>
      <c r="B5254" s="7" t="s">
        <v>11262</v>
      </c>
      <c r="C5254" s="7" t="s">
        <v>11263</v>
      </c>
      <c r="G5254" s="8" t="s">
        <v>15</v>
      </c>
    </row>
    <row r="5255" spans="1:7" hidden="1" x14ac:dyDescent="0.25">
      <c r="A5255" s="21">
        <v>5254</v>
      </c>
      <c r="B5255" s="7" t="s">
        <v>11264</v>
      </c>
      <c r="C5255" s="7" t="s">
        <v>11265</v>
      </c>
      <c r="G5255" s="8" t="s">
        <v>15</v>
      </c>
    </row>
    <row r="5256" spans="1:7" hidden="1" x14ac:dyDescent="0.25">
      <c r="A5256" s="21">
        <v>5255</v>
      </c>
      <c r="B5256" s="7" t="s">
        <v>11266</v>
      </c>
      <c r="C5256" s="7" t="s">
        <v>11267</v>
      </c>
      <c r="G5256" s="8" t="s">
        <v>15</v>
      </c>
    </row>
    <row r="5257" spans="1:7" hidden="1" x14ac:dyDescent="0.25">
      <c r="A5257" s="21">
        <v>5256</v>
      </c>
      <c r="B5257" s="7" t="s">
        <v>11268</v>
      </c>
      <c r="C5257" s="7" t="s">
        <v>11269</v>
      </c>
      <c r="G5257" s="8" t="s">
        <v>15</v>
      </c>
    </row>
    <row r="5258" spans="1:7" hidden="1" x14ac:dyDescent="0.25">
      <c r="A5258" s="21">
        <v>5257</v>
      </c>
      <c r="B5258" s="7" t="s">
        <v>11270</v>
      </c>
      <c r="C5258" s="7" t="s">
        <v>11271</v>
      </c>
      <c r="G5258" s="8" t="s">
        <v>15</v>
      </c>
    </row>
    <row r="5259" spans="1:7" hidden="1" x14ac:dyDescent="0.25">
      <c r="A5259" s="21">
        <v>5258</v>
      </c>
      <c r="B5259" s="7" t="s">
        <v>11272</v>
      </c>
      <c r="C5259" s="7" t="s">
        <v>11273</v>
      </c>
      <c r="G5259" s="8" t="s">
        <v>15</v>
      </c>
    </row>
    <row r="5260" spans="1:7" hidden="1" x14ac:dyDescent="0.25">
      <c r="A5260" s="21">
        <v>5259</v>
      </c>
      <c r="B5260" s="7" t="s">
        <v>11274</v>
      </c>
      <c r="C5260" s="7" t="s">
        <v>11275</v>
      </c>
      <c r="G5260" s="8" t="s">
        <v>15</v>
      </c>
    </row>
    <row r="5261" spans="1:7" hidden="1" x14ac:dyDescent="0.25">
      <c r="A5261" s="21">
        <v>5260</v>
      </c>
      <c r="B5261" s="7" t="s">
        <v>11276</v>
      </c>
      <c r="C5261" s="7" t="s">
        <v>11277</v>
      </c>
      <c r="G5261" s="8" t="s">
        <v>15</v>
      </c>
    </row>
    <row r="5262" spans="1:7" hidden="1" x14ac:dyDescent="0.25">
      <c r="A5262" s="21">
        <v>5261</v>
      </c>
      <c r="B5262" s="7" t="s">
        <v>11278</v>
      </c>
      <c r="C5262" s="7" t="s">
        <v>11279</v>
      </c>
      <c r="G5262" s="8" t="s">
        <v>15</v>
      </c>
    </row>
    <row r="5263" spans="1:7" hidden="1" x14ac:dyDescent="0.25">
      <c r="A5263" s="21">
        <v>5262</v>
      </c>
      <c r="B5263" s="7" t="s">
        <v>11280</v>
      </c>
      <c r="C5263" s="7" t="s">
        <v>11281</v>
      </c>
      <c r="G5263" s="8" t="s">
        <v>15</v>
      </c>
    </row>
    <row r="5264" spans="1:7" hidden="1" x14ac:dyDescent="0.25">
      <c r="A5264" s="21">
        <v>5263</v>
      </c>
      <c r="B5264" s="7" t="s">
        <v>11282</v>
      </c>
      <c r="C5264" s="7" t="s">
        <v>11283</v>
      </c>
      <c r="G5264" s="8" t="s">
        <v>15</v>
      </c>
    </row>
    <row r="5265" spans="1:7" hidden="1" x14ac:dyDescent="0.25">
      <c r="A5265" s="21">
        <v>5264</v>
      </c>
      <c r="B5265" s="7" t="s">
        <v>11284</v>
      </c>
      <c r="C5265" s="7" t="s">
        <v>11285</v>
      </c>
      <c r="G5265" s="8" t="s">
        <v>15</v>
      </c>
    </row>
    <row r="5266" spans="1:7" hidden="1" x14ac:dyDescent="0.25">
      <c r="A5266" s="21">
        <v>5265</v>
      </c>
      <c r="B5266" s="7" t="s">
        <v>11286</v>
      </c>
      <c r="C5266" s="7" t="s">
        <v>11287</v>
      </c>
      <c r="G5266" s="8" t="s">
        <v>15</v>
      </c>
    </row>
    <row r="5267" spans="1:7" hidden="1" x14ac:dyDescent="0.25">
      <c r="A5267" s="21">
        <v>5266</v>
      </c>
      <c r="B5267" s="7" t="s">
        <v>11288</v>
      </c>
      <c r="C5267" s="7" t="s">
        <v>11289</v>
      </c>
      <c r="G5267" s="8" t="s">
        <v>15</v>
      </c>
    </row>
    <row r="5268" spans="1:7" hidden="1" x14ac:dyDescent="0.25">
      <c r="A5268" s="21">
        <v>5267</v>
      </c>
      <c r="B5268" s="7" t="s">
        <v>11290</v>
      </c>
      <c r="C5268" s="7" t="s">
        <v>11291</v>
      </c>
      <c r="G5268" s="8" t="s">
        <v>15</v>
      </c>
    </row>
    <row r="5269" spans="1:7" hidden="1" x14ac:dyDescent="0.25">
      <c r="A5269" s="21">
        <v>5268</v>
      </c>
      <c r="B5269" s="7" t="s">
        <v>11292</v>
      </c>
      <c r="C5269" s="7" t="s">
        <v>11293</v>
      </c>
      <c r="G5269" s="8" t="s">
        <v>15</v>
      </c>
    </row>
    <row r="5270" spans="1:7" hidden="1" x14ac:dyDescent="0.25">
      <c r="A5270" s="21">
        <v>5269</v>
      </c>
      <c r="B5270" s="7" t="s">
        <v>11294</v>
      </c>
      <c r="C5270" s="7" t="s">
        <v>11295</v>
      </c>
      <c r="G5270" s="8" t="s">
        <v>15</v>
      </c>
    </row>
    <row r="5271" spans="1:7" hidden="1" x14ac:dyDescent="0.25">
      <c r="A5271" s="21">
        <v>5270</v>
      </c>
      <c r="B5271" s="7" t="s">
        <v>11296</v>
      </c>
      <c r="C5271" s="7" t="s">
        <v>11297</v>
      </c>
      <c r="G5271" s="8" t="s">
        <v>15</v>
      </c>
    </row>
    <row r="5272" spans="1:7" hidden="1" x14ac:dyDescent="0.25">
      <c r="A5272" s="21">
        <v>5271</v>
      </c>
      <c r="B5272" s="7" t="s">
        <v>11298</v>
      </c>
      <c r="C5272" s="7" t="s">
        <v>11299</v>
      </c>
      <c r="G5272" s="8" t="s">
        <v>15</v>
      </c>
    </row>
    <row r="5273" spans="1:7" hidden="1" x14ac:dyDescent="0.25">
      <c r="A5273" s="21">
        <v>5272</v>
      </c>
      <c r="B5273" s="7" t="s">
        <v>11300</v>
      </c>
      <c r="C5273" s="7" t="s">
        <v>11301</v>
      </c>
      <c r="G5273" s="8" t="s">
        <v>15</v>
      </c>
    </row>
    <row r="5274" spans="1:7" hidden="1" x14ac:dyDescent="0.25">
      <c r="A5274" s="21">
        <v>5273</v>
      </c>
      <c r="B5274" s="7" t="s">
        <v>11302</v>
      </c>
      <c r="C5274" s="7" t="s">
        <v>11303</v>
      </c>
      <c r="G5274" s="8" t="s">
        <v>15</v>
      </c>
    </row>
    <row r="5275" spans="1:7" hidden="1" x14ac:dyDescent="0.25">
      <c r="A5275" s="21">
        <v>5274</v>
      </c>
      <c r="B5275" s="7" t="s">
        <v>11304</v>
      </c>
      <c r="C5275" s="7" t="s">
        <v>11305</v>
      </c>
      <c r="G5275" s="8" t="s">
        <v>15</v>
      </c>
    </row>
    <row r="5276" spans="1:7" hidden="1" x14ac:dyDescent="0.25">
      <c r="A5276" s="21">
        <v>5275</v>
      </c>
      <c r="B5276" s="7" t="s">
        <v>11306</v>
      </c>
      <c r="C5276" s="7" t="s">
        <v>11307</v>
      </c>
      <c r="G5276" s="8" t="s">
        <v>15</v>
      </c>
    </row>
    <row r="5277" spans="1:7" hidden="1" x14ac:dyDescent="0.25">
      <c r="A5277" s="21">
        <v>5276</v>
      </c>
      <c r="B5277" s="7" t="s">
        <v>11308</v>
      </c>
      <c r="C5277" s="7" t="s">
        <v>11309</v>
      </c>
      <c r="G5277" s="8" t="s">
        <v>15</v>
      </c>
    </row>
    <row r="5278" spans="1:7" hidden="1" x14ac:dyDescent="0.25">
      <c r="A5278" s="21">
        <v>5277</v>
      </c>
      <c r="B5278" s="7" t="s">
        <v>11310</v>
      </c>
      <c r="C5278" s="7" t="s">
        <v>11311</v>
      </c>
      <c r="G5278" s="8" t="s">
        <v>15</v>
      </c>
    </row>
    <row r="5279" spans="1:7" hidden="1" x14ac:dyDescent="0.25">
      <c r="A5279" s="21">
        <v>5278</v>
      </c>
      <c r="B5279" s="7" t="s">
        <v>11312</v>
      </c>
      <c r="C5279" s="7" t="s">
        <v>11313</v>
      </c>
      <c r="G5279" s="8" t="s">
        <v>15</v>
      </c>
    </row>
    <row r="5280" spans="1:7" hidden="1" x14ac:dyDescent="0.25">
      <c r="A5280" s="21">
        <v>5279</v>
      </c>
      <c r="B5280" s="7" t="s">
        <v>11314</v>
      </c>
      <c r="C5280" s="7" t="s">
        <v>11315</v>
      </c>
      <c r="G5280" s="8" t="s">
        <v>15</v>
      </c>
    </row>
    <row r="5281" spans="1:7" hidden="1" x14ac:dyDescent="0.25">
      <c r="A5281" s="21">
        <v>5280</v>
      </c>
      <c r="B5281" s="7" t="s">
        <v>11316</v>
      </c>
      <c r="C5281" s="7" t="s">
        <v>11317</v>
      </c>
      <c r="G5281" s="8" t="s">
        <v>15</v>
      </c>
    </row>
    <row r="5282" spans="1:7" hidden="1" x14ac:dyDescent="0.25">
      <c r="A5282" s="21">
        <v>5281</v>
      </c>
      <c r="B5282" s="7" t="s">
        <v>11318</v>
      </c>
      <c r="C5282" s="7" t="s">
        <v>11319</v>
      </c>
      <c r="G5282" s="8" t="s">
        <v>15</v>
      </c>
    </row>
    <row r="5283" spans="1:7" hidden="1" x14ac:dyDescent="0.25">
      <c r="A5283" s="21">
        <v>5282</v>
      </c>
      <c r="B5283" s="7" t="s">
        <v>11320</v>
      </c>
      <c r="C5283" s="7" t="s">
        <v>11321</v>
      </c>
      <c r="G5283" s="8" t="s">
        <v>15</v>
      </c>
    </row>
    <row r="5284" spans="1:7" hidden="1" x14ac:dyDescent="0.25">
      <c r="A5284" s="21">
        <v>5283</v>
      </c>
      <c r="B5284" s="7" t="s">
        <v>11322</v>
      </c>
      <c r="C5284" s="7" t="s">
        <v>11323</v>
      </c>
      <c r="G5284" s="8" t="s">
        <v>15</v>
      </c>
    </row>
    <row r="5285" spans="1:7" hidden="1" x14ac:dyDescent="0.25">
      <c r="A5285" s="21">
        <v>5284</v>
      </c>
      <c r="B5285" s="7" t="s">
        <v>11324</v>
      </c>
      <c r="C5285" s="7" t="s">
        <v>11325</v>
      </c>
      <c r="G5285" s="8" t="s">
        <v>15</v>
      </c>
    </row>
    <row r="5286" spans="1:7" hidden="1" x14ac:dyDescent="0.25">
      <c r="A5286" s="21">
        <v>5285</v>
      </c>
      <c r="B5286" s="7" t="s">
        <v>11326</v>
      </c>
      <c r="C5286" s="7" t="s">
        <v>11327</v>
      </c>
      <c r="G5286" s="8" t="s">
        <v>15</v>
      </c>
    </row>
    <row r="5287" spans="1:7" hidden="1" x14ac:dyDescent="0.25">
      <c r="A5287" s="21">
        <v>5286</v>
      </c>
      <c r="B5287" s="7" t="s">
        <v>11328</v>
      </c>
      <c r="C5287" s="7" t="s">
        <v>11329</v>
      </c>
      <c r="G5287" s="8" t="s">
        <v>15</v>
      </c>
    </row>
    <row r="5288" spans="1:7" hidden="1" x14ac:dyDescent="0.25">
      <c r="A5288" s="21">
        <v>5287</v>
      </c>
      <c r="B5288" s="7" t="s">
        <v>11330</v>
      </c>
      <c r="C5288" s="7" t="s">
        <v>11331</v>
      </c>
      <c r="G5288" s="8" t="s">
        <v>15</v>
      </c>
    </row>
    <row r="5289" spans="1:7" hidden="1" x14ac:dyDescent="0.25">
      <c r="A5289" s="21">
        <v>5288</v>
      </c>
      <c r="B5289" s="7" t="s">
        <v>11332</v>
      </c>
      <c r="C5289" s="7" t="s">
        <v>11333</v>
      </c>
      <c r="G5289" s="8" t="s">
        <v>15</v>
      </c>
    </row>
    <row r="5290" spans="1:7" hidden="1" x14ac:dyDescent="0.25">
      <c r="A5290" s="21">
        <v>5289</v>
      </c>
      <c r="B5290" s="7" t="s">
        <v>11334</v>
      </c>
      <c r="C5290" s="7" t="s">
        <v>11335</v>
      </c>
      <c r="G5290" s="8" t="s">
        <v>15</v>
      </c>
    </row>
    <row r="5291" spans="1:7" hidden="1" x14ac:dyDescent="0.25">
      <c r="A5291" s="21">
        <v>5290</v>
      </c>
      <c r="B5291" s="7" t="s">
        <v>11336</v>
      </c>
      <c r="C5291" s="7" t="s">
        <v>11337</v>
      </c>
      <c r="G5291" s="8" t="s">
        <v>15</v>
      </c>
    </row>
    <row r="5292" spans="1:7" hidden="1" x14ac:dyDescent="0.25">
      <c r="A5292" s="21">
        <v>5291</v>
      </c>
      <c r="B5292" s="7" t="s">
        <v>11338</v>
      </c>
      <c r="C5292" s="7" t="s">
        <v>11339</v>
      </c>
      <c r="G5292" s="8" t="s">
        <v>15</v>
      </c>
    </row>
    <row r="5293" spans="1:7" hidden="1" x14ac:dyDescent="0.25">
      <c r="A5293" s="21">
        <v>5292</v>
      </c>
      <c r="B5293" s="7" t="s">
        <v>11340</v>
      </c>
      <c r="C5293" s="7" t="s">
        <v>11341</v>
      </c>
      <c r="G5293" s="8" t="s">
        <v>15</v>
      </c>
    </row>
    <row r="5294" spans="1:7" hidden="1" x14ac:dyDescent="0.25">
      <c r="A5294" s="21">
        <v>5293</v>
      </c>
      <c r="B5294" s="7" t="s">
        <v>11342</v>
      </c>
      <c r="C5294" s="7" t="s">
        <v>11343</v>
      </c>
      <c r="G5294" s="8" t="s">
        <v>15</v>
      </c>
    </row>
    <row r="5295" spans="1:7" hidden="1" x14ac:dyDescent="0.25">
      <c r="A5295" s="21">
        <v>5294</v>
      </c>
      <c r="B5295" s="7" t="s">
        <v>11344</v>
      </c>
      <c r="C5295" s="7" t="s">
        <v>11345</v>
      </c>
      <c r="G5295" s="8" t="s">
        <v>15</v>
      </c>
    </row>
    <row r="5296" spans="1:7" hidden="1" x14ac:dyDescent="0.25">
      <c r="A5296" s="21">
        <v>5295</v>
      </c>
      <c r="B5296" s="7" t="s">
        <v>11346</v>
      </c>
      <c r="C5296" s="7" t="s">
        <v>11347</v>
      </c>
      <c r="G5296" s="8" t="s">
        <v>15</v>
      </c>
    </row>
    <row r="5297" spans="1:7" hidden="1" x14ac:dyDescent="0.25">
      <c r="A5297" s="21">
        <v>5296</v>
      </c>
      <c r="B5297" s="7" t="s">
        <v>11348</v>
      </c>
      <c r="C5297" s="7" t="s">
        <v>11349</v>
      </c>
      <c r="G5297" s="8" t="s">
        <v>15</v>
      </c>
    </row>
    <row r="5298" spans="1:7" hidden="1" x14ac:dyDescent="0.25">
      <c r="A5298" s="21">
        <v>5297</v>
      </c>
      <c r="B5298" s="7" t="s">
        <v>11350</v>
      </c>
      <c r="C5298" s="7" t="s">
        <v>11351</v>
      </c>
      <c r="G5298" s="8" t="s">
        <v>15</v>
      </c>
    </row>
    <row r="5299" spans="1:7" hidden="1" x14ac:dyDescent="0.25">
      <c r="A5299" s="21">
        <v>5298</v>
      </c>
      <c r="B5299" s="7" t="s">
        <v>11352</v>
      </c>
      <c r="C5299" s="7" t="s">
        <v>11353</v>
      </c>
      <c r="G5299" s="8" t="s">
        <v>15</v>
      </c>
    </row>
    <row r="5300" spans="1:7" hidden="1" x14ac:dyDescent="0.25">
      <c r="A5300" s="21">
        <v>5299</v>
      </c>
      <c r="B5300" s="7" t="s">
        <v>11354</v>
      </c>
      <c r="C5300" s="7" t="s">
        <v>11355</v>
      </c>
      <c r="G5300" s="8" t="s">
        <v>15</v>
      </c>
    </row>
    <row r="5301" spans="1:7" hidden="1" x14ac:dyDescent="0.25">
      <c r="A5301" s="21">
        <v>5300</v>
      </c>
      <c r="B5301" s="7" t="s">
        <v>11356</v>
      </c>
      <c r="C5301" s="7" t="s">
        <v>11357</v>
      </c>
      <c r="G5301" s="8" t="s">
        <v>15</v>
      </c>
    </row>
    <row r="5302" spans="1:7" hidden="1" x14ac:dyDescent="0.25">
      <c r="A5302" s="21">
        <v>5301</v>
      </c>
      <c r="B5302" s="7" t="s">
        <v>11358</v>
      </c>
      <c r="C5302" s="7" t="s">
        <v>11359</v>
      </c>
      <c r="G5302" s="8" t="s">
        <v>15</v>
      </c>
    </row>
    <row r="5303" spans="1:7" hidden="1" x14ac:dyDescent="0.25">
      <c r="A5303" s="21">
        <v>5302</v>
      </c>
      <c r="B5303" s="7" t="s">
        <v>11360</v>
      </c>
      <c r="C5303" s="7" t="s">
        <v>11361</v>
      </c>
      <c r="G5303" s="8" t="s">
        <v>15</v>
      </c>
    </row>
    <row r="5304" spans="1:7" hidden="1" x14ac:dyDescent="0.25">
      <c r="A5304" s="21">
        <v>5303</v>
      </c>
      <c r="B5304" s="7" t="s">
        <v>11362</v>
      </c>
      <c r="C5304" s="7" t="s">
        <v>11363</v>
      </c>
      <c r="G5304" s="8" t="s">
        <v>15</v>
      </c>
    </row>
    <row r="5305" spans="1:7" hidden="1" x14ac:dyDescent="0.25">
      <c r="A5305" s="21">
        <v>5304</v>
      </c>
      <c r="B5305" s="7" t="s">
        <v>11364</v>
      </c>
      <c r="C5305" s="7" t="s">
        <v>11365</v>
      </c>
      <c r="G5305" s="8" t="s">
        <v>15</v>
      </c>
    </row>
    <row r="5306" spans="1:7" hidden="1" x14ac:dyDescent="0.25">
      <c r="A5306" s="21">
        <v>5305</v>
      </c>
      <c r="B5306" s="7" t="s">
        <v>11366</v>
      </c>
      <c r="C5306" s="7" t="s">
        <v>11367</v>
      </c>
      <c r="G5306" s="8" t="s">
        <v>15</v>
      </c>
    </row>
    <row r="5307" spans="1:7" hidden="1" x14ac:dyDescent="0.25">
      <c r="A5307" s="21">
        <v>5306</v>
      </c>
      <c r="B5307" s="7" t="s">
        <v>11368</v>
      </c>
      <c r="C5307" s="7" t="s">
        <v>11369</v>
      </c>
      <c r="G5307" s="8" t="s">
        <v>15</v>
      </c>
    </row>
    <row r="5308" spans="1:7" hidden="1" x14ac:dyDescent="0.25">
      <c r="A5308" s="21">
        <v>5307</v>
      </c>
      <c r="B5308" s="7" t="s">
        <v>11370</v>
      </c>
      <c r="C5308" s="7" t="s">
        <v>11371</v>
      </c>
      <c r="G5308" s="8" t="s">
        <v>15</v>
      </c>
    </row>
    <row r="5309" spans="1:7" hidden="1" x14ac:dyDescent="0.25">
      <c r="A5309" s="21">
        <v>5308</v>
      </c>
      <c r="B5309" s="7" t="s">
        <v>11372</v>
      </c>
      <c r="C5309" s="7" t="s">
        <v>11373</v>
      </c>
      <c r="G5309" s="8" t="s">
        <v>15</v>
      </c>
    </row>
    <row r="5310" spans="1:7" hidden="1" x14ac:dyDescent="0.25">
      <c r="A5310" s="21">
        <v>5309</v>
      </c>
      <c r="B5310" s="7" t="s">
        <v>11374</v>
      </c>
      <c r="C5310" s="7" t="s">
        <v>11375</v>
      </c>
      <c r="G5310" s="8" t="s">
        <v>15</v>
      </c>
    </row>
    <row r="5311" spans="1:7" hidden="1" x14ac:dyDescent="0.25">
      <c r="A5311" s="21">
        <v>5310</v>
      </c>
      <c r="B5311" s="7" t="s">
        <v>11376</v>
      </c>
      <c r="C5311" s="7" t="s">
        <v>11377</v>
      </c>
      <c r="G5311" s="8" t="s">
        <v>15</v>
      </c>
    </row>
    <row r="5312" spans="1:7" hidden="1" x14ac:dyDescent="0.25">
      <c r="A5312" s="21">
        <v>5311</v>
      </c>
      <c r="B5312" s="7" t="s">
        <v>11378</v>
      </c>
      <c r="C5312" s="7" t="s">
        <v>11379</v>
      </c>
      <c r="G5312" s="8" t="s">
        <v>15</v>
      </c>
    </row>
    <row r="5313" spans="1:7" hidden="1" x14ac:dyDescent="0.25">
      <c r="A5313" s="21">
        <v>5312</v>
      </c>
      <c r="B5313" s="7" t="s">
        <v>11380</v>
      </c>
      <c r="C5313" s="7" t="s">
        <v>11381</v>
      </c>
      <c r="G5313" s="8" t="s">
        <v>15</v>
      </c>
    </row>
    <row r="5314" spans="1:7" hidden="1" x14ac:dyDescent="0.25">
      <c r="A5314" s="21">
        <v>5313</v>
      </c>
      <c r="B5314" s="7" t="s">
        <v>11382</v>
      </c>
      <c r="C5314" s="7" t="s">
        <v>11383</v>
      </c>
      <c r="G5314" s="8" t="s">
        <v>15</v>
      </c>
    </row>
    <row r="5315" spans="1:7" hidden="1" x14ac:dyDescent="0.25">
      <c r="A5315" s="21">
        <v>5314</v>
      </c>
      <c r="B5315" s="7" t="s">
        <v>11384</v>
      </c>
      <c r="C5315" s="7" t="s">
        <v>11385</v>
      </c>
      <c r="G5315" s="8" t="s">
        <v>15</v>
      </c>
    </row>
    <row r="5316" spans="1:7" hidden="1" x14ac:dyDescent="0.25">
      <c r="A5316" s="21">
        <v>5315</v>
      </c>
      <c r="B5316" s="7" t="s">
        <v>11386</v>
      </c>
      <c r="C5316" s="7" t="s">
        <v>11387</v>
      </c>
      <c r="G5316" s="8" t="s">
        <v>15</v>
      </c>
    </row>
    <row r="5317" spans="1:7" hidden="1" x14ac:dyDescent="0.25">
      <c r="A5317" s="21">
        <v>5316</v>
      </c>
      <c r="B5317" s="7" t="s">
        <v>11388</v>
      </c>
      <c r="C5317" s="7" t="s">
        <v>11389</v>
      </c>
      <c r="G5317" s="8" t="s">
        <v>15</v>
      </c>
    </row>
    <row r="5318" spans="1:7" hidden="1" x14ac:dyDescent="0.25">
      <c r="A5318" s="21">
        <v>5317</v>
      </c>
      <c r="B5318" s="7" t="s">
        <v>11390</v>
      </c>
      <c r="C5318" s="7" t="s">
        <v>11391</v>
      </c>
      <c r="G5318" s="8" t="s">
        <v>15</v>
      </c>
    </row>
    <row r="5319" spans="1:7" hidden="1" x14ac:dyDescent="0.25">
      <c r="A5319" s="21">
        <v>5318</v>
      </c>
      <c r="B5319" s="7" t="s">
        <v>11392</v>
      </c>
      <c r="C5319" s="7" t="s">
        <v>11393</v>
      </c>
      <c r="G5319" s="8" t="s">
        <v>15</v>
      </c>
    </row>
    <row r="5320" spans="1:7" hidden="1" x14ac:dyDescent="0.25">
      <c r="A5320" s="21">
        <v>5319</v>
      </c>
      <c r="B5320" s="7" t="s">
        <v>11394</v>
      </c>
      <c r="C5320" s="7" t="s">
        <v>11395</v>
      </c>
      <c r="G5320" s="8" t="s">
        <v>15</v>
      </c>
    </row>
    <row r="5321" spans="1:7" hidden="1" x14ac:dyDescent="0.25">
      <c r="A5321" s="21">
        <v>5320</v>
      </c>
      <c r="B5321" s="7" t="s">
        <v>11396</v>
      </c>
      <c r="C5321" s="7" t="s">
        <v>11397</v>
      </c>
      <c r="G5321" s="8" t="s">
        <v>15</v>
      </c>
    </row>
    <row r="5322" spans="1:7" hidden="1" x14ac:dyDescent="0.25">
      <c r="A5322" s="21">
        <v>5321</v>
      </c>
      <c r="B5322" s="7" t="s">
        <v>11398</v>
      </c>
      <c r="C5322" s="7" t="s">
        <v>11399</v>
      </c>
      <c r="G5322" s="8" t="s">
        <v>15</v>
      </c>
    </row>
    <row r="5323" spans="1:7" hidden="1" x14ac:dyDescent="0.25">
      <c r="A5323" s="21">
        <v>5322</v>
      </c>
      <c r="B5323" s="7" t="s">
        <v>11400</v>
      </c>
      <c r="C5323" s="7" t="s">
        <v>11401</v>
      </c>
      <c r="G5323" s="8" t="s">
        <v>15</v>
      </c>
    </row>
    <row r="5324" spans="1:7" hidden="1" x14ac:dyDescent="0.25">
      <c r="A5324" s="21">
        <v>5323</v>
      </c>
      <c r="B5324" s="7" t="s">
        <v>11402</v>
      </c>
      <c r="C5324" s="7" t="s">
        <v>11403</v>
      </c>
      <c r="G5324" s="8" t="s">
        <v>15</v>
      </c>
    </row>
    <row r="5325" spans="1:7" hidden="1" x14ac:dyDescent="0.25">
      <c r="A5325" s="21">
        <v>5324</v>
      </c>
      <c r="B5325" s="7" t="s">
        <v>11404</v>
      </c>
      <c r="C5325" s="7" t="s">
        <v>11405</v>
      </c>
      <c r="G5325" s="8" t="s">
        <v>15</v>
      </c>
    </row>
    <row r="5326" spans="1:7" hidden="1" x14ac:dyDescent="0.25">
      <c r="A5326" s="21">
        <v>5325</v>
      </c>
      <c r="B5326" s="7" t="s">
        <v>11406</v>
      </c>
      <c r="C5326" s="7" t="s">
        <v>11407</v>
      </c>
      <c r="G5326" s="8" t="s">
        <v>15</v>
      </c>
    </row>
    <row r="5327" spans="1:7" hidden="1" x14ac:dyDescent="0.25">
      <c r="A5327" s="21">
        <v>5326</v>
      </c>
      <c r="B5327" s="7" t="s">
        <v>11408</v>
      </c>
      <c r="C5327" s="7" t="s">
        <v>11409</v>
      </c>
      <c r="G5327" s="8" t="s">
        <v>15</v>
      </c>
    </row>
    <row r="5328" spans="1:7" hidden="1" x14ac:dyDescent="0.25">
      <c r="A5328" s="21">
        <v>5327</v>
      </c>
      <c r="B5328" s="7" t="s">
        <v>11410</v>
      </c>
      <c r="C5328" s="7" t="s">
        <v>11411</v>
      </c>
      <c r="G5328" s="8" t="s">
        <v>15</v>
      </c>
    </row>
    <row r="5329" spans="1:7" hidden="1" x14ac:dyDescent="0.25">
      <c r="A5329" s="21">
        <v>5328</v>
      </c>
      <c r="B5329" s="7" t="s">
        <v>11412</v>
      </c>
      <c r="C5329" s="7" t="s">
        <v>11413</v>
      </c>
      <c r="G5329" s="8" t="s">
        <v>15</v>
      </c>
    </row>
    <row r="5330" spans="1:7" hidden="1" x14ac:dyDescent="0.25">
      <c r="A5330" s="21">
        <v>5329</v>
      </c>
      <c r="B5330" s="7" t="s">
        <v>11414</v>
      </c>
      <c r="C5330" s="7" t="s">
        <v>11415</v>
      </c>
      <c r="G5330" s="8" t="s">
        <v>15</v>
      </c>
    </row>
    <row r="5331" spans="1:7" hidden="1" x14ac:dyDescent="0.25">
      <c r="A5331" s="21">
        <v>5330</v>
      </c>
      <c r="B5331" s="7" t="s">
        <v>11416</v>
      </c>
      <c r="C5331" s="7" t="s">
        <v>11417</v>
      </c>
      <c r="G5331" s="8" t="s">
        <v>15</v>
      </c>
    </row>
    <row r="5332" spans="1:7" hidden="1" x14ac:dyDescent="0.25">
      <c r="A5332" s="21">
        <v>5331</v>
      </c>
      <c r="B5332" s="7" t="s">
        <v>11418</v>
      </c>
      <c r="C5332" s="7" t="s">
        <v>11419</v>
      </c>
      <c r="G5332" s="8" t="s">
        <v>15</v>
      </c>
    </row>
    <row r="5333" spans="1:7" hidden="1" x14ac:dyDescent="0.25">
      <c r="A5333" s="21">
        <v>5332</v>
      </c>
      <c r="B5333" s="7" t="s">
        <v>11420</v>
      </c>
      <c r="C5333" s="7" t="s">
        <v>11421</v>
      </c>
      <c r="G5333" s="8" t="s">
        <v>15</v>
      </c>
    </row>
    <row r="5334" spans="1:7" hidden="1" x14ac:dyDescent="0.25">
      <c r="A5334" s="21">
        <v>5333</v>
      </c>
      <c r="B5334" s="7" t="s">
        <v>11422</v>
      </c>
      <c r="C5334" s="7" t="s">
        <v>11423</v>
      </c>
      <c r="G5334" s="8" t="s">
        <v>15</v>
      </c>
    </row>
    <row r="5335" spans="1:7" hidden="1" x14ac:dyDescent="0.25">
      <c r="A5335" s="21">
        <v>5334</v>
      </c>
      <c r="B5335" s="7" t="s">
        <v>11424</v>
      </c>
      <c r="C5335" s="7" t="s">
        <v>11425</v>
      </c>
      <c r="G5335" s="8" t="s">
        <v>15</v>
      </c>
    </row>
    <row r="5336" spans="1:7" hidden="1" x14ac:dyDescent="0.25">
      <c r="A5336" s="21">
        <v>5335</v>
      </c>
      <c r="B5336" s="7" t="s">
        <v>11426</v>
      </c>
      <c r="C5336" s="7" t="s">
        <v>11427</v>
      </c>
      <c r="G5336" s="8" t="s">
        <v>15</v>
      </c>
    </row>
    <row r="5337" spans="1:7" hidden="1" x14ac:dyDescent="0.25">
      <c r="A5337" s="21">
        <v>5336</v>
      </c>
      <c r="B5337" s="7" t="s">
        <v>11428</v>
      </c>
      <c r="C5337" s="7" t="s">
        <v>11429</v>
      </c>
      <c r="G5337" s="8" t="s">
        <v>15</v>
      </c>
    </row>
    <row r="5338" spans="1:7" hidden="1" x14ac:dyDescent="0.25">
      <c r="A5338" s="21">
        <v>5337</v>
      </c>
      <c r="B5338" s="7" t="s">
        <v>11430</v>
      </c>
      <c r="C5338" s="7" t="s">
        <v>11431</v>
      </c>
      <c r="G5338" s="8" t="s">
        <v>15</v>
      </c>
    </row>
    <row r="5339" spans="1:7" hidden="1" x14ac:dyDescent="0.25">
      <c r="A5339" s="21">
        <v>5338</v>
      </c>
      <c r="B5339" s="7" t="s">
        <v>11432</v>
      </c>
      <c r="C5339" s="7" t="s">
        <v>11433</v>
      </c>
      <c r="G5339" s="8" t="s">
        <v>15</v>
      </c>
    </row>
    <row r="5340" spans="1:7" hidden="1" x14ac:dyDescent="0.25">
      <c r="A5340" s="21">
        <v>5339</v>
      </c>
      <c r="B5340" s="7" t="s">
        <v>11434</v>
      </c>
      <c r="C5340" s="7" t="s">
        <v>11435</v>
      </c>
      <c r="G5340" s="8" t="s">
        <v>15</v>
      </c>
    </row>
    <row r="5341" spans="1:7" hidden="1" x14ac:dyDescent="0.25">
      <c r="A5341" s="21">
        <v>5340</v>
      </c>
      <c r="B5341" s="7" t="s">
        <v>11436</v>
      </c>
      <c r="C5341" s="7" t="s">
        <v>11437</v>
      </c>
      <c r="G5341" s="8" t="s">
        <v>15</v>
      </c>
    </row>
    <row r="5342" spans="1:7" hidden="1" x14ac:dyDescent="0.25">
      <c r="A5342" s="21">
        <v>5341</v>
      </c>
      <c r="B5342" s="7" t="s">
        <v>11438</v>
      </c>
      <c r="C5342" s="7" t="s">
        <v>11439</v>
      </c>
      <c r="G5342" s="8" t="s">
        <v>15</v>
      </c>
    </row>
    <row r="5343" spans="1:7" hidden="1" x14ac:dyDescent="0.25">
      <c r="A5343" s="21">
        <v>5342</v>
      </c>
      <c r="B5343" s="7" t="s">
        <v>11440</v>
      </c>
      <c r="C5343" s="7" t="s">
        <v>11441</v>
      </c>
      <c r="G5343" s="8" t="s">
        <v>15</v>
      </c>
    </row>
    <row r="5344" spans="1:7" hidden="1" x14ac:dyDescent="0.25">
      <c r="A5344" s="21">
        <v>5343</v>
      </c>
      <c r="B5344" s="7" t="s">
        <v>11442</v>
      </c>
      <c r="C5344" s="7" t="s">
        <v>11443</v>
      </c>
      <c r="G5344" s="8" t="s">
        <v>15</v>
      </c>
    </row>
    <row r="5345" spans="1:7" hidden="1" x14ac:dyDescent="0.25">
      <c r="A5345" s="21">
        <v>5344</v>
      </c>
      <c r="B5345" s="7" t="s">
        <v>11444</v>
      </c>
      <c r="C5345" s="7" t="s">
        <v>11445</v>
      </c>
      <c r="G5345" s="8" t="s">
        <v>15</v>
      </c>
    </row>
    <row r="5346" spans="1:7" hidden="1" x14ac:dyDescent="0.25">
      <c r="A5346" s="21">
        <v>5345</v>
      </c>
      <c r="B5346" s="7" t="s">
        <v>11446</v>
      </c>
      <c r="C5346" s="7" t="s">
        <v>11447</v>
      </c>
      <c r="G5346" s="8" t="s">
        <v>15</v>
      </c>
    </row>
    <row r="5347" spans="1:7" hidden="1" x14ac:dyDescent="0.25">
      <c r="A5347" s="21">
        <v>5346</v>
      </c>
      <c r="B5347" s="7" t="s">
        <v>11448</v>
      </c>
      <c r="C5347" s="7" t="s">
        <v>11449</v>
      </c>
      <c r="G5347" s="8" t="s">
        <v>15</v>
      </c>
    </row>
    <row r="5348" spans="1:7" hidden="1" x14ac:dyDescent="0.25">
      <c r="A5348" s="21">
        <v>5347</v>
      </c>
      <c r="B5348" s="7" t="s">
        <v>11450</v>
      </c>
      <c r="C5348" s="7" t="s">
        <v>11451</v>
      </c>
      <c r="G5348" s="8" t="s">
        <v>15</v>
      </c>
    </row>
    <row r="5349" spans="1:7" hidden="1" x14ac:dyDescent="0.25">
      <c r="A5349" s="21">
        <v>5348</v>
      </c>
      <c r="B5349" s="7" t="s">
        <v>11452</v>
      </c>
      <c r="C5349" s="7" t="s">
        <v>11453</v>
      </c>
      <c r="G5349" s="8" t="s">
        <v>15</v>
      </c>
    </row>
    <row r="5350" spans="1:7" hidden="1" x14ac:dyDescent="0.25">
      <c r="A5350" s="21">
        <v>5349</v>
      </c>
      <c r="B5350" s="7" t="s">
        <v>11454</v>
      </c>
      <c r="C5350" s="7" t="s">
        <v>11455</v>
      </c>
      <c r="G5350" s="8" t="s">
        <v>15</v>
      </c>
    </row>
    <row r="5351" spans="1:7" hidden="1" x14ac:dyDescent="0.25">
      <c r="A5351" s="21">
        <v>5350</v>
      </c>
      <c r="B5351" s="7" t="s">
        <v>11456</v>
      </c>
      <c r="C5351" s="7" t="s">
        <v>11457</v>
      </c>
      <c r="G5351" s="8" t="s">
        <v>15</v>
      </c>
    </row>
    <row r="5352" spans="1:7" hidden="1" x14ac:dyDescent="0.25">
      <c r="A5352" s="21">
        <v>5351</v>
      </c>
      <c r="B5352" s="7" t="s">
        <v>11458</v>
      </c>
      <c r="C5352" s="7" t="s">
        <v>11459</v>
      </c>
      <c r="G5352" s="8" t="s">
        <v>15</v>
      </c>
    </row>
    <row r="5353" spans="1:7" hidden="1" x14ac:dyDescent="0.25">
      <c r="A5353" s="21">
        <v>5352</v>
      </c>
      <c r="B5353" s="7" t="s">
        <v>11460</v>
      </c>
      <c r="C5353" s="7" t="s">
        <v>11461</v>
      </c>
      <c r="G5353" s="8" t="s">
        <v>15</v>
      </c>
    </row>
    <row r="5354" spans="1:7" hidden="1" x14ac:dyDescent="0.25">
      <c r="A5354" s="21">
        <v>5353</v>
      </c>
      <c r="B5354" s="7" t="s">
        <v>11462</v>
      </c>
      <c r="C5354" s="7" t="s">
        <v>11463</v>
      </c>
      <c r="G5354" s="8" t="s">
        <v>15</v>
      </c>
    </row>
    <row r="5355" spans="1:7" hidden="1" x14ac:dyDescent="0.25">
      <c r="A5355" s="21">
        <v>5354</v>
      </c>
      <c r="B5355" s="7" t="s">
        <v>11464</v>
      </c>
      <c r="C5355" s="7" t="s">
        <v>11465</v>
      </c>
      <c r="G5355" s="8" t="s">
        <v>15</v>
      </c>
    </row>
    <row r="5356" spans="1:7" hidden="1" x14ac:dyDescent="0.25">
      <c r="A5356" s="21">
        <v>5355</v>
      </c>
      <c r="B5356" s="7" t="s">
        <v>11466</v>
      </c>
      <c r="C5356" s="7" t="s">
        <v>11467</v>
      </c>
      <c r="G5356" s="8" t="s">
        <v>15</v>
      </c>
    </row>
    <row r="5357" spans="1:7" hidden="1" x14ac:dyDescent="0.25">
      <c r="A5357" s="21">
        <v>5356</v>
      </c>
      <c r="B5357" s="7" t="s">
        <v>11468</v>
      </c>
      <c r="C5357" s="7" t="s">
        <v>11469</v>
      </c>
      <c r="G5357" s="8" t="s">
        <v>15</v>
      </c>
    </row>
    <row r="5358" spans="1:7" hidden="1" x14ac:dyDescent="0.25">
      <c r="A5358" s="21">
        <v>5357</v>
      </c>
      <c r="B5358" s="7" t="s">
        <v>11470</v>
      </c>
      <c r="C5358" s="7" t="s">
        <v>11471</v>
      </c>
      <c r="G5358" s="8" t="s">
        <v>15</v>
      </c>
    </row>
    <row r="5359" spans="1:7" hidden="1" x14ac:dyDescent="0.25">
      <c r="A5359" s="21">
        <v>5358</v>
      </c>
      <c r="B5359" s="7" t="s">
        <v>11472</v>
      </c>
      <c r="C5359" s="7" t="s">
        <v>11473</v>
      </c>
      <c r="G5359" s="8" t="s">
        <v>15</v>
      </c>
    </row>
    <row r="5360" spans="1:7" hidden="1" x14ac:dyDescent="0.25">
      <c r="A5360" s="21">
        <v>5359</v>
      </c>
      <c r="B5360" s="7" t="s">
        <v>11474</v>
      </c>
      <c r="C5360" s="7" t="s">
        <v>11475</v>
      </c>
      <c r="G5360" s="8" t="s">
        <v>15</v>
      </c>
    </row>
    <row r="5361" spans="1:7" hidden="1" x14ac:dyDescent="0.25">
      <c r="A5361" s="21">
        <v>5360</v>
      </c>
      <c r="B5361" s="7" t="s">
        <v>11476</v>
      </c>
      <c r="C5361" s="7" t="s">
        <v>11477</v>
      </c>
      <c r="G5361" s="8" t="s">
        <v>15</v>
      </c>
    </row>
    <row r="5362" spans="1:7" hidden="1" x14ac:dyDescent="0.25">
      <c r="A5362" s="21">
        <v>5361</v>
      </c>
      <c r="B5362" s="7" t="s">
        <v>11478</v>
      </c>
      <c r="C5362" s="7" t="s">
        <v>11479</v>
      </c>
      <c r="G5362" s="8" t="s">
        <v>15</v>
      </c>
    </row>
    <row r="5363" spans="1:7" hidden="1" x14ac:dyDescent="0.25">
      <c r="A5363" s="21">
        <v>5362</v>
      </c>
      <c r="B5363" s="7" t="s">
        <v>11480</v>
      </c>
      <c r="C5363" s="7" t="s">
        <v>11481</v>
      </c>
      <c r="G5363" s="8" t="s">
        <v>15</v>
      </c>
    </row>
    <row r="5364" spans="1:7" hidden="1" x14ac:dyDescent="0.25">
      <c r="A5364" s="21">
        <v>5363</v>
      </c>
      <c r="B5364" s="7" t="s">
        <v>11482</v>
      </c>
      <c r="C5364" s="7" t="s">
        <v>11483</v>
      </c>
      <c r="G5364" s="8" t="s">
        <v>15</v>
      </c>
    </row>
    <row r="5365" spans="1:7" hidden="1" x14ac:dyDescent="0.25">
      <c r="A5365" s="21">
        <v>5364</v>
      </c>
      <c r="B5365" s="7" t="s">
        <v>11484</v>
      </c>
      <c r="C5365" s="7" t="s">
        <v>11485</v>
      </c>
      <c r="G5365" s="8" t="s">
        <v>15</v>
      </c>
    </row>
    <row r="5366" spans="1:7" hidden="1" x14ac:dyDescent="0.25">
      <c r="A5366" s="21">
        <v>5365</v>
      </c>
      <c r="B5366" s="7" t="s">
        <v>11486</v>
      </c>
      <c r="C5366" s="7" t="s">
        <v>11487</v>
      </c>
      <c r="G5366" s="8" t="s">
        <v>15</v>
      </c>
    </row>
    <row r="5367" spans="1:7" hidden="1" x14ac:dyDescent="0.25">
      <c r="A5367" s="21">
        <v>5366</v>
      </c>
      <c r="B5367" s="7" t="s">
        <v>11488</v>
      </c>
      <c r="C5367" s="7" t="s">
        <v>11489</v>
      </c>
      <c r="G5367" s="8" t="s">
        <v>15</v>
      </c>
    </row>
    <row r="5368" spans="1:7" hidden="1" x14ac:dyDescent="0.25">
      <c r="A5368" s="21">
        <v>5367</v>
      </c>
      <c r="B5368" s="7" t="s">
        <v>11490</v>
      </c>
      <c r="C5368" s="7" t="s">
        <v>11491</v>
      </c>
      <c r="G5368" s="8" t="s">
        <v>15</v>
      </c>
    </row>
    <row r="5369" spans="1:7" hidden="1" x14ac:dyDescent="0.25">
      <c r="A5369" s="21">
        <v>5368</v>
      </c>
      <c r="B5369" s="7" t="s">
        <v>11492</v>
      </c>
      <c r="C5369" s="7" t="s">
        <v>11493</v>
      </c>
      <c r="G5369" s="8" t="s">
        <v>15</v>
      </c>
    </row>
    <row r="5370" spans="1:7" hidden="1" x14ac:dyDescent="0.25">
      <c r="A5370" s="21">
        <v>5369</v>
      </c>
      <c r="B5370" s="7" t="s">
        <v>11494</v>
      </c>
      <c r="C5370" s="7" t="s">
        <v>11495</v>
      </c>
      <c r="G5370" s="8" t="s">
        <v>15</v>
      </c>
    </row>
    <row r="5371" spans="1:7" hidden="1" x14ac:dyDescent="0.25">
      <c r="A5371" s="21">
        <v>5370</v>
      </c>
      <c r="B5371" s="7" t="s">
        <v>11496</v>
      </c>
      <c r="C5371" s="7" t="s">
        <v>11497</v>
      </c>
      <c r="G5371" s="8" t="s">
        <v>15</v>
      </c>
    </row>
    <row r="5372" spans="1:7" hidden="1" x14ac:dyDescent="0.25">
      <c r="A5372" s="21">
        <v>5371</v>
      </c>
      <c r="B5372" s="7" t="s">
        <v>11498</v>
      </c>
      <c r="C5372" s="7" t="s">
        <v>11499</v>
      </c>
      <c r="G5372" s="8" t="s">
        <v>15</v>
      </c>
    </row>
    <row r="5373" spans="1:7" hidden="1" x14ac:dyDescent="0.25">
      <c r="A5373" s="21">
        <v>5372</v>
      </c>
      <c r="B5373" s="7" t="s">
        <v>11500</v>
      </c>
      <c r="C5373" s="7" t="s">
        <v>11501</v>
      </c>
      <c r="G5373" s="8" t="s">
        <v>15</v>
      </c>
    </row>
    <row r="5374" spans="1:7" hidden="1" x14ac:dyDescent="0.25">
      <c r="A5374" s="21">
        <v>5373</v>
      </c>
      <c r="B5374" s="7" t="s">
        <v>11502</v>
      </c>
      <c r="C5374" s="7" t="s">
        <v>11503</v>
      </c>
      <c r="G5374" s="8" t="s">
        <v>15</v>
      </c>
    </row>
    <row r="5375" spans="1:7" hidden="1" x14ac:dyDescent="0.25">
      <c r="A5375" s="21">
        <v>5374</v>
      </c>
      <c r="B5375" s="7" t="s">
        <v>11504</v>
      </c>
      <c r="C5375" s="7" t="s">
        <v>11505</v>
      </c>
      <c r="G5375" s="8" t="s">
        <v>15</v>
      </c>
    </row>
    <row r="5376" spans="1:7" hidden="1" x14ac:dyDescent="0.25">
      <c r="A5376" s="21">
        <v>5375</v>
      </c>
      <c r="B5376" s="7" t="s">
        <v>11506</v>
      </c>
      <c r="C5376" s="7" t="s">
        <v>11507</v>
      </c>
      <c r="G5376" s="8" t="s">
        <v>15</v>
      </c>
    </row>
    <row r="5377" spans="1:7" hidden="1" x14ac:dyDescent="0.25">
      <c r="A5377" s="21">
        <v>5376</v>
      </c>
      <c r="B5377" s="7" t="s">
        <v>11508</v>
      </c>
      <c r="C5377" s="7" t="s">
        <v>11509</v>
      </c>
      <c r="G5377" s="8" t="s">
        <v>15</v>
      </c>
    </row>
    <row r="5378" spans="1:7" hidden="1" x14ac:dyDescent="0.25">
      <c r="A5378" s="21">
        <v>5377</v>
      </c>
      <c r="B5378" s="7" t="s">
        <v>11510</v>
      </c>
      <c r="C5378" s="7" t="s">
        <v>11511</v>
      </c>
      <c r="G5378" s="8" t="s">
        <v>15</v>
      </c>
    </row>
    <row r="5379" spans="1:7" hidden="1" x14ac:dyDescent="0.25">
      <c r="A5379" s="21">
        <v>5378</v>
      </c>
      <c r="B5379" s="7" t="s">
        <v>11512</v>
      </c>
      <c r="C5379" s="7" t="s">
        <v>11513</v>
      </c>
      <c r="G5379" s="8" t="s">
        <v>15</v>
      </c>
    </row>
    <row r="5380" spans="1:7" hidden="1" x14ac:dyDescent="0.25">
      <c r="A5380" s="21">
        <v>5379</v>
      </c>
      <c r="B5380" s="7" t="s">
        <v>11514</v>
      </c>
      <c r="C5380" s="7" t="s">
        <v>11515</v>
      </c>
      <c r="G5380" s="8" t="s">
        <v>15</v>
      </c>
    </row>
    <row r="5381" spans="1:7" hidden="1" x14ac:dyDescent="0.25">
      <c r="A5381" s="21">
        <v>5380</v>
      </c>
      <c r="B5381" s="7" t="s">
        <v>11516</v>
      </c>
      <c r="C5381" s="7" t="s">
        <v>11517</v>
      </c>
      <c r="G5381" s="8" t="s">
        <v>15</v>
      </c>
    </row>
    <row r="5382" spans="1:7" hidden="1" x14ac:dyDescent="0.25">
      <c r="A5382" s="21">
        <v>5381</v>
      </c>
      <c r="B5382" s="7" t="s">
        <v>11518</v>
      </c>
      <c r="C5382" s="7" t="s">
        <v>11519</v>
      </c>
      <c r="G5382" s="8" t="s">
        <v>15</v>
      </c>
    </row>
    <row r="5383" spans="1:7" hidden="1" x14ac:dyDescent="0.25">
      <c r="A5383" s="21">
        <v>5382</v>
      </c>
      <c r="B5383" s="7" t="s">
        <v>11520</v>
      </c>
      <c r="C5383" s="7" t="s">
        <v>11521</v>
      </c>
      <c r="G5383" s="8" t="s">
        <v>15</v>
      </c>
    </row>
    <row r="5384" spans="1:7" hidden="1" x14ac:dyDescent="0.25">
      <c r="A5384" s="21">
        <v>5383</v>
      </c>
      <c r="B5384" s="7" t="s">
        <v>11522</v>
      </c>
      <c r="C5384" s="7" t="s">
        <v>11523</v>
      </c>
      <c r="G5384" s="8" t="s">
        <v>15</v>
      </c>
    </row>
    <row r="5385" spans="1:7" hidden="1" x14ac:dyDescent="0.25">
      <c r="A5385" s="21">
        <v>5384</v>
      </c>
      <c r="B5385" s="7" t="s">
        <v>11524</v>
      </c>
      <c r="C5385" s="7" t="s">
        <v>11525</v>
      </c>
      <c r="G5385" s="8" t="s">
        <v>15</v>
      </c>
    </row>
    <row r="5386" spans="1:7" hidden="1" x14ac:dyDescent="0.25">
      <c r="A5386" s="21">
        <v>5385</v>
      </c>
      <c r="B5386" s="7" t="s">
        <v>11526</v>
      </c>
      <c r="C5386" s="7" t="s">
        <v>11527</v>
      </c>
      <c r="G5386" s="8" t="s">
        <v>15</v>
      </c>
    </row>
    <row r="5387" spans="1:7" hidden="1" x14ac:dyDescent="0.25">
      <c r="A5387" s="21">
        <v>5386</v>
      </c>
      <c r="B5387" s="7" t="s">
        <v>11528</v>
      </c>
      <c r="C5387" s="7" t="s">
        <v>11529</v>
      </c>
      <c r="G5387" s="8" t="s">
        <v>15</v>
      </c>
    </row>
    <row r="5388" spans="1:7" hidden="1" x14ac:dyDescent="0.25">
      <c r="A5388" s="21">
        <v>5387</v>
      </c>
      <c r="B5388" s="7" t="s">
        <v>11530</v>
      </c>
      <c r="C5388" s="7" t="s">
        <v>11531</v>
      </c>
      <c r="G5388" s="8" t="s">
        <v>15</v>
      </c>
    </row>
    <row r="5389" spans="1:7" hidden="1" x14ac:dyDescent="0.25">
      <c r="A5389" s="21">
        <v>5388</v>
      </c>
      <c r="B5389" s="7" t="s">
        <v>11532</v>
      </c>
      <c r="C5389" s="7" t="s">
        <v>11533</v>
      </c>
      <c r="G5389" s="8" t="s">
        <v>15</v>
      </c>
    </row>
    <row r="5390" spans="1:7" hidden="1" x14ac:dyDescent="0.25">
      <c r="A5390" s="21">
        <v>5389</v>
      </c>
      <c r="B5390" s="7" t="s">
        <v>11534</v>
      </c>
      <c r="C5390" s="7" t="s">
        <v>11535</v>
      </c>
      <c r="G5390" s="8" t="s">
        <v>15</v>
      </c>
    </row>
    <row r="5391" spans="1:7" hidden="1" x14ac:dyDescent="0.25">
      <c r="A5391" s="21">
        <v>5390</v>
      </c>
      <c r="B5391" s="7" t="s">
        <v>11536</v>
      </c>
      <c r="C5391" s="7" t="s">
        <v>11537</v>
      </c>
      <c r="G5391" s="8" t="s">
        <v>15</v>
      </c>
    </row>
    <row r="5392" spans="1:7" hidden="1" x14ac:dyDescent="0.25">
      <c r="A5392" s="21">
        <v>5391</v>
      </c>
      <c r="B5392" s="7" t="s">
        <v>11538</v>
      </c>
      <c r="C5392" s="7" t="s">
        <v>11539</v>
      </c>
      <c r="G5392" s="8" t="s">
        <v>15</v>
      </c>
    </row>
    <row r="5393" spans="1:7" hidden="1" x14ac:dyDescent="0.25">
      <c r="A5393" s="21">
        <v>5392</v>
      </c>
      <c r="B5393" s="7" t="s">
        <v>11540</v>
      </c>
      <c r="C5393" s="7" t="s">
        <v>11541</v>
      </c>
      <c r="G5393" s="8" t="s">
        <v>15</v>
      </c>
    </row>
    <row r="5394" spans="1:7" hidden="1" x14ac:dyDescent="0.25">
      <c r="A5394" s="21">
        <v>5393</v>
      </c>
      <c r="B5394" s="7" t="s">
        <v>11542</v>
      </c>
      <c r="C5394" s="7" t="s">
        <v>11543</v>
      </c>
      <c r="G5394" s="8" t="s">
        <v>15</v>
      </c>
    </row>
    <row r="5395" spans="1:7" hidden="1" x14ac:dyDescent="0.25">
      <c r="A5395" s="21">
        <v>5394</v>
      </c>
      <c r="B5395" s="7" t="s">
        <v>11544</v>
      </c>
      <c r="C5395" s="7" t="s">
        <v>11545</v>
      </c>
      <c r="G5395" s="8" t="s">
        <v>15</v>
      </c>
    </row>
    <row r="5396" spans="1:7" hidden="1" x14ac:dyDescent="0.25">
      <c r="A5396" s="21">
        <v>5395</v>
      </c>
      <c r="B5396" s="7" t="s">
        <v>11546</v>
      </c>
      <c r="C5396" s="7" t="s">
        <v>11547</v>
      </c>
      <c r="G5396" s="8" t="s">
        <v>15</v>
      </c>
    </row>
    <row r="5397" spans="1:7" hidden="1" x14ac:dyDescent="0.25">
      <c r="A5397" s="21">
        <v>5396</v>
      </c>
      <c r="B5397" s="7" t="s">
        <v>11548</v>
      </c>
      <c r="C5397" s="7" t="s">
        <v>11549</v>
      </c>
      <c r="G5397" s="8" t="s">
        <v>15</v>
      </c>
    </row>
    <row r="5398" spans="1:7" hidden="1" x14ac:dyDescent="0.25">
      <c r="A5398" s="21">
        <v>5397</v>
      </c>
      <c r="B5398" s="7" t="s">
        <v>11550</v>
      </c>
      <c r="C5398" s="7" t="s">
        <v>11551</v>
      </c>
      <c r="G5398" s="8" t="s">
        <v>15</v>
      </c>
    </row>
    <row r="5399" spans="1:7" hidden="1" x14ac:dyDescent="0.25">
      <c r="A5399" s="21">
        <v>5398</v>
      </c>
      <c r="B5399" s="7" t="s">
        <v>11552</v>
      </c>
      <c r="C5399" s="7" t="s">
        <v>11553</v>
      </c>
      <c r="G5399" s="8" t="s">
        <v>15</v>
      </c>
    </row>
    <row r="5400" spans="1:7" hidden="1" x14ac:dyDescent="0.25">
      <c r="A5400" s="21">
        <v>5399</v>
      </c>
      <c r="B5400" s="7" t="s">
        <v>11554</v>
      </c>
      <c r="C5400" s="7" t="s">
        <v>11555</v>
      </c>
      <c r="G5400" s="8" t="s">
        <v>15</v>
      </c>
    </row>
    <row r="5401" spans="1:7" hidden="1" x14ac:dyDescent="0.25">
      <c r="A5401" s="21">
        <v>5400</v>
      </c>
      <c r="B5401" s="7" t="s">
        <v>11556</v>
      </c>
      <c r="C5401" s="7" t="s">
        <v>11557</v>
      </c>
      <c r="G5401" s="8" t="s">
        <v>15</v>
      </c>
    </row>
    <row r="5402" spans="1:7" hidden="1" x14ac:dyDescent="0.25">
      <c r="A5402" s="21">
        <v>5401</v>
      </c>
      <c r="B5402" s="7" t="s">
        <v>11558</v>
      </c>
      <c r="C5402" s="7" t="s">
        <v>11559</v>
      </c>
      <c r="G5402" s="8" t="s">
        <v>15</v>
      </c>
    </row>
    <row r="5403" spans="1:7" hidden="1" x14ac:dyDescent="0.25">
      <c r="A5403" s="21">
        <v>5402</v>
      </c>
      <c r="B5403" s="7" t="s">
        <v>11560</v>
      </c>
      <c r="C5403" s="7" t="s">
        <v>11561</v>
      </c>
      <c r="G5403" s="8" t="s">
        <v>15</v>
      </c>
    </row>
    <row r="5404" spans="1:7" hidden="1" x14ac:dyDescent="0.25">
      <c r="A5404" s="21">
        <v>5403</v>
      </c>
      <c r="B5404" s="7" t="s">
        <v>11562</v>
      </c>
      <c r="C5404" s="7" t="s">
        <v>11563</v>
      </c>
      <c r="G5404" s="8" t="s">
        <v>15</v>
      </c>
    </row>
    <row r="5405" spans="1:7" hidden="1" x14ac:dyDescent="0.25">
      <c r="A5405" s="21">
        <v>5404</v>
      </c>
      <c r="B5405" s="7" t="s">
        <v>11564</v>
      </c>
      <c r="C5405" s="7" t="s">
        <v>11565</v>
      </c>
      <c r="G5405" s="8" t="s">
        <v>15</v>
      </c>
    </row>
    <row r="5406" spans="1:7" hidden="1" x14ac:dyDescent="0.25">
      <c r="A5406" s="21">
        <v>5405</v>
      </c>
      <c r="B5406" s="7" t="s">
        <v>11566</v>
      </c>
      <c r="C5406" s="7" t="s">
        <v>11567</v>
      </c>
      <c r="G5406" s="8" t="s">
        <v>15</v>
      </c>
    </row>
    <row r="5407" spans="1:7" hidden="1" x14ac:dyDescent="0.25">
      <c r="A5407" s="21">
        <v>5406</v>
      </c>
      <c r="B5407" s="7" t="s">
        <v>11568</v>
      </c>
      <c r="C5407" s="7" t="s">
        <v>11569</v>
      </c>
      <c r="G5407" s="8" t="s">
        <v>15</v>
      </c>
    </row>
    <row r="5408" spans="1:7" hidden="1" x14ac:dyDescent="0.25">
      <c r="A5408" s="21">
        <v>5407</v>
      </c>
      <c r="B5408" s="7" t="s">
        <v>11570</v>
      </c>
      <c r="C5408" s="7" t="s">
        <v>11571</v>
      </c>
      <c r="G5408" s="8" t="s">
        <v>15</v>
      </c>
    </row>
    <row r="5409" spans="1:7" hidden="1" x14ac:dyDescent="0.25">
      <c r="A5409" s="21">
        <v>5408</v>
      </c>
      <c r="B5409" s="7" t="s">
        <v>11572</v>
      </c>
      <c r="C5409" s="7" t="s">
        <v>11573</v>
      </c>
      <c r="G5409" s="8" t="s">
        <v>15</v>
      </c>
    </row>
    <row r="5410" spans="1:7" hidden="1" x14ac:dyDescent="0.25">
      <c r="A5410" s="21">
        <v>5409</v>
      </c>
      <c r="B5410" s="7" t="s">
        <v>11574</v>
      </c>
      <c r="C5410" s="7" t="s">
        <v>11575</v>
      </c>
      <c r="G5410" s="8" t="s">
        <v>15</v>
      </c>
    </row>
    <row r="5411" spans="1:7" hidden="1" x14ac:dyDescent="0.25">
      <c r="A5411" s="21">
        <v>5410</v>
      </c>
      <c r="B5411" s="7" t="s">
        <v>11576</v>
      </c>
      <c r="C5411" s="7" t="s">
        <v>11577</v>
      </c>
      <c r="G5411" s="8" t="s">
        <v>15</v>
      </c>
    </row>
    <row r="5412" spans="1:7" hidden="1" x14ac:dyDescent="0.25">
      <c r="A5412" s="21">
        <v>5411</v>
      </c>
      <c r="B5412" s="7" t="s">
        <v>11578</v>
      </c>
      <c r="C5412" s="7" t="s">
        <v>11579</v>
      </c>
      <c r="G5412" s="8" t="s">
        <v>15</v>
      </c>
    </row>
    <row r="5413" spans="1:7" hidden="1" x14ac:dyDescent="0.25">
      <c r="A5413" s="21">
        <v>5412</v>
      </c>
      <c r="B5413" s="7" t="s">
        <v>11580</v>
      </c>
      <c r="C5413" s="7" t="s">
        <v>11581</v>
      </c>
      <c r="G5413" s="8" t="s">
        <v>15</v>
      </c>
    </row>
    <row r="5414" spans="1:7" hidden="1" x14ac:dyDescent="0.25">
      <c r="A5414" s="21">
        <v>5413</v>
      </c>
      <c r="B5414" s="7" t="s">
        <v>11582</v>
      </c>
      <c r="C5414" s="7" t="s">
        <v>11583</v>
      </c>
      <c r="G5414" s="8" t="s">
        <v>15</v>
      </c>
    </row>
    <row r="5415" spans="1:7" hidden="1" x14ac:dyDescent="0.25">
      <c r="A5415" s="21">
        <v>5414</v>
      </c>
      <c r="B5415" s="7" t="s">
        <v>11584</v>
      </c>
      <c r="C5415" s="7" t="s">
        <v>11585</v>
      </c>
      <c r="G5415" s="8" t="s">
        <v>15</v>
      </c>
    </row>
    <row r="5416" spans="1:7" hidden="1" x14ac:dyDescent="0.25">
      <c r="A5416" s="21">
        <v>5415</v>
      </c>
      <c r="B5416" s="7" t="s">
        <v>11586</v>
      </c>
      <c r="C5416" s="7" t="s">
        <v>11587</v>
      </c>
      <c r="G5416" s="8" t="s">
        <v>15</v>
      </c>
    </row>
    <row r="5417" spans="1:7" hidden="1" x14ac:dyDescent="0.25">
      <c r="A5417" s="21">
        <v>5416</v>
      </c>
      <c r="B5417" s="7" t="s">
        <v>11588</v>
      </c>
      <c r="C5417" s="7" t="s">
        <v>11589</v>
      </c>
      <c r="G5417" s="8" t="s">
        <v>15</v>
      </c>
    </row>
    <row r="5418" spans="1:7" hidden="1" x14ac:dyDescent="0.25">
      <c r="A5418" s="21">
        <v>5417</v>
      </c>
      <c r="B5418" s="7" t="s">
        <v>11590</v>
      </c>
      <c r="C5418" s="7" t="s">
        <v>11591</v>
      </c>
      <c r="G5418" s="8" t="s">
        <v>15</v>
      </c>
    </row>
    <row r="5419" spans="1:7" hidden="1" x14ac:dyDescent="0.25">
      <c r="A5419" s="21">
        <v>5418</v>
      </c>
      <c r="B5419" s="7" t="s">
        <v>11592</v>
      </c>
      <c r="C5419" s="7" t="s">
        <v>11593</v>
      </c>
      <c r="G5419" s="8" t="s">
        <v>15</v>
      </c>
    </row>
    <row r="5420" spans="1:7" hidden="1" x14ac:dyDescent="0.25">
      <c r="A5420" s="21">
        <v>5419</v>
      </c>
      <c r="B5420" s="7" t="s">
        <v>11594</v>
      </c>
      <c r="C5420" s="7" t="s">
        <v>11595</v>
      </c>
      <c r="G5420" s="8" t="s">
        <v>15</v>
      </c>
    </row>
    <row r="5421" spans="1:7" hidden="1" x14ac:dyDescent="0.25">
      <c r="A5421" s="21">
        <v>5420</v>
      </c>
      <c r="B5421" s="7" t="s">
        <v>11596</v>
      </c>
      <c r="C5421" s="7" t="s">
        <v>11597</v>
      </c>
      <c r="G5421" s="8" t="s">
        <v>15</v>
      </c>
    </row>
    <row r="5422" spans="1:7" hidden="1" x14ac:dyDescent="0.25">
      <c r="A5422" s="21">
        <v>5421</v>
      </c>
      <c r="B5422" s="7" t="s">
        <v>11598</v>
      </c>
      <c r="C5422" s="7" t="s">
        <v>11599</v>
      </c>
      <c r="G5422" s="8" t="s">
        <v>15</v>
      </c>
    </row>
    <row r="5423" spans="1:7" hidden="1" x14ac:dyDescent="0.25">
      <c r="A5423" s="21">
        <v>5422</v>
      </c>
      <c r="B5423" s="7" t="s">
        <v>11600</v>
      </c>
      <c r="C5423" s="7" t="s">
        <v>11601</v>
      </c>
      <c r="G5423" s="8" t="s">
        <v>15</v>
      </c>
    </row>
    <row r="5424" spans="1:7" hidden="1" x14ac:dyDescent="0.25">
      <c r="A5424" s="21">
        <v>5423</v>
      </c>
      <c r="B5424" s="7" t="s">
        <v>11602</v>
      </c>
      <c r="C5424" s="7" t="s">
        <v>11603</v>
      </c>
      <c r="G5424" s="8" t="s">
        <v>15</v>
      </c>
    </row>
    <row r="5425" spans="1:7" hidden="1" x14ac:dyDescent="0.25">
      <c r="A5425" s="21">
        <v>5424</v>
      </c>
      <c r="B5425" s="7" t="s">
        <v>11604</v>
      </c>
      <c r="C5425" s="7" t="s">
        <v>11605</v>
      </c>
      <c r="G5425" s="8" t="s">
        <v>15</v>
      </c>
    </row>
    <row r="5426" spans="1:7" hidden="1" x14ac:dyDescent="0.25">
      <c r="A5426" s="21">
        <v>5425</v>
      </c>
      <c r="B5426" s="7" t="s">
        <v>11606</v>
      </c>
      <c r="C5426" s="7" t="s">
        <v>11607</v>
      </c>
      <c r="G5426" s="8" t="s">
        <v>15</v>
      </c>
    </row>
    <row r="5427" spans="1:7" hidden="1" x14ac:dyDescent="0.25">
      <c r="A5427" s="21">
        <v>5426</v>
      </c>
      <c r="B5427" s="7" t="s">
        <v>11608</v>
      </c>
      <c r="C5427" s="7" t="s">
        <v>11609</v>
      </c>
      <c r="G5427" s="8" t="s">
        <v>15</v>
      </c>
    </row>
    <row r="5428" spans="1:7" hidden="1" x14ac:dyDescent="0.25">
      <c r="A5428" s="21">
        <v>5427</v>
      </c>
      <c r="B5428" s="7" t="s">
        <v>11610</v>
      </c>
      <c r="C5428" s="7" t="s">
        <v>11611</v>
      </c>
      <c r="G5428" s="8" t="s">
        <v>15</v>
      </c>
    </row>
    <row r="5429" spans="1:7" hidden="1" x14ac:dyDescent="0.25">
      <c r="A5429" s="21">
        <v>5428</v>
      </c>
      <c r="B5429" s="7" t="s">
        <v>11612</v>
      </c>
      <c r="C5429" s="7" t="s">
        <v>11613</v>
      </c>
      <c r="G5429" s="8" t="s">
        <v>15</v>
      </c>
    </row>
    <row r="5430" spans="1:7" hidden="1" x14ac:dyDescent="0.25">
      <c r="A5430" s="21">
        <v>5429</v>
      </c>
      <c r="B5430" s="7" t="s">
        <v>11614</v>
      </c>
      <c r="C5430" s="7" t="s">
        <v>11615</v>
      </c>
      <c r="G5430" s="8" t="s">
        <v>15</v>
      </c>
    </row>
    <row r="5431" spans="1:7" hidden="1" x14ac:dyDescent="0.25">
      <c r="A5431" s="21">
        <v>5430</v>
      </c>
      <c r="B5431" s="7" t="s">
        <v>11616</v>
      </c>
      <c r="C5431" s="7" t="s">
        <v>11617</v>
      </c>
      <c r="G5431" s="8" t="s">
        <v>15</v>
      </c>
    </row>
    <row r="5432" spans="1:7" hidden="1" x14ac:dyDescent="0.25">
      <c r="A5432" s="21">
        <v>5431</v>
      </c>
      <c r="B5432" s="7" t="s">
        <v>11618</v>
      </c>
      <c r="C5432" s="7" t="s">
        <v>11619</v>
      </c>
      <c r="G5432" s="8" t="s">
        <v>15</v>
      </c>
    </row>
    <row r="5433" spans="1:7" hidden="1" x14ac:dyDescent="0.25">
      <c r="A5433" s="21">
        <v>5432</v>
      </c>
      <c r="B5433" s="7" t="s">
        <v>11620</v>
      </c>
      <c r="C5433" s="7" t="s">
        <v>11621</v>
      </c>
      <c r="G5433" s="8" t="s">
        <v>15</v>
      </c>
    </row>
    <row r="5434" spans="1:7" hidden="1" x14ac:dyDescent="0.25">
      <c r="A5434" s="21">
        <v>5433</v>
      </c>
      <c r="B5434" s="7" t="s">
        <v>11622</v>
      </c>
      <c r="C5434" s="7" t="s">
        <v>11623</v>
      </c>
      <c r="G5434" s="8" t="s">
        <v>15</v>
      </c>
    </row>
    <row r="5435" spans="1:7" hidden="1" x14ac:dyDescent="0.25">
      <c r="A5435" s="21">
        <v>5434</v>
      </c>
      <c r="B5435" s="7" t="s">
        <v>11624</v>
      </c>
      <c r="C5435" s="7" t="s">
        <v>11625</v>
      </c>
      <c r="G5435" s="8" t="s">
        <v>15</v>
      </c>
    </row>
    <row r="5436" spans="1:7" hidden="1" x14ac:dyDescent="0.25">
      <c r="A5436" s="21">
        <v>5435</v>
      </c>
      <c r="B5436" s="7" t="s">
        <v>11626</v>
      </c>
      <c r="C5436" s="7" t="s">
        <v>11627</v>
      </c>
      <c r="G5436" s="8" t="s">
        <v>15</v>
      </c>
    </row>
    <row r="5437" spans="1:7" hidden="1" x14ac:dyDescent="0.25">
      <c r="A5437" s="21">
        <v>5436</v>
      </c>
      <c r="B5437" s="7" t="s">
        <v>11628</v>
      </c>
      <c r="C5437" s="7" t="s">
        <v>11629</v>
      </c>
      <c r="G5437" s="8" t="s">
        <v>15</v>
      </c>
    </row>
    <row r="5438" spans="1:7" hidden="1" x14ac:dyDescent="0.25">
      <c r="A5438" s="21">
        <v>5437</v>
      </c>
      <c r="B5438" s="7" t="s">
        <v>11630</v>
      </c>
      <c r="C5438" s="7" t="s">
        <v>11631</v>
      </c>
      <c r="G5438" s="8" t="s">
        <v>15</v>
      </c>
    </row>
    <row r="5439" spans="1:7" hidden="1" x14ac:dyDescent="0.25">
      <c r="A5439" s="21">
        <v>5438</v>
      </c>
      <c r="B5439" s="7" t="s">
        <v>11632</v>
      </c>
      <c r="C5439" s="7" t="s">
        <v>11633</v>
      </c>
      <c r="G5439" s="8" t="s">
        <v>15</v>
      </c>
    </row>
    <row r="5440" spans="1:7" hidden="1" x14ac:dyDescent="0.25">
      <c r="A5440" s="21">
        <v>5439</v>
      </c>
      <c r="B5440" s="7" t="s">
        <v>11634</v>
      </c>
      <c r="C5440" s="7" t="s">
        <v>11635</v>
      </c>
      <c r="G5440" s="8" t="s">
        <v>15</v>
      </c>
    </row>
    <row r="5441" spans="1:7" hidden="1" x14ac:dyDescent="0.25">
      <c r="A5441" s="21">
        <v>5440</v>
      </c>
      <c r="B5441" s="7" t="s">
        <v>11636</v>
      </c>
      <c r="C5441" s="7" t="s">
        <v>11637</v>
      </c>
      <c r="G5441" s="8" t="s">
        <v>15</v>
      </c>
    </row>
    <row r="5442" spans="1:7" hidden="1" x14ac:dyDescent="0.25">
      <c r="A5442" s="21">
        <v>5441</v>
      </c>
      <c r="B5442" s="7" t="s">
        <v>11638</v>
      </c>
      <c r="C5442" s="7" t="s">
        <v>11639</v>
      </c>
      <c r="G5442" s="8" t="s">
        <v>15</v>
      </c>
    </row>
    <row r="5443" spans="1:7" hidden="1" x14ac:dyDescent="0.25">
      <c r="A5443" s="21">
        <v>5442</v>
      </c>
      <c r="B5443" s="7" t="s">
        <v>11640</v>
      </c>
      <c r="C5443" s="7" t="s">
        <v>11641</v>
      </c>
      <c r="G5443" s="8" t="s">
        <v>15</v>
      </c>
    </row>
    <row r="5444" spans="1:7" hidden="1" x14ac:dyDescent="0.25">
      <c r="A5444" s="21">
        <v>5443</v>
      </c>
      <c r="B5444" s="7" t="s">
        <v>11642</v>
      </c>
      <c r="C5444" s="7" t="s">
        <v>11643</v>
      </c>
      <c r="G5444" s="8" t="s">
        <v>15</v>
      </c>
    </row>
    <row r="5445" spans="1:7" hidden="1" x14ac:dyDescent="0.25">
      <c r="A5445" s="21">
        <v>5444</v>
      </c>
      <c r="B5445" s="7" t="s">
        <v>11644</v>
      </c>
      <c r="C5445" s="7" t="s">
        <v>11645</v>
      </c>
      <c r="G5445" s="8" t="s">
        <v>15</v>
      </c>
    </row>
    <row r="5446" spans="1:7" hidden="1" x14ac:dyDescent="0.25">
      <c r="A5446" s="21">
        <v>5445</v>
      </c>
      <c r="B5446" s="7" t="s">
        <v>11646</v>
      </c>
      <c r="C5446" s="7" t="s">
        <v>11647</v>
      </c>
      <c r="G5446" s="8" t="s">
        <v>15</v>
      </c>
    </row>
    <row r="5447" spans="1:7" hidden="1" x14ac:dyDescent="0.25">
      <c r="A5447" s="21">
        <v>5446</v>
      </c>
      <c r="B5447" s="7" t="s">
        <v>11648</v>
      </c>
      <c r="C5447" s="7" t="s">
        <v>11649</v>
      </c>
      <c r="G5447" s="8" t="s">
        <v>15</v>
      </c>
    </row>
    <row r="5448" spans="1:7" hidden="1" x14ac:dyDescent="0.25">
      <c r="A5448" s="21">
        <v>5447</v>
      </c>
      <c r="B5448" s="7" t="s">
        <v>11650</v>
      </c>
      <c r="C5448" s="7" t="s">
        <v>11651</v>
      </c>
      <c r="G5448" s="8" t="s">
        <v>15</v>
      </c>
    </row>
    <row r="5449" spans="1:7" hidden="1" x14ac:dyDescent="0.25">
      <c r="A5449" s="21">
        <v>5448</v>
      </c>
      <c r="B5449" s="7" t="s">
        <v>11652</v>
      </c>
      <c r="C5449" s="7" t="s">
        <v>11653</v>
      </c>
      <c r="G5449" s="8" t="s">
        <v>15</v>
      </c>
    </row>
    <row r="5450" spans="1:7" hidden="1" x14ac:dyDescent="0.25">
      <c r="A5450" s="21">
        <v>5449</v>
      </c>
      <c r="B5450" s="7" t="s">
        <v>11654</v>
      </c>
      <c r="C5450" s="7" t="s">
        <v>11655</v>
      </c>
      <c r="G5450" s="8" t="s">
        <v>15</v>
      </c>
    </row>
    <row r="5451" spans="1:7" hidden="1" x14ac:dyDescent="0.25">
      <c r="A5451" s="21">
        <v>5450</v>
      </c>
      <c r="B5451" s="7" t="s">
        <v>11656</v>
      </c>
      <c r="C5451" s="7" t="s">
        <v>11657</v>
      </c>
      <c r="G5451" s="8" t="s">
        <v>15</v>
      </c>
    </row>
    <row r="5452" spans="1:7" hidden="1" x14ac:dyDescent="0.25">
      <c r="A5452" s="21">
        <v>5451</v>
      </c>
      <c r="B5452" s="7" t="s">
        <v>11658</v>
      </c>
      <c r="C5452" s="7" t="s">
        <v>11659</v>
      </c>
      <c r="G5452" s="8" t="s">
        <v>15</v>
      </c>
    </row>
    <row r="5453" spans="1:7" hidden="1" x14ac:dyDescent="0.25">
      <c r="A5453" s="21">
        <v>5452</v>
      </c>
      <c r="B5453" s="7" t="s">
        <v>11660</v>
      </c>
      <c r="C5453" s="7" t="s">
        <v>11661</v>
      </c>
      <c r="G5453" s="8" t="s">
        <v>15</v>
      </c>
    </row>
    <row r="5454" spans="1:7" hidden="1" x14ac:dyDescent="0.25">
      <c r="A5454" s="21">
        <v>5453</v>
      </c>
      <c r="B5454" s="7" t="s">
        <v>11662</v>
      </c>
      <c r="C5454" s="7" t="s">
        <v>11663</v>
      </c>
      <c r="G5454" s="8" t="s">
        <v>15</v>
      </c>
    </row>
    <row r="5455" spans="1:7" hidden="1" x14ac:dyDescent="0.25">
      <c r="A5455" s="21">
        <v>5454</v>
      </c>
      <c r="B5455" s="7" t="s">
        <v>11664</v>
      </c>
      <c r="C5455" s="7" t="s">
        <v>11665</v>
      </c>
      <c r="G5455" s="8" t="s">
        <v>15</v>
      </c>
    </row>
    <row r="5456" spans="1:7" hidden="1" x14ac:dyDescent="0.25">
      <c r="A5456" s="21">
        <v>5455</v>
      </c>
      <c r="B5456" s="7" t="s">
        <v>11666</v>
      </c>
      <c r="C5456" s="7" t="s">
        <v>11667</v>
      </c>
      <c r="G5456" s="8" t="s">
        <v>15</v>
      </c>
    </row>
    <row r="5457" spans="1:7" hidden="1" x14ac:dyDescent="0.25">
      <c r="A5457" s="21">
        <v>5456</v>
      </c>
      <c r="B5457" s="7" t="s">
        <v>11668</v>
      </c>
      <c r="C5457" s="7" t="s">
        <v>11669</v>
      </c>
      <c r="G5457" s="8" t="s">
        <v>15</v>
      </c>
    </row>
    <row r="5458" spans="1:7" hidden="1" x14ac:dyDescent="0.25">
      <c r="A5458" s="21">
        <v>5457</v>
      </c>
      <c r="B5458" s="7" t="s">
        <v>11670</v>
      </c>
      <c r="C5458" s="7" t="s">
        <v>11671</v>
      </c>
      <c r="G5458" s="8" t="s">
        <v>15</v>
      </c>
    </row>
    <row r="5459" spans="1:7" hidden="1" x14ac:dyDescent="0.25">
      <c r="A5459" s="21">
        <v>5458</v>
      </c>
      <c r="B5459" s="7" t="s">
        <v>11672</v>
      </c>
      <c r="C5459" s="7" t="s">
        <v>11673</v>
      </c>
      <c r="G5459" s="8" t="s">
        <v>15</v>
      </c>
    </row>
    <row r="5460" spans="1:7" hidden="1" x14ac:dyDescent="0.25">
      <c r="A5460" s="21">
        <v>5459</v>
      </c>
      <c r="B5460" s="7" t="s">
        <v>11674</v>
      </c>
      <c r="C5460" s="7" t="s">
        <v>11675</v>
      </c>
      <c r="G5460" s="8" t="s">
        <v>15</v>
      </c>
    </row>
    <row r="5461" spans="1:7" hidden="1" x14ac:dyDescent="0.25">
      <c r="A5461" s="21">
        <v>5460</v>
      </c>
      <c r="B5461" s="7" t="s">
        <v>11676</v>
      </c>
      <c r="C5461" s="7" t="s">
        <v>11677</v>
      </c>
      <c r="G5461" s="8" t="s">
        <v>15</v>
      </c>
    </row>
    <row r="5462" spans="1:7" hidden="1" x14ac:dyDescent="0.25">
      <c r="A5462" s="21">
        <v>5461</v>
      </c>
      <c r="B5462" s="7" t="s">
        <v>11678</v>
      </c>
      <c r="C5462" s="7" t="s">
        <v>11679</v>
      </c>
      <c r="G5462" s="8" t="s">
        <v>15</v>
      </c>
    </row>
    <row r="5463" spans="1:7" hidden="1" x14ac:dyDescent="0.25">
      <c r="A5463" s="21">
        <v>5462</v>
      </c>
      <c r="B5463" s="7" t="s">
        <v>11680</v>
      </c>
      <c r="C5463" s="7" t="s">
        <v>11681</v>
      </c>
      <c r="G5463" s="8" t="s">
        <v>15</v>
      </c>
    </row>
    <row r="5464" spans="1:7" hidden="1" x14ac:dyDescent="0.25">
      <c r="A5464" s="21">
        <v>5463</v>
      </c>
      <c r="B5464" s="7" t="s">
        <v>11682</v>
      </c>
      <c r="C5464" s="7" t="s">
        <v>11683</v>
      </c>
      <c r="G5464" s="8" t="s">
        <v>15</v>
      </c>
    </row>
    <row r="5465" spans="1:7" hidden="1" x14ac:dyDescent="0.25">
      <c r="A5465" s="21">
        <v>5464</v>
      </c>
      <c r="B5465" s="7" t="s">
        <v>11684</v>
      </c>
      <c r="C5465" s="7" t="s">
        <v>11685</v>
      </c>
      <c r="G5465" s="8" t="s">
        <v>15</v>
      </c>
    </row>
    <row r="5466" spans="1:7" hidden="1" x14ac:dyDescent="0.25">
      <c r="A5466" s="21">
        <v>5465</v>
      </c>
      <c r="B5466" s="7" t="s">
        <v>11686</v>
      </c>
      <c r="C5466" s="7" t="s">
        <v>11687</v>
      </c>
      <c r="G5466" s="8" t="s">
        <v>15</v>
      </c>
    </row>
    <row r="5467" spans="1:7" hidden="1" x14ac:dyDescent="0.25">
      <c r="A5467" s="21">
        <v>5466</v>
      </c>
      <c r="B5467" s="7" t="s">
        <v>11688</v>
      </c>
      <c r="C5467" s="7" t="s">
        <v>11689</v>
      </c>
      <c r="G5467" s="8" t="s">
        <v>15</v>
      </c>
    </row>
    <row r="5468" spans="1:7" hidden="1" x14ac:dyDescent="0.25">
      <c r="A5468" s="21">
        <v>5467</v>
      </c>
      <c r="B5468" s="7" t="s">
        <v>11690</v>
      </c>
      <c r="C5468" s="7" t="s">
        <v>11691</v>
      </c>
      <c r="G5468" s="8" t="s">
        <v>15</v>
      </c>
    </row>
    <row r="5469" spans="1:7" hidden="1" x14ac:dyDescent="0.25">
      <c r="A5469" s="21">
        <v>5468</v>
      </c>
      <c r="B5469" s="7" t="s">
        <v>11692</v>
      </c>
      <c r="C5469" s="7" t="s">
        <v>11693</v>
      </c>
      <c r="G5469" s="8" t="s">
        <v>15</v>
      </c>
    </row>
    <row r="5470" spans="1:7" hidden="1" x14ac:dyDescent="0.25">
      <c r="A5470" s="21">
        <v>5469</v>
      </c>
      <c r="B5470" s="7" t="s">
        <v>11694</v>
      </c>
      <c r="C5470" s="7" t="s">
        <v>11695</v>
      </c>
      <c r="G5470" s="8" t="s">
        <v>15</v>
      </c>
    </row>
    <row r="5471" spans="1:7" hidden="1" x14ac:dyDescent="0.25">
      <c r="A5471" s="21">
        <v>5470</v>
      </c>
      <c r="B5471" s="7" t="s">
        <v>11696</v>
      </c>
      <c r="C5471" s="7" t="s">
        <v>11697</v>
      </c>
      <c r="G5471" s="8" t="s">
        <v>15</v>
      </c>
    </row>
    <row r="5472" spans="1:7" hidden="1" x14ac:dyDescent="0.25">
      <c r="A5472" s="21">
        <v>5471</v>
      </c>
      <c r="B5472" s="7" t="s">
        <v>11698</v>
      </c>
      <c r="C5472" s="7" t="s">
        <v>11699</v>
      </c>
      <c r="G5472" s="8" t="s">
        <v>15</v>
      </c>
    </row>
    <row r="5473" spans="1:7" hidden="1" x14ac:dyDescent="0.25">
      <c r="A5473" s="21">
        <v>5472</v>
      </c>
      <c r="B5473" s="7" t="s">
        <v>11700</v>
      </c>
      <c r="C5473" s="7" t="s">
        <v>11701</v>
      </c>
      <c r="G5473" s="8" t="s">
        <v>15</v>
      </c>
    </row>
    <row r="5474" spans="1:7" hidden="1" x14ac:dyDescent="0.25">
      <c r="A5474" s="21">
        <v>5473</v>
      </c>
      <c r="B5474" s="7" t="s">
        <v>11702</v>
      </c>
      <c r="C5474" s="7" t="s">
        <v>11703</v>
      </c>
      <c r="G5474" s="8" t="s">
        <v>15</v>
      </c>
    </row>
    <row r="5475" spans="1:7" hidden="1" x14ac:dyDescent="0.25">
      <c r="A5475" s="21">
        <v>5474</v>
      </c>
      <c r="B5475" s="7" t="s">
        <v>11704</v>
      </c>
      <c r="C5475" s="7" t="s">
        <v>11705</v>
      </c>
      <c r="G5475" s="8" t="s">
        <v>15</v>
      </c>
    </row>
    <row r="5476" spans="1:7" hidden="1" x14ac:dyDescent="0.25">
      <c r="A5476" s="21">
        <v>5475</v>
      </c>
      <c r="B5476" s="7" t="s">
        <v>11706</v>
      </c>
      <c r="C5476" s="7" t="s">
        <v>11707</v>
      </c>
      <c r="G5476" s="8" t="s">
        <v>15</v>
      </c>
    </row>
    <row r="5477" spans="1:7" hidden="1" x14ac:dyDescent="0.25">
      <c r="A5477" s="21">
        <v>5476</v>
      </c>
      <c r="B5477" s="7" t="s">
        <v>11708</v>
      </c>
      <c r="C5477" s="7" t="s">
        <v>11709</v>
      </c>
      <c r="G5477" s="8" t="s">
        <v>15</v>
      </c>
    </row>
    <row r="5478" spans="1:7" hidden="1" x14ac:dyDescent="0.25">
      <c r="A5478" s="21">
        <v>5477</v>
      </c>
      <c r="B5478" s="7" t="s">
        <v>11710</v>
      </c>
      <c r="C5478" s="7" t="s">
        <v>11711</v>
      </c>
      <c r="G5478" s="8" t="s">
        <v>15</v>
      </c>
    </row>
    <row r="5479" spans="1:7" hidden="1" x14ac:dyDescent="0.25">
      <c r="A5479" s="21">
        <v>5478</v>
      </c>
      <c r="B5479" s="7" t="s">
        <v>11712</v>
      </c>
      <c r="C5479" s="7" t="s">
        <v>11713</v>
      </c>
      <c r="G5479" s="8" t="s">
        <v>15</v>
      </c>
    </row>
    <row r="5480" spans="1:7" hidden="1" x14ac:dyDescent="0.25">
      <c r="A5480" s="21">
        <v>5479</v>
      </c>
      <c r="B5480" s="7" t="s">
        <v>11714</v>
      </c>
      <c r="C5480" s="7" t="s">
        <v>11715</v>
      </c>
      <c r="G5480" s="8" t="s">
        <v>15</v>
      </c>
    </row>
    <row r="5481" spans="1:7" hidden="1" x14ac:dyDescent="0.25">
      <c r="A5481" s="21">
        <v>5480</v>
      </c>
      <c r="B5481" s="7" t="s">
        <v>11716</v>
      </c>
      <c r="C5481" s="7" t="s">
        <v>11717</v>
      </c>
      <c r="G5481" s="8" t="s">
        <v>15</v>
      </c>
    </row>
    <row r="5482" spans="1:7" hidden="1" x14ac:dyDescent="0.25">
      <c r="A5482" s="21">
        <v>5481</v>
      </c>
      <c r="B5482" s="7" t="s">
        <v>11718</v>
      </c>
      <c r="C5482" s="7" t="s">
        <v>11719</v>
      </c>
      <c r="G5482" s="8" t="s">
        <v>15</v>
      </c>
    </row>
    <row r="5483" spans="1:7" hidden="1" x14ac:dyDescent="0.25">
      <c r="A5483" s="21">
        <v>5482</v>
      </c>
      <c r="B5483" s="7" t="s">
        <v>11720</v>
      </c>
      <c r="C5483" s="7" t="s">
        <v>11721</v>
      </c>
      <c r="G5483" s="8" t="s">
        <v>15</v>
      </c>
    </row>
    <row r="5484" spans="1:7" hidden="1" x14ac:dyDescent="0.25">
      <c r="A5484" s="21">
        <v>5483</v>
      </c>
      <c r="B5484" s="7" t="s">
        <v>11722</v>
      </c>
      <c r="C5484" s="7" t="s">
        <v>11723</v>
      </c>
      <c r="G5484" s="8" t="s">
        <v>15</v>
      </c>
    </row>
    <row r="5485" spans="1:7" hidden="1" x14ac:dyDescent="0.25">
      <c r="A5485" s="21">
        <v>5484</v>
      </c>
      <c r="B5485" s="7" t="s">
        <v>11724</v>
      </c>
      <c r="C5485" s="7" t="s">
        <v>11725</v>
      </c>
      <c r="G5485" s="8" t="s">
        <v>15</v>
      </c>
    </row>
    <row r="5486" spans="1:7" hidden="1" x14ac:dyDescent="0.25">
      <c r="A5486" s="21">
        <v>5485</v>
      </c>
      <c r="B5486" s="7" t="s">
        <v>11726</v>
      </c>
      <c r="C5486" s="7" t="s">
        <v>11727</v>
      </c>
      <c r="G5486" s="8" t="s">
        <v>15</v>
      </c>
    </row>
    <row r="5487" spans="1:7" hidden="1" x14ac:dyDescent="0.25">
      <c r="A5487" s="21">
        <v>5486</v>
      </c>
      <c r="B5487" s="7" t="s">
        <v>11728</v>
      </c>
      <c r="C5487" s="7" t="s">
        <v>11729</v>
      </c>
      <c r="G5487" s="8" t="s">
        <v>15</v>
      </c>
    </row>
    <row r="5488" spans="1:7" hidden="1" x14ac:dyDescent="0.25">
      <c r="A5488" s="21">
        <v>5487</v>
      </c>
      <c r="B5488" s="7" t="s">
        <v>11730</v>
      </c>
      <c r="C5488" s="7" t="s">
        <v>11731</v>
      </c>
      <c r="G5488" s="8" t="s">
        <v>15</v>
      </c>
    </row>
    <row r="5489" spans="1:7" hidden="1" x14ac:dyDescent="0.25">
      <c r="A5489" s="21">
        <v>5488</v>
      </c>
      <c r="B5489" s="7" t="s">
        <v>11732</v>
      </c>
      <c r="C5489" s="7" t="s">
        <v>11733</v>
      </c>
      <c r="G5489" s="8" t="s">
        <v>15</v>
      </c>
    </row>
    <row r="5490" spans="1:7" hidden="1" x14ac:dyDescent="0.25">
      <c r="A5490" s="21">
        <v>5489</v>
      </c>
      <c r="B5490" s="7" t="s">
        <v>11734</v>
      </c>
      <c r="C5490" s="7" t="s">
        <v>11735</v>
      </c>
      <c r="G5490" s="8" t="s">
        <v>15</v>
      </c>
    </row>
    <row r="5491" spans="1:7" hidden="1" x14ac:dyDescent="0.25">
      <c r="A5491" s="21">
        <v>5490</v>
      </c>
      <c r="B5491" s="7" t="s">
        <v>11736</v>
      </c>
      <c r="C5491" s="7" t="s">
        <v>11737</v>
      </c>
      <c r="G5491" s="8" t="s">
        <v>15</v>
      </c>
    </row>
    <row r="5492" spans="1:7" hidden="1" x14ac:dyDescent="0.25">
      <c r="A5492" s="21">
        <v>5491</v>
      </c>
      <c r="B5492" s="7" t="s">
        <v>11738</v>
      </c>
      <c r="C5492" s="7" t="s">
        <v>11739</v>
      </c>
      <c r="G5492" s="8" t="s">
        <v>15</v>
      </c>
    </row>
    <row r="5493" spans="1:7" hidden="1" x14ac:dyDescent="0.25">
      <c r="A5493" s="21">
        <v>5492</v>
      </c>
      <c r="B5493" s="7" t="s">
        <v>11740</v>
      </c>
      <c r="C5493" s="7" t="s">
        <v>11741</v>
      </c>
      <c r="G5493" s="8" t="s">
        <v>15</v>
      </c>
    </row>
    <row r="5494" spans="1:7" hidden="1" x14ac:dyDescent="0.25">
      <c r="A5494" s="21">
        <v>5493</v>
      </c>
      <c r="B5494" s="7" t="s">
        <v>11742</v>
      </c>
      <c r="C5494" s="7" t="s">
        <v>11743</v>
      </c>
      <c r="G5494" s="8" t="s">
        <v>15</v>
      </c>
    </row>
    <row r="5495" spans="1:7" hidden="1" x14ac:dyDescent="0.25">
      <c r="A5495" s="21">
        <v>5494</v>
      </c>
      <c r="B5495" s="7" t="s">
        <v>11744</v>
      </c>
      <c r="C5495" s="7" t="s">
        <v>11745</v>
      </c>
      <c r="G5495" s="8" t="s">
        <v>15</v>
      </c>
    </row>
    <row r="5496" spans="1:7" hidden="1" x14ac:dyDescent="0.25">
      <c r="A5496" s="21">
        <v>5495</v>
      </c>
      <c r="B5496" s="7" t="s">
        <v>11746</v>
      </c>
      <c r="C5496" s="7" t="s">
        <v>11747</v>
      </c>
      <c r="G5496" s="8" t="s">
        <v>15</v>
      </c>
    </row>
    <row r="5497" spans="1:7" hidden="1" x14ac:dyDescent="0.25">
      <c r="A5497" s="21">
        <v>5496</v>
      </c>
      <c r="B5497" s="7" t="s">
        <v>11748</v>
      </c>
      <c r="C5497" s="7" t="s">
        <v>11749</v>
      </c>
      <c r="G5497" s="8" t="s">
        <v>15</v>
      </c>
    </row>
    <row r="5498" spans="1:7" hidden="1" x14ac:dyDescent="0.25">
      <c r="A5498" s="21">
        <v>5497</v>
      </c>
      <c r="B5498" s="7" t="s">
        <v>11750</v>
      </c>
      <c r="C5498" s="7" t="s">
        <v>11751</v>
      </c>
      <c r="G5498" s="8" t="s">
        <v>15</v>
      </c>
    </row>
    <row r="5499" spans="1:7" hidden="1" x14ac:dyDescent="0.25">
      <c r="A5499" s="21">
        <v>5498</v>
      </c>
      <c r="B5499" s="7" t="s">
        <v>11752</v>
      </c>
      <c r="C5499" s="7" t="s">
        <v>11753</v>
      </c>
      <c r="G5499" s="8" t="s">
        <v>15</v>
      </c>
    </row>
    <row r="5500" spans="1:7" hidden="1" x14ac:dyDescent="0.25">
      <c r="A5500" s="21">
        <v>5499</v>
      </c>
      <c r="B5500" s="7" t="s">
        <v>11754</v>
      </c>
      <c r="C5500" s="7" t="s">
        <v>11755</v>
      </c>
      <c r="G5500" s="8" t="s">
        <v>15</v>
      </c>
    </row>
    <row r="5501" spans="1:7" hidden="1" x14ac:dyDescent="0.25">
      <c r="A5501" s="21">
        <v>5500</v>
      </c>
      <c r="B5501" s="7" t="s">
        <v>11756</v>
      </c>
      <c r="C5501" s="7" t="s">
        <v>11757</v>
      </c>
      <c r="G5501" s="8" t="s">
        <v>15</v>
      </c>
    </row>
    <row r="5502" spans="1:7" hidden="1" x14ac:dyDescent="0.25">
      <c r="A5502" s="21">
        <v>5501</v>
      </c>
      <c r="B5502" s="7" t="s">
        <v>11758</v>
      </c>
      <c r="C5502" s="7" t="s">
        <v>11759</v>
      </c>
      <c r="G5502" s="8" t="s">
        <v>15</v>
      </c>
    </row>
    <row r="5503" spans="1:7" hidden="1" x14ac:dyDescent="0.25">
      <c r="A5503" s="21">
        <v>5502</v>
      </c>
      <c r="B5503" s="7" t="s">
        <v>11760</v>
      </c>
      <c r="C5503" s="7" t="s">
        <v>11761</v>
      </c>
      <c r="G5503" s="8" t="s">
        <v>15</v>
      </c>
    </row>
    <row r="5504" spans="1:7" hidden="1" x14ac:dyDescent="0.25">
      <c r="A5504" s="21">
        <v>5503</v>
      </c>
      <c r="B5504" s="7" t="s">
        <v>11762</v>
      </c>
      <c r="C5504" s="7" t="s">
        <v>11763</v>
      </c>
      <c r="G5504" s="8" t="s">
        <v>15</v>
      </c>
    </row>
    <row r="5505" spans="1:7" hidden="1" x14ac:dyDescent="0.25">
      <c r="A5505" s="21">
        <v>5504</v>
      </c>
      <c r="B5505" s="7" t="s">
        <v>11764</v>
      </c>
      <c r="C5505" s="7" t="s">
        <v>11765</v>
      </c>
      <c r="G5505" s="8" t="s">
        <v>15</v>
      </c>
    </row>
    <row r="5506" spans="1:7" hidden="1" x14ac:dyDescent="0.25">
      <c r="A5506" s="21">
        <v>5505</v>
      </c>
      <c r="B5506" s="7" t="s">
        <v>11766</v>
      </c>
      <c r="C5506" s="7" t="s">
        <v>11767</v>
      </c>
      <c r="G5506" s="8" t="s">
        <v>15</v>
      </c>
    </row>
    <row r="5507" spans="1:7" hidden="1" x14ac:dyDescent="0.25">
      <c r="A5507" s="21">
        <v>5506</v>
      </c>
      <c r="B5507" s="7" t="s">
        <v>11768</v>
      </c>
      <c r="C5507" s="7" t="s">
        <v>11769</v>
      </c>
      <c r="G5507" s="8" t="s">
        <v>15</v>
      </c>
    </row>
    <row r="5508" spans="1:7" hidden="1" x14ac:dyDescent="0.25">
      <c r="A5508" s="21">
        <v>5507</v>
      </c>
      <c r="B5508" s="7" t="s">
        <v>11770</v>
      </c>
      <c r="C5508" s="7" t="s">
        <v>11771</v>
      </c>
      <c r="G5508" s="8" t="s">
        <v>15</v>
      </c>
    </row>
    <row r="5509" spans="1:7" hidden="1" x14ac:dyDescent="0.25">
      <c r="A5509" s="21">
        <v>5508</v>
      </c>
      <c r="B5509" s="7" t="s">
        <v>11772</v>
      </c>
      <c r="C5509" s="7" t="s">
        <v>11773</v>
      </c>
      <c r="G5509" s="8" t="s">
        <v>15</v>
      </c>
    </row>
    <row r="5510" spans="1:7" hidden="1" x14ac:dyDescent="0.25">
      <c r="A5510" s="21">
        <v>5509</v>
      </c>
      <c r="B5510" s="7" t="s">
        <v>11774</v>
      </c>
      <c r="C5510" s="7" t="s">
        <v>11775</v>
      </c>
      <c r="G5510" s="8" t="s">
        <v>15</v>
      </c>
    </row>
    <row r="5511" spans="1:7" hidden="1" x14ac:dyDescent="0.25">
      <c r="A5511" s="21">
        <v>5510</v>
      </c>
      <c r="B5511" s="7" t="s">
        <v>11776</v>
      </c>
      <c r="C5511" s="7" t="s">
        <v>11777</v>
      </c>
      <c r="G5511" s="8" t="s">
        <v>15</v>
      </c>
    </row>
    <row r="5512" spans="1:7" hidden="1" x14ac:dyDescent="0.25">
      <c r="A5512" s="21">
        <v>5511</v>
      </c>
      <c r="B5512" s="7" t="s">
        <v>11778</v>
      </c>
      <c r="C5512" s="7" t="s">
        <v>11779</v>
      </c>
      <c r="G5512" s="8" t="s">
        <v>15</v>
      </c>
    </row>
    <row r="5513" spans="1:7" hidden="1" x14ac:dyDescent="0.25">
      <c r="A5513" s="21">
        <v>5512</v>
      </c>
      <c r="B5513" s="7" t="s">
        <v>11780</v>
      </c>
      <c r="C5513" s="7" t="s">
        <v>11781</v>
      </c>
      <c r="G5513" s="8" t="s">
        <v>15</v>
      </c>
    </row>
    <row r="5514" spans="1:7" hidden="1" x14ac:dyDescent="0.25">
      <c r="A5514" s="21">
        <v>5513</v>
      </c>
      <c r="B5514" s="7" t="s">
        <v>11782</v>
      </c>
      <c r="C5514" s="7" t="s">
        <v>11783</v>
      </c>
      <c r="G5514" s="8" t="s">
        <v>15</v>
      </c>
    </row>
    <row r="5515" spans="1:7" hidden="1" x14ac:dyDescent="0.25">
      <c r="A5515" s="21">
        <v>5514</v>
      </c>
      <c r="B5515" s="7" t="s">
        <v>11784</v>
      </c>
      <c r="C5515" s="7" t="s">
        <v>11785</v>
      </c>
      <c r="G5515" s="8" t="s">
        <v>15</v>
      </c>
    </row>
    <row r="5516" spans="1:7" hidden="1" x14ac:dyDescent="0.25">
      <c r="A5516" s="21">
        <v>5515</v>
      </c>
      <c r="B5516" s="7" t="s">
        <v>11786</v>
      </c>
      <c r="C5516" s="7" t="s">
        <v>11787</v>
      </c>
      <c r="G5516" s="8" t="s">
        <v>15</v>
      </c>
    </row>
    <row r="5517" spans="1:7" hidden="1" x14ac:dyDescent="0.25">
      <c r="A5517" s="21">
        <v>5516</v>
      </c>
      <c r="B5517" s="7" t="s">
        <v>11788</v>
      </c>
      <c r="C5517" s="7" t="s">
        <v>11789</v>
      </c>
      <c r="G5517" s="8" t="s">
        <v>15</v>
      </c>
    </row>
    <row r="5518" spans="1:7" hidden="1" x14ac:dyDescent="0.25">
      <c r="A5518" s="21">
        <v>5517</v>
      </c>
      <c r="B5518" s="7" t="s">
        <v>11790</v>
      </c>
      <c r="C5518" s="7" t="s">
        <v>11791</v>
      </c>
      <c r="G5518" s="8" t="s">
        <v>15</v>
      </c>
    </row>
    <row r="5519" spans="1:7" hidden="1" x14ac:dyDescent="0.25">
      <c r="A5519" s="21">
        <v>5518</v>
      </c>
      <c r="B5519" s="7" t="s">
        <v>11792</v>
      </c>
      <c r="C5519" s="7" t="s">
        <v>11793</v>
      </c>
      <c r="G5519" s="8" t="s">
        <v>15</v>
      </c>
    </row>
    <row r="5520" spans="1:7" hidden="1" x14ac:dyDescent="0.25">
      <c r="A5520" s="21">
        <v>5519</v>
      </c>
      <c r="B5520" s="7" t="s">
        <v>11794</v>
      </c>
      <c r="C5520" s="7" t="s">
        <v>11795</v>
      </c>
      <c r="G5520" s="8" t="s">
        <v>15</v>
      </c>
    </row>
    <row r="5521" spans="1:7" hidden="1" x14ac:dyDescent="0.25">
      <c r="A5521" s="21">
        <v>5520</v>
      </c>
      <c r="B5521" s="7" t="s">
        <v>11796</v>
      </c>
      <c r="C5521" s="7" t="s">
        <v>11797</v>
      </c>
      <c r="G5521" s="8" t="s">
        <v>15</v>
      </c>
    </row>
    <row r="5522" spans="1:7" hidden="1" x14ac:dyDescent="0.25">
      <c r="A5522" s="21">
        <v>5521</v>
      </c>
      <c r="B5522" s="7" t="s">
        <v>11798</v>
      </c>
      <c r="C5522" s="7" t="s">
        <v>11799</v>
      </c>
      <c r="G5522" s="8" t="s">
        <v>15</v>
      </c>
    </row>
    <row r="5523" spans="1:7" hidden="1" x14ac:dyDescent="0.25">
      <c r="A5523" s="21">
        <v>5522</v>
      </c>
      <c r="B5523" s="7" t="s">
        <v>11800</v>
      </c>
      <c r="C5523" s="7" t="s">
        <v>11801</v>
      </c>
      <c r="G5523" s="8" t="s">
        <v>15</v>
      </c>
    </row>
    <row r="5524" spans="1:7" hidden="1" x14ac:dyDescent="0.25">
      <c r="A5524" s="21">
        <v>5523</v>
      </c>
      <c r="B5524" s="7" t="s">
        <v>11802</v>
      </c>
      <c r="C5524" s="7" t="s">
        <v>11803</v>
      </c>
      <c r="G5524" s="8" t="s">
        <v>15</v>
      </c>
    </row>
    <row r="5525" spans="1:7" hidden="1" x14ac:dyDescent="0.25">
      <c r="A5525" s="21">
        <v>5524</v>
      </c>
      <c r="B5525" s="7" t="s">
        <v>11804</v>
      </c>
      <c r="C5525" s="7" t="s">
        <v>11805</v>
      </c>
      <c r="G5525" s="8" t="s">
        <v>15</v>
      </c>
    </row>
    <row r="5526" spans="1:7" hidden="1" x14ac:dyDescent="0.25">
      <c r="A5526" s="21">
        <v>5525</v>
      </c>
      <c r="B5526" s="7" t="s">
        <v>11806</v>
      </c>
      <c r="C5526" s="7" t="s">
        <v>11807</v>
      </c>
      <c r="G5526" s="8" t="s">
        <v>15</v>
      </c>
    </row>
    <row r="5527" spans="1:7" hidden="1" x14ac:dyDescent="0.25">
      <c r="A5527" s="21">
        <v>5526</v>
      </c>
      <c r="B5527" s="7" t="s">
        <v>11808</v>
      </c>
      <c r="C5527" s="7" t="s">
        <v>11809</v>
      </c>
      <c r="G5527" s="8" t="s">
        <v>15</v>
      </c>
    </row>
    <row r="5528" spans="1:7" hidden="1" x14ac:dyDescent="0.25">
      <c r="A5528" s="21">
        <v>5527</v>
      </c>
      <c r="B5528" s="7" t="s">
        <v>11810</v>
      </c>
      <c r="C5528" s="7" t="s">
        <v>11811</v>
      </c>
      <c r="G5528" s="8" t="s">
        <v>15</v>
      </c>
    </row>
    <row r="5529" spans="1:7" hidden="1" x14ac:dyDescent="0.25">
      <c r="A5529" s="21">
        <v>5528</v>
      </c>
      <c r="B5529" s="7" t="s">
        <v>11812</v>
      </c>
      <c r="C5529" s="7" t="s">
        <v>11813</v>
      </c>
      <c r="G5529" s="8" t="s">
        <v>15</v>
      </c>
    </row>
    <row r="5530" spans="1:7" hidden="1" x14ac:dyDescent="0.25">
      <c r="A5530" s="21">
        <v>5529</v>
      </c>
      <c r="B5530" s="7" t="s">
        <v>11814</v>
      </c>
      <c r="C5530" s="7" t="s">
        <v>11815</v>
      </c>
      <c r="G5530" s="8" t="s">
        <v>15</v>
      </c>
    </row>
    <row r="5531" spans="1:7" hidden="1" x14ac:dyDescent="0.25">
      <c r="A5531" s="21">
        <v>5530</v>
      </c>
      <c r="B5531" s="7" t="s">
        <v>11816</v>
      </c>
      <c r="C5531" s="7" t="s">
        <v>11817</v>
      </c>
      <c r="G5531" s="8" t="s">
        <v>15</v>
      </c>
    </row>
    <row r="5532" spans="1:7" hidden="1" x14ac:dyDescent="0.25">
      <c r="A5532" s="21">
        <v>5531</v>
      </c>
      <c r="B5532" s="7" t="s">
        <v>11818</v>
      </c>
      <c r="C5532" s="7" t="s">
        <v>11819</v>
      </c>
      <c r="G5532" s="8" t="s">
        <v>15</v>
      </c>
    </row>
    <row r="5533" spans="1:7" hidden="1" x14ac:dyDescent="0.25">
      <c r="A5533" s="21">
        <v>5532</v>
      </c>
      <c r="B5533" s="7" t="s">
        <v>11820</v>
      </c>
      <c r="C5533" s="7" t="s">
        <v>11821</v>
      </c>
      <c r="G5533" s="8" t="s">
        <v>15</v>
      </c>
    </row>
    <row r="5534" spans="1:7" hidden="1" x14ac:dyDescent="0.25">
      <c r="A5534" s="21">
        <v>5533</v>
      </c>
      <c r="B5534" s="7" t="s">
        <v>11822</v>
      </c>
      <c r="C5534" s="7" t="s">
        <v>11823</v>
      </c>
      <c r="G5534" s="8" t="s">
        <v>15</v>
      </c>
    </row>
    <row r="5535" spans="1:7" hidden="1" x14ac:dyDescent="0.25">
      <c r="A5535" s="21">
        <v>5534</v>
      </c>
      <c r="B5535" s="7" t="s">
        <v>11824</v>
      </c>
      <c r="C5535" s="7" t="s">
        <v>11825</v>
      </c>
      <c r="G5535" s="8" t="s">
        <v>15</v>
      </c>
    </row>
    <row r="5536" spans="1:7" hidden="1" x14ac:dyDescent="0.25">
      <c r="A5536" s="21">
        <v>5535</v>
      </c>
      <c r="B5536" s="7" t="s">
        <v>11826</v>
      </c>
      <c r="C5536" s="7" t="s">
        <v>11827</v>
      </c>
      <c r="G5536" s="8" t="s">
        <v>15</v>
      </c>
    </row>
    <row r="5537" spans="1:7" hidden="1" x14ac:dyDescent="0.25">
      <c r="A5537" s="21">
        <v>5536</v>
      </c>
      <c r="B5537" s="7" t="s">
        <v>11828</v>
      </c>
      <c r="C5537" s="7" t="s">
        <v>11829</v>
      </c>
      <c r="G5537" s="8" t="s">
        <v>15</v>
      </c>
    </row>
    <row r="5538" spans="1:7" hidden="1" x14ac:dyDescent="0.25">
      <c r="A5538" s="21">
        <v>5537</v>
      </c>
      <c r="B5538" s="7" t="s">
        <v>11830</v>
      </c>
      <c r="C5538" s="7" t="s">
        <v>11831</v>
      </c>
      <c r="G5538" s="8" t="s">
        <v>15</v>
      </c>
    </row>
    <row r="5539" spans="1:7" hidden="1" x14ac:dyDescent="0.25">
      <c r="A5539" s="21">
        <v>5538</v>
      </c>
      <c r="B5539" s="7" t="s">
        <v>11832</v>
      </c>
      <c r="C5539" s="7" t="s">
        <v>11833</v>
      </c>
      <c r="G5539" s="8" t="s">
        <v>15</v>
      </c>
    </row>
    <row r="5540" spans="1:7" hidden="1" x14ac:dyDescent="0.25">
      <c r="A5540" s="21">
        <v>5539</v>
      </c>
      <c r="B5540" s="7" t="s">
        <v>11834</v>
      </c>
      <c r="C5540" s="7" t="s">
        <v>11835</v>
      </c>
      <c r="G5540" s="8" t="s">
        <v>15</v>
      </c>
    </row>
    <row r="5541" spans="1:7" hidden="1" x14ac:dyDescent="0.25">
      <c r="A5541" s="21">
        <v>5540</v>
      </c>
      <c r="B5541" s="7" t="s">
        <v>11836</v>
      </c>
      <c r="C5541" s="7" t="s">
        <v>11837</v>
      </c>
      <c r="G5541" s="8" t="s">
        <v>15</v>
      </c>
    </row>
    <row r="5542" spans="1:7" hidden="1" x14ac:dyDescent="0.25">
      <c r="A5542" s="21">
        <v>5541</v>
      </c>
      <c r="B5542" s="7" t="s">
        <v>11838</v>
      </c>
      <c r="C5542" s="7" t="s">
        <v>11839</v>
      </c>
      <c r="G5542" s="8" t="s">
        <v>15</v>
      </c>
    </row>
    <row r="5543" spans="1:7" hidden="1" x14ac:dyDescent="0.25">
      <c r="A5543" s="21">
        <v>5542</v>
      </c>
      <c r="B5543" s="7" t="s">
        <v>11840</v>
      </c>
      <c r="C5543" s="7" t="s">
        <v>11841</v>
      </c>
      <c r="G5543" s="8" t="s">
        <v>15</v>
      </c>
    </row>
    <row r="5544" spans="1:7" hidden="1" x14ac:dyDescent="0.25">
      <c r="A5544" s="21">
        <v>5543</v>
      </c>
      <c r="B5544" s="7" t="s">
        <v>11842</v>
      </c>
      <c r="C5544" s="7" t="s">
        <v>11843</v>
      </c>
      <c r="G5544" s="8" t="s">
        <v>15</v>
      </c>
    </row>
    <row r="5545" spans="1:7" hidden="1" x14ac:dyDescent="0.25">
      <c r="A5545" s="21">
        <v>5544</v>
      </c>
      <c r="B5545" s="7" t="s">
        <v>11844</v>
      </c>
      <c r="C5545" s="7" t="s">
        <v>11845</v>
      </c>
      <c r="G5545" s="8" t="s">
        <v>15</v>
      </c>
    </row>
    <row r="5546" spans="1:7" hidden="1" x14ac:dyDescent="0.25">
      <c r="A5546" s="21">
        <v>5545</v>
      </c>
      <c r="B5546" s="7" t="s">
        <v>11846</v>
      </c>
      <c r="C5546" s="7" t="s">
        <v>11847</v>
      </c>
      <c r="G5546" s="8" t="s">
        <v>15</v>
      </c>
    </row>
    <row r="5547" spans="1:7" hidden="1" x14ac:dyDescent="0.25">
      <c r="A5547" s="21">
        <v>5546</v>
      </c>
      <c r="B5547" s="7" t="s">
        <v>11848</v>
      </c>
      <c r="C5547" s="7" t="s">
        <v>11849</v>
      </c>
      <c r="G5547" s="8" t="s">
        <v>15</v>
      </c>
    </row>
    <row r="5548" spans="1:7" hidden="1" x14ac:dyDescent="0.25">
      <c r="A5548" s="21">
        <v>5547</v>
      </c>
      <c r="B5548" s="7" t="s">
        <v>11850</v>
      </c>
      <c r="C5548" s="7" t="s">
        <v>11851</v>
      </c>
      <c r="G5548" s="8" t="s">
        <v>15</v>
      </c>
    </row>
    <row r="5549" spans="1:7" hidden="1" x14ac:dyDescent="0.25">
      <c r="A5549" s="21">
        <v>5548</v>
      </c>
      <c r="B5549" s="7" t="s">
        <v>11852</v>
      </c>
      <c r="C5549" s="7" t="s">
        <v>11853</v>
      </c>
      <c r="G5549" s="8" t="s">
        <v>15</v>
      </c>
    </row>
    <row r="5550" spans="1:7" hidden="1" x14ac:dyDescent="0.25">
      <c r="A5550" s="21">
        <v>5549</v>
      </c>
      <c r="B5550" s="7" t="s">
        <v>11854</v>
      </c>
      <c r="C5550" s="7" t="s">
        <v>11855</v>
      </c>
      <c r="G5550" s="8" t="s">
        <v>15</v>
      </c>
    </row>
    <row r="5551" spans="1:7" hidden="1" x14ac:dyDescent="0.25">
      <c r="A5551" s="21">
        <v>5550</v>
      </c>
      <c r="B5551" s="7" t="s">
        <v>11856</v>
      </c>
      <c r="C5551" s="7" t="s">
        <v>11857</v>
      </c>
      <c r="G5551" s="8" t="s">
        <v>15</v>
      </c>
    </row>
    <row r="5552" spans="1:7" hidden="1" x14ac:dyDescent="0.25">
      <c r="A5552" s="21">
        <v>5551</v>
      </c>
      <c r="B5552" s="7" t="s">
        <v>11858</v>
      </c>
      <c r="C5552" s="7" t="s">
        <v>11859</v>
      </c>
      <c r="G5552" s="8" t="s">
        <v>15</v>
      </c>
    </row>
    <row r="5553" spans="1:7" hidden="1" x14ac:dyDescent="0.25">
      <c r="A5553" s="21">
        <v>5552</v>
      </c>
      <c r="B5553" s="7" t="s">
        <v>11860</v>
      </c>
      <c r="C5553" s="7" t="s">
        <v>11861</v>
      </c>
      <c r="G5553" s="8" t="s">
        <v>15</v>
      </c>
    </row>
    <row r="5554" spans="1:7" hidden="1" x14ac:dyDescent="0.25">
      <c r="A5554" s="21">
        <v>5553</v>
      </c>
      <c r="B5554" s="7" t="s">
        <v>11862</v>
      </c>
      <c r="C5554" s="7" t="s">
        <v>11863</v>
      </c>
      <c r="G5554" s="8" t="s">
        <v>15</v>
      </c>
    </row>
    <row r="5555" spans="1:7" hidden="1" x14ac:dyDescent="0.25">
      <c r="A5555" s="21">
        <v>5554</v>
      </c>
      <c r="B5555" s="7" t="s">
        <v>11864</v>
      </c>
      <c r="C5555" s="7" t="s">
        <v>11865</v>
      </c>
      <c r="G5555" s="8" t="s">
        <v>15</v>
      </c>
    </row>
    <row r="5556" spans="1:7" hidden="1" x14ac:dyDescent="0.25">
      <c r="A5556" s="21">
        <v>5555</v>
      </c>
      <c r="B5556" s="7" t="s">
        <v>11866</v>
      </c>
      <c r="C5556" s="7" t="s">
        <v>11867</v>
      </c>
      <c r="G5556" s="8" t="s">
        <v>15</v>
      </c>
    </row>
    <row r="5557" spans="1:7" hidden="1" x14ac:dyDescent="0.25">
      <c r="A5557" s="21">
        <v>5556</v>
      </c>
      <c r="B5557" s="7" t="s">
        <v>11868</v>
      </c>
      <c r="C5557" s="7" t="s">
        <v>11869</v>
      </c>
      <c r="G5557" s="8" t="s">
        <v>15</v>
      </c>
    </row>
    <row r="5558" spans="1:7" hidden="1" x14ac:dyDescent="0.25">
      <c r="A5558" s="21">
        <v>5557</v>
      </c>
      <c r="B5558" s="7" t="s">
        <v>11870</v>
      </c>
      <c r="C5558" s="7" t="s">
        <v>11871</v>
      </c>
      <c r="G5558" s="8" t="s">
        <v>15</v>
      </c>
    </row>
    <row r="5559" spans="1:7" hidden="1" x14ac:dyDescent="0.25">
      <c r="A5559" s="21">
        <v>5558</v>
      </c>
      <c r="B5559" s="7" t="s">
        <v>11872</v>
      </c>
      <c r="C5559" s="7" t="s">
        <v>11873</v>
      </c>
      <c r="G5559" s="8" t="s">
        <v>15</v>
      </c>
    </row>
    <row r="5560" spans="1:7" hidden="1" x14ac:dyDescent="0.25">
      <c r="A5560" s="21">
        <v>5559</v>
      </c>
      <c r="B5560" s="7" t="s">
        <v>11874</v>
      </c>
      <c r="C5560" s="7" t="s">
        <v>11875</v>
      </c>
      <c r="G5560" s="8" t="s">
        <v>15</v>
      </c>
    </row>
    <row r="5561" spans="1:7" hidden="1" x14ac:dyDescent="0.25">
      <c r="A5561" s="21">
        <v>5560</v>
      </c>
      <c r="B5561" s="7" t="s">
        <v>11876</v>
      </c>
      <c r="C5561" s="7" t="s">
        <v>11877</v>
      </c>
      <c r="G5561" s="8" t="s">
        <v>15</v>
      </c>
    </row>
    <row r="5562" spans="1:7" hidden="1" x14ac:dyDescent="0.25">
      <c r="A5562" s="21">
        <v>5561</v>
      </c>
      <c r="B5562" s="7" t="s">
        <v>11878</v>
      </c>
      <c r="C5562" s="7" t="s">
        <v>11879</v>
      </c>
      <c r="G5562" s="8" t="s">
        <v>15</v>
      </c>
    </row>
    <row r="5563" spans="1:7" hidden="1" x14ac:dyDescent="0.25">
      <c r="A5563" s="21">
        <v>5562</v>
      </c>
      <c r="B5563" s="7" t="s">
        <v>11880</v>
      </c>
      <c r="C5563" s="7" t="s">
        <v>11881</v>
      </c>
      <c r="G5563" s="8" t="s">
        <v>15</v>
      </c>
    </row>
    <row r="5564" spans="1:7" hidden="1" x14ac:dyDescent="0.25">
      <c r="A5564" s="21">
        <v>5563</v>
      </c>
      <c r="B5564" s="7" t="s">
        <v>11882</v>
      </c>
      <c r="C5564" s="7" t="s">
        <v>11883</v>
      </c>
      <c r="G5564" s="8" t="s">
        <v>15</v>
      </c>
    </row>
    <row r="5565" spans="1:7" hidden="1" x14ac:dyDescent="0.25">
      <c r="A5565" s="21">
        <v>5564</v>
      </c>
      <c r="B5565" s="7" t="s">
        <v>11884</v>
      </c>
      <c r="C5565" s="7" t="s">
        <v>11885</v>
      </c>
      <c r="G5565" s="8" t="s">
        <v>15</v>
      </c>
    </row>
    <row r="5566" spans="1:7" hidden="1" x14ac:dyDescent="0.25">
      <c r="A5566" s="21">
        <v>5565</v>
      </c>
      <c r="B5566" s="7" t="s">
        <v>11886</v>
      </c>
      <c r="C5566" s="7" t="s">
        <v>11887</v>
      </c>
      <c r="G5566" s="8" t="s">
        <v>15</v>
      </c>
    </row>
    <row r="5567" spans="1:7" hidden="1" x14ac:dyDescent="0.25">
      <c r="A5567" s="21">
        <v>5566</v>
      </c>
      <c r="B5567" s="7" t="s">
        <v>11888</v>
      </c>
      <c r="C5567" s="7" t="s">
        <v>11889</v>
      </c>
      <c r="G5567" s="8" t="s">
        <v>15</v>
      </c>
    </row>
    <row r="5568" spans="1:7" hidden="1" x14ac:dyDescent="0.25">
      <c r="A5568" s="21">
        <v>5567</v>
      </c>
      <c r="B5568" s="7" t="s">
        <v>11890</v>
      </c>
      <c r="C5568" s="7" t="s">
        <v>11891</v>
      </c>
      <c r="G5568" s="8" t="s">
        <v>15</v>
      </c>
    </row>
    <row r="5569" spans="1:7" hidden="1" x14ac:dyDescent="0.25">
      <c r="A5569" s="21">
        <v>5568</v>
      </c>
      <c r="B5569" s="7" t="s">
        <v>11892</v>
      </c>
      <c r="C5569" s="7" t="s">
        <v>11893</v>
      </c>
      <c r="G5569" s="8" t="s">
        <v>15</v>
      </c>
    </row>
    <row r="5570" spans="1:7" hidden="1" x14ac:dyDescent="0.25">
      <c r="A5570" s="21">
        <v>5569</v>
      </c>
      <c r="B5570" s="7" t="s">
        <v>11894</v>
      </c>
      <c r="C5570" s="7" t="s">
        <v>11895</v>
      </c>
      <c r="G5570" s="8" t="s">
        <v>15</v>
      </c>
    </row>
    <row r="5571" spans="1:7" hidden="1" x14ac:dyDescent="0.25">
      <c r="A5571" s="21">
        <v>5570</v>
      </c>
      <c r="B5571" s="7" t="s">
        <v>11896</v>
      </c>
      <c r="C5571" s="7" t="s">
        <v>11897</v>
      </c>
      <c r="G5571" s="8" t="s">
        <v>15</v>
      </c>
    </row>
    <row r="5572" spans="1:7" hidden="1" x14ac:dyDescent="0.25">
      <c r="A5572" s="21">
        <v>5571</v>
      </c>
      <c r="B5572" s="7" t="s">
        <v>11898</v>
      </c>
      <c r="C5572" s="7" t="s">
        <v>11899</v>
      </c>
      <c r="G5572" s="8" t="s">
        <v>15</v>
      </c>
    </row>
    <row r="5573" spans="1:7" hidden="1" x14ac:dyDescent="0.25">
      <c r="A5573" s="21">
        <v>5572</v>
      </c>
      <c r="B5573" s="7" t="s">
        <v>11900</v>
      </c>
      <c r="C5573" s="7" t="s">
        <v>11901</v>
      </c>
      <c r="G5573" s="8" t="s">
        <v>15</v>
      </c>
    </row>
    <row r="5574" spans="1:7" hidden="1" x14ac:dyDescent="0.25">
      <c r="A5574" s="21">
        <v>5573</v>
      </c>
      <c r="B5574" s="7" t="s">
        <v>11902</v>
      </c>
      <c r="C5574" s="7" t="s">
        <v>11903</v>
      </c>
      <c r="G5574" s="8" t="s">
        <v>15</v>
      </c>
    </row>
    <row r="5575" spans="1:7" hidden="1" x14ac:dyDescent="0.25">
      <c r="A5575" s="21">
        <v>5574</v>
      </c>
      <c r="B5575" s="7" t="s">
        <v>11904</v>
      </c>
      <c r="C5575" s="7" t="s">
        <v>11905</v>
      </c>
      <c r="G5575" s="8" t="s">
        <v>15</v>
      </c>
    </row>
    <row r="5576" spans="1:7" hidden="1" x14ac:dyDescent="0.25">
      <c r="A5576" s="21">
        <v>5575</v>
      </c>
      <c r="B5576" s="7" t="s">
        <v>11906</v>
      </c>
      <c r="C5576" s="7" t="s">
        <v>11907</v>
      </c>
      <c r="G5576" s="8" t="s">
        <v>15</v>
      </c>
    </row>
    <row r="5577" spans="1:7" hidden="1" x14ac:dyDescent="0.25">
      <c r="A5577" s="21">
        <v>5576</v>
      </c>
      <c r="B5577" s="7" t="s">
        <v>11908</v>
      </c>
      <c r="C5577" s="7" t="s">
        <v>11909</v>
      </c>
      <c r="G5577" s="8" t="s">
        <v>15</v>
      </c>
    </row>
    <row r="5578" spans="1:7" hidden="1" x14ac:dyDescent="0.25">
      <c r="A5578" s="21">
        <v>5577</v>
      </c>
      <c r="B5578" s="7" t="s">
        <v>11910</v>
      </c>
      <c r="C5578" s="7" t="s">
        <v>11911</v>
      </c>
      <c r="G5578" s="8" t="s">
        <v>15</v>
      </c>
    </row>
    <row r="5579" spans="1:7" hidden="1" x14ac:dyDescent="0.25">
      <c r="A5579" s="21">
        <v>5578</v>
      </c>
      <c r="B5579" s="7" t="s">
        <v>11912</v>
      </c>
      <c r="C5579" s="7" t="s">
        <v>11913</v>
      </c>
      <c r="G5579" s="8" t="s">
        <v>15</v>
      </c>
    </row>
    <row r="5580" spans="1:7" hidden="1" x14ac:dyDescent="0.25">
      <c r="A5580" s="21">
        <v>5579</v>
      </c>
      <c r="B5580" s="7" t="s">
        <v>11914</v>
      </c>
      <c r="C5580" s="7" t="s">
        <v>11915</v>
      </c>
      <c r="G5580" s="8" t="s">
        <v>15</v>
      </c>
    </row>
    <row r="5581" spans="1:7" hidden="1" x14ac:dyDescent="0.25">
      <c r="A5581" s="21">
        <v>5580</v>
      </c>
      <c r="B5581" s="7" t="s">
        <v>11916</v>
      </c>
      <c r="C5581" s="7" t="s">
        <v>11917</v>
      </c>
      <c r="G5581" s="8" t="s">
        <v>15</v>
      </c>
    </row>
    <row r="5582" spans="1:7" hidden="1" x14ac:dyDescent="0.25">
      <c r="A5582" s="21">
        <v>5581</v>
      </c>
      <c r="B5582" s="7" t="s">
        <v>11918</v>
      </c>
      <c r="C5582" s="7" t="s">
        <v>11919</v>
      </c>
      <c r="G5582" s="8" t="s">
        <v>15</v>
      </c>
    </row>
    <row r="5583" spans="1:7" hidden="1" x14ac:dyDescent="0.25">
      <c r="A5583" s="21">
        <v>5582</v>
      </c>
      <c r="B5583" s="7" t="s">
        <v>11920</v>
      </c>
      <c r="C5583" s="7" t="s">
        <v>11921</v>
      </c>
      <c r="G5583" s="8" t="s">
        <v>15</v>
      </c>
    </row>
    <row r="5584" spans="1:7" hidden="1" x14ac:dyDescent="0.25">
      <c r="A5584" s="21">
        <v>5583</v>
      </c>
      <c r="B5584" s="7" t="s">
        <v>11922</v>
      </c>
      <c r="C5584" s="7" t="s">
        <v>11923</v>
      </c>
      <c r="G5584" s="8" t="s">
        <v>15</v>
      </c>
    </row>
    <row r="5585" spans="1:7" hidden="1" x14ac:dyDescent="0.25">
      <c r="A5585" s="21">
        <v>5584</v>
      </c>
      <c r="B5585" s="7" t="s">
        <v>11924</v>
      </c>
      <c r="C5585" s="7" t="s">
        <v>11925</v>
      </c>
      <c r="G5585" s="8" t="s">
        <v>15</v>
      </c>
    </row>
    <row r="5586" spans="1:7" hidden="1" x14ac:dyDescent="0.25">
      <c r="A5586" s="21">
        <v>5585</v>
      </c>
      <c r="B5586" s="7" t="s">
        <v>11926</v>
      </c>
      <c r="C5586" s="7" t="s">
        <v>11927</v>
      </c>
      <c r="G5586" s="8" t="s">
        <v>15</v>
      </c>
    </row>
    <row r="5587" spans="1:7" hidden="1" x14ac:dyDescent="0.25">
      <c r="A5587" s="21">
        <v>5586</v>
      </c>
      <c r="B5587" s="7" t="s">
        <v>11928</v>
      </c>
      <c r="C5587" s="7" t="s">
        <v>11929</v>
      </c>
      <c r="G5587" s="8" t="s">
        <v>15</v>
      </c>
    </row>
    <row r="5588" spans="1:7" hidden="1" x14ac:dyDescent="0.25">
      <c r="A5588" s="21">
        <v>5587</v>
      </c>
      <c r="B5588" s="7" t="s">
        <v>11930</v>
      </c>
      <c r="C5588" s="7" t="s">
        <v>11931</v>
      </c>
      <c r="G5588" s="8" t="s">
        <v>15</v>
      </c>
    </row>
    <row r="5589" spans="1:7" hidden="1" x14ac:dyDescent="0.25">
      <c r="A5589" s="21">
        <v>5588</v>
      </c>
      <c r="B5589" s="7" t="s">
        <v>11932</v>
      </c>
      <c r="C5589" s="7" t="s">
        <v>11933</v>
      </c>
      <c r="G5589" s="8" t="s">
        <v>15</v>
      </c>
    </row>
    <row r="5590" spans="1:7" hidden="1" x14ac:dyDescent="0.25">
      <c r="A5590" s="21">
        <v>5589</v>
      </c>
      <c r="B5590" s="7" t="s">
        <v>11934</v>
      </c>
      <c r="C5590" s="7" t="s">
        <v>11935</v>
      </c>
      <c r="G5590" s="8" t="s">
        <v>15</v>
      </c>
    </row>
    <row r="5591" spans="1:7" hidden="1" x14ac:dyDescent="0.25">
      <c r="A5591" s="21">
        <v>5590</v>
      </c>
      <c r="B5591" s="7" t="s">
        <v>11936</v>
      </c>
      <c r="C5591" s="7" t="s">
        <v>11937</v>
      </c>
      <c r="G5591" s="8" t="s">
        <v>15</v>
      </c>
    </row>
    <row r="5592" spans="1:7" hidden="1" x14ac:dyDescent="0.25">
      <c r="A5592" s="21">
        <v>5591</v>
      </c>
      <c r="B5592" s="7" t="s">
        <v>11938</v>
      </c>
      <c r="C5592" s="7" t="s">
        <v>11939</v>
      </c>
      <c r="G5592" s="8" t="s">
        <v>15</v>
      </c>
    </row>
    <row r="5593" spans="1:7" hidden="1" x14ac:dyDescent="0.25">
      <c r="A5593" s="21">
        <v>5592</v>
      </c>
      <c r="B5593" s="7" t="s">
        <v>11940</v>
      </c>
      <c r="C5593" s="7" t="s">
        <v>11941</v>
      </c>
      <c r="G5593" s="8" t="s">
        <v>15</v>
      </c>
    </row>
    <row r="5594" spans="1:7" hidden="1" x14ac:dyDescent="0.25">
      <c r="A5594" s="21">
        <v>5593</v>
      </c>
      <c r="B5594" s="7" t="s">
        <v>11942</v>
      </c>
      <c r="C5594" s="7" t="s">
        <v>11943</v>
      </c>
      <c r="G5594" s="8" t="s">
        <v>15</v>
      </c>
    </row>
    <row r="5595" spans="1:7" hidden="1" x14ac:dyDescent="0.25">
      <c r="A5595" s="21">
        <v>5594</v>
      </c>
      <c r="B5595" s="7" t="s">
        <v>11944</v>
      </c>
      <c r="C5595" s="7" t="s">
        <v>11945</v>
      </c>
      <c r="G5595" s="8" t="s">
        <v>15</v>
      </c>
    </row>
    <row r="5596" spans="1:7" hidden="1" x14ac:dyDescent="0.25">
      <c r="A5596" s="21">
        <v>5595</v>
      </c>
      <c r="B5596" s="7" t="s">
        <v>11946</v>
      </c>
      <c r="C5596" s="7" t="s">
        <v>11947</v>
      </c>
      <c r="G5596" s="8" t="s">
        <v>15</v>
      </c>
    </row>
    <row r="5597" spans="1:7" hidden="1" x14ac:dyDescent="0.25">
      <c r="A5597" s="21">
        <v>5596</v>
      </c>
      <c r="B5597" s="7" t="s">
        <v>11948</v>
      </c>
      <c r="C5597" s="7" t="s">
        <v>11949</v>
      </c>
      <c r="G5597" s="8" t="s">
        <v>15</v>
      </c>
    </row>
    <row r="5598" spans="1:7" hidden="1" x14ac:dyDescent="0.25">
      <c r="A5598" s="21">
        <v>5597</v>
      </c>
      <c r="B5598" s="7" t="s">
        <v>11950</v>
      </c>
      <c r="C5598" s="7" t="s">
        <v>11951</v>
      </c>
      <c r="G5598" s="8" t="s">
        <v>15</v>
      </c>
    </row>
    <row r="5599" spans="1:7" hidden="1" x14ac:dyDescent="0.25">
      <c r="A5599" s="21">
        <v>5598</v>
      </c>
      <c r="B5599" s="7" t="s">
        <v>11952</v>
      </c>
      <c r="C5599" s="7" t="s">
        <v>11953</v>
      </c>
      <c r="G5599" s="8" t="s">
        <v>15</v>
      </c>
    </row>
    <row r="5600" spans="1:7" hidden="1" x14ac:dyDescent="0.25">
      <c r="A5600" s="21">
        <v>5599</v>
      </c>
      <c r="B5600" s="7" t="s">
        <v>11954</v>
      </c>
      <c r="C5600" s="7" t="s">
        <v>11955</v>
      </c>
      <c r="G5600" s="8" t="s">
        <v>15</v>
      </c>
    </row>
    <row r="5601" spans="1:7" hidden="1" x14ac:dyDescent="0.25">
      <c r="A5601" s="21">
        <v>5600</v>
      </c>
      <c r="B5601" s="7" t="s">
        <v>11956</v>
      </c>
      <c r="C5601" s="7" t="s">
        <v>11957</v>
      </c>
      <c r="G5601" s="8" t="s">
        <v>15</v>
      </c>
    </row>
    <row r="5602" spans="1:7" hidden="1" x14ac:dyDescent="0.25">
      <c r="A5602" s="21">
        <v>5601</v>
      </c>
      <c r="B5602" s="7" t="s">
        <v>11958</v>
      </c>
      <c r="C5602" s="7" t="s">
        <v>11959</v>
      </c>
      <c r="G5602" s="8" t="s">
        <v>15</v>
      </c>
    </row>
    <row r="5603" spans="1:7" hidden="1" x14ac:dyDescent="0.25">
      <c r="A5603" s="21">
        <v>5602</v>
      </c>
      <c r="B5603" s="7" t="s">
        <v>11960</v>
      </c>
      <c r="C5603" s="7" t="s">
        <v>11961</v>
      </c>
      <c r="G5603" s="8" t="s">
        <v>15</v>
      </c>
    </row>
    <row r="5604" spans="1:7" hidden="1" x14ac:dyDescent="0.25">
      <c r="A5604" s="21">
        <v>5603</v>
      </c>
      <c r="B5604" s="7" t="s">
        <v>11962</v>
      </c>
      <c r="C5604" s="7" t="s">
        <v>11963</v>
      </c>
      <c r="G5604" s="8" t="s">
        <v>15</v>
      </c>
    </row>
    <row r="5605" spans="1:7" hidden="1" x14ac:dyDescent="0.25">
      <c r="A5605" s="21">
        <v>5604</v>
      </c>
      <c r="B5605" s="7" t="s">
        <v>11964</v>
      </c>
      <c r="C5605" s="7" t="s">
        <v>11965</v>
      </c>
      <c r="G5605" s="8" t="s">
        <v>15</v>
      </c>
    </row>
    <row r="5606" spans="1:7" hidden="1" x14ac:dyDescent="0.25">
      <c r="A5606" s="21">
        <v>5605</v>
      </c>
      <c r="B5606" s="7" t="s">
        <v>11966</v>
      </c>
      <c r="C5606" s="7" t="s">
        <v>11967</v>
      </c>
      <c r="G5606" s="8" t="s">
        <v>15</v>
      </c>
    </row>
    <row r="5607" spans="1:7" hidden="1" x14ac:dyDescent="0.25">
      <c r="A5607" s="21">
        <v>5606</v>
      </c>
      <c r="B5607" s="7" t="s">
        <v>11968</v>
      </c>
      <c r="C5607" s="7" t="s">
        <v>11969</v>
      </c>
      <c r="F5607" s="8" t="s">
        <v>678</v>
      </c>
      <c r="G5607" s="8" t="s">
        <v>15</v>
      </c>
    </row>
    <row r="5608" spans="1:7" hidden="1" x14ac:dyDescent="0.25">
      <c r="A5608" s="21">
        <v>5607</v>
      </c>
      <c r="B5608" s="7" t="s">
        <v>11970</v>
      </c>
      <c r="C5608" s="7" t="s">
        <v>11971</v>
      </c>
      <c r="G5608" s="8" t="s">
        <v>15</v>
      </c>
    </row>
    <row r="5609" spans="1:7" hidden="1" x14ac:dyDescent="0.25">
      <c r="A5609" s="21">
        <v>5608</v>
      </c>
      <c r="B5609" s="7" t="s">
        <v>11972</v>
      </c>
      <c r="C5609" s="7" t="s">
        <v>11973</v>
      </c>
      <c r="G5609" s="8" t="s">
        <v>15</v>
      </c>
    </row>
    <row r="5610" spans="1:7" hidden="1" x14ac:dyDescent="0.25">
      <c r="A5610" s="21">
        <v>5609</v>
      </c>
      <c r="B5610" s="7" t="s">
        <v>11974</v>
      </c>
      <c r="C5610" s="7" t="s">
        <v>11975</v>
      </c>
      <c r="G5610" s="8" t="s">
        <v>15</v>
      </c>
    </row>
    <row r="5611" spans="1:7" hidden="1" x14ac:dyDescent="0.25">
      <c r="A5611" s="21">
        <v>5610</v>
      </c>
      <c r="B5611" s="7" t="s">
        <v>11976</v>
      </c>
      <c r="C5611" s="7" t="s">
        <v>11977</v>
      </c>
      <c r="G5611" s="8" t="s">
        <v>15</v>
      </c>
    </row>
    <row r="5612" spans="1:7" hidden="1" x14ac:dyDescent="0.25">
      <c r="A5612" s="21">
        <v>5611</v>
      </c>
      <c r="B5612" s="7" t="s">
        <v>11978</v>
      </c>
      <c r="C5612" s="7" t="s">
        <v>11979</v>
      </c>
      <c r="G5612" s="8" t="s">
        <v>15</v>
      </c>
    </row>
    <row r="5613" spans="1:7" hidden="1" x14ac:dyDescent="0.25">
      <c r="A5613" s="21">
        <v>5612</v>
      </c>
      <c r="B5613" s="7" t="s">
        <v>11980</v>
      </c>
      <c r="C5613" s="7" t="s">
        <v>11981</v>
      </c>
      <c r="G5613" s="8" t="s">
        <v>15</v>
      </c>
    </row>
    <row r="5614" spans="1:7" hidden="1" x14ac:dyDescent="0.25">
      <c r="A5614" s="21">
        <v>5613</v>
      </c>
      <c r="B5614" s="7" t="s">
        <v>11982</v>
      </c>
      <c r="C5614" s="7" t="s">
        <v>11983</v>
      </c>
      <c r="G5614" s="8" t="s">
        <v>15</v>
      </c>
    </row>
    <row r="5615" spans="1:7" hidden="1" x14ac:dyDescent="0.25">
      <c r="A5615" s="21">
        <v>5614</v>
      </c>
      <c r="B5615" s="7" t="s">
        <v>11984</v>
      </c>
      <c r="C5615" s="7" t="s">
        <v>11985</v>
      </c>
      <c r="G5615" s="8" t="s">
        <v>15</v>
      </c>
    </row>
    <row r="5616" spans="1:7" hidden="1" x14ac:dyDescent="0.25">
      <c r="A5616" s="21">
        <v>5615</v>
      </c>
      <c r="B5616" s="7" t="s">
        <v>11986</v>
      </c>
      <c r="C5616" s="7" t="s">
        <v>11987</v>
      </c>
      <c r="G5616" s="8" t="s">
        <v>15</v>
      </c>
    </row>
    <row r="5617" spans="1:7" hidden="1" x14ac:dyDescent="0.25">
      <c r="A5617" s="21">
        <v>5616</v>
      </c>
      <c r="B5617" s="7" t="s">
        <v>11988</v>
      </c>
      <c r="C5617" s="7" t="s">
        <v>11989</v>
      </c>
      <c r="G5617" s="8" t="s">
        <v>15</v>
      </c>
    </row>
    <row r="5618" spans="1:7" hidden="1" x14ac:dyDescent="0.25">
      <c r="A5618" s="21">
        <v>5617</v>
      </c>
      <c r="B5618" s="7" t="s">
        <v>11990</v>
      </c>
      <c r="C5618" s="7" t="s">
        <v>11991</v>
      </c>
      <c r="G5618" s="8" t="s">
        <v>15</v>
      </c>
    </row>
    <row r="5619" spans="1:7" hidden="1" x14ac:dyDescent="0.25">
      <c r="A5619" s="21">
        <v>5618</v>
      </c>
      <c r="B5619" s="7" t="s">
        <v>11992</v>
      </c>
      <c r="C5619" s="7" t="s">
        <v>11993</v>
      </c>
      <c r="G5619" s="8" t="s">
        <v>15</v>
      </c>
    </row>
    <row r="5620" spans="1:7" hidden="1" x14ac:dyDescent="0.25">
      <c r="A5620" s="21">
        <v>5619</v>
      </c>
      <c r="B5620" s="7" t="s">
        <v>11994</v>
      </c>
      <c r="C5620" s="7" t="s">
        <v>11995</v>
      </c>
      <c r="G5620" s="8" t="s">
        <v>15</v>
      </c>
    </row>
    <row r="5621" spans="1:7" hidden="1" x14ac:dyDescent="0.25">
      <c r="A5621" s="21">
        <v>5620</v>
      </c>
      <c r="B5621" s="7" t="s">
        <v>11996</v>
      </c>
      <c r="C5621" s="7" t="s">
        <v>11997</v>
      </c>
      <c r="G5621" s="8" t="s">
        <v>15</v>
      </c>
    </row>
    <row r="5622" spans="1:7" hidden="1" x14ac:dyDescent="0.25">
      <c r="A5622" s="21">
        <v>5621</v>
      </c>
      <c r="B5622" s="7" t="s">
        <v>11998</v>
      </c>
      <c r="C5622" s="7" t="s">
        <v>11999</v>
      </c>
      <c r="F5622" s="8" t="s">
        <v>12000</v>
      </c>
      <c r="G5622" s="8" t="s">
        <v>15</v>
      </c>
    </row>
    <row r="5623" spans="1:7" hidden="1" x14ac:dyDescent="0.25">
      <c r="A5623" s="21">
        <v>5622</v>
      </c>
      <c r="B5623" s="7" t="s">
        <v>12001</v>
      </c>
      <c r="C5623" s="7" t="s">
        <v>12002</v>
      </c>
      <c r="G5623" s="8" t="s">
        <v>15</v>
      </c>
    </row>
    <row r="5624" spans="1:7" hidden="1" x14ac:dyDescent="0.25">
      <c r="A5624" s="21">
        <v>5623</v>
      </c>
      <c r="B5624" s="7" t="s">
        <v>12003</v>
      </c>
      <c r="C5624" s="7" t="s">
        <v>12004</v>
      </c>
      <c r="G5624" s="8" t="s">
        <v>15</v>
      </c>
    </row>
    <row r="5625" spans="1:7" hidden="1" x14ac:dyDescent="0.25">
      <c r="A5625" s="21">
        <v>5624</v>
      </c>
      <c r="B5625" s="7" t="s">
        <v>12005</v>
      </c>
      <c r="C5625" s="7" t="s">
        <v>12006</v>
      </c>
      <c r="G5625" s="8" t="s">
        <v>15</v>
      </c>
    </row>
    <row r="5626" spans="1:7" hidden="1" x14ac:dyDescent="0.25">
      <c r="A5626" s="21">
        <v>5625</v>
      </c>
      <c r="B5626" s="7" t="s">
        <v>12007</v>
      </c>
      <c r="C5626" s="7" t="s">
        <v>12008</v>
      </c>
      <c r="G5626" s="8" t="s">
        <v>15</v>
      </c>
    </row>
    <row r="5627" spans="1:7" hidden="1" x14ac:dyDescent="0.25">
      <c r="A5627" s="21">
        <v>5626</v>
      </c>
      <c r="B5627" s="7" t="s">
        <v>12009</v>
      </c>
      <c r="C5627" s="7" t="s">
        <v>12010</v>
      </c>
      <c r="G5627" s="8" t="s">
        <v>15</v>
      </c>
    </row>
    <row r="5628" spans="1:7" hidden="1" x14ac:dyDescent="0.25">
      <c r="A5628" s="21">
        <v>5627</v>
      </c>
      <c r="B5628" s="7" t="s">
        <v>12011</v>
      </c>
      <c r="C5628" s="7" t="s">
        <v>12012</v>
      </c>
      <c r="G5628" s="8" t="s">
        <v>15</v>
      </c>
    </row>
    <row r="5629" spans="1:7" hidden="1" x14ac:dyDescent="0.25">
      <c r="A5629" s="21">
        <v>5628</v>
      </c>
      <c r="B5629" s="7" t="s">
        <v>12013</v>
      </c>
      <c r="C5629" s="7" t="s">
        <v>12014</v>
      </c>
      <c r="G5629" s="8" t="s">
        <v>15</v>
      </c>
    </row>
    <row r="5630" spans="1:7" hidden="1" x14ac:dyDescent="0.25">
      <c r="A5630" s="21">
        <v>5629</v>
      </c>
      <c r="B5630" s="7" t="s">
        <v>12015</v>
      </c>
      <c r="C5630" s="7" t="s">
        <v>12016</v>
      </c>
      <c r="G5630" s="8" t="s">
        <v>15</v>
      </c>
    </row>
    <row r="5631" spans="1:7" hidden="1" x14ac:dyDescent="0.25">
      <c r="A5631" s="21">
        <v>5630</v>
      </c>
      <c r="B5631" s="7" t="s">
        <v>12017</v>
      </c>
      <c r="C5631" s="7" t="s">
        <v>12018</v>
      </c>
      <c r="G5631" s="8" t="s">
        <v>15</v>
      </c>
    </row>
    <row r="5632" spans="1:7" hidden="1" x14ac:dyDescent="0.25">
      <c r="A5632" s="21">
        <v>5631</v>
      </c>
      <c r="B5632" s="7" t="s">
        <v>12019</v>
      </c>
      <c r="C5632" s="7" t="s">
        <v>12020</v>
      </c>
      <c r="G5632" s="8" t="s">
        <v>15</v>
      </c>
    </row>
    <row r="5633" spans="1:7" hidden="1" x14ac:dyDescent="0.25">
      <c r="A5633" s="21">
        <v>5632</v>
      </c>
      <c r="B5633" s="7" t="s">
        <v>12021</v>
      </c>
      <c r="C5633" s="7" t="s">
        <v>12022</v>
      </c>
      <c r="G5633" s="8" t="s">
        <v>15</v>
      </c>
    </row>
    <row r="5634" spans="1:7" hidden="1" x14ac:dyDescent="0.25">
      <c r="A5634" s="21">
        <v>5633</v>
      </c>
      <c r="B5634" s="7" t="s">
        <v>12023</v>
      </c>
      <c r="C5634" s="7" t="s">
        <v>12024</v>
      </c>
      <c r="G5634" s="8" t="s">
        <v>15</v>
      </c>
    </row>
    <row r="5635" spans="1:7" hidden="1" x14ac:dyDescent="0.25">
      <c r="A5635" s="21">
        <v>5634</v>
      </c>
      <c r="B5635" s="7" t="s">
        <v>12025</v>
      </c>
      <c r="C5635" s="7" t="s">
        <v>12026</v>
      </c>
      <c r="G5635" s="8" t="s">
        <v>15</v>
      </c>
    </row>
    <row r="5636" spans="1:7" hidden="1" x14ac:dyDescent="0.25">
      <c r="A5636" s="21">
        <v>5635</v>
      </c>
      <c r="B5636" s="7" t="s">
        <v>12027</v>
      </c>
      <c r="C5636" s="7" t="s">
        <v>12028</v>
      </c>
      <c r="G5636" s="8" t="s">
        <v>15</v>
      </c>
    </row>
    <row r="5637" spans="1:7" hidden="1" x14ac:dyDescent="0.25">
      <c r="A5637" s="21">
        <v>5636</v>
      </c>
      <c r="B5637" s="7" t="s">
        <v>12029</v>
      </c>
      <c r="C5637" s="7" t="s">
        <v>12030</v>
      </c>
      <c r="G5637" s="8" t="s">
        <v>15</v>
      </c>
    </row>
    <row r="5638" spans="1:7" hidden="1" x14ac:dyDescent="0.25">
      <c r="A5638" s="21">
        <v>5637</v>
      </c>
      <c r="B5638" s="7" t="s">
        <v>12031</v>
      </c>
      <c r="C5638" s="7" t="s">
        <v>12032</v>
      </c>
      <c r="G5638" s="8" t="s">
        <v>15</v>
      </c>
    </row>
    <row r="5639" spans="1:7" hidden="1" x14ac:dyDescent="0.25">
      <c r="A5639" s="21">
        <v>5638</v>
      </c>
      <c r="B5639" s="7" t="s">
        <v>12033</v>
      </c>
      <c r="C5639" s="7" t="s">
        <v>12034</v>
      </c>
      <c r="G5639" s="8" t="s">
        <v>15</v>
      </c>
    </row>
    <row r="5640" spans="1:7" hidden="1" x14ac:dyDescent="0.25">
      <c r="A5640" s="21">
        <v>5639</v>
      </c>
      <c r="B5640" s="7" t="s">
        <v>12035</v>
      </c>
      <c r="C5640" s="7" t="s">
        <v>12036</v>
      </c>
      <c r="G5640" s="8" t="s">
        <v>15</v>
      </c>
    </row>
    <row r="5641" spans="1:7" hidden="1" x14ac:dyDescent="0.25">
      <c r="A5641" s="21">
        <v>5640</v>
      </c>
      <c r="B5641" s="7" t="s">
        <v>12037</v>
      </c>
      <c r="C5641" s="7" t="s">
        <v>12038</v>
      </c>
      <c r="G5641" s="8" t="s">
        <v>15</v>
      </c>
    </row>
    <row r="5642" spans="1:7" hidden="1" x14ac:dyDescent="0.25">
      <c r="A5642" s="21">
        <v>5641</v>
      </c>
      <c r="B5642" s="7" t="s">
        <v>12039</v>
      </c>
      <c r="C5642" s="7" t="s">
        <v>12040</v>
      </c>
      <c r="G5642" s="8" t="s">
        <v>15</v>
      </c>
    </row>
    <row r="5643" spans="1:7" hidden="1" x14ac:dyDescent="0.25">
      <c r="A5643" s="21">
        <v>5642</v>
      </c>
      <c r="B5643" s="7" t="s">
        <v>12041</v>
      </c>
      <c r="C5643" s="7" t="s">
        <v>12042</v>
      </c>
      <c r="G5643" s="8" t="s">
        <v>15</v>
      </c>
    </row>
    <row r="5644" spans="1:7" hidden="1" x14ac:dyDescent="0.25">
      <c r="A5644" s="21">
        <v>5643</v>
      </c>
      <c r="B5644" s="7" t="s">
        <v>12043</v>
      </c>
      <c r="C5644" s="7" t="s">
        <v>12044</v>
      </c>
      <c r="G5644" s="8" t="s">
        <v>15</v>
      </c>
    </row>
    <row r="5645" spans="1:7" hidden="1" x14ac:dyDescent="0.25">
      <c r="A5645" s="21">
        <v>5644</v>
      </c>
      <c r="B5645" s="7" t="s">
        <v>12045</v>
      </c>
      <c r="C5645" s="7" t="s">
        <v>12046</v>
      </c>
      <c r="G5645" s="8" t="s">
        <v>15</v>
      </c>
    </row>
    <row r="5646" spans="1:7" hidden="1" x14ac:dyDescent="0.25">
      <c r="A5646" s="21">
        <v>5645</v>
      </c>
      <c r="B5646" s="7" t="s">
        <v>12047</v>
      </c>
      <c r="C5646" s="7" t="s">
        <v>12048</v>
      </c>
      <c r="G5646" s="8" t="s">
        <v>15</v>
      </c>
    </row>
    <row r="5647" spans="1:7" hidden="1" x14ac:dyDescent="0.25">
      <c r="A5647" s="21">
        <v>5646</v>
      </c>
      <c r="B5647" s="7" t="s">
        <v>12049</v>
      </c>
      <c r="C5647" s="7" t="s">
        <v>12050</v>
      </c>
      <c r="G5647" s="8" t="s">
        <v>15</v>
      </c>
    </row>
    <row r="5648" spans="1:7" hidden="1" x14ac:dyDescent="0.25">
      <c r="A5648" s="21">
        <v>5647</v>
      </c>
      <c r="B5648" s="7" t="s">
        <v>12051</v>
      </c>
      <c r="C5648" s="7" t="s">
        <v>12052</v>
      </c>
      <c r="G5648" s="8" t="s">
        <v>15</v>
      </c>
    </row>
    <row r="5649" spans="1:7" hidden="1" x14ac:dyDescent="0.25">
      <c r="A5649" s="21">
        <v>5648</v>
      </c>
      <c r="B5649" s="7" t="s">
        <v>12053</v>
      </c>
      <c r="C5649" s="7" t="s">
        <v>12054</v>
      </c>
      <c r="G5649" s="8" t="s">
        <v>15</v>
      </c>
    </row>
    <row r="5650" spans="1:7" hidden="1" x14ac:dyDescent="0.25">
      <c r="A5650" s="21">
        <v>5649</v>
      </c>
      <c r="B5650" s="7" t="s">
        <v>12055</v>
      </c>
      <c r="C5650" s="7" t="s">
        <v>12056</v>
      </c>
      <c r="G5650" s="8" t="s">
        <v>15</v>
      </c>
    </row>
    <row r="5651" spans="1:7" hidden="1" x14ac:dyDescent="0.25">
      <c r="A5651" s="21">
        <v>5650</v>
      </c>
      <c r="B5651" s="7" t="s">
        <v>12057</v>
      </c>
      <c r="C5651" s="7" t="s">
        <v>12058</v>
      </c>
      <c r="G5651" s="8" t="s">
        <v>15</v>
      </c>
    </row>
    <row r="5652" spans="1:7" hidden="1" x14ac:dyDescent="0.25">
      <c r="A5652" s="21">
        <v>5651</v>
      </c>
      <c r="B5652" s="7" t="s">
        <v>12059</v>
      </c>
      <c r="C5652" s="7" t="s">
        <v>12060</v>
      </c>
      <c r="G5652" s="8" t="s">
        <v>15</v>
      </c>
    </row>
    <row r="5653" spans="1:7" hidden="1" x14ac:dyDescent="0.25">
      <c r="A5653" s="21">
        <v>5652</v>
      </c>
      <c r="B5653" s="7" t="s">
        <v>12061</v>
      </c>
      <c r="C5653" s="7" t="s">
        <v>12062</v>
      </c>
      <c r="G5653" s="8" t="s">
        <v>15</v>
      </c>
    </row>
    <row r="5654" spans="1:7" hidden="1" x14ac:dyDescent="0.25">
      <c r="A5654" s="21">
        <v>5653</v>
      </c>
      <c r="B5654" s="7" t="s">
        <v>12063</v>
      </c>
      <c r="C5654" s="7" t="s">
        <v>12064</v>
      </c>
      <c r="G5654" s="8" t="s">
        <v>15</v>
      </c>
    </row>
    <row r="5655" spans="1:7" hidden="1" x14ac:dyDescent="0.25">
      <c r="A5655" s="21">
        <v>5654</v>
      </c>
      <c r="B5655" s="7" t="s">
        <v>12065</v>
      </c>
      <c r="C5655" s="7" t="s">
        <v>12066</v>
      </c>
      <c r="G5655" s="8" t="s">
        <v>15</v>
      </c>
    </row>
    <row r="5656" spans="1:7" hidden="1" x14ac:dyDescent="0.25">
      <c r="A5656" s="21">
        <v>5655</v>
      </c>
      <c r="B5656" s="7" t="s">
        <v>12067</v>
      </c>
      <c r="C5656" s="7" t="s">
        <v>12068</v>
      </c>
      <c r="G5656" s="8" t="s">
        <v>15</v>
      </c>
    </row>
    <row r="5657" spans="1:7" hidden="1" x14ac:dyDescent="0.25">
      <c r="A5657" s="21">
        <v>5656</v>
      </c>
      <c r="B5657" s="7" t="s">
        <v>12069</v>
      </c>
      <c r="C5657" s="7" t="s">
        <v>12070</v>
      </c>
      <c r="G5657" s="8" t="s">
        <v>15</v>
      </c>
    </row>
    <row r="5658" spans="1:7" hidden="1" x14ac:dyDescent="0.25">
      <c r="A5658" s="21">
        <v>5657</v>
      </c>
      <c r="B5658" s="7" t="s">
        <v>12071</v>
      </c>
      <c r="C5658" s="7" t="s">
        <v>12072</v>
      </c>
      <c r="G5658" s="8" t="s">
        <v>15</v>
      </c>
    </row>
    <row r="5659" spans="1:7" hidden="1" x14ac:dyDescent="0.25">
      <c r="A5659" s="21">
        <v>5658</v>
      </c>
      <c r="B5659" s="7" t="s">
        <v>12073</v>
      </c>
      <c r="C5659" s="7" t="s">
        <v>12074</v>
      </c>
      <c r="G5659" s="8" t="s">
        <v>15</v>
      </c>
    </row>
    <row r="5660" spans="1:7" hidden="1" x14ac:dyDescent="0.25">
      <c r="A5660" s="21">
        <v>5659</v>
      </c>
      <c r="B5660" s="7" t="s">
        <v>12075</v>
      </c>
      <c r="C5660" s="7" t="s">
        <v>12076</v>
      </c>
      <c r="G5660" s="8" t="s">
        <v>15</v>
      </c>
    </row>
    <row r="5661" spans="1:7" hidden="1" x14ac:dyDescent="0.25">
      <c r="A5661" s="21">
        <v>5660</v>
      </c>
      <c r="B5661" s="7" t="s">
        <v>12077</v>
      </c>
      <c r="C5661" s="7" t="s">
        <v>12078</v>
      </c>
      <c r="G5661" s="8" t="s">
        <v>15</v>
      </c>
    </row>
    <row r="5662" spans="1:7" hidden="1" x14ac:dyDescent="0.25">
      <c r="A5662" s="21">
        <v>5661</v>
      </c>
      <c r="B5662" s="7" t="s">
        <v>12079</v>
      </c>
      <c r="C5662" s="7" t="s">
        <v>12080</v>
      </c>
      <c r="G5662" s="8" t="s">
        <v>15</v>
      </c>
    </row>
    <row r="5663" spans="1:7" hidden="1" x14ac:dyDescent="0.25">
      <c r="A5663" s="21">
        <v>5662</v>
      </c>
      <c r="B5663" s="7" t="s">
        <v>12081</v>
      </c>
      <c r="C5663" s="7" t="s">
        <v>12082</v>
      </c>
      <c r="G5663" s="8" t="s">
        <v>15</v>
      </c>
    </row>
    <row r="5664" spans="1:7" hidden="1" x14ac:dyDescent="0.25">
      <c r="A5664" s="21">
        <v>5663</v>
      </c>
      <c r="B5664" s="7" t="s">
        <v>12083</v>
      </c>
      <c r="C5664" s="7" t="s">
        <v>12084</v>
      </c>
      <c r="G5664" s="8" t="s">
        <v>15</v>
      </c>
    </row>
    <row r="5665" spans="1:7" hidden="1" x14ac:dyDescent="0.25">
      <c r="A5665" s="21">
        <v>5664</v>
      </c>
      <c r="B5665" s="7" t="s">
        <v>12085</v>
      </c>
      <c r="C5665" s="7" t="s">
        <v>12086</v>
      </c>
      <c r="G5665" s="8" t="s">
        <v>15</v>
      </c>
    </row>
    <row r="5666" spans="1:7" hidden="1" x14ac:dyDescent="0.25">
      <c r="A5666" s="21">
        <v>5665</v>
      </c>
      <c r="B5666" s="7" t="s">
        <v>12087</v>
      </c>
      <c r="C5666" s="7" t="s">
        <v>12088</v>
      </c>
      <c r="G5666" s="8" t="s">
        <v>15</v>
      </c>
    </row>
    <row r="5667" spans="1:7" hidden="1" x14ac:dyDescent="0.25">
      <c r="A5667" s="21">
        <v>5666</v>
      </c>
      <c r="B5667" s="7" t="s">
        <v>12089</v>
      </c>
      <c r="C5667" s="7" t="s">
        <v>12090</v>
      </c>
      <c r="G5667" s="8" t="s">
        <v>15</v>
      </c>
    </row>
    <row r="5668" spans="1:7" hidden="1" x14ac:dyDescent="0.25">
      <c r="A5668" s="21">
        <v>5667</v>
      </c>
      <c r="B5668" s="7" t="s">
        <v>12091</v>
      </c>
      <c r="C5668" s="7" t="s">
        <v>12092</v>
      </c>
      <c r="G5668" s="8" t="s">
        <v>15</v>
      </c>
    </row>
    <row r="5669" spans="1:7" hidden="1" x14ac:dyDescent="0.25">
      <c r="A5669" s="21">
        <v>5668</v>
      </c>
      <c r="B5669" s="7" t="s">
        <v>12093</v>
      </c>
      <c r="C5669" s="7" t="s">
        <v>12094</v>
      </c>
      <c r="G5669" s="8" t="s">
        <v>15</v>
      </c>
    </row>
    <row r="5670" spans="1:7" hidden="1" x14ac:dyDescent="0.25">
      <c r="A5670" s="21">
        <v>5669</v>
      </c>
      <c r="B5670" s="7" t="s">
        <v>12095</v>
      </c>
      <c r="C5670" s="7" t="s">
        <v>12096</v>
      </c>
      <c r="G5670" s="8" t="s">
        <v>15</v>
      </c>
    </row>
    <row r="5671" spans="1:7" hidden="1" x14ac:dyDescent="0.25">
      <c r="A5671" s="21">
        <v>5670</v>
      </c>
      <c r="B5671" s="7" t="s">
        <v>12097</v>
      </c>
      <c r="C5671" s="7" t="s">
        <v>12098</v>
      </c>
      <c r="G5671" s="8" t="s">
        <v>15</v>
      </c>
    </row>
    <row r="5672" spans="1:7" hidden="1" x14ac:dyDescent="0.25">
      <c r="A5672" s="21">
        <v>5671</v>
      </c>
      <c r="B5672" s="7" t="s">
        <v>12099</v>
      </c>
      <c r="C5672" s="7" t="s">
        <v>12100</v>
      </c>
      <c r="G5672" s="8" t="s">
        <v>15</v>
      </c>
    </row>
    <row r="5673" spans="1:7" hidden="1" x14ac:dyDescent="0.25">
      <c r="A5673" s="21">
        <v>5672</v>
      </c>
      <c r="B5673" s="7" t="s">
        <v>12101</v>
      </c>
      <c r="C5673" s="7" t="s">
        <v>12102</v>
      </c>
      <c r="G5673" s="8" t="s">
        <v>15</v>
      </c>
    </row>
    <row r="5674" spans="1:7" hidden="1" x14ac:dyDescent="0.25">
      <c r="A5674" s="21">
        <v>5673</v>
      </c>
      <c r="B5674" s="7" t="s">
        <v>12103</v>
      </c>
      <c r="C5674" s="7" t="s">
        <v>12104</v>
      </c>
      <c r="G5674" s="8" t="s">
        <v>15</v>
      </c>
    </row>
    <row r="5675" spans="1:7" hidden="1" x14ac:dyDescent="0.25">
      <c r="A5675" s="21">
        <v>5674</v>
      </c>
      <c r="B5675" s="7" t="s">
        <v>12105</v>
      </c>
      <c r="C5675" s="7" t="s">
        <v>12106</v>
      </c>
      <c r="G5675" s="8" t="s">
        <v>15</v>
      </c>
    </row>
    <row r="5676" spans="1:7" hidden="1" x14ac:dyDescent="0.25">
      <c r="A5676" s="21">
        <v>5675</v>
      </c>
      <c r="B5676" s="7" t="s">
        <v>12107</v>
      </c>
      <c r="C5676" s="7" t="s">
        <v>12108</v>
      </c>
      <c r="G5676" s="8" t="s">
        <v>15</v>
      </c>
    </row>
    <row r="5677" spans="1:7" hidden="1" x14ac:dyDescent="0.25">
      <c r="A5677" s="21">
        <v>5676</v>
      </c>
      <c r="B5677" s="7" t="s">
        <v>12109</v>
      </c>
      <c r="C5677" s="7" t="s">
        <v>12110</v>
      </c>
      <c r="G5677" s="8" t="s">
        <v>15</v>
      </c>
    </row>
    <row r="5678" spans="1:7" hidden="1" x14ac:dyDescent="0.25">
      <c r="A5678" s="21">
        <v>5677</v>
      </c>
      <c r="B5678" s="7" t="s">
        <v>12111</v>
      </c>
      <c r="C5678" s="7" t="s">
        <v>12112</v>
      </c>
      <c r="G5678" s="8" t="s">
        <v>15</v>
      </c>
    </row>
    <row r="5679" spans="1:7" hidden="1" x14ac:dyDescent="0.25">
      <c r="A5679" s="21">
        <v>5678</v>
      </c>
      <c r="B5679" s="7" t="s">
        <v>12113</v>
      </c>
      <c r="C5679" s="7" t="s">
        <v>12114</v>
      </c>
      <c r="G5679" s="8" t="s">
        <v>15</v>
      </c>
    </row>
    <row r="5680" spans="1:7" hidden="1" x14ac:dyDescent="0.25">
      <c r="A5680" s="21">
        <v>5679</v>
      </c>
      <c r="B5680" s="7" t="s">
        <v>12115</v>
      </c>
      <c r="C5680" s="7" t="s">
        <v>12116</v>
      </c>
      <c r="G5680" s="8" t="s">
        <v>15</v>
      </c>
    </row>
    <row r="5681" spans="1:7" hidden="1" x14ac:dyDescent="0.25">
      <c r="A5681" s="21">
        <v>5680</v>
      </c>
      <c r="B5681" s="7" t="s">
        <v>12117</v>
      </c>
      <c r="C5681" s="7" t="s">
        <v>12118</v>
      </c>
      <c r="G5681" s="8" t="s">
        <v>15</v>
      </c>
    </row>
    <row r="5682" spans="1:7" hidden="1" x14ac:dyDescent="0.25">
      <c r="A5682" s="21">
        <v>5681</v>
      </c>
      <c r="B5682" s="7" t="s">
        <v>12119</v>
      </c>
      <c r="C5682" s="7" t="s">
        <v>12120</v>
      </c>
      <c r="G5682" s="8" t="s">
        <v>15</v>
      </c>
    </row>
    <row r="5683" spans="1:7" hidden="1" x14ac:dyDescent="0.25">
      <c r="A5683" s="21">
        <v>5682</v>
      </c>
      <c r="B5683" s="7" t="s">
        <v>12121</v>
      </c>
      <c r="C5683" s="7" t="s">
        <v>12122</v>
      </c>
      <c r="G5683" s="8" t="s">
        <v>15</v>
      </c>
    </row>
    <row r="5684" spans="1:7" hidden="1" x14ac:dyDescent="0.25">
      <c r="A5684" s="21">
        <v>5683</v>
      </c>
      <c r="B5684" s="7" t="s">
        <v>12123</v>
      </c>
      <c r="C5684" s="7" t="s">
        <v>12124</v>
      </c>
      <c r="G5684" s="8" t="s">
        <v>15</v>
      </c>
    </row>
    <row r="5685" spans="1:7" hidden="1" x14ac:dyDescent="0.25">
      <c r="A5685" s="21">
        <v>5684</v>
      </c>
      <c r="B5685" s="7" t="s">
        <v>12125</v>
      </c>
      <c r="C5685" s="7" t="s">
        <v>12126</v>
      </c>
      <c r="G5685" s="8" t="s">
        <v>15</v>
      </c>
    </row>
    <row r="5686" spans="1:7" hidden="1" x14ac:dyDescent="0.25">
      <c r="A5686" s="21">
        <v>5685</v>
      </c>
      <c r="B5686" s="7" t="s">
        <v>12127</v>
      </c>
      <c r="C5686" s="7" t="s">
        <v>12128</v>
      </c>
      <c r="G5686" s="8" t="s">
        <v>15</v>
      </c>
    </row>
    <row r="5687" spans="1:7" hidden="1" x14ac:dyDescent="0.25">
      <c r="A5687" s="21">
        <v>5686</v>
      </c>
      <c r="B5687" s="7" t="s">
        <v>12129</v>
      </c>
      <c r="C5687" s="7" t="s">
        <v>12130</v>
      </c>
      <c r="G5687" s="8" t="s">
        <v>15</v>
      </c>
    </row>
    <row r="5688" spans="1:7" hidden="1" x14ac:dyDescent="0.25">
      <c r="A5688" s="21">
        <v>5687</v>
      </c>
      <c r="B5688" s="7" t="s">
        <v>12131</v>
      </c>
      <c r="C5688" s="7" t="s">
        <v>12132</v>
      </c>
      <c r="G5688" s="8" t="s">
        <v>15</v>
      </c>
    </row>
    <row r="5689" spans="1:7" hidden="1" x14ac:dyDescent="0.25">
      <c r="A5689" s="21">
        <v>5688</v>
      </c>
      <c r="B5689" s="7" t="s">
        <v>12133</v>
      </c>
      <c r="C5689" s="7" t="s">
        <v>12134</v>
      </c>
      <c r="G5689" s="8" t="s">
        <v>15</v>
      </c>
    </row>
    <row r="5690" spans="1:7" hidden="1" x14ac:dyDescent="0.25">
      <c r="A5690" s="21">
        <v>5689</v>
      </c>
      <c r="B5690" s="7" t="s">
        <v>12135</v>
      </c>
      <c r="C5690" s="7" t="s">
        <v>12136</v>
      </c>
      <c r="G5690" s="8" t="s">
        <v>15</v>
      </c>
    </row>
    <row r="5691" spans="1:7" hidden="1" x14ac:dyDescent="0.25">
      <c r="A5691" s="21">
        <v>5690</v>
      </c>
      <c r="B5691" s="7" t="s">
        <v>12137</v>
      </c>
      <c r="C5691" s="7" t="s">
        <v>12138</v>
      </c>
      <c r="G5691" s="8" t="s">
        <v>15</v>
      </c>
    </row>
    <row r="5692" spans="1:7" hidden="1" x14ac:dyDescent="0.25">
      <c r="A5692" s="21">
        <v>5691</v>
      </c>
      <c r="B5692" s="7" t="s">
        <v>12139</v>
      </c>
      <c r="C5692" s="7" t="s">
        <v>12140</v>
      </c>
      <c r="G5692" s="8" t="s">
        <v>15</v>
      </c>
    </row>
    <row r="5693" spans="1:7" hidden="1" x14ac:dyDescent="0.25">
      <c r="A5693" s="21">
        <v>5692</v>
      </c>
      <c r="B5693" s="7" t="s">
        <v>12141</v>
      </c>
      <c r="C5693" s="7" t="s">
        <v>12142</v>
      </c>
      <c r="G5693" s="8" t="s">
        <v>15</v>
      </c>
    </row>
    <row r="5694" spans="1:7" hidden="1" x14ac:dyDescent="0.25">
      <c r="A5694" s="21">
        <v>5693</v>
      </c>
      <c r="B5694" s="7" t="s">
        <v>12143</v>
      </c>
      <c r="C5694" s="7" t="s">
        <v>12144</v>
      </c>
      <c r="G5694" s="8" t="s">
        <v>15</v>
      </c>
    </row>
    <row r="5695" spans="1:7" hidden="1" x14ac:dyDescent="0.25">
      <c r="A5695" s="21">
        <v>5694</v>
      </c>
      <c r="B5695" s="7" t="s">
        <v>12145</v>
      </c>
      <c r="C5695" s="7" t="s">
        <v>12146</v>
      </c>
      <c r="G5695" s="8" t="s">
        <v>15</v>
      </c>
    </row>
    <row r="5696" spans="1:7" hidden="1" x14ac:dyDescent="0.25">
      <c r="A5696" s="21">
        <v>5695</v>
      </c>
      <c r="B5696" s="7" t="s">
        <v>12147</v>
      </c>
      <c r="C5696" s="7" t="s">
        <v>12148</v>
      </c>
      <c r="G5696" s="8" t="s">
        <v>15</v>
      </c>
    </row>
    <row r="5697" spans="1:7" hidden="1" x14ac:dyDescent="0.25">
      <c r="A5697" s="21">
        <v>5696</v>
      </c>
      <c r="B5697" s="7" t="s">
        <v>12149</v>
      </c>
      <c r="C5697" s="7" t="s">
        <v>12150</v>
      </c>
      <c r="G5697" s="8" t="s">
        <v>15</v>
      </c>
    </row>
    <row r="5698" spans="1:7" hidden="1" x14ac:dyDescent="0.25">
      <c r="A5698" s="21">
        <v>5697</v>
      </c>
      <c r="B5698" s="7" t="s">
        <v>12151</v>
      </c>
      <c r="C5698" s="7" t="s">
        <v>12152</v>
      </c>
      <c r="G5698" s="8" t="s">
        <v>15</v>
      </c>
    </row>
    <row r="5699" spans="1:7" hidden="1" x14ac:dyDescent="0.25">
      <c r="A5699" s="21">
        <v>5698</v>
      </c>
      <c r="B5699" s="7" t="s">
        <v>12153</v>
      </c>
      <c r="C5699" s="7" t="s">
        <v>12154</v>
      </c>
      <c r="G5699" s="8" t="s">
        <v>15</v>
      </c>
    </row>
    <row r="5700" spans="1:7" hidden="1" x14ac:dyDescent="0.25">
      <c r="A5700" s="21">
        <v>5699</v>
      </c>
      <c r="B5700" s="7" t="s">
        <v>12155</v>
      </c>
      <c r="C5700" s="7" t="s">
        <v>12156</v>
      </c>
      <c r="G5700" s="8" t="s">
        <v>15</v>
      </c>
    </row>
    <row r="5701" spans="1:7" hidden="1" x14ac:dyDescent="0.25">
      <c r="A5701" s="21">
        <v>5700</v>
      </c>
      <c r="B5701" s="7" t="s">
        <v>12157</v>
      </c>
      <c r="C5701" s="7" t="s">
        <v>12158</v>
      </c>
      <c r="G5701" s="8" t="s">
        <v>15</v>
      </c>
    </row>
    <row r="5702" spans="1:7" hidden="1" x14ac:dyDescent="0.25">
      <c r="A5702" s="21">
        <v>5701</v>
      </c>
      <c r="B5702" s="7" t="s">
        <v>12159</v>
      </c>
      <c r="C5702" s="7" t="s">
        <v>12160</v>
      </c>
      <c r="G5702" s="8" t="s">
        <v>15</v>
      </c>
    </row>
    <row r="5703" spans="1:7" hidden="1" x14ac:dyDescent="0.25">
      <c r="A5703" s="21">
        <v>5702</v>
      </c>
      <c r="B5703" s="7" t="s">
        <v>12161</v>
      </c>
      <c r="C5703" s="7" t="s">
        <v>12162</v>
      </c>
      <c r="G5703" s="8" t="s">
        <v>15</v>
      </c>
    </row>
    <row r="5704" spans="1:7" hidden="1" x14ac:dyDescent="0.25">
      <c r="A5704" s="21">
        <v>5703</v>
      </c>
      <c r="B5704" s="7" t="s">
        <v>12163</v>
      </c>
      <c r="C5704" s="7" t="s">
        <v>12164</v>
      </c>
      <c r="G5704" s="8" t="s">
        <v>15</v>
      </c>
    </row>
    <row r="5705" spans="1:7" hidden="1" x14ac:dyDescent="0.25">
      <c r="A5705" s="21">
        <v>5704</v>
      </c>
      <c r="B5705" s="7" t="s">
        <v>12165</v>
      </c>
      <c r="C5705" s="7" t="s">
        <v>12166</v>
      </c>
      <c r="G5705" s="8" t="s">
        <v>15</v>
      </c>
    </row>
    <row r="5706" spans="1:7" hidden="1" x14ac:dyDescent="0.25">
      <c r="A5706" s="21">
        <v>5705</v>
      </c>
      <c r="B5706" s="7" t="s">
        <v>12167</v>
      </c>
      <c r="C5706" s="7" t="s">
        <v>12168</v>
      </c>
      <c r="G5706" s="8" t="s">
        <v>15</v>
      </c>
    </row>
    <row r="5707" spans="1:7" hidden="1" x14ac:dyDescent="0.25">
      <c r="A5707" s="21">
        <v>5706</v>
      </c>
      <c r="B5707" s="7" t="s">
        <v>12169</v>
      </c>
      <c r="C5707" s="7" t="s">
        <v>12170</v>
      </c>
      <c r="G5707" s="8" t="s">
        <v>15</v>
      </c>
    </row>
    <row r="5708" spans="1:7" hidden="1" x14ac:dyDescent="0.25">
      <c r="A5708" s="21">
        <v>5707</v>
      </c>
      <c r="B5708" s="7" t="s">
        <v>12171</v>
      </c>
      <c r="C5708" s="7" t="s">
        <v>12172</v>
      </c>
      <c r="G5708" s="8" t="s">
        <v>15</v>
      </c>
    </row>
    <row r="5709" spans="1:7" hidden="1" x14ac:dyDescent="0.25">
      <c r="A5709" s="21">
        <v>5708</v>
      </c>
      <c r="B5709" s="7" t="s">
        <v>12173</v>
      </c>
      <c r="C5709" s="7" t="s">
        <v>12174</v>
      </c>
      <c r="G5709" s="8" t="s">
        <v>15</v>
      </c>
    </row>
    <row r="5710" spans="1:7" hidden="1" x14ac:dyDescent="0.25">
      <c r="A5710" s="21">
        <v>5709</v>
      </c>
      <c r="B5710" s="7" t="s">
        <v>12175</v>
      </c>
      <c r="C5710" s="7" t="s">
        <v>12176</v>
      </c>
      <c r="G5710" s="8" t="s">
        <v>15</v>
      </c>
    </row>
    <row r="5711" spans="1:7" hidden="1" x14ac:dyDescent="0.25">
      <c r="A5711" s="21">
        <v>5710</v>
      </c>
      <c r="B5711" s="7" t="s">
        <v>12177</v>
      </c>
      <c r="C5711" s="7" t="s">
        <v>12178</v>
      </c>
      <c r="G5711" s="8" t="s">
        <v>15</v>
      </c>
    </row>
    <row r="5712" spans="1:7" hidden="1" x14ac:dyDescent="0.25">
      <c r="A5712" s="21">
        <v>5711</v>
      </c>
      <c r="B5712" s="7" t="s">
        <v>12179</v>
      </c>
      <c r="C5712" s="7" t="s">
        <v>12180</v>
      </c>
      <c r="G5712" s="8" t="s">
        <v>15</v>
      </c>
    </row>
    <row r="5713" spans="1:7" hidden="1" x14ac:dyDescent="0.25">
      <c r="A5713" s="21">
        <v>5712</v>
      </c>
      <c r="B5713" s="7" t="s">
        <v>12181</v>
      </c>
      <c r="C5713" s="7" t="s">
        <v>12182</v>
      </c>
      <c r="G5713" s="8" t="s">
        <v>15</v>
      </c>
    </row>
    <row r="5714" spans="1:7" hidden="1" x14ac:dyDescent="0.25">
      <c r="A5714" s="21">
        <v>5713</v>
      </c>
      <c r="B5714" s="7" t="s">
        <v>12183</v>
      </c>
      <c r="C5714" s="7" t="s">
        <v>12184</v>
      </c>
      <c r="G5714" s="8" t="s">
        <v>15</v>
      </c>
    </row>
    <row r="5715" spans="1:7" hidden="1" x14ac:dyDescent="0.25">
      <c r="A5715" s="21">
        <v>5714</v>
      </c>
      <c r="B5715" s="7" t="s">
        <v>12185</v>
      </c>
      <c r="C5715" s="7" t="s">
        <v>12186</v>
      </c>
      <c r="G5715" s="8" t="s">
        <v>15</v>
      </c>
    </row>
    <row r="5716" spans="1:7" hidden="1" x14ac:dyDescent="0.25">
      <c r="A5716" s="21">
        <v>5715</v>
      </c>
      <c r="B5716" s="7" t="s">
        <v>12187</v>
      </c>
      <c r="C5716" s="7" t="s">
        <v>12188</v>
      </c>
      <c r="G5716" s="8" t="s">
        <v>15</v>
      </c>
    </row>
    <row r="5717" spans="1:7" hidden="1" x14ac:dyDescent="0.25">
      <c r="A5717" s="21">
        <v>5716</v>
      </c>
      <c r="B5717" s="7" t="s">
        <v>12189</v>
      </c>
      <c r="C5717" s="7" t="s">
        <v>12190</v>
      </c>
      <c r="G5717" s="8" t="s">
        <v>15</v>
      </c>
    </row>
    <row r="5718" spans="1:7" hidden="1" x14ac:dyDescent="0.25">
      <c r="A5718" s="21">
        <v>5717</v>
      </c>
      <c r="B5718" s="7" t="s">
        <v>12191</v>
      </c>
      <c r="C5718" s="7" t="s">
        <v>12192</v>
      </c>
      <c r="G5718" s="8" t="s">
        <v>15</v>
      </c>
    </row>
    <row r="5719" spans="1:7" hidden="1" x14ac:dyDescent="0.25">
      <c r="A5719" s="21">
        <v>5718</v>
      </c>
      <c r="B5719" s="7" t="s">
        <v>12193</v>
      </c>
      <c r="C5719" s="7" t="s">
        <v>12194</v>
      </c>
      <c r="G5719" s="8" t="s">
        <v>15</v>
      </c>
    </row>
    <row r="5720" spans="1:7" hidden="1" x14ac:dyDescent="0.25">
      <c r="A5720" s="21">
        <v>5719</v>
      </c>
      <c r="B5720" s="7" t="s">
        <v>12195</v>
      </c>
      <c r="C5720" s="7" t="s">
        <v>12196</v>
      </c>
      <c r="G5720" s="8" t="s">
        <v>15</v>
      </c>
    </row>
    <row r="5721" spans="1:7" hidden="1" x14ac:dyDescent="0.25">
      <c r="A5721" s="21">
        <v>5720</v>
      </c>
      <c r="B5721" s="7" t="s">
        <v>12197</v>
      </c>
      <c r="C5721" s="7" t="s">
        <v>12198</v>
      </c>
      <c r="G5721" s="8" t="s">
        <v>15</v>
      </c>
    </row>
    <row r="5722" spans="1:7" hidden="1" x14ac:dyDescent="0.25">
      <c r="A5722" s="21">
        <v>5721</v>
      </c>
      <c r="B5722" s="7" t="s">
        <v>12199</v>
      </c>
      <c r="C5722" s="7" t="s">
        <v>12200</v>
      </c>
      <c r="G5722" s="8" t="s">
        <v>15</v>
      </c>
    </row>
    <row r="5723" spans="1:7" hidden="1" x14ac:dyDescent="0.25">
      <c r="A5723" s="21">
        <v>5722</v>
      </c>
      <c r="B5723" s="7" t="s">
        <v>12201</v>
      </c>
      <c r="C5723" s="7" t="s">
        <v>12202</v>
      </c>
      <c r="G5723" s="8" t="s">
        <v>15</v>
      </c>
    </row>
    <row r="5724" spans="1:7" hidden="1" x14ac:dyDescent="0.25">
      <c r="A5724" s="21">
        <v>5723</v>
      </c>
      <c r="B5724" s="7" t="s">
        <v>12203</v>
      </c>
      <c r="C5724" s="7" t="s">
        <v>12204</v>
      </c>
      <c r="G5724" s="8" t="s">
        <v>15</v>
      </c>
    </row>
    <row r="5725" spans="1:7" hidden="1" x14ac:dyDescent="0.25">
      <c r="A5725" s="21">
        <v>5724</v>
      </c>
      <c r="B5725" s="7" t="s">
        <v>12205</v>
      </c>
      <c r="C5725" s="7" t="s">
        <v>12206</v>
      </c>
      <c r="G5725" s="8" t="s">
        <v>15</v>
      </c>
    </row>
    <row r="5726" spans="1:7" hidden="1" x14ac:dyDescent="0.25">
      <c r="A5726" s="21">
        <v>5725</v>
      </c>
      <c r="B5726" s="7" t="s">
        <v>12207</v>
      </c>
      <c r="C5726" s="7" t="s">
        <v>12208</v>
      </c>
      <c r="G5726" s="8" t="s">
        <v>15</v>
      </c>
    </row>
    <row r="5727" spans="1:7" hidden="1" x14ac:dyDescent="0.25">
      <c r="A5727" s="21">
        <v>5726</v>
      </c>
      <c r="B5727" s="7" t="s">
        <v>12209</v>
      </c>
      <c r="C5727" s="7" t="s">
        <v>12210</v>
      </c>
      <c r="G5727" s="8" t="s">
        <v>15</v>
      </c>
    </row>
    <row r="5728" spans="1:7" hidden="1" x14ac:dyDescent="0.25">
      <c r="A5728" s="21">
        <v>5727</v>
      </c>
      <c r="B5728" s="7" t="s">
        <v>12211</v>
      </c>
      <c r="C5728" s="7" t="s">
        <v>12212</v>
      </c>
      <c r="G5728" s="8" t="s">
        <v>15</v>
      </c>
    </row>
    <row r="5729" spans="1:7" hidden="1" x14ac:dyDescent="0.25">
      <c r="A5729" s="21">
        <v>5728</v>
      </c>
      <c r="B5729" s="7" t="s">
        <v>12213</v>
      </c>
      <c r="C5729" s="7" t="s">
        <v>12214</v>
      </c>
      <c r="G5729" s="8" t="s">
        <v>15</v>
      </c>
    </row>
    <row r="5730" spans="1:7" hidden="1" x14ac:dyDescent="0.25">
      <c r="A5730" s="21">
        <v>5729</v>
      </c>
      <c r="B5730" s="7" t="s">
        <v>12215</v>
      </c>
      <c r="C5730" s="7" t="s">
        <v>12216</v>
      </c>
      <c r="G5730" s="8" t="s">
        <v>15</v>
      </c>
    </row>
    <row r="5731" spans="1:7" hidden="1" x14ac:dyDescent="0.25">
      <c r="A5731" s="21">
        <v>5730</v>
      </c>
      <c r="B5731" s="7" t="s">
        <v>12217</v>
      </c>
      <c r="C5731" s="7" t="s">
        <v>12218</v>
      </c>
      <c r="G5731" s="8" t="s">
        <v>15</v>
      </c>
    </row>
    <row r="5732" spans="1:7" hidden="1" x14ac:dyDescent="0.25">
      <c r="A5732" s="21">
        <v>5731</v>
      </c>
      <c r="B5732" s="7" t="s">
        <v>12219</v>
      </c>
      <c r="C5732" s="7" t="s">
        <v>12220</v>
      </c>
      <c r="G5732" s="8" t="s">
        <v>15</v>
      </c>
    </row>
    <row r="5733" spans="1:7" hidden="1" x14ac:dyDescent="0.25">
      <c r="A5733" s="21">
        <v>5732</v>
      </c>
      <c r="B5733" s="7" t="s">
        <v>12221</v>
      </c>
      <c r="C5733" s="7" t="s">
        <v>12222</v>
      </c>
      <c r="G5733" s="8" t="s">
        <v>15</v>
      </c>
    </row>
    <row r="5734" spans="1:7" hidden="1" x14ac:dyDescent="0.25">
      <c r="A5734" s="21">
        <v>5733</v>
      </c>
      <c r="B5734" s="7" t="s">
        <v>12223</v>
      </c>
      <c r="C5734" s="7" t="s">
        <v>12224</v>
      </c>
      <c r="G5734" s="8" t="s">
        <v>15</v>
      </c>
    </row>
    <row r="5735" spans="1:7" hidden="1" x14ac:dyDescent="0.25">
      <c r="A5735" s="21">
        <v>5734</v>
      </c>
      <c r="B5735" s="7" t="s">
        <v>12225</v>
      </c>
      <c r="C5735" s="7" t="s">
        <v>12226</v>
      </c>
      <c r="G5735" s="8" t="s">
        <v>15</v>
      </c>
    </row>
    <row r="5736" spans="1:7" hidden="1" x14ac:dyDescent="0.25">
      <c r="A5736" s="21">
        <v>5735</v>
      </c>
      <c r="B5736" s="7" t="s">
        <v>12227</v>
      </c>
      <c r="C5736" s="7" t="s">
        <v>12228</v>
      </c>
      <c r="G5736" s="8" t="s">
        <v>15</v>
      </c>
    </row>
    <row r="5737" spans="1:7" hidden="1" x14ac:dyDescent="0.25">
      <c r="A5737" s="21">
        <v>5736</v>
      </c>
      <c r="B5737" s="7" t="s">
        <v>12229</v>
      </c>
      <c r="C5737" s="7" t="s">
        <v>12230</v>
      </c>
      <c r="G5737" s="8" t="s">
        <v>15</v>
      </c>
    </row>
    <row r="5738" spans="1:7" hidden="1" x14ac:dyDescent="0.25">
      <c r="A5738" s="21">
        <v>5737</v>
      </c>
      <c r="B5738" s="7" t="s">
        <v>12231</v>
      </c>
      <c r="C5738" s="7" t="s">
        <v>12232</v>
      </c>
      <c r="G5738" s="8" t="s">
        <v>15</v>
      </c>
    </row>
    <row r="5739" spans="1:7" hidden="1" x14ac:dyDescent="0.25">
      <c r="A5739" s="21">
        <v>5738</v>
      </c>
      <c r="B5739" s="7" t="s">
        <v>12233</v>
      </c>
      <c r="C5739" s="7" t="s">
        <v>12234</v>
      </c>
      <c r="G5739" s="8" t="s">
        <v>15</v>
      </c>
    </row>
    <row r="5740" spans="1:7" hidden="1" x14ac:dyDescent="0.25">
      <c r="A5740" s="21">
        <v>5739</v>
      </c>
      <c r="B5740" s="7" t="s">
        <v>12235</v>
      </c>
      <c r="C5740" s="7" t="s">
        <v>12236</v>
      </c>
      <c r="G5740" s="8" t="s">
        <v>15</v>
      </c>
    </row>
    <row r="5741" spans="1:7" hidden="1" x14ac:dyDescent="0.25">
      <c r="A5741" s="21">
        <v>5740</v>
      </c>
      <c r="B5741" s="7" t="s">
        <v>12237</v>
      </c>
      <c r="C5741" s="7" t="s">
        <v>12238</v>
      </c>
      <c r="G5741" s="8" t="s">
        <v>15</v>
      </c>
    </row>
    <row r="5742" spans="1:7" hidden="1" x14ac:dyDescent="0.25">
      <c r="A5742" s="21">
        <v>5741</v>
      </c>
      <c r="B5742" s="7" t="s">
        <v>12239</v>
      </c>
      <c r="C5742" s="7" t="s">
        <v>12240</v>
      </c>
      <c r="G5742" s="8" t="s">
        <v>15</v>
      </c>
    </row>
    <row r="5743" spans="1:7" hidden="1" x14ac:dyDescent="0.25">
      <c r="A5743" s="21">
        <v>5742</v>
      </c>
      <c r="B5743" s="7" t="s">
        <v>12241</v>
      </c>
      <c r="C5743" s="7" t="s">
        <v>12242</v>
      </c>
      <c r="G5743" s="8" t="s">
        <v>15</v>
      </c>
    </row>
    <row r="5744" spans="1:7" hidden="1" x14ac:dyDescent="0.25">
      <c r="A5744" s="21">
        <v>5743</v>
      </c>
      <c r="B5744" s="7" t="s">
        <v>12243</v>
      </c>
      <c r="C5744" s="7" t="s">
        <v>12244</v>
      </c>
      <c r="G5744" s="8" t="s">
        <v>15</v>
      </c>
    </row>
    <row r="5745" spans="1:7" hidden="1" x14ac:dyDescent="0.25">
      <c r="A5745" s="21">
        <v>5744</v>
      </c>
      <c r="B5745" s="7" t="s">
        <v>12245</v>
      </c>
      <c r="C5745" s="7" t="s">
        <v>12246</v>
      </c>
      <c r="G5745" s="8" t="s">
        <v>15</v>
      </c>
    </row>
    <row r="5746" spans="1:7" hidden="1" x14ac:dyDescent="0.25">
      <c r="A5746" s="21">
        <v>5745</v>
      </c>
      <c r="B5746" s="7" t="s">
        <v>12247</v>
      </c>
      <c r="C5746" s="7" t="s">
        <v>12248</v>
      </c>
      <c r="G5746" s="8" t="s">
        <v>15</v>
      </c>
    </row>
    <row r="5747" spans="1:7" hidden="1" x14ac:dyDescent="0.25">
      <c r="A5747" s="21">
        <v>5746</v>
      </c>
      <c r="B5747" s="7" t="s">
        <v>12249</v>
      </c>
      <c r="C5747" s="7" t="s">
        <v>12250</v>
      </c>
      <c r="G5747" s="8" t="s">
        <v>15</v>
      </c>
    </row>
    <row r="5748" spans="1:7" hidden="1" x14ac:dyDescent="0.25">
      <c r="A5748" s="21">
        <v>5747</v>
      </c>
      <c r="B5748" s="7" t="s">
        <v>12251</v>
      </c>
      <c r="C5748" s="7" t="s">
        <v>12252</v>
      </c>
      <c r="G5748" s="8" t="s">
        <v>15</v>
      </c>
    </row>
    <row r="5749" spans="1:7" hidden="1" x14ac:dyDescent="0.25">
      <c r="A5749" s="21">
        <v>5748</v>
      </c>
      <c r="B5749" s="7" t="s">
        <v>12253</v>
      </c>
      <c r="C5749" s="7" t="s">
        <v>12254</v>
      </c>
      <c r="G5749" s="8" t="s">
        <v>15</v>
      </c>
    </row>
    <row r="5750" spans="1:7" hidden="1" x14ac:dyDescent="0.25">
      <c r="A5750" s="21">
        <v>5749</v>
      </c>
      <c r="B5750" s="7" t="s">
        <v>12255</v>
      </c>
      <c r="C5750" s="7" t="s">
        <v>12256</v>
      </c>
      <c r="G5750" s="8" t="s">
        <v>15</v>
      </c>
    </row>
    <row r="5751" spans="1:7" hidden="1" x14ac:dyDescent="0.25">
      <c r="A5751" s="21">
        <v>5750</v>
      </c>
      <c r="B5751" s="7" t="s">
        <v>12257</v>
      </c>
      <c r="C5751" s="7" t="s">
        <v>12258</v>
      </c>
      <c r="G5751" s="8" t="s">
        <v>15</v>
      </c>
    </row>
    <row r="5752" spans="1:7" hidden="1" x14ac:dyDescent="0.25">
      <c r="A5752" s="21">
        <v>5751</v>
      </c>
      <c r="B5752" s="7" t="s">
        <v>12259</v>
      </c>
      <c r="C5752" s="7" t="s">
        <v>12260</v>
      </c>
      <c r="G5752" s="8" t="s">
        <v>15</v>
      </c>
    </row>
    <row r="5753" spans="1:7" hidden="1" x14ac:dyDescent="0.25">
      <c r="A5753" s="21">
        <v>5752</v>
      </c>
      <c r="B5753" s="7" t="s">
        <v>12261</v>
      </c>
      <c r="C5753" s="7" t="s">
        <v>12262</v>
      </c>
      <c r="G5753" s="8" t="s">
        <v>15</v>
      </c>
    </row>
    <row r="5754" spans="1:7" hidden="1" x14ac:dyDescent="0.25">
      <c r="A5754" s="21">
        <v>5753</v>
      </c>
      <c r="B5754" s="7" t="s">
        <v>12263</v>
      </c>
      <c r="C5754" s="7" t="s">
        <v>12264</v>
      </c>
      <c r="G5754" s="8" t="s">
        <v>15</v>
      </c>
    </row>
    <row r="5755" spans="1:7" hidden="1" x14ac:dyDescent="0.25">
      <c r="A5755" s="21">
        <v>5754</v>
      </c>
      <c r="B5755" s="7" t="s">
        <v>12265</v>
      </c>
      <c r="C5755" s="7" t="s">
        <v>12266</v>
      </c>
      <c r="G5755" s="8" t="s">
        <v>15</v>
      </c>
    </row>
    <row r="5756" spans="1:7" hidden="1" x14ac:dyDescent="0.25">
      <c r="A5756" s="21">
        <v>5755</v>
      </c>
      <c r="B5756" s="7" t="s">
        <v>12267</v>
      </c>
      <c r="C5756" s="7" t="s">
        <v>12268</v>
      </c>
      <c r="G5756" s="8" t="s">
        <v>15</v>
      </c>
    </row>
    <row r="5757" spans="1:7" hidden="1" x14ac:dyDescent="0.25">
      <c r="A5757" s="21">
        <v>5756</v>
      </c>
      <c r="B5757" s="7" t="s">
        <v>12269</v>
      </c>
      <c r="C5757" s="7" t="s">
        <v>12270</v>
      </c>
      <c r="G5757" s="8" t="s">
        <v>15</v>
      </c>
    </row>
    <row r="5758" spans="1:7" hidden="1" x14ac:dyDescent="0.25">
      <c r="A5758" s="21">
        <v>5757</v>
      </c>
      <c r="B5758" s="7" t="s">
        <v>12271</v>
      </c>
      <c r="C5758" s="7" t="s">
        <v>12272</v>
      </c>
      <c r="G5758" s="8" t="s">
        <v>15</v>
      </c>
    </row>
    <row r="5759" spans="1:7" hidden="1" x14ac:dyDescent="0.25">
      <c r="A5759" s="21">
        <v>5758</v>
      </c>
      <c r="B5759" s="7" t="s">
        <v>12273</v>
      </c>
      <c r="C5759" s="7" t="s">
        <v>12274</v>
      </c>
      <c r="G5759" s="8" t="s">
        <v>15</v>
      </c>
    </row>
    <row r="5760" spans="1:7" hidden="1" x14ac:dyDescent="0.25">
      <c r="A5760" s="21">
        <v>5759</v>
      </c>
      <c r="B5760" s="7" t="s">
        <v>12275</v>
      </c>
      <c r="C5760" s="7" t="s">
        <v>12276</v>
      </c>
      <c r="G5760" s="8" t="s">
        <v>15</v>
      </c>
    </row>
    <row r="5761" spans="1:7" hidden="1" x14ac:dyDescent="0.25">
      <c r="A5761" s="21">
        <v>5760</v>
      </c>
      <c r="B5761" s="7" t="s">
        <v>12277</v>
      </c>
      <c r="C5761" s="7" t="s">
        <v>12278</v>
      </c>
      <c r="G5761" s="8" t="s">
        <v>15</v>
      </c>
    </row>
    <row r="5762" spans="1:7" hidden="1" x14ac:dyDescent="0.25">
      <c r="A5762" s="21">
        <v>5761</v>
      </c>
      <c r="B5762" s="7" t="s">
        <v>12279</v>
      </c>
      <c r="C5762" s="7" t="s">
        <v>12280</v>
      </c>
      <c r="G5762" s="8" t="s">
        <v>15</v>
      </c>
    </row>
    <row r="5763" spans="1:7" hidden="1" x14ac:dyDescent="0.25">
      <c r="A5763" s="21">
        <v>5762</v>
      </c>
      <c r="B5763" s="7" t="s">
        <v>12281</v>
      </c>
      <c r="C5763" s="7" t="s">
        <v>12282</v>
      </c>
      <c r="G5763" s="8" t="s">
        <v>15</v>
      </c>
    </row>
    <row r="5764" spans="1:7" hidden="1" x14ac:dyDescent="0.25">
      <c r="A5764" s="21">
        <v>5763</v>
      </c>
      <c r="B5764" s="7" t="s">
        <v>12283</v>
      </c>
      <c r="C5764" s="7" t="s">
        <v>12284</v>
      </c>
      <c r="G5764" s="8" t="s">
        <v>15</v>
      </c>
    </row>
    <row r="5765" spans="1:7" hidden="1" x14ac:dyDescent="0.25">
      <c r="A5765" s="21">
        <v>5764</v>
      </c>
      <c r="B5765" s="7" t="s">
        <v>12285</v>
      </c>
      <c r="C5765" s="7" t="s">
        <v>12286</v>
      </c>
      <c r="G5765" s="8" t="s">
        <v>15</v>
      </c>
    </row>
    <row r="5766" spans="1:7" hidden="1" x14ac:dyDescent="0.25">
      <c r="A5766" s="21">
        <v>5765</v>
      </c>
      <c r="B5766" s="7" t="s">
        <v>12287</v>
      </c>
      <c r="C5766" s="7" t="s">
        <v>12288</v>
      </c>
      <c r="G5766" s="8" t="s">
        <v>15</v>
      </c>
    </row>
    <row r="5767" spans="1:7" hidden="1" x14ac:dyDescent="0.25">
      <c r="A5767" s="21">
        <v>5766</v>
      </c>
      <c r="B5767" s="7" t="s">
        <v>12289</v>
      </c>
      <c r="C5767" s="7" t="s">
        <v>12290</v>
      </c>
      <c r="G5767" s="8" t="s">
        <v>15</v>
      </c>
    </row>
    <row r="5768" spans="1:7" hidden="1" x14ac:dyDescent="0.25">
      <c r="A5768" s="21">
        <v>5767</v>
      </c>
      <c r="B5768" s="7" t="s">
        <v>12291</v>
      </c>
      <c r="C5768" s="7" t="s">
        <v>12292</v>
      </c>
      <c r="G5768" s="8" t="s">
        <v>15</v>
      </c>
    </row>
    <row r="5769" spans="1:7" hidden="1" x14ac:dyDescent="0.25">
      <c r="A5769" s="21">
        <v>5768</v>
      </c>
      <c r="B5769" s="7" t="s">
        <v>12293</v>
      </c>
      <c r="C5769" s="7" t="s">
        <v>12294</v>
      </c>
      <c r="G5769" s="8" t="s">
        <v>15</v>
      </c>
    </row>
    <row r="5770" spans="1:7" hidden="1" x14ac:dyDescent="0.25">
      <c r="A5770" s="21">
        <v>5769</v>
      </c>
      <c r="B5770" s="7" t="s">
        <v>12295</v>
      </c>
      <c r="C5770" s="7" t="s">
        <v>12296</v>
      </c>
      <c r="G5770" s="8" t="s">
        <v>15</v>
      </c>
    </row>
    <row r="5771" spans="1:7" hidden="1" x14ac:dyDescent="0.25">
      <c r="A5771" s="21">
        <v>5770</v>
      </c>
      <c r="B5771" s="7" t="s">
        <v>12297</v>
      </c>
      <c r="C5771" s="7" t="s">
        <v>12298</v>
      </c>
      <c r="G5771" s="8" t="s">
        <v>15</v>
      </c>
    </row>
    <row r="5772" spans="1:7" hidden="1" x14ac:dyDescent="0.25">
      <c r="A5772" s="21">
        <v>5771</v>
      </c>
      <c r="B5772" s="7" t="s">
        <v>12299</v>
      </c>
      <c r="C5772" s="7" t="s">
        <v>12300</v>
      </c>
      <c r="G5772" s="8" t="s">
        <v>15</v>
      </c>
    </row>
    <row r="5773" spans="1:7" hidden="1" x14ac:dyDescent="0.25">
      <c r="A5773" s="21">
        <v>5772</v>
      </c>
      <c r="B5773" s="7" t="s">
        <v>12301</v>
      </c>
      <c r="C5773" s="7" t="s">
        <v>12302</v>
      </c>
      <c r="G5773" s="8" t="s">
        <v>15</v>
      </c>
    </row>
    <row r="5774" spans="1:7" hidden="1" x14ac:dyDescent="0.25">
      <c r="A5774" s="21">
        <v>5773</v>
      </c>
      <c r="B5774" s="7" t="s">
        <v>12303</v>
      </c>
      <c r="C5774" s="7" t="s">
        <v>12304</v>
      </c>
      <c r="G5774" s="8" t="s">
        <v>15</v>
      </c>
    </row>
    <row r="5775" spans="1:7" hidden="1" x14ac:dyDescent="0.25">
      <c r="A5775" s="21">
        <v>5774</v>
      </c>
      <c r="B5775" s="7" t="s">
        <v>12305</v>
      </c>
      <c r="C5775" s="7" t="s">
        <v>12306</v>
      </c>
      <c r="G5775" s="8" t="s">
        <v>15</v>
      </c>
    </row>
    <row r="5776" spans="1:7" hidden="1" x14ac:dyDescent="0.25">
      <c r="A5776" s="21">
        <v>5775</v>
      </c>
      <c r="B5776" s="7" t="s">
        <v>12307</v>
      </c>
      <c r="C5776" s="7" t="s">
        <v>12308</v>
      </c>
      <c r="G5776" s="8" t="s">
        <v>15</v>
      </c>
    </row>
    <row r="5777" spans="1:7" hidden="1" x14ac:dyDescent="0.25">
      <c r="A5777" s="21">
        <v>5776</v>
      </c>
      <c r="B5777" s="7" t="s">
        <v>12309</v>
      </c>
      <c r="C5777" s="7" t="s">
        <v>12310</v>
      </c>
      <c r="G5777" s="8" t="s">
        <v>15</v>
      </c>
    </row>
    <row r="5778" spans="1:7" hidden="1" x14ac:dyDescent="0.25">
      <c r="A5778" s="21">
        <v>5777</v>
      </c>
      <c r="B5778" s="7" t="s">
        <v>12311</v>
      </c>
      <c r="C5778" s="7" t="s">
        <v>12312</v>
      </c>
      <c r="G5778" s="8" t="s">
        <v>15</v>
      </c>
    </row>
    <row r="5779" spans="1:7" hidden="1" x14ac:dyDescent="0.25">
      <c r="A5779" s="21">
        <v>5778</v>
      </c>
      <c r="B5779" s="7" t="s">
        <v>12313</v>
      </c>
      <c r="C5779" s="7" t="s">
        <v>12314</v>
      </c>
      <c r="G5779" s="8" t="s">
        <v>15</v>
      </c>
    </row>
    <row r="5780" spans="1:7" hidden="1" x14ac:dyDescent="0.25">
      <c r="A5780" s="21">
        <v>5779</v>
      </c>
      <c r="B5780" s="7" t="s">
        <v>12315</v>
      </c>
      <c r="C5780" s="7" t="s">
        <v>12316</v>
      </c>
      <c r="G5780" s="8" t="s">
        <v>15</v>
      </c>
    </row>
    <row r="5781" spans="1:7" hidden="1" x14ac:dyDescent="0.25">
      <c r="A5781" s="21">
        <v>5780</v>
      </c>
      <c r="B5781" s="7" t="s">
        <v>12317</v>
      </c>
      <c r="C5781" s="7" t="s">
        <v>12318</v>
      </c>
      <c r="G5781" s="8" t="s">
        <v>15</v>
      </c>
    </row>
    <row r="5782" spans="1:7" hidden="1" x14ac:dyDescent="0.25">
      <c r="A5782" s="21">
        <v>5781</v>
      </c>
      <c r="B5782" s="7" t="s">
        <v>12319</v>
      </c>
      <c r="C5782" s="7" t="s">
        <v>12320</v>
      </c>
      <c r="G5782" s="8" t="s">
        <v>15</v>
      </c>
    </row>
    <row r="5783" spans="1:7" hidden="1" x14ac:dyDescent="0.25">
      <c r="A5783" s="21">
        <v>5782</v>
      </c>
      <c r="B5783" s="7" t="s">
        <v>12321</v>
      </c>
      <c r="C5783" s="7" t="s">
        <v>12322</v>
      </c>
      <c r="G5783" s="8" t="s">
        <v>15</v>
      </c>
    </row>
    <row r="5784" spans="1:7" hidden="1" x14ac:dyDescent="0.25">
      <c r="A5784" s="21">
        <v>5783</v>
      </c>
      <c r="B5784" s="7" t="s">
        <v>12323</v>
      </c>
      <c r="C5784" s="7" t="s">
        <v>12324</v>
      </c>
      <c r="G5784" s="8" t="s">
        <v>15</v>
      </c>
    </row>
    <row r="5785" spans="1:7" hidden="1" x14ac:dyDescent="0.25">
      <c r="A5785" s="21">
        <v>5784</v>
      </c>
      <c r="B5785" s="7" t="s">
        <v>12325</v>
      </c>
      <c r="C5785" s="7" t="s">
        <v>12326</v>
      </c>
      <c r="G5785" s="8" t="s">
        <v>15</v>
      </c>
    </row>
    <row r="5786" spans="1:7" hidden="1" x14ac:dyDescent="0.25">
      <c r="A5786" s="21">
        <v>5785</v>
      </c>
      <c r="B5786" s="7" t="s">
        <v>12327</v>
      </c>
      <c r="C5786" s="7" t="s">
        <v>12328</v>
      </c>
      <c r="G5786" s="8" t="s">
        <v>15</v>
      </c>
    </row>
    <row r="5787" spans="1:7" hidden="1" x14ac:dyDescent="0.25">
      <c r="A5787" s="21">
        <v>5786</v>
      </c>
      <c r="B5787" s="7" t="s">
        <v>12329</v>
      </c>
      <c r="C5787" s="7" t="s">
        <v>12330</v>
      </c>
      <c r="G5787" s="8" t="s">
        <v>15</v>
      </c>
    </row>
    <row r="5788" spans="1:7" hidden="1" x14ac:dyDescent="0.25">
      <c r="A5788" s="21">
        <v>5787</v>
      </c>
      <c r="B5788" s="7" t="s">
        <v>12331</v>
      </c>
      <c r="C5788" s="7" t="s">
        <v>12332</v>
      </c>
      <c r="G5788" s="8" t="s">
        <v>15</v>
      </c>
    </row>
    <row r="5789" spans="1:7" hidden="1" x14ac:dyDescent="0.25">
      <c r="A5789" s="21">
        <v>5788</v>
      </c>
      <c r="B5789" s="7" t="s">
        <v>12333</v>
      </c>
      <c r="C5789" s="7" t="s">
        <v>12334</v>
      </c>
      <c r="G5789" s="8" t="s">
        <v>15</v>
      </c>
    </row>
    <row r="5790" spans="1:7" hidden="1" x14ac:dyDescent="0.25">
      <c r="A5790" s="21">
        <v>5789</v>
      </c>
      <c r="B5790" s="7" t="s">
        <v>12335</v>
      </c>
      <c r="C5790" s="7" t="s">
        <v>12336</v>
      </c>
      <c r="G5790" s="8" t="s">
        <v>15</v>
      </c>
    </row>
    <row r="5791" spans="1:7" hidden="1" x14ac:dyDescent="0.25">
      <c r="A5791" s="21">
        <v>5790</v>
      </c>
      <c r="B5791" s="7" t="s">
        <v>12337</v>
      </c>
      <c r="C5791" s="7" t="s">
        <v>12338</v>
      </c>
      <c r="G5791" s="8" t="s">
        <v>15</v>
      </c>
    </row>
    <row r="5792" spans="1:7" hidden="1" x14ac:dyDescent="0.25">
      <c r="A5792" s="21">
        <v>5791</v>
      </c>
      <c r="B5792" s="7" t="s">
        <v>12339</v>
      </c>
      <c r="C5792" s="7" t="s">
        <v>12340</v>
      </c>
      <c r="G5792" s="8" t="s">
        <v>15</v>
      </c>
    </row>
    <row r="5793" spans="1:7" hidden="1" x14ac:dyDescent="0.25">
      <c r="A5793" s="21">
        <v>5792</v>
      </c>
      <c r="B5793" s="7" t="s">
        <v>12341</v>
      </c>
      <c r="C5793" s="7" t="s">
        <v>12342</v>
      </c>
      <c r="G5793" s="8" t="s">
        <v>15</v>
      </c>
    </row>
    <row r="5794" spans="1:7" hidden="1" x14ac:dyDescent="0.25">
      <c r="A5794" s="21">
        <v>5793</v>
      </c>
      <c r="B5794" s="7" t="s">
        <v>12343</v>
      </c>
      <c r="C5794" s="7" t="s">
        <v>12344</v>
      </c>
      <c r="G5794" s="8" t="s">
        <v>15</v>
      </c>
    </row>
    <row r="5795" spans="1:7" hidden="1" x14ac:dyDescent="0.25">
      <c r="A5795" s="21">
        <v>5794</v>
      </c>
      <c r="B5795" s="7" t="s">
        <v>12345</v>
      </c>
      <c r="C5795" s="7" t="s">
        <v>12346</v>
      </c>
      <c r="G5795" s="8" t="s">
        <v>15</v>
      </c>
    </row>
    <row r="5796" spans="1:7" hidden="1" x14ac:dyDescent="0.25">
      <c r="A5796" s="21">
        <v>5795</v>
      </c>
      <c r="B5796" s="7" t="s">
        <v>12347</v>
      </c>
      <c r="C5796" s="7" t="s">
        <v>12348</v>
      </c>
      <c r="G5796" s="8" t="s">
        <v>15</v>
      </c>
    </row>
    <row r="5797" spans="1:7" hidden="1" x14ac:dyDescent="0.25">
      <c r="A5797" s="21">
        <v>5796</v>
      </c>
      <c r="B5797" s="7" t="s">
        <v>12349</v>
      </c>
      <c r="C5797" s="7" t="s">
        <v>12350</v>
      </c>
      <c r="G5797" s="8" t="s">
        <v>15</v>
      </c>
    </row>
    <row r="5798" spans="1:7" hidden="1" x14ac:dyDescent="0.25">
      <c r="A5798" s="21">
        <v>5797</v>
      </c>
      <c r="B5798" s="7" t="s">
        <v>12351</v>
      </c>
      <c r="C5798" s="7" t="s">
        <v>12352</v>
      </c>
      <c r="G5798" s="8" t="s">
        <v>15</v>
      </c>
    </row>
    <row r="5799" spans="1:7" hidden="1" x14ac:dyDescent="0.25">
      <c r="A5799" s="21">
        <v>5798</v>
      </c>
      <c r="B5799" s="7" t="s">
        <v>12353</v>
      </c>
      <c r="C5799" s="7" t="s">
        <v>12354</v>
      </c>
      <c r="G5799" s="8" t="s">
        <v>15</v>
      </c>
    </row>
    <row r="5800" spans="1:7" hidden="1" x14ac:dyDescent="0.25">
      <c r="A5800" s="21">
        <v>5799</v>
      </c>
      <c r="B5800" s="7" t="s">
        <v>12355</v>
      </c>
      <c r="C5800" s="7" t="s">
        <v>12356</v>
      </c>
      <c r="G5800" s="8" t="s">
        <v>15</v>
      </c>
    </row>
    <row r="5801" spans="1:7" hidden="1" x14ac:dyDescent="0.25">
      <c r="A5801" s="21">
        <v>5800</v>
      </c>
      <c r="B5801" s="7" t="s">
        <v>12357</v>
      </c>
      <c r="C5801" s="7" t="s">
        <v>12358</v>
      </c>
      <c r="G5801" s="8" t="s">
        <v>15</v>
      </c>
    </row>
    <row r="5802" spans="1:7" hidden="1" x14ac:dyDescent="0.25">
      <c r="A5802" s="21">
        <v>5801</v>
      </c>
      <c r="B5802" s="7" t="s">
        <v>12359</v>
      </c>
      <c r="C5802" s="7" t="s">
        <v>12360</v>
      </c>
      <c r="G5802" s="8" t="s">
        <v>15</v>
      </c>
    </row>
    <row r="5803" spans="1:7" hidden="1" x14ac:dyDescent="0.25">
      <c r="A5803" s="21">
        <v>5802</v>
      </c>
      <c r="B5803" s="7" t="s">
        <v>12361</v>
      </c>
      <c r="C5803" s="7" t="s">
        <v>12362</v>
      </c>
      <c r="G5803" s="8" t="s">
        <v>15</v>
      </c>
    </row>
    <row r="5804" spans="1:7" hidden="1" x14ac:dyDescent="0.25">
      <c r="A5804" s="21">
        <v>5803</v>
      </c>
      <c r="B5804" s="7" t="s">
        <v>12363</v>
      </c>
      <c r="C5804" s="7" t="s">
        <v>12364</v>
      </c>
      <c r="G5804" s="8" t="s">
        <v>15</v>
      </c>
    </row>
    <row r="5805" spans="1:7" hidden="1" x14ac:dyDescent="0.25">
      <c r="A5805" s="21">
        <v>5804</v>
      </c>
      <c r="B5805" s="7" t="s">
        <v>12365</v>
      </c>
      <c r="C5805" s="7" t="s">
        <v>12366</v>
      </c>
      <c r="G5805" s="8" t="s">
        <v>15</v>
      </c>
    </row>
    <row r="5806" spans="1:7" hidden="1" x14ac:dyDescent="0.25">
      <c r="A5806" s="21">
        <v>5805</v>
      </c>
      <c r="B5806" s="7" t="s">
        <v>12367</v>
      </c>
      <c r="C5806" s="7" t="s">
        <v>12368</v>
      </c>
      <c r="G5806" s="8" t="s">
        <v>15</v>
      </c>
    </row>
    <row r="5807" spans="1:7" hidden="1" x14ac:dyDescent="0.25">
      <c r="A5807" s="21">
        <v>5806</v>
      </c>
      <c r="B5807" s="7" t="s">
        <v>12369</v>
      </c>
      <c r="C5807" s="7" t="s">
        <v>12370</v>
      </c>
      <c r="G5807" s="8" t="s">
        <v>15</v>
      </c>
    </row>
    <row r="5808" spans="1:7" hidden="1" x14ac:dyDescent="0.25">
      <c r="A5808" s="21">
        <v>5807</v>
      </c>
      <c r="B5808" s="7" t="s">
        <v>12371</v>
      </c>
      <c r="C5808" s="7" t="s">
        <v>12372</v>
      </c>
      <c r="G5808" s="8" t="s">
        <v>15</v>
      </c>
    </row>
    <row r="5809" spans="1:7" hidden="1" x14ac:dyDescent="0.25">
      <c r="A5809" s="21">
        <v>5808</v>
      </c>
      <c r="B5809" s="7" t="s">
        <v>12373</v>
      </c>
      <c r="C5809" s="7" t="s">
        <v>12374</v>
      </c>
      <c r="G5809" s="8" t="s">
        <v>15</v>
      </c>
    </row>
    <row r="5810" spans="1:7" hidden="1" x14ac:dyDescent="0.25">
      <c r="A5810" s="21">
        <v>5809</v>
      </c>
      <c r="B5810" s="7" t="s">
        <v>12375</v>
      </c>
      <c r="C5810" s="7" t="s">
        <v>12376</v>
      </c>
      <c r="G5810" s="8" t="s">
        <v>15</v>
      </c>
    </row>
    <row r="5811" spans="1:7" hidden="1" x14ac:dyDescent="0.25">
      <c r="A5811" s="21">
        <v>5810</v>
      </c>
      <c r="B5811" s="7" t="s">
        <v>12377</v>
      </c>
      <c r="C5811" s="7" t="s">
        <v>12378</v>
      </c>
      <c r="G5811" s="8" t="s">
        <v>15</v>
      </c>
    </row>
    <row r="5812" spans="1:7" hidden="1" x14ac:dyDescent="0.25">
      <c r="A5812" s="21">
        <v>5811</v>
      </c>
      <c r="B5812" s="7" t="s">
        <v>12379</v>
      </c>
      <c r="C5812" s="7" t="s">
        <v>12380</v>
      </c>
      <c r="G5812" s="8" t="s">
        <v>15</v>
      </c>
    </row>
    <row r="5813" spans="1:7" hidden="1" x14ac:dyDescent="0.25">
      <c r="A5813" s="21">
        <v>5812</v>
      </c>
      <c r="B5813" s="7" t="s">
        <v>12381</v>
      </c>
      <c r="C5813" s="7" t="s">
        <v>12382</v>
      </c>
      <c r="G5813" s="8" t="s">
        <v>15</v>
      </c>
    </row>
    <row r="5814" spans="1:7" hidden="1" x14ac:dyDescent="0.25">
      <c r="A5814" s="21">
        <v>5813</v>
      </c>
      <c r="B5814" s="7" t="s">
        <v>12383</v>
      </c>
      <c r="C5814" s="7" t="s">
        <v>12384</v>
      </c>
      <c r="G5814" s="8" t="s">
        <v>15</v>
      </c>
    </row>
    <row r="5815" spans="1:7" hidden="1" x14ac:dyDescent="0.25">
      <c r="A5815" s="21">
        <v>5814</v>
      </c>
      <c r="B5815" s="7" t="s">
        <v>12385</v>
      </c>
      <c r="C5815" s="7" t="s">
        <v>12386</v>
      </c>
      <c r="G5815" s="8" t="s">
        <v>15</v>
      </c>
    </row>
    <row r="5816" spans="1:7" hidden="1" x14ac:dyDescent="0.25">
      <c r="A5816" s="21">
        <v>5815</v>
      </c>
      <c r="B5816" s="7" t="s">
        <v>12387</v>
      </c>
      <c r="C5816" s="7" t="s">
        <v>12388</v>
      </c>
      <c r="G5816" s="8" t="s">
        <v>15</v>
      </c>
    </row>
    <row r="5817" spans="1:7" hidden="1" x14ac:dyDescent="0.25">
      <c r="A5817" s="21">
        <v>5816</v>
      </c>
      <c r="B5817" s="7" t="s">
        <v>12389</v>
      </c>
      <c r="C5817" s="7" t="s">
        <v>12390</v>
      </c>
      <c r="G5817" s="8" t="s">
        <v>15</v>
      </c>
    </row>
    <row r="5818" spans="1:7" hidden="1" x14ac:dyDescent="0.25">
      <c r="A5818" s="21">
        <v>5817</v>
      </c>
      <c r="B5818" s="7" t="s">
        <v>12391</v>
      </c>
      <c r="C5818" s="7" t="s">
        <v>12392</v>
      </c>
      <c r="G5818" s="8" t="s">
        <v>15</v>
      </c>
    </row>
    <row r="5819" spans="1:7" hidden="1" x14ac:dyDescent="0.25">
      <c r="A5819" s="21">
        <v>5818</v>
      </c>
      <c r="B5819" s="7" t="s">
        <v>12393</v>
      </c>
      <c r="C5819" s="7" t="s">
        <v>12394</v>
      </c>
      <c r="G5819" s="8" t="s">
        <v>15</v>
      </c>
    </row>
    <row r="5820" spans="1:7" hidden="1" x14ac:dyDescent="0.25">
      <c r="A5820" s="21">
        <v>5819</v>
      </c>
      <c r="B5820" s="7" t="s">
        <v>12395</v>
      </c>
      <c r="C5820" s="7" t="s">
        <v>12396</v>
      </c>
      <c r="G5820" s="8" t="s">
        <v>15</v>
      </c>
    </row>
    <row r="5821" spans="1:7" hidden="1" x14ac:dyDescent="0.25">
      <c r="A5821" s="21">
        <v>5820</v>
      </c>
      <c r="B5821" s="7" t="s">
        <v>12397</v>
      </c>
      <c r="C5821" s="7" t="s">
        <v>12398</v>
      </c>
      <c r="G5821" s="8" t="s">
        <v>15</v>
      </c>
    </row>
    <row r="5822" spans="1:7" hidden="1" x14ac:dyDescent="0.25">
      <c r="A5822" s="21">
        <v>5821</v>
      </c>
      <c r="B5822" s="7" t="s">
        <v>12399</v>
      </c>
      <c r="C5822" s="7" t="s">
        <v>12400</v>
      </c>
      <c r="G5822" s="8" t="s">
        <v>15</v>
      </c>
    </row>
    <row r="5823" spans="1:7" hidden="1" x14ac:dyDescent="0.25">
      <c r="A5823" s="21">
        <v>5822</v>
      </c>
      <c r="B5823" s="7" t="s">
        <v>12401</v>
      </c>
      <c r="C5823" s="7" t="s">
        <v>12402</v>
      </c>
      <c r="G5823" s="8" t="s">
        <v>15</v>
      </c>
    </row>
    <row r="5824" spans="1:7" hidden="1" x14ac:dyDescent="0.25">
      <c r="A5824" s="21">
        <v>5823</v>
      </c>
      <c r="B5824" s="7" t="s">
        <v>12403</v>
      </c>
      <c r="C5824" s="7" t="s">
        <v>12404</v>
      </c>
      <c r="G5824" s="8" t="s">
        <v>15</v>
      </c>
    </row>
    <row r="5825" spans="1:7" hidden="1" x14ac:dyDescent="0.25">
      <c r="A5825" s="21">
        <v>5824</v>
      </c>
      <c r="B5825" s="7" t="s">
        <v>12405</v>
      </c>
      <c r="C5825" s="7" t="s">
        <v>12406</v>
      </c>
      <c r="G5825" s="8" t="s">
        <v>15</v>
      </c>
    </row>
    <row r="5826" spans="1:7" hidden="1" x14ac:dyDescent="0.25">
      <c r="A5826" s="21">
        <v>5825</v>
      </c>
      <c r="B5826" s="7" t="s">
        <v>12407</v>
      </c>
      <c r="C5826" s="7" t="s">
        <v>12408</v>
      </c>
      <c r="G5826" s="8" t="s">
        <v>15</v>
      </c>
    </row>
    <row r="5827" spans="1:7" hidden="1" x14ac:dyDescent="0.25">
      <c r="A5827" s="21">
        <v>5826</v>
      </c>
      <c r="B5827" s="7" t="s">
        <v>12409</v>
      </c>
      <c r="C5827" s="7" t="s">
        <v>12410</v>
      </c>
      <c r="G5827" s="8" t="s">
        <v>15</v>
      </c>
    </row>
    <row r="5828" spans="1:7" hidden="1" x14ac:dyDescent="0.25">
      <c r="A5828" s="21">
        <v>5827</v>
      </c>
      <c r="B5828" s="7" t="s">
        <v>12411</v>
      </c>
      <c r="C5828" s="7" t="s">
        <v>12412</v>
      </c>
      <c r="G5828" s="8" t="s">
        <v>15</v>
      </c>
    </row>
    <row r="5829" spans="1:7" hidden="1" x14ac:dyDescent="0.25">
      <c r="A5829" s="21">
        <v>5828</v>
      </c>
      <c r="B5829" s="7" t="s">
        <v>12413</v>
      </c>
      <c r="C5829" s="7" t="s">
        <v>12414</v>
      </c>
      <c r="G5829" s="8" t="s">
        <v>15</v>
      </c>
    </row>
    <row r="5830" spans="1:7" hidden="1" x14ac:dyDescent="0.25">
      <c r="A5830" s="21">
        <v>5829</v>
      </c>
      <c r="B5830" s="7" t="s">
        <v>12415</v>
      </c>
      <c r="C5830" s="7" t="s">
        <v>12416</v>
      </c>
      <c r="G5830" s="8" t="s">
        <v>15</v>
      </c>
    </row>
    <row r="5831" spans="1:7" hidden="1" x14ac:dyDescent="0.25">
      <c r="A5831" s="21">
        <v>5830</v>
      </c>
      <c r="B5831" s="7" t="s">
        <v>12417</v>
      </c>
      <c r="C5831" s="7" t="s">
        <v>12418</v>
      </c>
      <c r="G5831" s="8" t="s">
        <v>15</v>
      </c>
    </row>
    <row r="5832" spans="1:7" hidden="1" x14ac:dyDescent="0.25">
      <c r="A5832" s="21">
        <v>5831</v>
      </c>
      <c r="B5832" s="7" t="s">
        <v>12419</v>
      </c>
      <c r="C5832" s="7" t="s">
        <v>12420</v>
      </c>
      <c r="G5832" s="8" t="s">
        <v>15</v>
      </c>
    </row>
    <row r="5833" spans="1:7" hidden="1" x14ac:dyDescent="0.25">
      <c r="A5833" s="21">
        <v>5832</v>
      </c>
      <c r="B5833" s="7" t="s">
        <v>12421</v>
      </c>
      <c r="C5833" s="7" t="s">
        <v>12422</v>
      </c>
      <c r="G5833" s="8" t="s">
        <v>15</v>
      </c>
    </row>
    <row r="5834" spans="1:7" hidden="1" x14ac:dyDescent="0.25">
      <c r="A5834" s="21">
        <v>5833</v>
      </c>
      <c r="B5834" s="7" t="s">
        <v>12423</v>
      </c>
      <c r="C5834" s="7" t="s">
        <v>12424</v>
      </c>
      <c r="G5834" s="8" t="s">
        <v>15</v>
      </c>
    </row>
    <row r="5835" spans="1:7" hidden="1" x14ac:dyDescent="0.25">
      <c r="A5835" s="21">
        <v>5834</v>
      </c>
      <c r="B5835" s="7" t="s">
        <v>12425</v>
      </c>
      <c r="C5835" s="7" t="s">
        <v>12426</v>
      </c>
      <c r="G5835" s="8" t="s">
        <v>15</v>
      </c>
    </row>
    <row r="5836" spans="1:7" hidden="1" x14ac:dyDescent="0.25">
      <c r="A5836" s="21">
        <v>5835</v>
      </c>
      <c r="B5836" s="7" t="s">
        <v>12427</v>
      </c>
      <c r="C5836" s="7" t="s">
        <v>12428</v>
      </c>
      <c r="G5836" s="8" t="s">
        <v>15</v>
      </c>
    </row>
    <row r="5837" spans="1:7" hidden="1" x14ac:dyDescent="0.25">
      <c r="A5837" s="21">
        <v>5836</v>
      </c>
      <c r="B5837" s="7" t="s">
        <v>12429</v>
      </c>
      <c r="C5837" s="7" t="s">
        <v>12430</v>
      </c>
      <c r="G5837" s="8" t="s">
        <v>15</v>
      </c>
    </row>
    <row r="5838" spans="1:7" hidden="1" x14ac:dyDescent="0.25">
      <c r="A5838" s="21">
        <v>5837</v>
      </c>
      <c r="B5838" s="7" t="s">
        <v>12431</v>
      </c>
      <c r="C5838" s="7" t="s">
        <v>12432</v>
      </c>
      <c r="G5838" s="8" t="s">
        <v>15</v>
      </c>
    </row>
    <row r="5839" spans="1:7" hidden="1" x14ac:dyDescent="0.25">
      <c r="A5839" s="21">
        <v>5838</v>
      </c>
      <c r="B5839" s="7" t="s">
        <v>12433</v>
      </c>
      <c r="C5839" s="7" t="s">
        <v>12434</v>
      </c>
      <c r="G5839" s="8" t="s">
        <v>15</v>
      </c>
    </row>
    <row r="5840" spans="1:7" hidden="1" x14ac:dyDescent="0.25">
      <c r="A5840" s="21">
        <v>5839</v>
      </c>
      <c r="B5840" s="7" t="s">
        <v>12435</v>
      </c>
      <c r="C5840" s="7" t="s">
        <v>12436</v>
      </c>
      <c r="G5840" s="8" t="s">
        <v>15</v>
      </c>
    </row>
    <row r="5841" spans="1:7" hidden="1" x14ac:dyDescent="0.25">
      <c r="A5841" s="21">
        <v>5840</v>
      </c>
      <c r="B5841" s="7" t="s">
        <v>12437</v>
      </c>
      <c r="C5841" s="7" t="s">
        <v>12438</v>
      </c>
      <c r="G5841" s="8" t="s">
        <v>15</v>
      </c>
    </row>
    <row r="5842" spans="1:7" hidden="1" x14ac:dyDescent="0.25">
      <c r="A5842" s="21">
        <v>5841</v>
      </c>
      <c r="B5842" s="7" t="s">
        <v>12439</v>
      </c>
      <c r="C5842" s="7" t="s">
        <v>12440</v>
      </c>
      <c r="G5842" s="8" t="s">
        <v>15</v>
      </c>
    </row>
    <row r="5843" spans="1:7" hidden="1" x14ac:dyDescent="0.25">
      <c r="A5843" s="21">
        <v>5842</v>
      </c>
      <c r="B5843" s="7" t="s">
        <v>12441</v>
      </c>
      <c r="C5843" s="7" t="s">
        <v>12442</v>
      </c>
      <c r="G5843" s="8" t="s">
        <v>15</v>
      </c>
    </row>
    <row r="5844" spans="1:7" hidden="1" x14ac:dyDescent="0.25">
      <c r="A5844" s="21">
        <v>5843</v>
      </c>
      <c r="B5844" s="7" t="s">
        <v>12443</v>
      </c>
      <c r="C5844" s="7" t="s">
        <v>12444</v>
      </c>
      <c r="G5844" s="8" t="s">
        <v>15</v>
      </c>
    </row>
    <row r="5845" spans="1:7" hidden="1" x14ac:dyDescent="0.25">
      <c r="A5845" s="21">
        <v>5844</v>
      </c>
      <c r="B5845" s="7" t="s">
        <v>12445</v>
      </c>
      <c r="C5845" s="7" t="s">
        <v>12446</v>
      </c>
      <c r="G5845" s="8" t="s">
        <v>15</v>
      </c>
    </row>
    <row r="5846" spans="1:7" hidden="1" x14ac:dyDescent="0.25">
      <c r="A5846" s="21">
        <v>5845</v>
      </c>
      <c r="B5846" s="7" t="s">
        <v>12447</v>
      </c>
      <c r="C5846" s="7" t="s">
        <v>12448</v>
      </c>
      <c r="G5846" s="8" t="s">
        <v>15</v>
      </c>
    </row>
    <row r="5847" spans="1:7" hidden="1" x14ac:dyDescent="0.25">
      <c r="A5847" s="21">
        <v>5846</v>
      </c>
      <c r="B5847" s="7" t="s">
        <v>12449</v>
      </c>
      <c r="C5847" s="7" t="s">
        <v>12450</v>
      </c>
      <c r="G5847" s="8" t="s">
        <v>15</v>
      </c>
    </row>
    <row r="5848" spans="1:7" hidden="1" x14ac:dyDescent="0.25">
      <c r="A5848" s="21">
        <v>5847</v>
      </c>
      <c r="B5848" s="7" t="s">
        <v>12451</v>
      </c>
      <c r="C5848" s="7" t="s">
        <v>12452</v>
      </c>
      <c r="G5848" s="8" t="s">
        <v>15</v>
      </c>
    </row>
    <row r="5849" spans="1:7" hidden="1" x14ac:dyDescent="0.25">
      <c r="A5849" s="21">
        <v>5848</v>
      </c>
      <c r="B5849" s="7" t="s">
        <v>12453</v>
      </c>
      <c r="C5849" s="7" t="s">
        <v>12454</v>
      </c>
      <c r="G5849" s="8" t="s">
        <v>15</v>
      </c>
    </row>
    <row r="5850" spans="1:7" hidden="1" x14ac:dyDescent="0.25">
      <c r="A5850" s="21">
        <v>5849</v>
      </c>
      <c r="B5850" s="7" t="s">
        <v>12455</v>
      </c>
      <c r="C5850" s="7" t="s">
        <v>12456</v>
      </c>
      <c r="G5850" s="8" t="s">
        <v>15</v>
      </c>
    </row>
    <row r="5851" spans="1:7" hidden="1" x14ac:dyDescent="0.25">
      <c r="A5851" s="21">
        <v>5850</v>
      </c>
      <c r="B5851" s="7" t="s">
        <v>12457</v>
      </c>
      <c r="C5851" s="7" t="s">
        <v>12458</v>
      </c>
      <c r="G5851" s="8" t="s">
        <v>15</v>
      </c>
    </row>
    <row r="5852" spans="1:7" hidden="1" x14ac:dyDescent="0.25">
      <c r="A5852" s="21">
        <v>5851</v>
      </c>
      <c r="B5852" s="7" t="s">
        <v>12459</v>
      </c>
      <c r="C5852" s="7" t="s">
        <v>12460</v>
      </c>
      <c r="G5852" s="8" t="s">
        <v>15</v>
      </c>
    </row>
    <row r="5853" spans="1:7" hidden="1" x14ac:dyDescent="0.25">
      <c r="A5853" s="21">
        <v>5852</v>
      </c>
      <c r="B5853" s="7" t="s">
        <v>12461</v>
      </c>
      <c r="C5853" s="7" t="s">
        <v>12462</v>
      </c>
      <c r="G5853" s="8" t="s">
        <v>15</v>
      </c>
    </row>
    <row r="5854" spans="1:7" hidden="1" x14ac:dyDescent="0.25">
      <c r="A5854" s="21">
        <v>5853</v>
      </c>
      <c r="B5854" s="7" t="s">
        <v>12463</v>
      </c>
      <c r="C5854" s="7" t="s">
        <v>12464</v>
      </c>
      <c r="G5854" s="8" t="s">
        <v>15</v>
      </c>
    </row>
    <row r="5855" spans="1:7" hidden="1" x14ac:dyDescent="0.25">
      <c r="A5855" s="21">
        <v>5854</v>
      </c>
      <c r="B5855" s="7" t="s">
        <v>12465</v>
      </c>
      <c r="C5855" s="7" t="s">
        <v>12466</v>
      </c>
      <c r="G5855" s="8" t="s">
        <v>15</v>
      </c>
    </row>
    <row r="5856" spans="1:7" hidden="1" x14ac:dyDescent="0.25">
      <c r="A5856" s="21">
        <v>5855</v>
      </c>
      <c r="B5856" s="7" t="s">
        <v>12467</v>
      </c>
      <c r="C5856" s="7" t="s">
        <v>12468</v>
      </c>
      <c r="G5856" s="8" t="s">
        <v>15</v>
      </c>
    </row>
    <row r="5857" spans="1:7" hidden="1" x14ac:dyDescent="0.25">
      <c r="A5857" s="21">
        <v>5856</v>
      </c>
      <c r="B5857" s="7" t="s">
        <v>12469</v>
      </c>
      <c r="C5857" s="7" t="s">
        <v>12470</v>
      </c>
      <c r="G5857" s="8" t="s">
        <v>15</v>
      </c>
    </row>
    <row r="5858" spans="1:7" hidden="1" x14ac:dyDescent="0.25">
      <c r="A5858" s="21">
        <v>5857</v>
      </c>
      <c r="B5858" s="7" t="s">
        <v>12471</v>
      </c>
      <c r="C5858" s="7" t="s">
        <v>12472</v>
      </c>
      <c r="G5858" s="8" t="s">
        <v>15</v>
      </c>
    </row>
    <row r="5859" spans="1:7" hidden="1" x14ac:dyDescent="0.25">
      <c r="A5859" s="21">
        <v>5858</v>
      </c>
      <c r="B5859" s="7" t="s">
        <v>12473</v>
      </c>
      <c r="C5859" s="7" t="s">
        <v>12474</v>
      </c>
      <c r="G5859" s="8" t="s">
        <v>15</v>
      </c>
    </row>
    <row r="5860" spans="1:7" hidden="1" x14ac:dyDescent="0.25">
      <c r="A5860" s="21">
        <v>5859</v>
      </c>
      <c r="B5860" s="7" t="s">
        <v>12475</v>
      </c>
      <c r="C5860" s="7" t="s">
        <v>12476</v>
      </c>
      <c r="G5860" s="8" t="s">
        <v>15</v>
      </c>
    </row>
    <row r="5861" spans="1:7" hidden="1" x14ac:dyDescent="0.25">
      <c r="A5861" s="21">
        <v>5860</v>
      </c>
      <c r="B5861" s="7" t="s">
        <v>12477</v>
      </c>
      <c r="C5861" s="7" t="s">
        <v>12478</v>
      </c>
      <c r="G5861" s="8" t="s">
        <v>15</v>
      </c>
    </row>
    <row r="5862" spans="1:7" hidden="1" x14ac:dyDescent="0.25">
      <c r="A5862" s="21">
        <v>5861</v>
      </c>
      <c r="B5862" s="7" t="s">
        <v>12479</v>
      </c>
      <c r="C5862" s="7" t="s">
        <v>12480</v>
      </c>
      <c r="G5862" s="8" t="s">
        <v>15</v>
      </c>
    </row>
    <row r="5863" spans="1:7" hidden="1" x14ac:dyDescent="0.25">
      <c r="A5863" s="21">
        <v>5862</v>
      </c>
      <c r="B5863" s="7" t="s">
        <v>12481</v>
      </c>
      <c r="C5863" s="7" t="s">
        <v>12482</v>
      </c>
      <c r="G5863" s="8" t="s">
        <v>15</v>
      </c>
    </row>
    <row r="5864" spans="1:7" hidden="1" x14ac:dyDescent="0.25">
      <c r="A5864" s="21">
        <v>5863</v>
      </c>
      <c r="B5864" s="7" t="s">
        <v>12483</v>
      </c>
      <c r="C5864" s="7" t="s">
        <v>12484</v>
      </c>
      <c r="G5864" s="8" t="s">
        <v>15</v>
      </c>
    </row>
    <row r="5865" spans="1:7" hidden="1" x14ac:dyDescent="0.25">
      <c r="A5865" s="21">
        <v>5864</v>
      </c>
      <c r="B5865" s="7" t="s">
        <v>12485</v>
      </c>
      <c r="C5865" s="7" t="s">
        <v>12486</v>
      </c>
      <c r="G5865" s="8" t="s">
        <v>15</v>
      </c>
    </row>
    <row r="5866" spans="1:7" hidden="1" x14ac:dyDescent="0.25">
      <c r="A5866" s="21">
        <v>5865</v>
      </c>
      <c r="B5866" s="7" t="s">
        <v>12487</v>
      </c>
      <c r="C5866" s="7" t="s">
        <v>12488</v>
      </c>
      <c r="G5866" s="8" t="s">
        <v>15</v>
      </c>
    </row>
    <row r="5867" spans="1:7" hidden="1" x14ac:dyDescent="0.25">
      <c r="A5867" s="21">
        <v>5866</v>
      </c>
      <c r="B5867" s="7" t="s">
        <v>12489</v>
      </c>
      <c r="C5867" s="7" t="s">
        <v>12490</v>
      </c>
      <c r="G5867" s="8" t="s">
        <v>15</v>
      </c>
    </row>
    <row r="5868" spans="1:7" hidden="1" x14ac:dyDescent="0.25">
      <c r="A5868" s="21">
        <v>5867</v>
      </c>
      <c r="B5868" s="7" t="s">
        <v>12491</v>
      </c>
      <c r="C5868" s="7" t="s">
        <v>12492</v>
      </c>
      <c r="G5868" s="8" t="s">
        <v>15</v>
      </c>
    </row>
    <row r="5869" spans="1:7" hidden="1" x14ac:dyDescent="0.25">
      <c r="A5869" s="21">
        <v>5868</v>
      </c>
      <c r="B5869" s="7" t="s">
        <v>12493</v>
      </c>
      <c r="C5869" s="7" t="s">
        <v>12494</v>
      </c>
      <c r="G5869" s="8" t="s">
        <v>15</v>
      </c>
    </row>
    <row r="5870" spans="1:7" hidden="1" x14ac:dyDescent="0.25">
      <c r="A5870" s="21">
        <v>5869</v>
      </c>
      <c r="B5870" s="7" t="s">
        <v>12495</v>
      </c>
      <c r="C5870" s="7" t="s">
        <v>12496</v>
      </c>
      <c r="G5870" s="8" t="s">
        <v>15</v>
      </c>
    </row>
    <row r="5871" spans="1:7" hidden="1" x14ac:dyDescent="0.25">
      <c r="A5871" s="21">
        <v>5870</v>
      </c>
      <c r="B5871" s="7" t="s">
        <v>12497</v>
      </c>
      <c r="C5871" s="7" t="s">
        <v>12498</v>
      </c>
      <c r="G5871" s="8" t="s">
        <v>15</v>
      </c>
    </row>
    <row r="5872" spans="1:7" hidden="1" x14ac:dyDescent="0.25">
      <c r="A5872" s="21">
        <v>5871</v>
      </c>
      <c r="B5872" s="7" t="s">
        <v>12499</v>
      </c>
      <c r="C5872" s="7" t="s">
        <v>12500</v>
      </c>
      <c r="G5872" s="8" t="s">
        <v>15</v>
      </c>
    </row>
    <row r="5873" spans="1:7" hidden="1" x14ac:dyDescent="0.25">
      <c r="A5873" s="21">
        <v>5872</v>
      </c>
      <c r="B5873" s="7" t="s">
        <v>12501</v>
      </c>
      <c r="C5873" s="7" t="s">
        <v>12502</v>
      </c>
      <c r="G5873" s="8" t="s">
        <v>15</v>
      </c>
    </row>
    <row r="5874" spans="1:7" hidden="1" x14ac:dyDescent="0.25">
      <c r="A5874" s="21">
        <v>5873</v>
      </c>
      <c r="B5874" s="7" t="s">
        <v>12503</v>
      </c>
      <c r="C5874" s="7" t="s">
        <v>12504</v>
      </c>
      <c r="G5874" s="8" t="s">
        <v>15</v>
      </c>
    </row>
    <row r="5875" spans="1:7" hidden="1" x14ac:dyDescent="0.25">
      <c r="A5875" s="21">
        <v>5874</v>
      </c>
      <c r="B5875" s="7" t="s">
        <v>12505</v>
      </c>
      <c r="C5875" s="7" t="s">
        <v>12506</v>
      </c>
      <c r="G5875" s="8" t="s">
        <v>15</v>
      </c>
    </row>
    <row r="5876" spans="1:7" hidden="1" x14ac:dyDescent="0.25">
      <c r="A5876" s="21">
        <v>5875</v>
      </c>
      <c r="B5876" s="7" t="s">
        <v>12507</v>
      </c>
      <c r="C5876" s="7" t="s">
        <v>12508</v>
      </c>
      <c r="G5876" s="8" t="s">
        <v>15</v>
      </c>
    </row>
    <row r="5877" spans="1:7" hidden="1" x14ac:dyDescent="0.25">
      <c r="A5877" s="21">
        <v>5876</v>
      </c>
      <c r="B5877" s="7" t="s">
        <v>12509</v>
      </c>
      <c r="C5877" s="7" t="s">
        <v>12510</v>
      </c>
      <c r="G5877" s="8" t="s">
        <v>15</v>
      </c>
    </row>
    <row r="5878" spans="1:7" hidden="1" x14ac:dyDescent="0.25">
      <c r="A5878" s="21">
        <v>5877</v>
      </c>
      <c r="B5878" s="7" t="s">
        <v>12511</v>
      </c>
      <c r="C5878" s="7" t="s">
        <v>12512</v>
      </c>
      <c r="G5878" s="8" t="s">
        <v>15</v>
      </c>
    </row>
    <row r="5879" spans="1:7" hidden="1" x14ac:dyDescent="0.25">
      <c r="A5879" s="21">
        <v>5878</v>
      </c>
      <c r="B5879" s="7" t="s">
        <v>12513</v>
      </c>
      <c r="C5879" s="7" t="s">
        <v>12514</v>
      </c>
      <c r="G5879" s="8" t="s">
        <v>15</v>
      </c>
    </row>
    <row r="5880" spans="1:7" hidden="1" x14ac:dyDescent="0.25">
      <c r="A5880" s="21">
        <v>5879</v>
      </c>
      <c r="B5880" s="7" t="s">
        <v>12515</v>
      </c>
      <c r="C5880" s="7" t="s">
        <v>12516</v>
      </c>
      <c r="G5880" s="8" t="s">
        <v>15</v>
      </c>
    </row>
    <row r="5881" spans="1:7" hidden="1" x14ac:dyDescent="0.25">
      <c r="A5881" s="21">
        <v>5880</v>
      </c>
      <c r="B5881" s="7" t="s">
        <v>12517</v>
      </c>
      <c r="C5881" s="7" t="s">
        <v>12518</v>
      </c>
      <c r="G5881" s="8" t="s">
        <v>15</v>
      </c>
    </row>
    <row r="5882" spans="1:7" hidden="1" x14ac:dyDescent="0.25">
      <c r="A5882" s="21">
        <v>5881</v>
      </c>
      <c r="B5882" s="7" t="s">
        <v>12519</v>
      </c>
      <c r="C5882" s="7" t="s">
        <v>12520</v>
      </c>
      <c r="G5882" s="8" t="s">
        <v>15</v>
      </c>
    </row>
    <row r="5883" spans="1:7" hidden="1" x14ac:dyDescent="0.25">
      <c r="A5883" s="21">
        <v>5882</v>
      </c>
      <c r="B5883" s="7" t="s">
        <v>12521</v>
      </c>
      <c r="C5883" s="7" t="s">
        <v>12522</v>
      </c>
      <c r="G5883" s="8" t="s">
        <v>15</v>
      </c>
    </row>
    <row r="5884" spans="1:7" hidden="1" x14ac:dyDescent="0.25">
      <c r="A5884" s="21">
        <v>5883</v>
      </c>
      <c r="B5884" s="7" t="s">
        <v>12523</v>
      </c>
      <c r="C5884" s="7" t="s">
        <v>12524</v>
      </c>
      <c r="G5884" s="8" t="s">
        <v>15</v>
      </c>
    </row>
    <row r="5885" spans="1:7" hidden="1" x14ac:dyDescent="0.25">
      <c r="A5885" s="21">
        <v>5884</v>
      </c>
      <c r="B5885" s="7" t="s">
        <v>12525</v>
      </c>
      <c r="C5885" s="7" t="s">
        <v>12526</v>
      </c>
      <c r="G5885" s="8" t="s">
        <v>15</v>
      </c>
    </row>
    <row r="5886" spans="1:7" hidden="1" x14ac:dyDescent="0.25">
      <c r="A5886" s="21">
        <v>5885</v>
      </c>
      <c r="B5886" s="7" t="s">
        <v>12527</v>
      </c>
      <c r="C5886" s="7" t="s">
        <v>12528</v>
      </c>
      <c r="G5886" s="8" t="s">
        <v>15</v>
      </c>
    </row>
    <row r="5887" spans="1:7" hidden="1" x14ac:dyDescent="0.25">
      <c r="A5887" s="21">
        <v>5886</v>
      </c>
      <c r="B5887" s="7" t="s">
        <v>12529</v>
      </c>
      <c r="C5887" s="7" t="s">
        <v>12530</v>
      </c>
      <c r="G5887" s="8" t="s">
        <v>15</v>
      </c>
    </row>
    <row r="5888" spans="1:7" hidden="1" x14ac:dyDescent="0.25">
      <c r="A5888" s="21">
        <v>5887</v>
      </c>
      <c r="B5888" s="7" t="s">
        <v>12531</v>
      </c>
      <c r="C5888" s="7" t="s">
        <v>12532</v>
      </c>
      <c r="G5888" s="8" t="s">
        <v>15</v>
      </c>
    </row>
    <row r="5889" spans="1:7" hidden="1" x14ac:dyDescent="0.25">
      <c r="A5889" s="21">
        <v>5888</v>
      </c>
      <c r="B5889" s="7" t="s">
        <v>12533</v>
      </c>
      <c r="C5889" s="7" t="s">
        <v>12534</v>
      </c>
      <c r="G5889" s="8" t="s">
        <v>15</v>
      </c>
    </row>
    <row r="5890" spans="1:7" hidden="1" x14ac:dyDescent="0.25">
      <c r="A5890" s="21">
        <v>5889</v>
      </c>
      <c r="B5890" s="7" t="s">
        <v>12535</v>
      </c>
      <c r="C5890" s="7" t="s">
        <v>12536</v>
      </c>
      <c r="G5890" s="8" t="s">
        <v>15</v>
      </c>
    </row>
    <row r="5891" spans="1:7" hidden="1" x14ac:dyDescent="0.25">
      <c r="A5891" s="21">
        <v>5890</v>
      </c>
      <c r="B5891" s="7" t="s">
        <v>12537</v>
      </c>
      <c r="C5891" s="7" t="s">
        <v>12538</v>
      </c>
      <c r="G5891" s="8" t="s">
        <v>15</v>
      </c>
    </row>
    <row r="5892" spans="1:7" hidden="1" x14ac:dyDescent="0.25">
      <c r="A5892" s="21">
        <v>5891</v>
      </c>
      <c r="B5892" s="7" t="s">
        <v>12539</v>
      </c>
      <c r="C5892" s="7" t="s">
        <v>12540</v>
      </c>
      <c r="G5892" s="8" t="s">
        <v>15</v>
      </c>
    </row>
    <row r="5893" spans="1:7" hidden="1" x14ac:dyDescent="0.25">
      <c r="A5893" s="21">
        <v>5892</v>
      </c>
      <c r="B5893" s="7" t="s">
        <v>12541</v>
      </c>
      <c r="C5893" s="7" t="s">
        <v>12542</v>
      </c>
      <c r="G5893" s="8" t="s">
        <v>15</v>
      </c>
    </row>
    <row r="5894" spans="1:7" hidden="1" x14ac:dyDescent="0.25">
      <c r="A5894" s="21">
        <v>5893</v>
      </c>
      <c r="B5894" s="7" t="s">
        <v>12543</v>
      </c>
      <c r="C5894" s="7" t="s">
        <v>12544</v>
      </c>
      <c r="G5894" s="8" t="s">
        <v>15</v>
      </c>
    </row>
    <row r="5895" spans="1:7" hidden="1" x14ac:dyDescent="0.25">
      <c r="A5895" s="21">
        <v>5894</v>
      </c>
      <c r="B5895" s="7" t="s">
        <v>12545</v>
      </c>
      <c r="C5895" s="7" t="s">
        <v>12546</v>
      </c>
      <c r="G5895" s="8" t="s">
        <v>15</v>
      </c>
    </row>
    <row r="5896" spans="1:7" hidden="1" x14ac:dyDescent="0.25">
      <c r="A5896" s="21">
        <v>5895</v>
      </c>
      <c r="B5896" s="7" t="s">
        <v>12547</v>
      </c>
      <c r="C5896" s="7" t="s">
        <v>12548</v>
      </c>
      <c r="G5896" s="8" t="s">
        <v>15</v>
      </c>
    </row>
    <row r="5897" spans="1:7" hidden="1" x14ac:dyDescent="0.25">
      <c r="A5897" s="21">
        <v>5896</v>
      </c>
      <c r="B5897" s="7" t="s">
        <v>12549</v>
      </c>
      <c r="C5897" s="7" t="s">
        <v>12550</v>
      </c>
      <c r="G5897" s="8" t="s">
        <v>15</v>
      </c>
    </row>
    <row r="5898" spans="1:7" hidden="1" x14ac:dyDescent="0.25">
      <c r="A5898" s="21">
        <v>5897</v>
      </c>
      <c r="B5898" s="7" t="s">
        <v>12551</v>
      </c>
      <c r="C5898" s="7" t="s">
        <v>12552</v>
      </c>
      <c r="G5898" s="8" t="s">
        <v>15</v>
      </c>
    </row>
    <row r="5899" spans="1:7" hidden="1" x14ac:dyDescent="0.25">
      <c r="A5899" s="21">
        <v>5898</v>
      </c>
      <c r="B5899" s="7" t="s">
        <v>12553</v>
      </c>
      <c r="C5899" s="7" t="s">
        <v>12554</v>
      </c>
      <c r="G5899" s="8" t="s">
        <v>15</v>
      </c>
    </row>
    <row r="5900" spans="1:7" hidden="1" x14ac:dyDescent="0.25">
      <c r="A5900" s="21">
        <v>5899</v>
      </c>
      <c r="B5900" s="7" t="s">
        <v>12555</v>
      </c>
      <c r="C5900" s="7" t="s">
        <v>12556</v>
      </c>
      <c r="G5900" s="8" t="s">
        <v>15</v>
      </c>
    </row>
    <row r="5901" spans="1:7" hidden="1" x14ac:dyDescent="0.25">
      <c r="A5901" s="21">
        <v>5900</v>
      </c>
      <c r="B5901" s="7" t="s">
        <v>12557</v>
      </c>
      <c r="C5901" s="7" t="s">
        <v>12558</v>
      </c>
      <c r="G5901" s="8" t="s">
        <v>15</v>
      </c>
    </row>
    <row r="5902" spans="1:7" hidden="1" x14ac:dyDescent="0.25">
      <c r="A5902" s="21">
        <v>5901</v>
      </c>
      <c r="B5902" s="7" t="s">
        <v>12559</v>
      </c>
      <c r="C5902" s="7" t="s">
        <v>12560</v>
      </c>
      <c r="G5902" s="8" t="s">
        <v>15</v>
      </c>
    </row>
    <row r="5903" spans="1:7" hidden="1" x14ac:dyDescent="0.25">
      <c r="A5903" s="21">
        <v>5902</v>
      </c>
      <c r="B5903" s="7" t="s">
        <v>12561</v>
      </c>
      <c r="C5903" s="7" t="s">
        <v>12562</v>
      </c>
      <c r="G5903" s="8" t="s">
        <v>15</v>
      </c>
    </row>
    <row r="5904" spans="1:7" hidden="1" x14ac:dyDescent="0.25">
      <c r="A5904" s="21">
        <v>5903</v>
      </c>
      <c r="B5904" s="7" t="s">
        <v>12563</v>
      </c>
      <c r="C5904" s="7" t="s">
        <v>12564</v>
      </c>
      <c r="G5904" s="8" t="s">
        <v>15</v>
      </c>
    </row>
    <row r="5905" spans="1:7" hidden="1" x14ac:dyDescent="0.25">
      <c r="A5905" s="21">
        <v>5904</v>
      </c>
      <c r="B5905" s="7" t="s">
        <v>12565</v>
      </c>
      <c r="C5905" s="7" t="s">
        <v>12566</v>
      </c>
      <c r="G5905" s="8" t="s">
        <v>15</v>
      </c>
    </row>
    <row r="5906" spans="1:7" hidden="1" x14ac:dyDescent="0.25">
      <c r="A5906" s="21">
        <v>5905</v>
      </c>
      <c r="B5906" s="7" t="s">
        <v>12567</v>
      </c>
      <c r="C5906" s="7" t="s">
        <v>12568</v>
      </c>
      <c r="G5906" s="8" t="s">
        <v>15</v>
      </c>
    </row>
    <row r="5907" spans="1:7" hidden="1" x14ac:dyDescent="0.25">
      <c r="A5907" s="21">
        <v>5906</v>
      </c>
      <c r="B5907" s="7" t="s">
        <v>12569</v>
      </c>
      <c r="C5907" s="7" t="s">
        <v>12570</v>
      </c>
      <c r="G5907" s="8" t="s">
        <v>15</v>
      </c>
    </row>
    <row r="5908" spans="1:7" hidden="1" x14ac:dyDescent="0.25">
      <c r="A5908" s="21">
        <v>5907</v>
      </c>
      <c r="B5908" s="7" t="s">
        <v>12571</v>
      </c>
      <c r="C5908" s="7" t="s">
        <v>12572</v>
      </c>
      <c r="G5908" s="8" t="s">
        <v>15</v>
      </c>
    </row>
    <row r="5909" spans="1:7" hidden="1" x14ac:dyDescent="0.25">
      <c r="A5909" s="21">
        <v>5908</v>
      </c>
      <c r="B5909" s="7" t="s">
        <v>12573</v>
      </c>
      <c r="C5909" s="7" t="s">
        <v>12574</v>
      </c>
      <c r="G5909" s="8" t="s">
        <v>15</v>
      </c>
    </row>
    <row r="5910" spans="1:7" hidden="1" x14ac:dyDescent="0.25">
      <c r="A5910" s="21">
        <v>5909</v>
      </c>
      <c r="B5910" s="7" t="s">
        <v>12575</v>
      </c>
      <c r="C5910" s="7" t="s">
        <v>12576</v>
      </c>
      <c r="G5910" s="8" t="s">
        <v>15</v>
      </c>
    </row>
    <row r="5911" spans="1:7" hidden="1" x14ac:dyDescent="0.25">
      <c r="A5911" s="21">
        <v>5910</v>
      </c>
      <c r="B5911" s="7" t="s">
        <v>12577</v>
      </c>
      <c r="C5911" s="7" t="s">
        <v>12578</v>
      </c>
      <c r="G5911" s="8" t="s">
        <v>15</v>
      </c>
    </row>
    <row r="5912" spans="1:7" hidden="1" x14ac:dyDescent="0.25">
      <c r="A5912" s="21">
        <v>5911</v>
      </c>
      <c r="B5912" s="7" t="s">
        <v>12579</v>
      </c>
      <c r="C5912" s="7" t="s">
        <v>12580</v>
      </c>
      <c r="G5912" s="8" t="s">
        <v>15</v>
      </c>
    </row>
    <row r="5913" spans="1:7" hidden="1" x14ac:dyDescent="0.25">
      <c r="A5913" s="21">
        <v>5912</v>
      </c>
      <c r="B5913" s="7" t="s">
        <v>12581</v>
      </c>
      <c r="C5913" s="7" t="s">
        <v>12582</v>
      </c>
      <c r="G5913" s="8" t="s">
        <v>15</v>
      </c>
    </row>
    <row r="5914" spans="1:7" hidden="1" x14ac:dyDescent="0.25">
      <c r="A5914" s="21">
        <v>5913</v>
      </c>
      <c r="B5914" s="7" t="s">
        <v>12583</v>
      </c>
      <c r="C5914" s="7" t="s">
        <v>12584</v>
      </c>
      <c r="G5914" s="8" t="s">
        <v>15</v>
      </c>
    </row>
    <row r="5915" spans="1:7" hidden="1" x14ac:dyDescent="0.25">
      <c r="A5915" s="21">
        <v>5914</v>
      </c>
      <c r="B5915" s="7" t="s">
        <v>12585</v>
      </c>
      <c r="C5915" s="7" t="s">
        <v>12586</v>
      </c>
      <c r="G5915" s="8" t="s">
        <v>15</v>
      </c>
    </row>
    <row r="5916" spans="1:7" hidden="1" x14ac:dyDescent="0.25">
      <c r="A5916" s="21">
        <v>5915</v>
      </c>
      <c r="B5916" s="7" t="s">
        <v>12587</v>
      </c>
      <c r="C5916" s="7" t="s">
        <v>12588</v>
      </c>
      <c r="G5916" s="8" t="s">
        <v>15</v>
      </c>
    </row>
    <row r="5917" spans="1:7" hidden="1" x14ac:dyDescent="0.25">
      <c r="A5917" s="21">
        <v>5916</v>
      </c>
      <c r="B5917" s="7" t="s">
        <v>12589</v>
      </c>
      <c r="C5917" s="7" t="s">
        <v>12590</v>
      </c>
      <c r="G5917" s="8" t="s">
        <v>15</v>
      </c>
    </row>
    <row r="5918" spans="1:7" hidden="1" x14ac:dyDescent="0.25">
      <c r="A5918" s="21">
        <v>5917</v>
      </c>
      <c r="B5918" s="7" t="s">
        <v>12591</v>
      </c>
      <c r="C5918" s="7" t="s">
        <v>12592</v>
      </c>
      <c r="G5918" s="8" t="s">
        <v>15</v>
      </c>
    </row>
    <row r="5919" spans="1:7" hidden="1" x14ac:dyDescent="0.25">
      <c r="A5919" s="21">
        <v>5918</v>
      </c>
      <c r="B5919" s="7" t="s">
        <v>12593</v>
      </c>
      <c r="C5919" s="7" t="s">
        <v>12594</v>
      </c>
      <c r="G5919" s="8" t="s">
        <v>15</v>
      </c>
    </row>
    <row r="5920" spans="1:7" hidden="1" x14ac:dyDescent="0.25">
      <c r="A5920" s="21">
        <v>5919</v>
      </c>
      <c r="B5920" s="7" t="s">
        <v>12595</v>
      </c>
      <c r="C5920" s="7" t="s">
        <v>12596</v>
      </c>
      <c r="G5920" s="8" t="s">
        <v>15</v>
      </c>
    </row>
    <row r="5921" spans="1:7" hidden="1" x14ac:dyDescent="0.25">
      <c r="A5921" s="21">
        <v>5920</v>
      </c>
      <c r="B5921" s="7" t="s">
        <v>12597</v>
      </c>
      <c r="C5921" s="7" t="s">
        <v>12598</v>
      </c>
      <c r="G5921" s="8" t="s">
        <v>15</v>
      </c>
    </row>
    <row r="5922" spans="1:7" hidden="1" x14ac:dyDescent="0.25">
      <c r="A5922" s="21">
        <v>5921</v>
      </c>
      <c r="B5922" s="7" t="s">
        <v>12599</v>
      </c>
      <c r="C5922" s="7" t="s">
        <v>12600</v>
      </c>
      <c r="G5922" s="8" t="s">
        <v>15</v>
      </c>
    </row>
    <row r="5923" spans="1:7" hidden="1" x14ac:dyDescent="0.25">
      <c r="A5923" s="21">
        <v>5922</v>
      </c>
      <c r="B5923" s="7" t="s">
        <v>12601</v>
      </c>
      <c r="C5923" s="7" t="s">
        <v>12602</v>
      </c>
      <c r="G5923" s="8" t="s">
        <v>15</v>
      </c>
    </row>
    <row r="5924" spans="1:7" hidden="1" x14ac:dyDescent="0.25">
      <c r="A5924" s="21">
        <v>5923</v>
      </c>
      <c r="B5924" s="7" t="s">
        <v>12603</v>
      </c>
      <c r="C5924" s="7" t="s">
        <v>12604</v>
      </c>
      <c r="G5924" s="8" t="s">
        <v>15</v>
      </c>
    </row>
    <row r="5925" spans="1:7" hidden="1" x14ac:dyDescent="0.25">
      <c r="A5925" s="21">
        <v>5924</v>
      </c>
      <c r="B5925" s="7" t="s">
        <v>12605</v>
      </c>
      <c r="C5925" s="7" t="s">
        <v>12606</v>
      </c>
      <c r="G5925" s="8" t="s">
        <v>15</v>
      </c>
    </row>
    <row r="5926" spans="1:7" hidden="1" x14ac:dyDescent="0.25">
      <c r="A5926" s="21">
        <v>5925</v>
      </c>
      <c r="B5926" s="7" t="s">
        <v>12607</v>
      </c>
      <c r="C5926" s="7" t="s">
        <v>12608</v>
      </c>
      <c r="G5926" s="8" t="s">
        <v>15</v>
      </c>
    </row>
    <row r="5927" spans="1:7" hidden="1" x14ac:dyDescent="0.25">
      <c r="A5927" s="21">
        <v>5926</v>
      </c>
      <c r="B5927" s="7" t="s">
        <v>12609</v>
      </c>
      <c r="C5927" s="7" t="s">
        <v>12610</v>
      </c>
      <c r="G5927" s="8" t="s">
        <v>15</v>
      </c>
    </row>
    <row r="5928" spans="1:7" hidden="1" x14ac:dyDescent="0.25">
      <c r="A5928" s="21">
        <v>5927</v>
      </c>
      <c r="B5928" s="7" t="s">
        <v>12611</v>
      </c>
      <c r="C5928" s="7" t="s">
        <v>12612</v>
      </c>
      <c r="G5928" s="8" t="s">
        <v>15</v>
      </c>
    </row>
    <row r="5929" spans="1:7" hidden="1" x14ac:dyDescent="0.25">
      <c r="A5929" s="21">
        <v>5928</v>
      </c>
      <c r="B5929" s="7" t="s">
        <v>12613</v>
      </c>
      <c r="C5929" s="7" t="s">
        <v>12614</v>
      </c>
      <c r="G5929" s="8" t="s">
        <v>15</v>
      </c>
    </row>
    <row r="5930" spans="1:7" hidden="1" x14ac:dyDescent="0.25">
      <c r="A5930" s="21">
        <v>5929</v>
      </c>
      <c r="B5930" s="7" t="s">
        <v>12615</v>
      </c>
      <c r="C5930" s="7" t="s">
        <v>12616</v>
      </c>
      <c r="G5930" s="8" t="s">
        <v>15</v>
      </c>
    </row>
    <row r="5931" spans="1:7" hidden="1" x14ac:dyDescent="0.25">
      <c r="A5931" s="21">
        <v>5930</v>
      </c>
      <c r="B5931" s="7" t="s">
        <v>12617</v>
      </c>
      <c r="C5931" s="7" t="s">
        <v>12618</v>
      </c>
      <c r="G5931" s="8" t="s">
        <v>15</v>
      </c>
    </row>
    <row r="5932" spans="1:7" hidden="1" x14ac:dyDescent="0.25">
      <c r="A5932" s="21">
        <v>5931</v>
      </c>
      <c r="B5932" s="7" t="s">
        <v>12619</v>
      </c>
      <c r="C5932" s="7" t="s">
        <v>12620</v>
      </c>
      <c r="G5932" s="8" t="s">
        <v>15</v>
      </c>
    </row>
    <row r="5933" spans="1:7" hidden="1" x14ac:dyDescent="0.25">
      <c r="A5933" s="21">
        <v>5932</v>
      </c>
      <c r="B5933" s="7" t="s">
        <v>12621</v>
      </c>
      <c r="C5933" s="7" t="s">
        <v>12622</v>
      </c>
      <c r="G5933" s="8" t="s">
        <v>15</v>
      </c>
    </row>
    <row r="5934" spans="1:7" hidden="1" x14ac:dyDescent="0.25">
      <c r="A5934" s="21">
        <v>5933</v>
      </c>
      <c r="B5934" s="7" t="s">
        <v>12623</v>
      </c>
      <c r="C5934" s="7" t="s">
        <v>12624</v>
      </c>
      <c r="G5934" s="8" t="s">
        <v>15</v>
      </c>
    </row>
    <row r="5935" spans="1:7" hidden="1" x14ac:dyDescent="0.25">
      <c r="A5935" s="21">
        <v>5934</v>
      </c>
      <c r="B5935" s="7" t="s">
        <v>12625</v>
      </c>
      <c r="C5935" s="7" t="s">
        <v>12626</v>
      </c>
      <c r="G5935" s="8" t="s">
        <v>15</v>
      </c>
    </row>
    <row r="5936" spans="1:7" hidden="1" x14ac:dyDescent="0.25">
      <c r="A5936" s="21">
        <v>5935</v>
      </c>
      <c r="B5936" s="7" t="s">
        <v>12627</v>
      </c>
      <c r="C5936" s="7" t="s">
        <v>12628</v>
      </c>
      <c r="G5936" s="8" t="s">
        <v>15</v>
      </c>
    </row>
    <row r="5937" spans="1:7" hidden="1" x14ac:dyDescent="0.25">
      <c r="A5937" s="21">
        <v>5936</v>
      </c>
      <c r="B5937" s="7" t="s">
        <v>12629</v>
      </c>
      <c r="C5937" s="7" t="s">
        <v>12630</v>
      </c>
      <c r="G5937" s="8" t="s">
        <v>15</v>
      </c>
    </row>
    <row r="5938" spans="1:7" hidden="1" x14ac:dyDescent="0.25">
      <c r="A5938" s="21">
        <v>5937</v>
      </c>
      <c r="B5938" s="7" t="s">
        <v>12631</v>
      </c>
      <c r="C5938" s="7" t="s">
        <v>12632</v>
      </c>
      <c r="G5938" s="8" t="s">
        <v>15</v>
      </c>
    </row>
    <row r="5939" spans="1:7" hidden="1" x14ac:dyDescent="0.25">
      <c r="A5939" s="21">
        <v>5938</v>
      </c>
      <c r="B5939" s="7" t="s">
        <v>12633</v>
      </c>
      <c r="C5939" s="7" t="s">
        <v>12634</v>
      </c>
      <c r="G5939" s="8" t="s">
        <v>15</v>
      </c>
    </row>
    <row r="5940" spans="1:7" hidden="1" x14ac:dyDescent="0.25">
      <c r="A5940" s="21">
        <v>5939</v>
      </c>
      <c r="B5940" s="7" t="s">
        <v>12635</v>
      </c>
      <c r="C5940" s="7" t="s">
        <v>12636</v>
      </c>
      <c r="G5940" s="8" t="s">
        <v>15</v>
      </c>
    </row>
    <row r="5941" spans="1:7" hidden="1" x14ac:dyDescent="0.25">
      <c r="A5941" s="21">
        <v>5940</v>
      </c>
      <c r="B5941" s="7" t="s">
        <v>12637</v>
      </c>
      <c r="C5941" s="7" t="s">
        <v>12638</v>
      </c>
      <c r="G5941" s="8" t="s">
        <v>15</v>
      </c>
    </row>
    <row r="5942" spans="1:7" hidden="1" x14ac:dyDescent="0.25">
      <c r="A5942" s="21">
        <v>5941</v>
      </c>
      <c r="B5942" s="7" t="s">
        <v>12639</v>
      </c>
      <c r="C5942" s="7" t="s">
        <v>12640</v>
      </c>
      <c r="G5942" s="8" t="s">
        <v>15</v>
      </c>
    </row>
    <row r="5943" spans="1:7" hidden="1" x14ac:dyDescent="0.25">
      <c r="A5943" s="21">
        <v>5942</v>
      </c>
      <c r="B5943" s="7" t="s">
        <v>12641</v>
      </c>
      <c r="C5943" s="7" t="s">
        <v>12642</v>
      </c>
      <c r="G5943" s="8" t="s">
        <v>15</v>
      </c>
    </row>
    <row r="5944" spans="1:7" hidden="1" x14ac:dyDescent="0.25">
      <c r="A5944" s="21">
        <v>5943</v>
      </c>
      <c r="B5944" s="7" t="s">
        <v>12643</v>
      </c>
      <c r="C5944" s="7" t="s">
        <v>12644</v>
      </c>
      <c r="G5944" s="8" t="s">
        <v>15</v>
      </c>
    </row>
    <row r="5945" spans="1:7" hidden="1" x14ac:dyDescent="0.25">
      <c r="A5945" s="21">
        <v>5944</v>
      </c>
      <c r="B5945" s="7" t="s">
        <v>12645</v>
      </c>
      <c r="C5945" s="7" t="s">
        <v>12646</v>
      </c>
      <c r="G5945" s="8" t="s">
        <v>15</v>
      </c>
    </row>
    <row r="5946" spans="1:7" hidden="1" x14ac:dyDescent="0.25">
      <c r="A5946" s="21">
        <v>5945</v>
      </c>
      <c r="B5946" s="7" t="s">
        <v>12647</v>
      </c>
      <c r="C5946" s="7" t="s">
        <v>12648</v>
      </c>
      <c r="G5946" s="8" t="s">
        <v>15</v>
      </c>
    </row>
    <row r="5947" spans="1:7" hidden="1" x14ac:dyDescent="0.25">
      <c r="A5947" s="21">
        <v>5946</v>
      </c>
      <c r="B5947" s="7" t="s">
        <v>12649</v>
      </c>
      <c r="C5947" s="7" t="s">
        <v>12650</v>
      </c>
      <c r="G5947" s="8" t="s">
        <v>15</v>
      </c>
    </row>
    <row r="5948" spans="1:7" hidden="1" x14ac:dyDescent="0.25">
      <c r="A5948" s="21">
        <v>5947</v>
      </c>
      <c r="B5948" s="7" t="s">
        <v>12651</v>
      </c>
      <c r="C5948" s="7" t="s">
        <v>12652</v>
      </c>
      <c r="G5948" s="8" t="s">
        <v>15</v>
      </c>
    </row>
    <row r="5949" spans="1:7" hidden="1" x14ac:dyDescent="0.25">
      <c r="A5949" s="21">
        <v>5948</v>
      </c>
      <c r="B5949" s="7" t="s">
        <v>12653</v>
      </c>
      <c r="C5949" s="7" t="s">
        <v>12654</v>
      </c>
      <c r="G5949" s="8" t="s">
        <v>15</v>
      </c>
    </row>
    <row r="5950" spans="1:7" hidden="1" x14ac:dyDescent="0.25">
      <c r="A5950" s="21">
        <v>5949</v>
      </c>
      <c r="B5950" s="7" t="s">
        <v>12655</v>
      </c>
      <c r="C5950" s="7" t="s">
        <v>12656</v>
      </c>
      <c r="G5950" s="8" t="s">
        <v>15</v>
      </c>
    </row>
    <row r="5951" spans="1:7" hidden="1" x14ac:dyDescent="0.25">
      <c r="A5951" s="21">
        <v>5950</v>
      </c>
      <c r="B5951" s="7" t="s">
        <v>12657</v>
      </c>
      <c r="C5951" s="7" t="s">
        <v>12658</v>
      </c>
      <c r="G5951" s="8" t="s">
        <v>15</v>
      </c>
    </row>
    <row r="5952" spans="1:7" hidden="1" x14ac:dyDescent="0.25">
      <c r="A5952" s="21">
        <v>5951</v>
      </c>
      <c r="B5952" s="7" t="s">
        <v>12659</v>
      </c>
      <c r="C5952" s="7" t="s">
        <v>12660</v>
      </c>
      <c r="G5952" s="8" t="s">
        <v>15</v>
      </c>
    </row>
    <row r="5953" spans="1:7" hidden="1" x14ac:dyDescent="0.25">
      <c r="A5953" s="21">
        <v>5952</v>
      </c>
      <c r="B5953" s="7" t="s">
        <v>12661</v>
      </c>
      <c r="C5953" s="7" t="s">
        <v>12662</v>
      </c>
      <c r="G5953" s="8" t="s">
        <v>15</v>
      </c>
    </row>
    <row r="5954" spans="1:7" hidden="1" x14ac:dyDescent="0.25">
      <c r="A5954" s="21">
        <v>5953</v>
      </c>
      <c r="B5954" s="7" t="s">
        <v>12663</v>
      </c>
      <c r="C5954" s="7" t="s">
        <v>12664</v>
      </c>
      <c r="G5954" s="8" t="s">
        <v>15</v>
      </c>
    </row>
    <row r="5955" spans="1:7" hidden="1" x14ac:dyDescent="0.25">
      <c r="A5955" s="21">
        <v>5954</v>
      </c>
      <c r="B5955" s="7" t="s">
        <v>12665</v>
      </c>
      <c r="C5955" s="7" t="s">
        <v>12666</v>
      </c>
      <c r="G5955" s="8" t="s">
        <v>15</v>
      </c>
    </row>
    <row r="5956" spans="1:7" hidden="1" x14ac:dyDescent="0.25">
      <c r="A5956" s="21">
        <v>5955</v>
      </c>
      <c r="B5956" s="7" t="s">
        <v>12667</v>
      </c>
      <c r="C5956" s="7" t="s">
        <v>12668</v>
      </c>
      <c r="G5956" s="8" t="s">
        <v>15</v>
      </c>
    </row>
    <row r="5957" spans="1:7" hidden="1" x14ac:dyDescent="0.25">
      <c r="A5957" s="21">
        <v>5956</v>
      </c>
      <c r="B5957" s="7" t="s">
        <v>12669</v>
      </c>
      <c r="C5957" s="7" t="s">
        <v>12670</v>
      </c>
      <c r="G5957" s="8" t="s">
        <v>15</v>
      </c>
    </row>
    <row r="5958" spans="1:7" hidden="1" x14ac:dyDescent="0.25">
      <c r="A5958" s="21">
        <v>5957</v>
      </c>
      <c r="B5958" s="7" t="s">
        <v>12671</v>
      </c>
      <c r="C5958" s="7" t="s">
        <v>12672</v>
      </c>
      <c r="G5958" s="8" t="s">
        <v>15</v>
      </c>
    </row>
    <row r="5959" spans="1:7" hidden="1" x14ac:dyDescent="0.25">
      <c r="A5959" s="21">
        <v>5958</v>
      </c>
      <c r="B5959" s="7" t="s">
        <v>12673</v>
      </c>
      <c r="C5959" s="7" t="s">
        <v>12674</v>
      </c>
      <c r="G5959" s="8" t="s">
        <v>15</v>
      </c>
    </row>
    <row r="5960" spans="1:7" hidden="1" x14ac:dyDescent="0.25">
      <c r="A5960" s="21">
        <v>5959</v>
      </c>
      <c r="B5960" s="7" t="s">
        <v>12675</v>
      </c>
      <c r="C5960" s="7" t="s">
        <v>12676</v>
      </c>
      <c r="G5960" s="8" t="s">
        <v>15</v>
      </c>
    </row>
    <row r="5961" spans="1:7" hidden="1" x14ac:dyDescent="0.25">
      <c r="A5961" s="21">
        <v>5960</v>
      </c>
      <c r="B5961" s="7" t="s">
        <v>12677</v>
      </c>
      <c r="C5961" s="7" t="s">
        <v>12678</v>
      </c>
      <c r="G5961" s="8" t="s">
        <v>15</v>
      </c>
    </row>
    <row r="5962" spans="1:7" hidden="1" x14ac:dyDescent="0.25">
      <c r="A5962" s="21">
        <v>5961</v>
      </c>
      <c r="B5962" s="7" t="s">
        <v>12679</v>
      </c>
      <c r="C5962" s="7" t="s">
        <v>12680</v>
      </c>
      <c r="G5962" s="8" t="s">
        <v>15</v>
      </c>
    </row>
    <row r="5963" spans="1:7" hidden="1" x14ac:dyDescent="0.25">
      <c r="A5963" s="21">
        <v>5962</v>
      </c>
      <c r="B5963" s="7" t="s">
        <v>12681</v>
      </c>
      <c r="C5963" s="7" t="s">
        <v>12682</v>
      </c>
      <c r="G5963" s="8" t="s">
        <v>15</v>
      </c>
    </row>
    <row r="5964" spans="1:7" hidden="1" x14ac:dyDescent="0.25">
      <c r="A5964" s="21">
        <v>5963</v>
      </c>
      <c r="B5964" s="7" t="s">
        <v>12683</v>
      </c>
      <c r="C5964" s="7" t="s">
        <v>12684</v>
      </c>
      <c r="G5964" s="8" t="s">
        <v>15</v>
      </c>
    </row>
    <row r="5965" spans="1:7" hidden="1" x14ac:dyDescent="0.25">
      <c r="A5965" s="21">
        <v>5964</v>
      </c>
      <c r="B5965" s="7" t="s">
        <v>12685</v>
      </c>
      <c r="C5965" s="7" t="s">
        <v>12686</v>
      </c>
      <c r="G5965" s="8" t="s">
        <v>15</v>
      </c>
    </row>
    <row r="5966" spans="1:7" hidden="1" x14ac:dyDescent="0.25">
      <c r="A5966" s="21">
        <v>5965</v>
      </c>
      <c r="B5966" s="7" t="s">
        <v>12687</v>
      </c>
      <c r="C5966" s="7" t="s">
        <v>12688</v>
      </c>
      <c r="G5966" s="8" t="s">
        <v>15</v>
      </c>
    </row>
    <row r="5967" spans="1:7" hidden="1" x14ac:dyDescent="0.25">
      <c r="A5967" s="21">
        <v>5966</v>
      </c>
      <c r="B5967" s="7" t="s">
        <v>12689</v>
      </c>
      <c r="C5967" s="7" t="s">
        <v>12690</v>
      </c>
      <c r="G5967" s="8" t="s">
        <v>15</v>
      </c>
    </row>
    <row r="5968" spans="1:7" hidden="1" x14ac:dyDescent="0.25">
      <c r="A5968" s="21">
        <v>5967</v>
      </c>
      <c r="B5968" s="7" t="s">
        <v>12691</v>
      </c>
      <c r="C5968" s="7" t="s">
        <v>12692</v>
      </c>
      <c r="G5968" s="8" t="s">
        <v>15</v>
      </c>
    </row>
    <row r="5969" spans="1:7" hidden="1" x14ac:dyDescent="0.25">
      <c r="A5969" s="21">
        <v>5968</v>
      </c>
      <c r="B5969" s="7" t="s">
        <v>12693</v>
      </c>
      <c r="C5969" s="7" t="s">
        <v>12694</v>
      </c>
      <c r="G5969" s="8" t="s">
        <v>15</v>
      </c>
    </row>
    <row r="5970" spans="1:7" hidden="1" x14ac:dyDescent="0.25">
      <c r="A5970" s="21">
        <v>5969</v>
      </c>
      <c r="B5970" s="7" t="s">
        <v>12695</v>
      </c>
      <c r="C5970" s="7" t="s">
        <v>12696</v>
      </c>
      <c r="G5970" s="8" t="s">
        <v>15</v>
      </c>
    </row>
    <row r="5971" spans="1:7" hidden="1" x14ac:dyDescent="0.25">
      <c r="A5971" s="21">
        <v>5970</v>
      </c>
      <c r="B5971" s="7" t="s">
        <v>12697</v>
      </c>
      <c r="C5971" s="7" t="s">
        <v>12698</v>
      </c>
      <c r="G5971" s="8" t="s">
        <v>15</v>
      </c>
    </row>
    <row r="5972" spans="1:7" hidden="1" x14ac:dyDescent="0.25">
      <c r="A5972" s="21">
        <v>5971</v>
      </c>
      <c r="B5972" s="7" t="s">
        <v>12699</v>
      </c>
      <c r="C5972" s="7" t="s">
        <v>12700</v>
      </c>
      <c r="G5972" s="8" t="s">
        <v>15</v>
      </c>
    </row>
    <row r="5973" spans="1:7" hidden="1" x14ac:dyDescent="0.25">
      <c r="A5973" s="21">
        <v>5972</v>
      </c>
      <c r="B5973" s="7" t="s">
        <v>12701</v>
      </c>
      <c r="C5973" s="7" t="s">
        <v>12702</v>
      </c>
      <c r="G5973" s="8" t="s">
        <v>15</v>
      </c>
    </row>
    <row r="5974" spans="1:7" hidden="1" x14ac:dyDescent="0.25">
      <c r="A5974" s="21">
        <v>5973</v>
      </c>
      <c r="B5974" s="7" t="s">
        <v>12703</v>
      </c>
      <c r="C5974" s="7" t="s">
        <v>12704</v>
      </c>
      <c r="G5974" s="8" t="s">
        <v>15</v>
      </c>
    </row>
    <row r="5975" spans="1:7" hidden="1" x14ac:dyDescent="0.25">
      <c r="A5975" s="21">
        <v>5974</v>
      </c>
      <c r="B5975" s="7" t="s">
        <v>12705</v>
      </c>
      <c r="C5975" s="7" t="s">
        <v>12706</v>
      </c>
      <c r="G5975" s="8" t="s">
        <v>15</v>
      </c>
    </row>
    <row r="5976" spans="1:7" hidden="1" x14ac:dyDescent="0.25">
      <c r="A5976" s="21">
        <v>5975</v>
      </c>
      <c r="B5976" s="7" t="s">
        <v>12707</v>
      </c>
      <c r="C5976" s="7" t="s">
        <v>12708</v>
      </c>
      <c r="G5976" s="8" t="s">
        <v>15</v>
      </c>
    </row>
    <row r="5977" spans="1:7" hidden="1" x14ac:dyDescent="0.25">
      <c r="A5977" s="21">
        <v>5976</v>
      </c>
      <c r="B5977" s="7" t="s">
        <v>12709</v>
      </c>
      <c r="C5977" s="7" t="s">
        <v>12710</v>
      </c>
      <c r="G5977" s="8" t="s">
        <v>15</v>
      </c>
    </row>
    <row r="5978" spans="1:7" hidden="1" x14ac:dyDescent="0.25">
      <c r="A5978" s="21">
        <v>5977</v>
      </c>
      <c r="B5978" s="7" t="s">
        <v>12711</v>
      </c>
      <c r="C5978" s="7" t="s">
        <v>12712</v>
      </c>
      <c r="G5978" s="8" t="s">
        <v>15</v>
      </c>
    </row>
    <row r="5979" spans="1:7" hidden="1" x14ac:dyDescent="0.25">
      <c r="A5979" s="21">
        <v>5978</v>
      </c>
      <c r="B5979" s="7" t="s">
        <v>12713</v>
      </c>
      <c r="C5979" s="7" t="s">
        <v>12714</v>
      </c>
      <c r="G5979" s="8" t="s">
        <v>15</v>
      </c>
    </row>
    <row r="5980" spans="1:7" hidden="1" x14ac:dyDescent="0.25">
      <c r="A5980" s="21">
        <v>5979</v>
      </c>
      <c r="B5980" s="7" t="s">
        <v>12715</v>
      </c>
      <c r="C5980" s="7" t="s">
        <v>12716</v>
      </c>
      <c r="G5980" s="8" t="s">
        <v>15</v>
      </c>
    </row>
    <row r="5981" spans="1:7" hidden="1" x14ac:dyDescent="0.25">
      <c r="A5981" s="21">
        <v>5980</v>
      </c>
      <c r="B5981" s="7" t="s">
        <v>12717</v>
      </c>
      <c r="C5981" s="7" t="s">
        <v>12718</v>
      </c>
      <c r="G5981" s="8" t="s">
        <v>15</v>
      </c>
    </row>
    <row r="5982" spans="1:7" hidden="1" x14ac:dyDescent="0.25">
      <c r="A5982" s="21">
        <v>5981</v>
      </c>
      <c r="B5982" s="7" t="s">
        <v>12719</v>
      </c>
      <c r="C5982" s="7" t="s">
        <v>12720</v>
      </c>
      <c r="G5982" s="8" t="s">
        <v>15</v>
      </c>
    </row>
    <row r="5983" spans="1:7" hidden="1" x14ac:dyDescent="0.25">
      <c r="A5983" s="21">
        <v>5982</v>
      </c>
      <c r="B5983" s="7" t="s">
        <v>12721</v>
      </c>
      <c r="C5983" s="7" t="s">
        <v>12722</v>
      </c>
      <c r="G5983" s="8" t="s">
        <v>15</v>
      </c>
    </row>
    <row r="5984" spans="1:7" hidden="1" x14ac:dyDescent="0.25">
      <c r="A5984" s="21">
        <v>5983</v>
      </c>
      <c r="B5984" s="7" t="s">
        <v>12723</v>
      </c>
      <c r="C5984" s="7" t="s">
        <v>12724</v>
      </c>
      <c r="G5984" s="8" t="s">
        <v>15</v>
      </c>
    </row>
    <row r="5985" spans="1:7" hidden="1" x14ac:dyDescent="0.25">
      <c r="A5985" s="21">
        <v>5984</v>
      </c>
      <c r="B5985" s="7" t="s">
        <v>12725</v>
      </c>
      <c r="C5985" s="7" t="s">
        <v>12726</v>
      </c>
      <c r="G5985" s="8" t="s">
        <v>15</v>
      </c>
    </row>
    <row r="5986" spans="1:7" hidden="1" x14ac:dyDescent="0.25">
      <c r="A5986" s="21">
        <v>5985</v>
      </c>
      <c r="B5986" s="7" t="s">
        <v>12727</v>
      </c>
      <c r="C5986" s="7" t="s">
        <v>12728</v>
      </c>
      <c r="G5986" s="8" t="s">
        <v>15</v>
      </c>
    </row>
    <row r="5987" spans="1:7" hidden="1" x14ac:dyDescent="0.25">
      <c r="A5987" s="21">
        <v>5986</v>
      </c>
      <c r="B5987" s="7" t="s">
        <v>12729</v>
      </c>
      <c r="C5987" s="7" t="s">
        <v>12730</v>
      </c>
      <c r="G5987" s="8" t="s">
        <v>15</v>
      </c>
    </row>
    <row r="5988" spans="1:7" hidden="1" x14ac:dyDescent="0.25">
      <c r="A5988" s="21">
        <v>5987</v>
      </c>
      <c r="B5988" s="7" t="s">
        <v>12731</v>
      </c>
      <c r="C5988" s="7" t="s">
        <v>12732</v>
      </c>
      <c r="G5988" s="8" t="s">
        <v>15</v>
      </c>
    </row>
    <row r="5989" spans="1:7" hidden="1" x14ac:dyDescent="0.25">
      <c r="A5989" s="21">
        <v>5988</v>
      </c>
      <c r="B5989" s="7" t="s">
        <v>12733</v>
      </c>
      <c r="C5989" s="7" t="s">
        <v>12734</v>
      </c>
      <c r="G5989" s="8" t="s">
        <v>15</v>
      </c>
    </row>
    <row r="5990" spans="1:7" hidden="1" x14ac:dyDescent="0.25">
      <c r="A5990" s="21">
        <v>5989</v>
      </c>
      <c r="B5990" s="7" t="s">
        <v>12735</v>
      </c>
      <c r="C5990" s="7" t="s">
        <v>12736</v>
      </c>
      <c r="G5990" s="8" t="s">
        <v>15</v>
      </c>
    </row>
    <row r="5991" spans="1:7" hidden="1" x14ac:dyDescent="0.25">
      <c r="A5991" s="21">
        <v>5990</v>
      </c>
      <c r="B5991" s="7" t="s">
        <v>12737</v>
      </c>
      <c r="C5991" s="7" t="s">
        <v>12738</v>
      </c>
      <c r="G5991" s="8" t="s">
        <v>15</v>
      </c>
    </row>
    <row r="5992" spans="1:7" hidden="1" x14ac:dyDescent="0.25">
      <c r="A5992" s="21">
        <v>5991</v>
      </c>
      <c r="B5992" s="7" t="s">
        <v>12739</v>
      </c>
      <c r="C5992" s="7" t="s">
        <v>12740</v>
      </c>
      <c r="G5992" s="8" t="s">
        <v>15</v>
      </c>
    </row>
    <row r="5993" spans="1:7" hidden="1" x14ac:dyDescent="0.25">
      <c r="A5993" s="21">
        <v>5992</v>
      </c>
      <c r="B5993" s="7" t="s">
        <v>12741</v>
      </c>
      <c r="C5993" s="7" t="s">
        <v>12742</v>
      </c>
      <c r="G5993" s="8" t="s">
        <v>15</v>
      </c>
    </row>
    <row r="5994" spans="1:7" hidden="1" x14ac:dyDescent="0.25">
      <c r="A5994" s="21">
        <v>5993</v>
      </c>
      <c r="B5994" s="7" t="s">
        <v>12743</v>
      </c>
      <c r="C5994" s="7" t="s">
        <v>12744</v>
      </c>
      <c r="G5994" s="8" t="s">
        <v>15</v>
      </c>
    </row>
    <row r="5995" spans="1:7" hidden="1" x14ac:dyDescent="0.25">
      <c r="A5995" s="21">
        <v>5994</v>
      </c>
      <c r="B5995" s="7" t="s">
        <v>12745</v>
      </c>
      <c r="C5995" s="7" t="s">
        <v>12746</v>
      </c>
      <c r="G5995" s="8" t="s">
        <v>15</v>
      </c>
    </row>
    <row r="5996" spans="1:7" hidden="1" x14ac:dyDescent="0.25">
      <c r="A5996" s="21">
        <v>5995</v>
      </c>
      <c r="B5996" s="7" t="s">
        <v>12747</v>
      </c>
      <c r="C5996" s="7" t="s">
        <v>12748</v>
      </c>
      <c r="G5996" s="8" t="s">
        <v>15</v>
      </c>
    </row>
    <row r="5997" spans="1:7" hidden="1" x14ac:dyDescent="0.25">
      <c r="A5997" s="21">
        <v>5996</v>
      </c>
      <c r="B5997" s="7" t="s">
        <v>12749</v>
      </c>
      <c r="C5997" s="7" t="s">
        <v>12750</v>
      </c>
      <c r="G5997" s="8" t="s">
        <v>15</v>
      </c>
    </row>
    <row r="5998" spans="1:7" hidden="1" x14ac:dyDescent="0.25">
      <c r="A5998" s="21">
        <v>5997</v>
      </c>
      <c r="B5998" s="7" t="s">
        <v>12751</v>
      </c>
      <c r="C5998" s="7" t="s">
        <v>12752</v>
      </c>
      <c r="G5998" s="8" t="s">
        <v>15</v>
      </c>
    </row>
    <row r="5999" spans="1:7" hidden="1" x14ac:dyDescent="0.25">
      <c r="A5999" s="21">
        <v>5998</v>
      </c>
      <c r="B5999" s="7" t="s">
        <v>12753</v>
      </c>
      <c r="C5999" s="7" t="s">
        <v>12754</v>
      </c>
      <c r="G5999" s="8" t="s">
        <v>15</v>
      </c>
    </row>
    <row r="6000" spans="1:7" hidden="1" x14ac:dyDescent="0.25">
      <c r="A6000" s="21">
        <v>5999</v>
      </c>
      <c r="B6000" s="7" t="s">
        <v>12755</v>
      </c>
      <c r="C6000" s="7" t="s">
        <v>12756</v>
      </c>
      <c r="G6000" s="8" t="s">
        <v>15</v>
      </c>
    </row>
    <row r="6001" spans="1:7" hidden="1" x14ac:dyDescent="0.25">
      <c r="A6001" s="21">
        <v>6000</v>
      </c>
      <c r="B6001" s="7" t="s">
        <v>12757</v>
      </c>
      <c r="C6001" s="7" t="s">
        <v>12758</v>
      </c>
      <c r="G6001" s="8" t="s">
        <v>15</v>
      </c>
    </row>
    <row r="6002" spans="1:7" hidden="1" x14ac:dyDescent="0.25">
      <c r="A6002" s="21">
        <v>6001</v>
      </c>
      <c r="B6002" s="7" t="s">
        <v>12759</v>
      </c>
      <c r="C6002" s="7" t="s">
        <v>12760</v>
      </c>
      <c r="G6002" s="8" t="s">
        <v>15</v>
      </c>
    </row>
    <row r="6003" spans="1:7" hidden="1" x14ac:dyDescent="0.25">
      <c r="A6003" s="21">
        <v>6002</v>
      </c>
      <c r="B6003" s="7" t="s">
        <v>12761</v>
      </c>
      <c r="C6003" s="7" t="s">
        <v>12762</v>
      </c>
      <c r="G6003" s="8" t="s">
        <v>15</v>
      </c>
    </row>
    <row r="6004" spans="1:7" hidden="1" x14ac:dyDescent="0.25">
      <c r="A6004" s="21">
        <v>6003</v>
      </c>
      <c r="B6004" s="7" t="s">
        <v>12763</v>
      </c>
      <c r="C6004" s="7" t="s">
        <v>12764</v>
      </c>
      <c r="G6004" s="8" t="s">
        <v>15</v>
      </c>
    </row>
    <row r="6005" spans="1:7" hidden="1" x14ac:dyDescent="0.25">
      <c r="A6005" s="21">
        <v>6004</v>
      </c>
      <c r="B6005" s="7" t="s">
        <v>12765</v>
      </c>
      <c r="C6005" s="7" t="s">
        <v>12766</v>
      </c>
      <c r="G6005" s="8" t="s">
        <v>15</v>
      </c>
    </row>
    <row r="6006" spans="1:7" hidden="1" x14ac:dyDescent="0.25">
      <c r="A6006" s="21">
        <v>6005</v>
      </c>
      <c r="B6006" s="7" t="s">
        <v>12767</v>
      </c>
      <c r="C6006" s="7" t="s">
        <v>12768</v>
      </c>
      <c r="G6006" s="8" t="s">
        <v>15</v>
      </c>
    </row>
    <row r="6007" spans="1:7" hidden="1" x14ac:dyDescent="0.25">
      <c r="A6007" s="21">
        <v>6006</v>
      </c>
      <c r="B6007" s="7" t="s">
        <v>12769</v>
      </c>
      <c r="C6007" s="7" t="s">
        <v>12770</v>
      </c>
      <c r="G6007" s="8" t="s">
        <v>15</v>
      </c>
    </row>
    <row r="6008" spans="1:7" hidden="1" x14ac:dyDescent="0.25">
      <c r="A6008" s="21">
        <v>6007</v>
      </c>
      <c r="B6008" s="7" t="s">
        <v>12771</v>
      </c>
      <c r="C6008" s="7" t="s">
        <v>12772</v>
      </c>
      <c r="G6008" s="8" t="s">
        <v>15</v>
      </c>
    </row>
    <row r="6009" spans="1:7" hidden="1" x14ac:dyDescent="0.25">
      <c r="A6009" s="21">
        <v>6008</v>
      </c>
      <c r="B6009" s="7" t="s">
        <v>12773</v>
      </c>
      <c r="C6009" s="7" t="s">
        <v>12774</v>
      </c>
      <c r="G6009" s="8" t="s">
        <v>15</v>
      </c>
    </row>
    <row r="6010" spans="1:7" hidden="1" x14ac:dyDescent="0.25">
      <c r="A6010" s="21">
        <v>6009</v>
      </c>
      <c r="B6010" s="7" t="s">
        <v>12775</v>
      </c>
      <c r="C6010" s="7" t="s">
        <v>12776</v>
      </c>
      <c r="G6010" s="8" t="s">
        <v>15</v>
      </c>
    </row>
    <row r="6011" spans="1:7" hidden="1" x14ac:dyDescent="0.25">
      <c r="A6011" s="21">
        <v>6010</v>
      </c>
      <c r="B6011" s="7" t="s">
        <v>12777</v>
      </c>
      <c r="C6011" s="7" t="s">
        <v>12778</v>
      </c>
      <c r="G6011" s="8" t="s">
        <v>15</v>
      </c>
    </row>
    <row r="6012" spans="1:7" hidden="1" x14ac:dyDescent="0.25">
      <c r="A6012" s="21">
        <v>6011</v>
      </c>
      <c r="B6012" s="7" t="s">
        <v>12779</v>
      </c>
      <c r="C6012" s="7" t="s">
        <v>12780</v>
      </c>
      <c r="G6012" s="8" t="s">
        <v>15</v>
      </c>
    </row>
    <row r="6013" spans="1:7" hidden="1" x14ac:dyDescent="0.25">
      <c r="A6013" s="21">
        <v>6012</v>
      </c>
      <c r="B6013" s="7" t="s">
        <v>12781</v>
      </c>
      <c r="C6013" s="7" t="s">
        <v>12782</v>
      </c>
      <c r="G6013" s="8" t="s">
        <v>15</v>
      </c>
    </row>
    <row r="6014" spans="1:7" hidden="1" x14ac:dyDescent="0.25">
      <c r="A6014" s="21">
        <v>6013</v>
      </c>
      <c r="B6014" s="7" t="s">
        <v>12783</v>
      </c>
      <c r="C6014" s="7" t="s">
        <v>12784</v>
      </c>
      <c r="G6014" s="8" t="s">
        <v>15</v>
      </c>
    </row>
    <row r="6015" spans="1:7" hidden="1" x14ac:dyDescent="0.25">
      <c r="A6015" s="21">
        <v>6014</v>
      </c>
      <c r="B6015" s="7" t="s">
        <v>12785</v>
      </c>
      <c r="C6015" s="7" t="s">
        <v>12786</v>
      </c>
      <c r="G6015" s="8" t="s">
        <v>15</v>
      </c>
    </row>
    <row r="6016" spans="1:7" hidden="1" x14ac:dyDescent="0.25">
      <c r="A6016" s="21">
        <v>6015</v>
      </c>
      <c r="B6016" s="7" t="s">
        <v>12787</v>
      </c>
      <c r="C6016" s="7" t="s">
        <v>12788</v>
      </c>
      <c r="G6016" s="8" t="s">
        <v>15</v>
      </c>
    </row>
    <row r="6017" spans="1:7" hidden="1" x14ac:dyDescent="0.25">
      <c r="A6017" s="21">
        <v>6016</v>
      </c>
      <c r="B6017" s="7" t="s">
        <v>12789</v>
      </c>
      <c r="C6017" s="7" t="s">
        <v>12790</v>
      </c>
      <c r="G6017" s="8" t="s">
        <v>15</v>
      </c>
    </row>
    <row r="6018" spans="1:7" hidden="1" x14ac:dyDescent="0.25">
      <c r="A6018" s="21">
        <v>6017</v>
      </c>
      <c r="B6018" s="7" t="s">
        <v>12791</v>
      </c>
      <c r="C6018" s="7" t="s">
        <v>12792</v>
      </c>
      <c r="G6018" s="8" t="s">
        <v>15</v>
      </c>
    </row>
    <row r="6019" spans="1:7" hidden="1" x14ac:dyDescent="0.25">
      <c r="A6019" s="21">
        <v>6018</v>
      </c>
      <c r="B6019" s="7" t="s">
        <v>12793</v>
      </c>
      <c r="C6019" s="7" t="s">
        <v>12794</v>
      </c>
      <c r="G6019" s="8" t="s">
        <v>15</v>
      </c>
    </row>
    <row r="6020" spans="1:7" hidden="1" x14ac:dyDescent="0.25">
      <c r="A6020" s="21">
        <v>6019</v>
      </c>
      <c r="B6020" s="7" t="s">
        <v>12795</v>
      </c>
      <c r="C6020" s="7" t="s">
        <v>12796</v>
      </c>
      <c r="G6020" s="8" t="s">
        <v>15</v>
      </c>
    </row>
    <row r="6021" spans="1:7" hidden="1" x14ac:dyDescent="0.25">
      <c r="A6021" s="21">
        <v>6020</v>
      </c>
      <c r="B6021" s="7" t="s">
        <v>12797</v>
      </c>
      <c r="C6021" s="7" t="s">
        <v>12798</v>
      </c>
      <c r="G6021" s="8" t="s">
        <v>15</v>
      </c>
    </row>
    <row r="6022" spans="1:7" hidden="1" x14ac:dyDescent="0.25">
      <c r="A6022" s="21">
        <v>6021</v>
      </c>
      <c r="B6022" s="7" t="s">
        <v>12799</v>
      </c>
      <c r="C6022" s="7" t="s">
        <v>12800</v>
      </c>
      <c r="G6022" s="8" t="s">
        <v>15</v>
      </c>
    </row>
    <row r="6023" spans="1:7" hidden="1" x14ac:dyDescent="0.25">
      <c r="A6023" s="21">
        <v>6022</v>
      </c>
      <c r="B6023" s="7" t="s">
        <v>12801</v>
      </c>
      <c r="C6023" s="7" t="s">
        <v>12802</v>
      </c>
      <c r="G6023" s="8" t="s">
        <v>15</v>
      </c>
    </row>
    <row r="6024" spans="1:7" hidden="1" x14ac:dyDescent="0.25">
      <c r="A6024" s="21">
        <v>6023</v>
      </c>
      <c r="B6024" s="7" t="s">
        <v>12803</v>
      </c>
      <c r="C6024" s="7" t="s">
        <v>12804</v>
      </c>
      <c r="G6024" s="8" t="s">
        <v>15</v>
      </c>
    </row>
    <row r="6025" spans="1:7" hidden="1" x14ac:dyDescent="0.25">
      <c r="A6025" s="21">
        <v>6024</v>
      </c>
      <c r="B6025" s="7" t="s">
        <v>12805</v>
      </c>
      <c r="C6025" s="7" t="s">
        <v>12806</v>
      </c>
      <c r="G6025" s="8" t="s">
        <v>15</v>
      </c>
    </row>
    <row r="6026" spans="1:7" hidden="1" x14ac:dyDescent="0.25">
      <c r="A6026" s="21">
        <v>6025</v>
      </c>
      <c r="B6026" s="7" t="s">
        <v>12807</v>
      </c>
      <c r="C6026" s="7" t="s">
        <v>12808</v>
      </c>
      <c r="G6026" s="8" t="s">
        <v>15</v>
      </c>
    </row>
    <row r="6027" spans="1:7" hidden="1" x14ac:dyDescent="0.25">
      <c r="A6027" s="21">
        <v>6026</v>
      </c>
      <c r="B6027" s="7" t="s">
        <v>12809</v>
      </c>
      <c r="C6027" s="7" t="s">
        <v>12810</v>
      </c>
      <c r="G6027" s="8" t="s">
        <v>15</v>
      </c>
    </row>
    <row r="6028" spans="1:7" hidden="1" x14ac:dyDescent="0.25">
      <c r="A6028" s="21">
        <v>6027</v>
      </c>
      <c r="B6028" s="7" t="s">
        <v>12811</v>
      </c>
      <c r="C6028" s="7" t="s">
        <v>12812</v>
      </c>
      <c r="G6028" s="8" t="s">
        <v>15</v>
      </c>
    </row>
    <row r="6029" spans="1:7" hidden="1" x14ac:dyDescent="0.25">
      <c r="A6029" s="21">
        <v>6028</v>
      </c>
      <c r="B6029" s="7" t="s">
        <v>12813</v>
      </c>
      <c r="C6029" s="7" t="s">
        <v>12814</v>
      </c>
      <c r="G6029" s="8" t="s">
        <v>15</v>
      </c>
    </row>
    <row r="6030" spans="1:7" hidden="1" x14ac:dyDescent="0.25">
      <c r="A6030" s="21">
        <v>6029</v>
      </c>
      <c r="B6030" s="7" t="s">
        <v>12815</v>
      </c>
      <c r="C6030" s="7" t="s">
        <v>12816</v>
      </c>
      <c r="G6030" s="8" t="s">
        <v>15</v>
      </c>
    </row>
    <row r="6031" spans="1:7" hidden="1" x14ac:dyDescent="0.25">
      <c r="A6031" s="21">
        <v>6030</v>
      </c>
      <c r="B6031" s="7" t="s">
        <v>12817</v>
      </c>
      <c r="C6031" s="7" t="s">
        <v>12818</v>
      </c>
      <c r="G6031" s="8" t="s">
        <v>15</v>
      </c>
    </row>
    <row r="6032" spans="1:7" hidden="1" x14ac:dyDescent="0.25">
      <c r="A6032" s="21">
        <v>6031</v>
      </c>
      <c r="B6032" s="7" t="s">
        <v>12819</v>
      </c>
      <c r="C6032" s="7" t="s">
        <v>12820</v>
      </c>
      <c r="G6032" s="8" t="s">
        <v>15</v>
      </c>
    </row>
    <row r="6033" spans="1:7" hidden="1" x14ac:dyDescent="0.25">
      <c r="A6033" s="21">
        <v>6032</v>
      </c>
      <c r="B6033" s="7" t="s">
        <v>12821</v>
      </c>
      <c r="C6033" s="7" t="s">
        <v>12822</v>
      </c>
      <c r="G6033" s="8" t="s">
        <v>15</v>
      </c>
    </row>
    <row r="6034" spans="1:7" hidden="1" x14ac:dyDescent="0.25">
      <c r="A6034" s="21">
        <v>6033</v>
      </c>
      <c r="B6034" s="7" t="s">
        <v>12823</v>
      </c>
      <c r="C6034" s="7" t="s">
        <v>12824</v>
      </c>
      <c r="G6034" s="8" t="s">
        <v>15</v>
      </c>
    </row>
    <row r="6035" spans="1:7" hidden="1" x14ac:dyDescent="0.25">
      <c r="A6035" s="21">
        <v>6034</v>
      </c>
      <c r="B6035" s="7" t="s">
        <v>12825</v>
      </c>
      <c r="C6035" s="7" t="s">
        <v>12826</v>
      </c>
      <c r="G6035" s="8" t="s">
        <v>15</v>
      </c>
    </row>
    <row r="6036" spans="1:7" hidden="1" x14ac:dyDescent="0.25">
      <c r="A6036" s="21">
        <v>6035</v>
      </c>
      <c r="B6036" s="7" t="s">
        <v>12827</v>
      </c>
      <c r="C6036" s="7" t="s">
        <v>12828</v>
      </c>
      <c r="G6036" s="8" t="s">
        <v>15</v>
      </c>
    </row>
    <row r="6037" spans="1:7" hidden="1" x14ac:dyDescent="0.25">
      <c r="A6037" s="21">
        <v>6036</v>
      </c>
      <c r="B6037" s="7" t="s">
        <v>12829</v>
      </c>
      <c r="C6037" s="7" t="s">
        <v>12830</v>
      </c>
      <c r="G6037" s="8" t="s">
        <v>15</v>
      </c>
    </row>
    <row r="6038" spans="1:7" hidden="1" x14ac:dyDescent="0.25">
      <c r="A6038" s="21">
        <v>6037</v>
      </c>
      <c r="B6038" s="7" t="s">
        <v>12831</v>
      </c>
      <c r="C6038" s="7" t="s">
        <v>12832</v>
      </c>
      <c r="G6038" s="8" t="s">
        <v>15</v>
      </c>
    </row>
    <row r="6039" spans="1:7" hidden="1" x14ac:dyDescent="0.25">
      <c r="A6039" s="21">
        <v>6038</v>
      </c>
      <c r="B6039" s="7" t="s">
        <v>12833</v>
      </c>
      <c r="C6039" s="7" t="s">
        <v>12834</v>
      </c>
      <c r="G6039" s="8" t="s">
        <v>15</v>
      </c>
    </row>
    <row r="6040" spans="1:7" hidden="1" x14ac:dyDescent="0.25">
      <c r="A6040" s="21">
        <v>6039</v>
      </c>
      <c r="B6040" s="7" t="s">
        <v>12835</v>
      </c>
      <c r="C6040" s="7" t="s">
        <v>12836</v>
      </c>
      <c r="G6040" s="8" t="s">
        <v>15</v>
      </c>
    </row>
    <row r="6041" spans="1:7" hidden="1" x14ac:dyDescent="0.25">
      <c r="A6041" s="21">
        <v>6040</v>
      </c>
      <c r="B6041" s="7" t="s">
        <v>12837</v>
      </c>
      <c r="C6041" s="7" t="s">
        <v>12838</v>
      </c>
      <c r="G6041" s="8" t="s">
        <v>15</v>
      </c>
    </row>
    <row r="6042" spans="1:7" hidden="1" x14ac:dyDescent="0.25">
      <c r="A6042" s="21">
        <v>6041</v>
      </c>
      <c r="B6042" s="7" t="s">
        <v>12839</v>
      </c>
      <c r="C6042" s="7" t="s">
        <v>12840</v>
      </c>
      <c r="G6042" s="8" t="s">
        <v>15</v>
      </c>
    </row>
    <row r="6043" spans="1:7" hidden="1" x14ac:dyDescent="0.25">
      <c r="A6043" s="21">
        <v>6042</v>
      </c>
      <c r="B6043" s="7" t="s">
        <v>12841</v>
      </c>
      <c r="C6043" s="7" t="s">
        <v>12842</v>
      </c>
      <c r="G6043" s="8" t="s">
        <v>15</v>
      </c>
    </row>
    <row r="6044" spans="1:7" hidden="1" x14ac:dyDescent="0.25">
      <c r="A6044" s="21">
        <v>6043</v>
      </c>
      <c r="B6044" s="7" t="s">
        <v>12843</v>
      </c>
      <c r="C6044" s="7" t="s">
        <v>12844</v>
      </c>
      <c r="G6044" s="8" t="s">
        <v>15</v>
      </c>
    </row>
    <row r="6045" spans="1:7" hidden="1" x14ac:dyDescent="0.25">
      <c r="A6045" s="21">
        <v>6044</v>
      </c>
      <c r="B6045" s="7" t="s">
        <v>12845</v>
      </c>
      <c r="C6045" s="7" t="s">
        <v>12846</v>
      </c>
      <c r="G6045" s="8" t="s">
        <v>15</v>
      </c>
    </row>
    <row r="6046" spans="1:7" hidden="1" x14ac:dyDescent="0.25">
      <c r="A6046" s="21">
        <v>6045</v>
      </c>
      <c r="B6046" s="7" t="s">
        <v>12847</v>
      </c>
      <c r="C6046" s="7" t="s">
        <v>12848</v>
      </c>
      <c r="G6046" s="8" t="s">
        <v>15</v>
      </c>
    </row>
    <row r="6047" spans="1:7" hidden="1" x14ac:dyDescent="0.25">
      <c r="A6047" s="21">
        <v>6046</v>
      </c>
      <c r="B6047" s="7" t="s">
        <v>12849</v>
      </c>
      <c r="C6047" s="7" t="s">
        <v>12850</v>
      </c>
      <c r="G6047" s="8" t="s">
        <v>15</v>
      </c>
    </row>
    <row r="6048" spans="1:7" hidden="1" x14ac:dyDescent="0.25">
      <c r="A6048" s="21">
        <v>6047</v>
      </c>
      <c r="B6048" s="7" t="s">
        <v>12851</v>
      </c>
      <c r="C6048" s="7" t="s">
        <v>12852</v>
      </c>
      <c r="G6048" s="8" t="s">
        <v>15</v>
      </c>
    </row>
    <row r="6049" spans="1:7" hidden="1" x14ac:dyDescent="0.25">
      <c r="A6049" s="21">
        <v>6048</v>
      </c>
      <c r="B6049" s="7" t="s">
        <v>12853</v>
      </c>
      <c r="C6049" s="7" t="s">
        <v>12854</v>
      </c>
      <c r="G6049" s="8" t="s">
        <v>15</v>
      </c>
    </row>
    <row r="6050" spans="1:7" hidden="1" x14ac:dyDescent="0.25">
      <c r="A6050" s="21">
        <v>6049</v>
      </c>
      <c r="B6050" s="7" t="s">
        <v>12855</v>
      </c>
      <c r="C6050" s="7" t="s">
        <v>12856</v>
      </c>
      <c r="G6050" s="8" t="s">
        <v>15</v>
      </c>
    </row>
    <row r="6051" spans="1:7" hidden="1" x14ac:dyDescent="0.25">
      <c r="A6051" s="21">
        <v>6050</v>
      </c>
      <c r="B6051" s="7" t="s">
        <v>12857</v>
      </c>
      <c r="C6051" s="7" t="s">
        <v>12858</v>
      </c>
      <c r="G6051" s="8" t="s">
        <v>15</v>
      </c>
    </row>
    <row r="6052" spans="1:7" hidden="1" x14ac:dyDescent="0.25">
      <c r="A6052" s="21">
        <v>6051</v>
      </c>
      <c r="B6052" s="7" t="s">
        <v>12859</v>
      </c>
      <c r="C6052" s="28" t="s">
        <v>19877</v>
      </c>
      <c r="G6052" s="8" t="s">
        <v>15</v>
      </c>
    </row>
    <row r="6053" spans="1:7" hidden="1" x14ac:dyDescent="0.25">
      <c r="A6053" s="21">
        <v>6052</v>
      </c>
      <c r="B6053" s="7" t="s">
        <v>12860</v>
      </c>
      <c r="C6053" s="7" t="s">
        <v>12861</v>
      </c>
      <c r="G6053" s="8" t="s">
        <v>15</v>
      </c>
    </row>
    <row r="6054" spans="1:7" hidden="1" x14ac:dyDescent="0.25">
      <c r="A6054" s="21">
        <v>6053</v>
      </c>
      <c r="B6054" s="7" t="s">
        <v>12862</v>
      </c>
      <c r="C6054" s="7" t="s">
        <v>12863</v>
      </c>
      <c r="G6054" s="8" t="s">
        <v>15</v>
      </c>
    </row>
    <row r="6055" spans="1:7" hidden="1" x14ac:dyDescent="0.25">
      <c r="A6055" s="21">
        <v>6054</v>
      </c>
      <c r="B6055" s="7" t="s">
        <v>12864</v>
      </c>
      <c r="C6055" s="7" t="s">
        <v>12865</v>
      </c>
      <c r="G6055" s="8" t="s">
        <v>15</v>
      </c>
    </row>
    <row r="6056" spans="1:7" hidden="1" x14ac:dyDescent="0.25">
      <c r="A6056" s="21">
        <v>6055</v>
      </c>
      <c r="B6056" s="7" t="s">
        <v>12866</v>
      </c>
      <c r="C6056" s="7" t="s">
        <v>12867</v>
      </c>
      <c r="G6056" s="8" t="s">
        <v>15</v>
      </c>
    </row>
    <row r="6057" spans="1:7" hidden="1" x14ac:dyDescent="0.25">
      <c r="A6057" s="21">
        <v>6056</v>
      </c>
      <c r="B6057" s="7" t="s">
        <v>12868</v>
      </c>
      <c r="C6057" s="7" t="s">
        <v>12869</v>
      </c>
      <c r="G6057" s="8" t="s">
        <v>15</v>
      </c>
    </row>
    <row r="6058" spans="1:7" hidden="1" x14ac:dyDescent="0.25">
      <c r="A6058" s="21">
        <v>6057</v>
      </c>
      <c r="B6058" s="7" t="s">
        <v>12870</v>
      </c>
      <c r="C6058" s="7" t="s">
        <v>12871</v>
      </c>
      <c r="G6058" s="8" t="s">
        <v>15</v>
      </c>
    </row>
    <row r="6059" spans="1:7" hidden="1" x14ac:dyDescent="0.25">
      <c r="A6059" s="21">
        <v>6058</v>
      </c>
      <c r="B6059" s="7" t="s">
        <v>12872</v>
      </c>
      <c r="C6059" s="7" t="s">
        <v>12873</v>
      </c>
      <c r="G6059" s="8" t="s">
        <v>15</v>
      </c>
    </row>
    <row r="6060" spans="1:7" hidden="1" x14ac:dyDescent="0.25">
      <c r="A6060" s="21">
        <v>6059</v>
      </c>
      <c r="B6060" s="7" t="s">
        <v>12874</v>
      </c>
      <c r="C6060" s="7" t="s">
        <v>12875</v>
      </c>
      <c r="G6060" s="8" t="s">
        <v>15</v>
      </c>
    </row>
    <row r="6061" spans="1:7" hidden="1" x14ac:dyDescent="0.25">
      <c r="A6061" s="21">
        <v>6060</v>
      </c>
      <c r="B6061" s="7" t="s">
        <v>12876</v>
      </c>
      <c r="C6061" s="7" t="s">
        <v>12877</v>
      </c>
      <c r="G6061" s="8" t="s">
        <v>15</v>
      </c>
    </row>
    <row r="6062" spans="1:7" hidden="1" x14ac:dyDescent="0.25">
      <c r="A6062" s="21">
        <v>6061</v>
      </c>
      <c r="B6062" s="7" t="s">
        <v>12878</v>
      </c>
      <c r="C6062" s="7" t="s">
        <v>12879</v>
      </c>
      <c r="G6062" s="8" t="s">
        <v>15</v>
      </c>
    </row>
    <row r="6063" spans="1:7" hidden="1" x14ac:dyDescent="0.25">
      <c r="A6063" s="21">
        <v>6062</v>
      </c>
      <c r="B6063" s="7" t="s">
        <v>12880</v>
      </c>
      <c r="C6063" s="7" t="s">
        <v>12881</v>
      </c>
      <c r="G6063" s="8" t="s">
        <v>15</v>
      </c>
    </row>
    <row r="6064" spans="1:7" hidden="1" x14ac:dyDescent="0.25">
      <c r="A6064" s="21">
        <v>6063</v>
      </c>
      <c r="B6064" s="7" t="s">
        <v>12882</v>
      </c>
      <c r="C6064" s="7" t="s">
        <v>12883</v>
      </c>
      <c r="G6064" s="8" t="s">
        <v>15</v>
      </c>
    </row>
    <row r="6065" spans="1:7" hidden="1" x14ac:dyDescent="0.25">
      <c r="A6065" s="21">
        <v>6064</v>
      </c>
      <c r="B6065" s="7" t="s">
        <v>12884</v>
      </c>
      <c r="C6065" s="7" t="s">
        <v>12885</v>
      </c>
      <c r="G6065" s="8" t="s">
        <v>15</v>
      </c>
    </row>
    <row r="6066" spans="1:7" hidden="1" x14ac:dyDescent="0.25">
      <c r="A6066" s="21">
        <v>6065</v>
      </c>
      <c r="B6066" s="7" t="s">
        <v>12886</v>
      </c>
      <c r="C6066" s="7" t="s">
        <v>12887</v>
      </c>
      <c r="G6066" s="8" t="s">
        <v>15</v>
      </c>
    </row>
    <row r="6067" spans="1:7" hidden="1" x14ac:dyDescent="0.25">
      <c r="A6067" s="21">
        <v>6066</v>
      </c>
      <c r="B6067" s="7" t="s">
        <v>12888</v>
      </c>
      <c r="C6067" s="7" t="s">
        <v>12889</v>
      </c>
      <c r="G6067" s="8" t="s">
        <v>15</v>
      </c>
    </row>
    <row r="6068" spans="1:7" hidden="1" x14ac:dyDescent="0.25">
      <c r="A6068" s="21">
        <v>6067</v>
      </c>
      <c r="B6068" s="7" t="s">
        <v>12890</v>
      </c>
      <c r="C6068" s="7" t="s">
        <v>12891</v>
      </c>
      <c r="G6068" s="8" t="s">
        <v>15</v>
      </c>
    </row>
    <row r="6069" spans="1:7" hidden="1" x14ac:dyDescent="0.25">
      <c r="A6069" s="21">
        <v>6068</v>
      </c>
      <c r="B6069" s="7" t="s">
        <v>12892</v>
      </c>
      <c r="C6069" s="7" t="s">
        <v>12893</v>
      </c>
      <c r="G6069" s="8" t="s">
        <v>15</v>
      </c>
    </row>
    <row r="6070" spans="1:7" hidden="1" x14ac:dyDescent="0.25">
      <c r="A6070" s="21">
        <v>6069</v>
      </c>
      <c r="B6070" s="7" t="s">
        <v>12894</v>
      </c>
      <c r="C6070" s="7" t="s">
        <v>12895</v>
      </c>
      <c r="G6070" s="8" t="s">
        <v>15</v>
      </c>
    </row>
    <row r="6071" spans="1:7" hidden="1" x14ac:dyDescent="0.25">
      <c r="A6071" s="21">
        <v>6070</v>
      </c>
      <c r="B6071" s="7" t="s">
        <v>12896</v>
      </c>
      <c r="C6071" s="7" t="s">
        <v>12897</v>
      </c>
      <c r="G6071" s="8" t="s">
        <v>15</v>
      </c>
    </row>
    <row r="6072" spans="1:7" hidden="1" x14ac:dyDescent="0.25">
      <c r="A6072" s="21">
        <v>6071</v>
      </c>
      <c r="B6072" s="7" t="s">
        <v>12898</v>
      </c>
      <c r="C6072" s="7" t="s">
        <v>12899</v>
      </c>
      <c r="G6072" s="8" t="s">
        <v>15</v>
      </c>
    </row>
    <row r="6073" spans="1:7" hidden="1" x14ac:dyDescent="0.25">
      <c r="A6073" s="21">
        <v>6072</v>
      </c>
      <c r="B6073" s="7" t="s">
        <v>12900</v>
      </c>
      <c r="C6073" s="7" t="s">
        <v>12901</v>
      </c>
      <c r="G6073" s="8" t="s">
        <v>15</v>
      </c>
    </row>
    <row r="6074" spans="1:7" hidden="1" x14ac:dyDescent="0.25">
      <c r="A6074" s="21">
        <v>6073</v>
      </c>
      <c r="B6074" s="7" t="s">
        <v>12902</v>
      </c>
      <c r="C6074" s="7" t="s">
        <v>12903</v>
      </c>
      <c r="G6074" s="8" t="s">
        <v>15</v>
      </c>
    </row>
    <row r="6075" spans="1:7" hidden="1" x14ac:dyDescent="0.25">
      <c r="A6075" s="21">
        <v>6074</v>
      </c>
      <c r="B6075" s="7" t="s">
        <v>12904</v>
      </c>
      <c r="C6075" s="7" t="s">
        <v>12905</v>
      </c>
      <c r="G6075" s="8" t="s">
        <v>15</v>
      </c>
    </row>
    <row r="6076" spans="1:7" hidden="1" x14ac:dyDescent="0.25">
      <c r="A6076" s="21">
        <v>6075</v>
      </c>
      <c r="B6076" s="7" t="s">
        <v>12906</v>
      </c>
      <c r="C6076" s="7" t="s">
        <v>12907</v>
      </c>
      <c r="G6076" s="8" t="s">
        <v>15</v>
      </c>
    </row>
    <row r="6077" spans="1:7" hidden="1" x14ac:dyDescent="0.25">
      <c r="A6077" s="21">
        <v>6076</v>
      </c>
      <c r="B6077" s="7" t="s">
        <v>12908</v>
      </c>
      <c r="C6077" s="7" t="s">
        <v>12909</v>
      </c>
      <c r="G6077" s="8" t="s">
        <v>15</v>
      </c>
    </row>
    <row r="6078" spans="1:7" hidden="1" x14ac:dyDescent="0.25">
      <c r="A6078" s="21">
        <v>6077</v>
      </c>
      <c r="B6078" s="7" t="s">
        <v>12910</v>
      </c>
      <c r="C6078" s="7" t="s">
        <v>12911</v>
      </c>
      <c r="G6078" s="8" t="s">
        <v>15</v>
      </c>
    </row>
    <row r="6079" spans="1:7" hidden="1" x14ac:dyDescent="0.25">
      <c r="A6079" s="21">
        <v>6078</v>
      </c>
      <c r="B6079" s="7" t="s">
        <v>12912</v>
      </c>
      <c r="C6079" s="7" t="s">
        <v>12913</v>
      </c>
      <c r="G6079" s="8" t="s">
        <v>15</v>
      </c>
    </row>
    <row r="6080" spans="1:7" hidden="1" x14ac:dyDescent="0.25">
      <c r="A6080" s="21">
        <v>6079</v>
      </c>
      <c r="B6080" s="7" t="s">
        <v>12914</v>
      </c>
      <c r="C6080" s="7" t="s">
        <v>12915</v>
      </c>
      <c r="G6080" s="8" t="s">
        <v>15</v>
      </c>
    </row>
    <row r="6081" spans="1:7" hidden="1" x14ac:dyDescent="0.25">
      <c r="A6081" s="21">
        <v>6080</v>
      </c>
      <c r="B6081" s="7" t="s">
        <v>12916</v>
      </c>
      <c r="C6081" s="7" t="s">
        <v>12917</v>
      </c>
      <c r="G6081" s="8" t="s">
        <v>15</v>
      </c>
    </row>
    <row r="6082" spans="1:7" hidden="1" x14ac:dyDescent="0.25">
      <c r="A6082" s="21">
        <v>6081</v>
      </c>
      <c r="B6082" s="7" t="s">
        <v>12918</v>
      </c>
      <c r="C6082" s="7" t="s">
        <v>12919</v>
      </c>
      <c r="G6082" s="8" t="s">
        <v>15</v>
      </c>
    </row>
    <row r="6083" spans="1:7" hidden="1" x14ac:dyDescent="0.25">
      <c r="A6083" s="21">
        <v>6082</v>
      </c>
      <c r="B6083" s="7" t="s">
        <v>12920</v>
      </c>
      <c r="C6083" s="7" t="s">
        <v>12921</v>
      </c>
      <c r="G6083" s="8" t="s">
        <v>15</v>
      </c>
    </row>
    <row r="6084" spans="1:7" hidden="1" x14ac:dyDescent="0.25">
      <c r="A6084" s="21">
        <v>6083</v>
      </c>
      <c r="B6084" s="7" t="s">
        <v>12922</v>
      </c>
      <c r="C6084" s="7" t="s">
        <v>12923</v>
      </c>
      <c r="G6084" s="8" t="s">
        <v>15</v>
      </c>
    </row>
    <row r="6085" spans="1:7" hidden="1" x14ac:dyDescent="0.25">
      <c r="A6085" s="21">
        <v>6084</v>
      </c>
      <c r="B6085" s="7" t="s">
        <v>12924</v>
      </c>
      <c r="C6085" s="7" t="s">
        <v>12925</v>
      </c>
      <c r="G6085" s="8" t="s">
        <v>15</v>
      </c>
    </row>
    <row r="6086" spans="1:7" hidden="1" x14ac:dyDescent="0.25">
      <c r="A6086" s="21">
        <v>6085</v>
      </c>
      <c r="B6086" s="7" t="s">
        <v>12926</v>
      </c>
      <c r="C6086" s="7" t="s">
        <v>12927</v>
      </c>
      <c r="G6086" s="8" t="s">
        <v>15</v>
      </c>
    </row>
    <row r="6087" spans="1:7" hidden="1" x14ac:dyDescent="0.25">
      <c r="A6087" s="21">
        <v>6086</v>
      </c>
      <c r="B6087" s="7" t="s">
        <v>12928</v>
      </c>
      <c r="C6087" s="7" t="s">
        <v>12929</v>
      </c>
      <c r="G6087" s="8" t="s">
        <v>15</v>
      </c>
    </row>
    <row r="6088" spans="1:7" hidden="1" x14ac:dyDescent="0.25">
      <c r="A6088" s="21">
        <v>6087</v>
      </c>
      <c r="B6088" s="7" t="s">
        <v>12930</v>
      </c>
      <c r="C6088" s="7" t="s">
        <v>12931</v>
      </c>
      <c r="G6088" s="8" t="s">
        <v>15</v>
      </c>
    </row>
    <row r="6089" spans="1:7" hidden="1" x14ac:dyDescent="0.25">
      <c r="A6089" s="21">
        <v>6088</v>
      </c>
      <c r="B6089" s="7" t="s">
        <v>12932</v>
      </c>
      <c r="C6089" s="7" t="s">
        <v>12933</v>
      </c>
      <c r="G6089" s="8" t="s">
        <v>15</v>
      </c>
    </row>
    <row r="6090" spans="1:7" hidden="1" x14ac:dyDescent="0.25">
      <c r="A6090" s="21">
        <v>6089</v>
      </c>
      <c r="B6090" s="7" t="s">
        <v>12934</v>
      </c>
      <c r="C6090" s="7" t="s">
        <v>12935</v>
      </c>
      <c r="G6090" s="8" t="s">
        <v>15</v>
      </c>
    </row>
    <row r="6091" spans="1:7" hidden="1" x14ac:dyDescent="0.25">
      <c r="A6091" s="21">
        <v>6090</v>
      </c>
      <c r="B6091" s="7" t="s">
        <v>12936</v>
      </c>
      <c r="C6091" s="7" t="s">
        <v>12937</v>
      </c>
      <c r="G6091" s="8" t="s">
        <v>15</v>
      </c>
    </row>
    <row r="6092" spans="1:7" hidden="1" x14ac:dyDescent="0.25">
      <c r="A6092" s="21">
        <v>6091</v>
      </c>
      <c r="B6092" s="7" t="s">
        <v>12938</v>
      </c>
      <c r="C6092" s="7" t="s">
        <v>12939</v>
      </c>
      <c r="G6092" s="8" t="s">
        <v>15</v>
      </c>
    </row>
    <row r="6093" spans="1:7" hidden="1" x14ac:dyDescent="0.25">
      <c r="A6093" s="21">
        <v>6092</v>
      </c>
      <c r="B6093" s="7" t="s">
        <v>12940</v>
      </c>
      <c r="C6093" s="7" t="s">
        <v>12941</v>
      </c>
      <c r="G6093" s="8" t="s">
        <v>15</v>
      </c>
    </row>
    <row r="6094" spans="1:7" hidden="1" x14ac:dyDescent="0.25">
      <c r="A6094" s="21">
        <v>6093</v>
      </c>
      <c r="B6094" s="7" t="s">
        <v>12942</v>
      </c>
      <c r="C6094" s="7" t="s">
        <v>12943</v>
      </c>
      <c r="G6094" s="8" t="s">
        <v>15</v>
      </c>
    </row>
    <row r="6095" spans="1:7" hidden="1" x14ac:dyDescent="0.25">
      <c r="A6095" s="21">
        <v>6094</v>
      </c>
      <c r="B6095" s="7" t="s">
        <v>12944</v>
      </c>
      <c r="C6095" s="7" t="s">
        <v>12945</v>
      </c>
      <c r="G6095" s="8" t="s">
        <v>15</v>
      </c>
    </row>
    <row r="6096" spans="1:7" hidden="1" x14ac:dyDescent="0.25">
      <c r="A6096" s="21">
        <v>6095</v>
      </c>
      <c r="B6096" s="7" t="s">
        <v>12946</v>
      </c>
      <c r="C6096" s="7" t="s">
        <v>12947</v>
      </c>
      <c r="G6096" s="8" t="s">
        <v>15</v>
      </c>
    </row>
    <row r="6097" spans="1:7" hidden="1" x14ac:dyDescent="0.25">
      <c r="A6097" s="21">
        <v>6096</v>
      </c>
      <c r="B6097" s="7" t="s">
        <v>12948</v>
      </c>
      <c r="C6097" s="7" t="s">
        <v>12949</v>
      </c>
      <c r="G6097" s="8" t="s">
        <v>15</v>
      </c>
    </row>
    <row r="6098" spans="1:7" hidden="1" x14ac:dyDescent="0.25">
      <c r="A6098" s="21">
        <v>6097</v>
      </c>
      <c r="B6098" s="7" t="s">
        <v>12950</v>
      </c>
      <c r="C6098" s="7" t="s">
        <v>12951</v>
      </c>
      <c r="G6098" s="8" t="s">
        <v>15</v>
      </c>
    </row>
    <row r="6099" spans="1:7" hidden="1" x14ac:dyDescent="0.25">
      <c r="A6099" s="21">
        <v>6098</v>
      </c>
      <c r="B6099" s="7" t="s">
        <v>12952</v>
      </c>
      <c r="C6099" s="7" t="s">
        <v>12953</v>
      </c>
      <c r="G6099" s="8" t="s">
        <v>15</v>
      </c>
    </row>
    <row r="6100" spans="1:7" hidden="1" x14ac:dyDescent="0.25">
      <c r="A6100" s="21">
        <v>6099</v>
      </c>
      <c r="B6100" s="7" t="s">
        <v>12954</v>
      </c>
      <c r="C6100" s="7" t="s">
        <v>12955</v>
      </c>
      <c r="G6100" s="8" t="s">
        <v>15</v>
      </c>
    </row>
    <row r="6101" spans="1:7" hidden="1" x14ac:dyDescent="0.25">
      <c r="A6101" s="21">
        <v>6100</v>
      </c>
      <c r="B6101" s="7" t="s">
        <v>12956</v>
      </c>
      <c r="C6101" s="7" t="s">
        <v>12957</v>
      </c>
      <c r="G6101" s="8" t="s">
        <v>15</v>
      </c>
    </row>
    <row r="6102" spans="1:7" hidden="1" x14ac:dyDescent="0.25">
      <c r="A6102" s="21">
        <v>6101</v>
      </c>
      <c r="B6102" s="7" t="s">
        <v>12958</v>
      </c>
      <c r="C6102" s="7" t="s">
        <v>12959</v>
      </c>
      <c r="G6102" s="8" t="s">
        <v>15</v>
      </c>
    </row>
    <row r="6103" spans="1:7" hidden="1" x14ac:dyDescent="0.25">
      <c r="A6103" s="21">
        <v>6102</v>
      </c>
      <c r="B6103" s="7" t="s">
        <v>12960</v>
      </c>
      <c r="C6103" s="7" t="s">
        <v>12961</v>
      </c>
      <c r="G6103" s="8" t="s">
        <v>15</v>
      </c>
    </row>
    <row r="6104" spans="1:7" hidden="1" x14ac:dyDescent="0.25">
      <c r="A6104" s="21">
        <v>6103</v>
      </c>
      <c r="B6104" s="7" t="s">
        <v>12962</v>
      </c>
      <c r="C6104" s="7" t="s">
        <v>12963</v>
      </c>
      <c r="G6104" s="8" t="s">
        <v>15</v>
      </c>
    </row>
    <row r="6105" spans="1:7" hidden="1" x14ac:dyDescent="0.25">
      <c r="A6105" s="21">
        <v>6104</v>
      </c>
      <c r="B6105" s="7" t="s">
        <v>12964</v>
      </c>
      <c r="C6105" s="7" t="s">
        <v>12965</v>
      </c>
      <c r="G6105" s="8" t="s">
        <v>15</v>
      </c>
    </row>
    <row r="6106" spans="1:7" hidden="1" x14ac:dyDescent="0.25">
      <c r="A6106" s="21">
        <v>6105</v>
      </c>
      <c r="B6106" s="7" t="s">
        <v>12966</v>
      </c>
      <c r="C6106" s="7" t="s">
        <v>12967</v>
      </c>
      <c r="G6106" s="8" t="s">
        <v>15</v>
      </c>
    </row>
    <row r="6107" spans="1:7" hidden="1" x14ac:dyDescent="0.25">
      <c r="A6107" s="21">
        <v>6106</v>
      </c>
      <c r="B6107" s="7" t="s">
        <v>12968</v>
      </c>
      <c r="C6107" s="7" t="s">
        <v>12969</v>
      </c>
      <c r="G6107" s="8" t="s">
        <v>15</v>
      </c>
    </row>
    <row r="6108" spans="1:7" hidden="1" x14ac:dyDescent="0.25">
      <c r="A6108" s="21">
        <v>6107</v>
      </c>
      <c r="B6108" s="7" t="s">
        <v>12970</v>
      </c>
      <c r="C6108" s="7" t="s">
        <v>12971</v>
      </c>
      <c r="G6108" s="8" t="s">
        <v>15</v>
      </c>
    </row>
    <row r="6109" spans="1:7" hidden="1" x14ac:dyDescent="0.25">
      <c r="A6109" s="21">
        <v>6108</v>
      </c>
      <c r="B6109" s="7" t="s">
        <v>12972</v>
      </c>
      <c r="C6109" s="7" t="s">
        <v>12973</v>
      </c>
      <c r="G6109" s="8" t="s">
        <v>15</v>
      </c>
    </row>
    <row r="6110" spans="1:7" hidden="1" x14ac:dyDescent="0.25">
      <c r="A6110" s="21">
        <v>6109</v>
      </c>
      <c r="B6110" s="7" t="s">
        <v>12974</v>
      </c>
      <c r="C6110" s="7" t="s">
        <v>12975</v>
      </c>
      <c r="G6110" s="8" t="s">
        <v>15</v>
      </c>
    </row>
    <row r="6111" spans="1:7" hidden="1" x14ac:dyDescent="0.25">
      <c r="A6111" s="21">
        <v>6110</v>
      </c>
      <c r="B6111" s="7" t="s">
        <v>12976</v>
      </c>
      <c r="C6111" s="7" t="s">
        <v>12977</v>
      </c>
      <c r="G6111" s="8" t="s">
        <v>15</v>
      </c>
    </row>
    <row r="6112" spans="1:7" hidden="1" x14ac:dyDescent="0.25">
      <c r="A6112" s="21">
        <v>6111</v>
      </c>
      <c r="B6112" s="7" t="s">
        <v>12978</v>
      </c>
      <c r="C6112" s="7" t="s">
        <v>12979</v>
      </c>
      <c r="G6112" s="8" t="s">
        <v>15</v>
      </c>
    </row>
    <row r="6113" spans="1:7" hidden="1" x14ac:dyDescent="0.25">
      <c r="A6113" s="21">
        <v>6112</v>
      </c>
      <c r="B6113" s="7" t="s">
        <v>12980</v>
      </c>
      <c r="C6113" s="7" t="s">
        <v>12981</v>
      </c>
      <c r="G6113" s="8" t="s">
        <v>15</v>
      </c>
    </row>
    <row r="6114" spans="1:7" hidden="1" x14ac:dyDescent="0.25">
      <c r="A6114" s="21">
        <v>6113</v>
      </c>
      <c r="B6114" s="7" t="s">
        <v>12982</v>
      </c>
      <c r="C6114" s="7" t="s">
        <v>12983</v>
      </c>
      <c r="G6114" s="8" t="s">
        <v>15</v>
      </c>
    </row>
    <row r="6115" spans="1:7" hidden="1" x14ac:dyDescent="0.25">
      <c r="A6115" s="21">
        <v>6114</v>
      </c>
      <c r="B6115" s="7" t="s">
        <v>12984</v>
      </c>
      <c r="C6115" s="7" t="s">
        <v>12985</v>
      </c>
      <c r="G6115" s="8" t="s">
        <v>15</v>
      </c>
    </row>
    <row r="6116" spans="1:7" hidden="1" x14ac:dyDescent="0.25">
      <c r="A6116" s="21">
        <v>6115</v>
      </c>
      <c r="B6116" s="7" t="s">
        <v>12986</v>
      </c>
      <c r="C6116" s="7" t="s">
        <v>12987</v>
      </c>
      <c r="G6116" s="8" t="s">
        <v>15</v>
      </c>
    </row>
    <row r="6117" spans="1:7" hidden="1" x14ac:dyDescent="0.25">
      <c r="A6117" s="21">
        <v>6116</v>
      </c>
      <c r="B6117" s="7" t="s">
        <v>12988</v>
      </c>
      <c r="C6117" s="7" t="s">
        <v>12989</v>
      </c>
      <c r="G6117" s="8" t="s">
        <v>15</v>
      </c>
    </row>
    <row r="6118" spans="1:7" hidden="1" x14ac:dyDescent="0.25">
      <c r="A6118" s="21">
        <v>6117</v>
      </c>
      <c r="B6118" s="7" t="s">
        <v>12990</v>
      </c>
      <c r="C6118" s="7" t="s">
        <v>12991</v>
      </c>
      <c r="G6118" s="8" t="s">
        <v>15</v>
      </c>
    </row>
    <row r="6119" spans="1:7" hidden="1" x14ac:dyDescent="0.25">
      <c r="A6119" s="21">
        <v>6118</v>
      </c>
      <c r="B6119" s="7" t="s">
        <v>12992</v>
      </c>
      <c r="C6119" s="7" t="s">
        <v>12993</v>
      </c>
      <c r="G6119" s="8" t="s">
        <v>15</v>
      </c>
    </row>
    <row r="6120" spans="1:7" hidden="1" x14ac:dyDescent="0.25">
      <c r="A6120" s="21">
        <v>6119</v>
      </c>
      <c r="B6120" s="7" t="s">
        <v>12994</v>
      </c>
      <c r="C6120" s="7" t="s">
        <v>12995</v>
      </c>
      <c r="G6120" s="8" t="s">
        <v>15</v>
      </c>
    </row>
    <row r="6121" spans="1:7" hidden="1" x14ac:dyDescent="0.25">
      <c r="A6121" s="21">
        <v>6120</v>
      </c>
      <c r="B6121" s="7" t="s">
        <v>12996</v>
      </c>
      <c r="C6121" s="7" t="s">
        <v>12997</v>
      </c>
      <c r="G6121" s="8" t="s">
        <v>15</v>
      </c>
    </row>
    <row r="6122" spans="1:7" hidden="1" x14ac:dyDescent="0.25">
      <c r="A6122" s="21">
        <v>6121</v>
      </c>
      <c r="B6122" s="7" t="s">
        <v>12998</v>
      </c>
      <c r="C6122" s="7" t="s">
        <v>12999</v>
      </c>
      <c r="G6122" s="8" t="s">
        <v>15</v>
      </c>
    </row>
    <row r="6123" spans="1:7" hidden="1" x14ac:dyDescent="0.25">
      <c r="A6123" s="21">
        <v>6122</v>
      </c>
      <c r="B6123" s="7" t="s">
        <v>13000</v>
      </c>
      <c r="C6123" s="7" t="s">
        <v>13001</v>
      </c>
      <c r="G6123" s="8" t="s">
        <v>15</v>
      </c>
    </row>
    <row r="6124" spans="1:7" hidden="1" x14ac:dyDescent="0.25">
      <c r="A6124" s="21">
        <v>6123</v>
      </c>
      <c r="B6124" s="7" t="s">
        <v>13002</v>
      </c>
      <c r="C6124" s="7" t="s">
        <v>13003</v>
      </c>
      <c r="G6124" s="8" t="s">
        <v>15</v>
      </c>
    </row>
    <row r="6125" spans="1:7" hidden="1" x14ac:dyDescent="0.25">
      <c r="A6125" s="21">
        <v>6124</v>
      </c>
      <c r="B6125" s="7" t="s">
        <v>13004</v>
      </c>
      <c r="C6125" s="7" t="s">
        <v>13005</v>
      </c>
      <c r="G6125" s="8" t="s">
        <v>15</v>
      </c>
    </row>
    <row r="6126" spans="1:7" hidden="1" x14ac:dyDescent="0.25">
      <c r="A6126" s="21">
        <v>6125</v>
      </c>
      <c r="B6126" s="7" t="s">
        <v>13006</v>
      </c>
      <c r="C6126" s="7" t="s">
        <v>13007</v>
      </c>
      <c r="G6126" s="8" t="s">
        <v>15</v>
      </c>
    </row>
    <row r="6127" spans="1:7" hidden="1" x14ac:dyDescent="0.25">
      <c r="A6127" s="21">
        <v>6126</v>
      </c>
      <c r="B6127" s="7" t="s">
        <v>13008</v>
      </c>
      <c r="C6127" s="7" t="s">
        <v>13009</v>
      </c>
      <c r="G6127" s="8" t="s">
        <v>15</v>
      </c>
    </row>
    <row r="6128" spans="1:7" hidden="1" x14ac:dyDescent="0.25">
      <c r="A6128" s="21">
        <v>6127</v>
      </c>
      <c r="B6128" s="7" t="s">
        <v>13010</v>
      </c>
      <c r="C6128" s="7" t="s">
        <v>13011</v>
      </c>
      <c r="G6128" s="8" t="s">
        <v>15</v>
      </c>
    </row>
    <row r="6129" spans="1:7" hidden="1" x14ac:dyDescent="0.25">
      <c r="A6129" s="21">
        <v>6128</v>
      </c>
      <c r="B6129" s="7" t="s">
        <v>13012</v>
      </c>
      <c r="C6129" s="7" t="s">
        <v>13013</v>
      </c>
      <c r="G6129" s="8" t="s">
        <v>15</v>
      </c>
    </row>
    <row r="6130" spans="1:7" hidden="1" x14ac:dyDescent="0.25">
      <c r="A6130" s="21">
        <v>6129</v>
      </c>
      <c r="B6130" s="7" t="s">
        <v>13014</v>
      </c>
      <c r="C6130" s="7" t="s">
        <v>13015</v>
      </c>
      <c r="G6130" s="8" t="s">
        <v>15</v>
      </c>
    </row>
    <row r="6131" spans="1:7" hidden="1" x14ac:dyDescent="0.25">
      <c r="A6131" s="21">
        <v>6130</v>
      </c>
      <c r="B6131" s="7" t="s">
        <v>13016</v>
      </c>
      <c r="C6131" s="7" t="s">
        <v>13017</v>
      </c>
      <c r="G6131" s="8" t="s">
        <v>15</v>
      </c>
    </row>
    <row r="6132" spans="1:7" hidden="1" x14ac:dyDescent="0.25">
      <c r="A6132" s="21">
        <v>6131</v>
      </c>
      <c r="B6132" s="7" t="s">
        <v>13018</v>
      </c>
      <c r="C6132" s="7" t="s">
        <v>13019</v>
      </c>
      <c r="G6132" s="8" t="s">
        <v>15</v>
      </c>
    </row>
    <row r="6133" spans="1:7" hidden="1" x14ac:dyDescent="0.25">
      <c r="A6133" s="21">
        <v>6132</v>
      </c>
      <c r="B6133" s="7" t="s">
        <v>13020</v>
      </c>
      <c r="C6133" s="7" t="s">
        <v>13021</v>
      </c>
      <c r="G6133" s="8" t="s">
        <v>15</v>
      </c>
    </row>
    <row r="6134" spans="1:7" hidden="1" x14ac:dyDescent="0.25">
      <c r="A6134" s="21">
        <v>6133</v>
      </c>
      <c r="B6134" s="7" t="s">
        <v>13022</v>
      </c>
      <c r="C6134" s="7" t="s">
        <v>13023</v>
      </c>
      <c r="G6134" s="8" t="s">
        <v>15</v>
      </c>
    </row>
    <row r="6135" spans="1:7" hidden="1" x14ac:dyDescent="0.25">
      <c r="A6135" s="21">
        <v>6134</v>
      </c>
      <c r="B6135" s="7" t="s">
        <v>13024</v>
      </c>
      <c r="C6135" s="7" t="s">
        <v>13025</v>
      </c>
      <c r="G6135" s="8" t="s">
        <v>15</v>
      </c>
    </row>
    <row r="6136" spans="1:7" hidden="1" x14ac:dyDescent="0.25">
      <c r="A6136" s="21">
        <v>6135</v>
      </c>
      <c r="B6136" s="7" t="s">
        <v>13026</v>
      </c>
      <c r="C6136" s="7" t="s">
        <v>13027</v>
      </c>
      <c r="G6136" s="8" t="s">
        <v>15</v>
      </c>
    </row>
    <row r="6137" spans="1:7" hidden="1" x14ac:dyDescent="0.25">
      <c r="A6137" s="21">
        <v>6136</v>
      </c>
      <c r="B6137" s="7" t="s">
        <v>13028</v>
      </c>
      <c r="C6137" s="7" t="s">
        <v>13029</v>
      </c>
      <c r="G6137" s="8" t="s">
        <v>15</v>
      </c>
    </row>
    <row r="6138" spans="1:7" hidden="1" x14ac:dyDescent="0.25">
      <c r="A6138" s="21">
        <v>6137</v>
      </c>
      <c r="B6138" s="7" t="s">
        <v>13030</v>
      </c>
      <c r="C6138" s="7" t="s">
        <v>13031</v>
      </c>
      <c r="G6138" s="8" t="s">
        <v>15</v>
      </c>
    </row>
    <row r="6139" spans="1:7" hidden="1" x14ac:dyDescent="0.25">
      <c r="A6139" s="21">
        <v>6138</v>
      </c>
      <c r="B6139" s="7" t="s">
        <v>13032</v>
      </c>
      <c r="C6139" s="7" t="s">
        <v>13033</v>
      </c>
      <c r="G6139" s="8" t="s">
        <v>15</v>
      </c>
    </row>
    <row r="6140" spans="1:7" hidden="1" x14ac:dyDescent="0.25">
      <c r="A6140" s="21">
        <v>6139</v>
      </c>
      <c r="B6140" s="7" t="s">
        <v>13034</v>
      </c>
      <c r="C6140" s="7" t="s">
        <v>13035</v>
      </c>
      <c r="G6140" s="8" t="s">
        <v>15</v>
      </c>
    </row>
    <row r="6141" spans="1:7" hidden="1" x14ac:dyDescent="0.25">
      <c r="A6141" s="21">
        <v>6140</v>
      </c>
      <c r="B6141" s="7" t="s">
        <v>13036</v>
      </c>
      <c r="C6141" s="7" t="s">
        <v>13037</v>
      </c>
      <c r="G6141" s="8" t="s">
        <v>15</v>
      </c>
    </row>
    <row r="6142" spans="1:7" hidden="1" x14ac:dyDescent="0.25">
      <c r="A6142" s="21">
        <v>6141</v>
      </c>
      <c r="B6142" s="7" t="s">
        <v>13038</v>
      </c>
      <c r="C6142" s="7" t="s">
        <v>13039</v>
      </c>
      <c r="G6142" s="8" t="s">
        <v>15</v>
      </c>
    </row>
    <row r="6143" spans="1:7" hidden="1" x14ac:dyDescent="0.25">
      <c r="A6143" s="21">
        <v>6142</v>
      </c>
      <c r="B6143" s="7" t="s">
        <v>13040</v>
      </c>
      <c r="C6143" s="7" t="s">
        <v>13041</v>
      </c>
      <c r="G6143" s="8" t="s">
        <v>15</v>
      </c>
    </row>
    <row r="6144" spans="1:7" hidden="1" x14ac:dyDescent="0.25">
      <c r="A6144" s="21">
        <v>6143</v>
      </c>
      <c r="B6144" s="7" t="s">
        <v>13042</v>
      </c>
      <c r="C6144" s="7" t="s">
        <v>13043</v>
      </c>
      <c r="G6144" s="8" t="s">
        <v>15</v>
      </c>
    </row>
    <row r="6145" spans="1:7" hidden="1" x14ac:dyDescent="0.25">
      <c r="A6145" s="21">
        <v>6144</v>
      </c>
      <c r="B6145" s="7" t="s">
        <v>13044</v>
      </c>
      <c r="C6145" s="7" t="s">
        <v>13045</v>
      </c>
      <c r="G6145" s="8" t="s">
        <v>15</v>
      </c>
    </row>
    <row r="6146" spans="1:7" hidden="1" x14ac:dyDescent="0.25">
      <c r="A6146" s="21">
        <v>6145</v>
      </c>
      <c r="B6146" s="7" t="s">
        <v>13046</v>
      </c>
      <c r="C6146" s="7" t="s">
        <v>13047</v>
      </c>
      <c r="G6146" s="8" t="s">
        <v>15</v>
      </c>
    </row>
    <row r="6147" spans="1:7" hidden="1" x14ac:dyDescent="0.25">
      <c r="A6147" s="21">
        <v>6146</v>
      </c>
      <c r="B6147" s="7" t="s">
        <v>13048</v>
      </c>
      <c r="C6147" s="7" t="s">
        <v>13049</v>
      </c>
      <c r="G6147" s="8" t="s">
        <v>15</v>
      </c>
    </row>
    <row r="6148" spans="1:7" hidden="1" x14ac:dyDescent="0.25">
      <c r="A6148" s="21">
        <v>6147</v>
      </c>
      <c r="B6148" s="7" t="s">
        <v>13050</v>
      </c>
      <c r="C6148" s="7" t="s">
        <v>13051</v>
      </c>
      <c r="G6148" s="8" t="s">
        <v>15</v>
      </c>
    </row>
    <row r="6149" spans="1:7" hidden="1" x14ac:dyDescent="0.25">
      <c r="A6149" s="21">
        <v>6148</v>
      </c>
      <c r="B6149" s="7" t="s">
        <v>13052</v>
      </c>
      <c r="C6149" s="7" t="s">
        <v>13053</v>
      </c>
      <c r="G6149" s="8" t="s">
        <v>15</v>
      </c>
    </row>
    <row r="6150" spans="1:7" hidden="1" x14ac:dyDescent="0.25">
      <c r="A6150" s="21">
        <v>6149</v>
      </c>
      <c r="B6150" s="7" t="s">
        <v>13054</v>
      </c>
      <c r="C6150" s="7" t="s">
        <v>13055</v>
      </c>
      <c r="G6150" s="8" t="s">
        <v>15</v>
      </c>
    </row>
    <row r="6151" spans="1:7" hidden="1" x14ac:dyDescent="0.25">
      <c r="A6151" s="21">
        <v>6150</v>
      </c>
      <c r="B6151" s="7" t="s">
        <v>13056</v>
      </c>
      <c r="C6151" s="7" t="s">
        <v>13057</v>
      </c>
      <c r="G6151" s="8" t="s">
        <v>15</v>
      </c>
    </row>
    <row r="6152" spans="1:7" hidden="1" x14ac:dyDescent="0.25">
      <c r="A6152" s="21">
        <v>6151</v>
      </c>
      <c r="B6152" s="7" t="s">
        <v>13058</v>
      </c>
      <c r="C6152" s="7" t="s">
        <v>13059</v>
      </c>
      <c r="G6152" s="8" t="s">
        <v>15</v>
      </c>
    </row>
    <row r="6153" spans="1:7" hidden="1" x14ac:dyDescent="0.25">
      <c r="A6153" s="21">
        <v>6152</v>
      </c>
      <c r="B6153" s="7" t="s">
        <v>13060</v>
      </c>
      <c r="C6153" s="7" t="s">
        <v>13061</v>
      </c>
      <c r="G6153" s="8" t="s">
        <v>15</v>
      </c>
    </row>
    <row r="6154" spans="1:7" hidden="1" x14ac:dyDescent="0.25">
      <c r="A6154" s="21">
        <v>6153</v>
      </c>
      <c r="B6154" s="7" t="s">
        <v>13062</v>
      </c>
      <c r="C6154" s="7" t="s">
        <v>13063</v>
      </c>
      <c r="G6154" s="8" t="s">
        <v>15</v>
      </c>
    </row>
    <row r="6155" spans="1:7" hidden="1" x14ac:dyDescent="0.25">
      <c r="A6155" s="21">
        <v>6154</v>
      </c>
      <c r="B6155" s="7" t="s">
        <v>13064</v>
      </c>
      <c r="C6155" s="7" t="s">
        <v>13065</v>
      </c>
      <c r="G6155" s="8" t="s">
        <v>15</v>
      </c>
    </row>
    <row r="6156" spans="1:7" hidden="1" x14ac:dyDescent="0.25">
      <c r="A6156" s="21">
        <v>6155</v>
      </c>
      <c r="B6156" s="7" t="s">
        <v>13066</v>
      </c>
      <c r="C6156" s="7" t="s">
        <v>13067</v>
      </c>
      <c r="G6156" s="8" t="s">
        <v>15</v>
      </c>
    </row>
    <row r="6157" spans="1:7" hidden="1" x14ac:dyDescent="0.25">
      <c r="A6157" s="21">
        <v>6156</v>
      </c>
      <c r="B6157" s="7" t="s">
        <v>13068</v>
      </c>
      <c r="C6157" s="7" t="s">
        <v>13069</v>
      </c>
      <c r="G6157" s="8" t="s">
        <v>15</v>
      </c>
    </row>
    <row r="6158" spans="1:7" hidden="1" x14ac:dyDescent="0.25">
      <c r="A6158" s="21">
        <v>6157</v>
      </c>
      <c r="B6158" s="7" t="s">
        <v>13070</v>
      </c>
      <c r="C6158" s="7" t="s">
        <v>13071</v>
      </c>
      <c r="G6158" s="8" t="s">
        <v>15</v>
      </c>
    </row>
    <row r="6159" spans="1:7" hidden="1" x14ac:dyDescent="0.25">
      <c r="A6159" s="21">
        <v>6158</v>
      </c>
      <c r="B6159" s="7" t="s">
        <v>13072</v>
      </c>
      <c r="C6159" s="7" t="s">
        <v>13073</v>
      </c>
      <c r="G6159" s="8" t="s">
        <v>15</v>
      </c>
    </row>
    <row r="6160" spans="1:7" hidden="1" x14ac:dyDescent="0.25">
      <c r="A6160" s="21">
        <v>6159</v>
      </c>
      <c r="B6160" s="7" t="s">
        <v>13074</v>
      </c>
      <c r="C6160" s="7" t="s">
        <v>13075</v>
      </c>
      <c r="G6160" s="8" t="s">
        <v>15</v>
      </c>
    </row>
    <row r="6161" spans="1:7" hidden="1" x14ac:dyDescent="0.25">
      <c r="A6161" s="21">
        <v>6160</v>
      </c>
      <c r="B6161" s="7" t="s">
        <v>13076</v>
      </c>
      <c r="C6161" s="7" t="s">
        <v>13077</v>
      </c>
      <c r="G6161" s="8" t="s">
        <v>15</v>
      </c>
    </row>
    <row r="6162" spans="1:7" hidden="1" x14ac:dyDescent="0.25">
      <c r="A6162" s="21">
        <v>6161</v>
      </c>
      <c r="B6162" s="7" t="s">
        <v>13078</v>
      </c>
      <c r="C6162" s="7" t="s">
        <v>13079</v>
      </c>
      <c r="G6162" s="8" t="s">
        <v>15</v>
      </c>
    </row>
    <row r="6163" spans="1:7" hidden="1" x14ac:dyDescent="0.25">
      <c r="A6163" s="21">
        <v>6162</v>
      </c>
      <c r="B6163" s="7" t="s">
        <v>13080</v>
      </c>
      <c r="C6163" s="7" t="s">
        <v>13081</v>
      </c>
      <c r="G6163" s="8" t="s">
        <v>15</v>
      </c>
    </row>
    <row r="6164" spans="1:7" hidden="1" x14ac:dyDescent="0.25">
      <c r="A6164" s="21">
        <v>6163</v>
      </c>
      <c r="B6164" s="7" t="s">
        <v>13082</v>
      </c>
      <c r="C6164" s="7" t="s">
        <v>13083</v>
      </c>
      <c r="G6164" s="8" t="s">
        <v>15</v>
      </c>
    </row>
    <row r="6165" spans="1:7" hidden="1" x14ac:dyDescent="0.25">
      <c r="A6165" s="21">
        <v>6164</v>
      </c>
      <c r="B6165" s="7" t="s">
        <v>13084</v>
      </c>
      <c r="C6165" s="7" t="s">
        <v>13085</v>
      </c>
      <c r="G6165" s="8" t="s">
        <v>15</v>
      </c>
    </row>
    <row r="6166" spans="1:7" hidden="1" x14ac:dyDescent="0.25">
      <c r="A6166" s="21">
        <v>6165</v>
      </c>
      <c r="B6166" s="7" t="s">
        <v>13086</v>
      </c>
      <c r="C6166" s="7" t="s">
        <v>13087</v>
      </c>
      <c r="G6166" s="8" t="s">
        <v>15</v>
      </c>
    </row>
    <row r="6167" spans="1:7" hidden="1" x14ac:dyDescent="0.25">
      <c r="A6167" s="21">
        <v>6166</v>
      </c>
      <c r="B6167" s="7" t="s">
        <v>13088</v>
      </c>
      <c r="C6167" s="7" t="s">
        <v>13089</v>
      </c>
      <c r="G6167" s="8" t="s">
        <v>15</v>
      </c>
    </row>
    <row r="6168" spans="1:7" hidden="1" x14ac:dyDescent="0.25">
      <c r="A6168" s="21">
        <v>6167</v>
      </c>
      <c r="B6168" s="7" t="s">
        <v>13090</v>
      </c>
      <c r="C6168" s="7" t="s">
        <v>13091</v>
      </c>
      <c r="G6168" s="8" t="s">
        <v>15</v>
      </c>
    </row>
    <row r="6169" spans="1:7" hidden="1" x14ac:dyDescent="0.25">
      <c r="A6169" s="21">
        <v>6168</v>
      </c>
      <c r="B6169" s="7" t="s">
        <v>13092</v>
      </c>
      <c r="C6169" s="7" t="s">
        <v>13093</v>
      </c>
      <c r="G6169" s="8" t="s">
        <v>15</v>
      </c>
    </row>
    <row r="6170" spans="1:7" hidden="1" x14ac:dyDescent="0.25">
      <c r="A6170" s="21">
        <v>6169</v>
      </c>
      <c r="B6170" s="7" t="s">
        <v>13094</v>
      </c>
      <c r="C6170" s="7" t="s">
        <v>13095</v>
      </c>
      <c r="G6170" s="8" t="s">
        <v>15</v>
      </c>
    </row>
    <row r="6171" spans="1:7" hidden="1" x14ac:dyDescent="0.25">
      <c r="A6171" s="21">
        <v>6170</v>
      </c>
      <c r="B6171" s="7" t="s">
        <v>13096</v>
      </c>
      <c r="C6171" s="7" t="s">
        <v>13097</v>
      </c>
      <c r="G6171" s="8" t="s">
        <v>15</v>
      </c>
    </row>
    <row r="6172" spans="1:7" hidden="1" x14ac:dyDescent="0.25">
      <c r="A6172" s="21">
        <v>6171</v>
      </c>
      <c r="B6172" s="7" t="s">
        <v>13098</v>
      </c>
      <c r="C6172" s="7" t="s">
        <v>13099</v>
      </c>
      <c r="G6172" s="8" t="s">
        <v>15</v>
      </c>
    </row>
    <row r="6173" spans="1:7" hidden="1" x14ac:dyDescent="0.25">
      <c r="A6173" s="21">
        <v>6172</v>
      </c>
      <c r="B6173" s="7" t="s">
        <v>13100</v>
      </c>
      <c r="C6173" s="7" t="s">
        <v>13101</v>
      </c>
      <c r="G6173" s="8" t="s">
        <v>15</v>
      </c>
    </row>
    <row r="6174" spans="1:7" hidden="1" x14ac:dyDescent="0.25">
      <c r="A6174" s="21">
        <v>6173</v>
      </c>
      <c r="B6174" s="7" t="s">
        <v>13102</v>
      </c>
      <c r="C6174" s="7" t="s">
        <v>13103</v>
      </c>
      <c r="G6174" s="8" t="s">
        <v>15</v>
      </c>
    </row>
    <row r="6175" spans="1:7" hidden="1" x14ac:dyDescent="0.25">
      <c r="A6175" s="21">
        <v>6174</v>
      </c>
      <c r="B6175" s="7" t="s">
        <v>13104</v>
      </c>
      <c r="C6175" s="7" t="s">
        <v>13105</v>
      </c>
      <c r="G6175" s="8" t="s">
        <v>15</v>
      </c>
    </row>
    <row r="6176" spans="1:7" hidden="1" x14ac:dyDescent="0.25">
      <c r="A6176" s="21">
        <v>6175</v>
      </c>
      <c r="B6176" s="7" t="s">
        <v>13106</v>
      </c>
      <c r="C6176" s="7" t="s">
        <v>13107</v>
      </c>
      <c r="G6176" s="8" t="s">
        <v>15</v>
      </c>
    </row>
    <row r="6177" spans="1:7" hidden="1" x14ac:dyDescent="0.25">
      <c r="A6177" s="21">
        <v>6176</v>
      </c>
      <c r="B6177" s="7" t="s">
        <v>13108</v>
      </c>
      <c r="C6177" s="7" t="s">
        <v>13109</v>
      </c>
      <c r="G6177" s="8" t="s">
        <v>15</v>
      </c>
    </row>
    <row r="6178" spans="1:7" hidden="1" x14ac:dyDescent="0.25">
      <c r="A6178" s="21">
        <v>6177</v>
      </c>
      <c r="B6178" s="7" t="s">
        <v>13110</v>
      </c>
      <c r="C6178" s="7" t="s">
        <v>13111</v>
      </c>
      <c r="G6178" s="8" t="s">
        <v>15</v>
      </c>
    </row>
    <row r="6179" spans="1:7" hidden="1" x14ac:dyDescent="0.25">
      <c r="A6179" s="21">
        <v>6178</v>
      </c>
      <c r="B6179" s="7" t="s">
        <v>13112</v>
      </c>
      <c r="C6179" s="7" t="s">
        <v>13113</v>
      </c>
      <c r="G6179" s="8" t="s">
        <v>15</v>
      </c>
    </row>
    <row r="6180" spans="1:7" hidden="1" x14ac:dyDescent="0.25">
      <c r="A6180" s="21">
        <v>6179</v>
      </c>
      <c r="B6180" s="7" t="s">
        <v>13114</v>
      </c>
      <c r="C6180" s="7" t="s">
        <v>13115</v>
      </c>
      <c r="G6180" s="8" t="s">
        <v>15</v>
      </c>
    </row>
    <row r="6181" spans="1:7" hidden="1" x14ac:dyDescent="0.25">
      <c r="A6181" s="21">
        <v>6180</v>
      </c>
      <c r="B6181" s="7" t="s">
        <v>13116</v>
      </c>
      <c r="C6181" s="7" t="s">
        <v>13117</v>
      </c>
      <c r="G6181" s="8" t="s">
        <v>15</v>
      </c>
    </row>
    <row r="6182" spans="1:7" hidden="1" x14ac:dyDescent="0.25">
      <c r="A6182" s="21">
        <v>6181</v>
      </c>
      <c r="B6182" s="7" t="s">
        <v>13118</v>
      </c>
      <c r="C6182" s="7" t="s">
        <v>13119</v>
      </c>
      <c r="G6182" s="8" t="s">
        <v>15</v>
      </c>
    </row>
    <row r="6183" spans="1:7" hidden="1" x14ac:dyDescent="0.25">
      <c r="A6183" s="21">
        <v>6182</v>
      </c>
      <c r="B6183" s="7" t="s">
        <v>13120</v>
      </c>
      <c r="C6183" s="7" t="s">
        <v>13121</v>
      </c>
      <c r="G6183" s="8" t="s">
        <v>15</v>
      </c>
    </row>
    <row r="6184" spans="1:7" hidden="1" x14ac:dyDescent="0.25">
      <c r="A6184" s="21">
        <v>6183</v>
      </c>
      <c r="B6184" s="7" t="s">
        <v>13122</v>
      </c>
      <c r="C6184" s="7" t="s">
        <v>13123</v>
      </c>
      <c r="G6184" s="8" t="s">
        <v>15</v>
      </c>
    </row>
    <row r="6185" spans="1:7" hidden="1" x14ac:dyDescent="0.25">
      <c r="A6185" s="21">
        <v>6184</v>
      </c>
      <c r="B6185" s="7" t="s">
        <v>13124</v>
      </c>
      <c r="C6185" s="7" t="s">
        <v>13125</v>
      </c>
      <c r="G6185" s="8" t="s">
        <v>15</v>
      </c>
    </row>
    <row r="6186" spans="1:7" hidden="1" x14ac:dyDescent="0.25">
      <c r="A6186" s="21">
        <v>6185</v>
      </c>
      <c r="B6186" s="7" t="s">
        <v>13126</v>
      </c>
      <c r="C6186" s="7" t="s">
        <v>13127</v>
      </c>
      <c r="G6186" s="8" t="s">
        <v>15</v>
      </c>
    </row>
    <row r="6187" spans="1:7" hidden="1" x14ac:dyDescent="0.25">
      <c r="A6187" s="21">
        <v>6186</v>
      </c>
      <c r="B6187" s="7" t="s">
        <v>13128</v>
      </c>
      <c r="C6187" s="7" t="s">
        <v>13129</v>
      </c>
      <c r="G6187" s="8" t="s">
        <v>15</v>
      </c>
    </row>
    <row r="6188" spans="1:7" hidden="1" x14ac:dyDescent="0.25">
      <c r="A6188" s="21">
        <v>6187</v>
      </c>
      <c r="B6188" s="7" t="s">
        <v>13130</v>
      </c>
      <c r="C6188" s="7" t="s">
        <v>13131</v>
      </c>
      <c r="G6188" s="8" t="s">
        <v>15</v>
      </c>
    </row>
    <row r="6189" spans="1:7" hidden="1" x14ac:dyDescent="0.25">
      <c r="A6189" s="21">
        <v>6188</v>
      </c>
      <c r="B6189" s="7" t="s">
        <v>13132</v>
      </c>
      <c r="C6189" s="7" t="s">
        <v>13133</v>
      </c>
      <c r="G6189" s="8" t="s">
        <v>15</v>
      </c>
    </row>
    <row r="6190" spans="1:7" hidden="1" x14ac:dyDescent="0.25">
      <c r="A6190" s="21">
        <v>6189</v>
      </c>
      <c r="B6190" s="7" t="s">
        <v>13134</v>
      </c>
      <c r="C6190" s="7" t="s">
        <v>13135</v>
      </c>
      <c r="G6190" s="8" t="s">
        <v>15</v>
      </c>
    </row>
    <row r="6191" spans="1:7" hidden="1" x14ac:dyDescent="0.25">
      <c r="A6191" s="21">
        <v>6190</v>
      </c>
      <c r="B6191" s="7" t="s">
        <v>13136</v>
      </c>
      <c r="C6191" s="7" t="s">
        <v>13137</v>
      </c>
      <c r="G6191" s="8" t="s">
        <v>15</v>
      </c>
    </row>
    <row r="6192" spans="1:7" hidden="1" x14ac:dyDescent="0.25">
      <c r="A6192" s="21">
        <v>6191</v>
      </c>
      <c r="B6192" s="7" t="s">
        <v>13138</v>
      </c>
      <c r="C6192" s="7" t="s">
        <v>13139</v>
      </c>
      <c r="G6192" s="8" t="s">
        <v>15</v>
      </c>
    </row>
    <row r="6193" spans="1:7" hidden="1" x14ac:dyDescent="0.25">
      <c r="A6193" s="21">
        <v>6192</v>
      </c>
      <c r="B6193" s="7" t="s">
        <v>13140</v>
      </c>
      <c r="C6193" s="7" t="s">
        <v>13141</v>
      </c>
      <c r="G6193" s="8" t="s">
        <v>15</v>
      </c>
    </row>
    <row r="6194" spans="1:7" hidden="1" x14ac:dyDescent="0.25">
      <c r="A6194" s="21">
        <v>6193</v>
      </c>
      <c r="B6194" s="7" t="s">
        <v>13142</v>
      </c>
      <c r="C6194" s="7" t="s">
        <v>13143</v>
      </c>
      <c r="G6194" s="8" t="s">
        <v>15</v>
      </c>
    </row>
    <row r="6195" spans="1:7" hidden="1" x14ac:dyDescent="0.25">
      <c r="A6195" s="21">
        <v>6194</v>
      </c>
      <c r="B6195" s="7" t="s">
        <v>13144</v>
      </c>
      <c r="C6195" s="7" t="s">
        <v>13145</v>
      </c>
      <c r="G6195" s="8" t="s">
        <v>15</v>
      </c>
    </row>
    <row r="6196" spans="1:7" hidden="1" x14ac:dyDescent="0.25">
      <c r="A6196" s="21">
        <v>6195</v>
      </c>
      <c r="B6196" s="7" t="s">
        <v>13146</v>
      </c>
      <c r="C6196" s="7" t="s">
        <v>13147</v>
      </c>
      <c r="G6196" s="8" t="s">
        <v>15</v>
      </c>
    </row>
    <row r="6197" spans="1:7" hidden="1" x14ac:dyDescent="0.25">
      <c r="A6197" s="21">
        <v>6196</v>
      </c>
      <c r="B6197" s="7" t="s">
        <v>13148</v>
      </c>
      <c r="C6197" s="7" t="s">
        <v>13149</v>
      </c>
      <c r="G6197" s="8" t="s">
        <v>15</v>
      </c>
    </row>
    <row r="6198" spans="1:7" hidden="1" x14ac:dyDescent="0.25">
      <c r="A6198" s="21">
        <v>6197</v>
      </c>
      <c r="B6198" s="7" t="s">
        <v>13150</v>
      </c>
      <c r="C6198" s="7" t="s">
        <v>13151</v>
      </c>
      <c r="G6198" s="8" t="s">
        <v>15</v>
      </c>
    </row>
    <row r="6199" spans="1:7" hidden="1" x14ac:dyDescent="0.25">
      <c r="A6199" s="21">
        <v>6198</v>
      </c>
      <c r="B6199" s="7" t="s">
        <v>13152</v>
      </c>
      <c r="C6199" s="7" t="s">
        <v>13153</v>
      </c>
      <c r="G6199" s="8" t="s">
        <v>15</v>
      </c>
    </row>
    <row r="6200" spans="1:7" hidden="1" x14ac:dyDescent="0.25">
      <c r="A6200" s="21">
        <v>6199</v>
      </c>
      <c r="B6200" s="7" t="s">
        <v>13154</v>
      </c>
      <c r="C6200" s="7" t="s">
        <v>13155</v>
      </c>
      <c r="G6200" s="8" t="s">
        <v>15</v>
      </c>
    </row>
    <row r="6201" spans="1:7" hidden="1" x14ac:dyDescent="0.25">
      <c r="A6201" s="21">
        <v>6200</v>
      </c>
      <c r="B6201" s="7" t="s">
        <v>13156</v>
      </c>
      <c r="C6201" s="7" t="s">
        <v>13157</v>
      </c>
      <c r="G6201" s="8" t="s">
        <v>15</v>
      </c>
    </row>
    <row r="6202" spans="1:7" hidden="1" x14ac:dyDescent="0.25">
      <c r="A6202" s="21">
        <v>6201</v>
      </c>
      <c r="B6202" s="7" t="s">
        <v>13158</v>
      </c>
      <c r="C6202" s="7" t="s">
        <v>13159</v>
      </c>
      <c r="G6202" s="8" t="s">
        <v>15</v>
      </c>
    </row>
    <row r="6203" spans="1:7" hidden="1" x14ac:dyDescent="0.25">
      <c r="A6203" s="21">
        <v>6202</v>
      </c>
      <c r="B6203" s="7" t="s">
        <v>13160</v>
      </c>
      <c r="C6203" s="7" t="s">
        <v>13161</v>
      </c>
      <c r="G6203" s="8" t="s">
        <v>15</v>
      </c>
    </row>
    <row r="6204" spans="1:7" hidden="1" x14ac:dyDescent="0.25">
      <c r="A6204" s="21">
        <v>6203</v>
      </c>
      <c r="B6204" s="7" t="s">
        <v>13162</v>
      </c>
      <c r="C6204" s="7" t="s">
        <v>13163</v>
      </c>
      <c r="G6204" s="8" t="s">
        <v>15</v>
      </c>
    </row>
    <row r="6205" spans="1:7" hidden="1" x14ac:dyDescent="0.25">
      <c r="A6205" s="21">
        <v>6204</v>
      </c>
      <c r="B6205" s="7" t="s">
        <v>13164</v>
      </c>
      <c r="C6205" s="7" t="s">
        <v>13165</v>
      </c>
      <c r="G6205" s="8" t="s">
        <v>15</v>
      </c>
    </row>
    <row r="6206" spans="1:7" hidden="1" x14ac:dyDescent="0.25">
      <c r="A6206" s="21">
        <v>6205</v>
      </c>
      <c r="B6206" s="7" t="s">
        <v>13166</v>
      </c>
      <c r="C6206" s="7" t="s">
        <v>13167</v>
      </c>
      <c r="G6206" s="8" t="s">
        <v>15</v>
      </c>
    </row>
    <row r="6207" spans="1:7" hidden="1" x14ac:dyDescent="0.25">
      <c r="A6207" s="21">
        <v>6206</v>
      </c>
      <c r="B6207" s="7" t="s">
        <v>13168</v>
      </c>
      <c r="C6207" s="7" t="s">
        <v>13169</v>
      </c>
      <c r="G6207" s="8" t="s">
        <v>15</v>
      </c>
    </row>
    <row r="6208" spans="1:7" hidden="1" x14ac:dyDescent="0.25">
      <c r="A6208" s="21">
        <v>6207</v>
      </c>
      <c r="B6208" s="7" t="s">
        <v>13170</v>
      </c>
      <c r="C6208" s="7" t="s">
        <v>13171</v>
      </c>
      <c r="G6208" s="8" t="s">
        <v>15</v>
      </c>
    </row>
    <row r="6209" spans="1:7" hidden="1" x14ac:dyDescent="0.25">
      <c r="A6209" s="21">
        <v>6208</v>
      </c>
      <c r="B6209" s="7" t="s">
        <v>13172</v>
      </c>
      <c r="C6209" s="7" t="s">
        <v>13173</v>
      </c>
      <c r="G6209" s="8" t="s">
        <v>15</v>
      </c>
    </row>
    <row r="6210" spans="1:7" hidden="1" x14ac:dyDescent="0.25">
      <c r="A6210" s="21">
        <v>6209</v>
      </c>
      <c r="B6210" s="7" t="s">
        <v>13174</v>
      </c>
      <c r="C6210" s="7" t="s">
        <v>13175</v>
      </c>
      <c r="G6210" s="8" t="s">
        <v>15</v>
      </c>
    </row>
    <row r="6211" spans="1:7" hidden="1" x14ac:dyDescent="0.25">
      <c r="A6211" s="21">
        <v>6210</v>
      </c>
      <c r="B6211" s="7" t="s">
        <v>13176</v>
      </c>
      <c r="C6211" s="7" t="s">
        <v>13177</v>
      </c>
      <c r="G6211" s="8" t="s">
        <v>15</v>
      </c>
    </row>
    <row r="6212" spans="1:7" hidden="1" x14ac:dyDescent="0.25">
      <c r="A6212" s="21">
        <v>6211</v>
      </c>
      <c r="B6212" s="7" t="s">
        <v>13178</v>
      </c>
      <c r="C6212" s="7" t="s">
        <v>13179</v>
      </c>
      <c r="G6212" s="8" t="s">
        <v>15</v>
      </c>
    </row>
    <row r="6213" spans="1:7" hidden="1" x14ac:dyDescent="0.25">
      <c r="A6213" s="21">
        <v>6212</v>
      </c>
      <c r="B6213" s="7" t="s">
        <v>13180</v>
      </c>
      <c r="C6213" s="7" t="s">
        <v>13181</v>
      </c>
      <c r="G6213" s="8" t="s">
        <v>15</v>
      </c>
    </row>
    <row r="6214" spans="1:7" hidden="1" x14ac:dyDescent="0.25">
      <c r="A6214" s="21">
        <v>6213</v>
      </c>
      <c r="B6214" s="7" t="s">
        <v>13182</v>
      </c>
      <c r="C6214" s="7" t="s">
        <v>13183</v>
      </c>
      <c r="G6214" s="8" t="s">
        <v>15</v>
      </c>
    </row>
    <row r="6215" spans="1:7" hidden="1" x14ac:dyDescent="0.25">
      <c r="A6215" s="21">
        <v>6214</v>
      </c>
      <c r="B6215" s="7" t="s">
        <v>13184</v>
      </c>
      <c r="C6215" s="7" t="s">
        <v>13185</v>
      </c>
      <c r="G6215" s="8" t="s">
        <v>15</v>
      </c>
    </row>
    <row r="6216" spans="1:7" hidden="1" x14ac:dyDescent="0.25">
      <c r="A6216" s="21">
        <v>6215</v>
      </c>
      <c r="B6216" s="7" t="s">
        <v>13186</v>
      </c>
      <c r="C6216" s="7" t="s">
        <v>13187</v>
      </c>
      <c r="G6216" s="8" t="s">
        <v>15</v>
      </c>
    </row>
    <row r="6217" spans="1:7" hidden="1" x14ac:dyDescent="0.25">
      <c r="A6217" s="21">
        <v>6216</v>
      </c>
      <c r="B6217" s="7" t="s">
        <v>13188</v>
      </c>
      <c r="C6217" s="7" t="s">
        <v>13189</v>
      </c>
      <c r="G6217" s="8" t="s">
        <v>15</v>
      </c>
    </row>
    <row r="6218" spans="1:7" hidden="1" x14ac:dyDescent="0.25">
      <c r="A6218" s="21">
        <v>6217</v>
      </c>
      <c r="B6218" s="7" t="s">
        <v>13190</v>
      </c>
      <c r="C6218" s="7" t="s">
        <v>13191</v>
      </c>
      <c r="G6218" s="8" t="s">
        <v>15</v>
      </c>
    </row>
    <row r="6219" spans="1:7" hidden="1" x14ac:dyDescent="0.25">
      <c r="A6219" s="21">
        <v>6218</v>
      </c>
      <c r="B6219" s="7" t="s">
        <v>13192</v>
      </c>
      <c r="C6219" s="7" t="s">
        <v>13193</v>
      </c>
      <c r="G6219" s="8" t="s">
        <v>15</v>
      </c>
    </row>
    <row r="6220" spans="1:7" hidden="1" x14ac:dyDescent="0.25">
      <c r="A6220" s="21">
        <v>6219</v>
      </c>
      <c r="B6220" s="7" t="s">
        <v>13194</v>
      </c>
      <c r="C6220" s="7" t="s">
        <v>13195</v>
      </c>
      <c r="G6220" s="8" t="s">
        <v>15</v>
      </c>
    </row>
    <row r="6221" spans="1:7" hidden="1" x14ac:dyDescent="0.25">
      <c r="A6221" s="21">
        <v>6220</v>
      </c>
      <c r="B6221" s="7" t="s">
        <v>13196</v>
      </c>
      <c r="C6221" s="7" t="s">
        <v>13197</v>
      </c>
      <c r="G6221" s="8" t="s">
        <v>15</v>
      </c>
    </row>
    <row r="6222" spans="1:7" hidden="1" x14ac:dyDescent="0.25">
      <c r="A6222" s="21">
        <v>6221</v>
      </c>
      <c r="B6222" s="7" t="s">
        <v>13198</v>
      </c>
      <c r="C6222" s="7" t="s">
        <v>13199</v>
      </c>
      <c r="G6222" s="8" t="s">
        <v>15</v>
      </c>
    </row>
    <row r="6223" spans="1:7" hidden="1" x14ac:dyDescent="0.25">
      <c r="A6223" s="21">
        <v>6222</v>
      </c>
      <c r="B6223" s="7" t="s">
        <v>13200</v>
      </c>
      <c r="C6223" s="7" t="s">
        <v>13201</v>
      </c>
      <c r="G6223" s="8" t="s">
        <v>15</v>
      </c>
    </row>
    <row r="6224" spans="1:7" hidden="1" x14ac:dyDescent="0.25">
      <c r="A6224" s="21">
        <v>6223</v>
      </c>
      <c r="B6224" s="7" t="s">
        <v>13202</v>
      </c>
      <c r="C6224" s="7" t="s">
        <v>13203</v>
      </c>
      <c r="G6224" s="8" t="s">
        <v>15</v>
      </c>
    </row>
    <row r="6225" spans="1:7" hidden="1" x14ac:dyDescent="0.25">
      <c r="A6225" s="21">
        <v>6224</v>
      </c>
      <c r="B6225" s="7" t="s">
        <v>13204</v>
      </c>
      <c r="C6225" s="7" t="s">
        <v>13205</v>
      </c>
      <c r="G6225" s="8" t="s">
        <v>15</v>
      </c>
    </row>
    <row r="6226" spans="1:7" hidden="1" x14ac:dyDescent="0.25">
      <c r="A6226" s="21">
        <v>6225</v>
      </c>
      <c r="B6226" s="7" t="s">
        <v>13206</v>
      </c>
      <c r="C6226" s="7" t="s">
        <v>13207</v>
      </c>
      <c r="G6226" s="8" t="s">
        <v>15</v>
      </c>
    </row>
    <row r="6227" spans="1:7" hidden="1" x14ac:dyDescent="0.25">
      <c r="A6227" s="21">
        <v>6226</v>
      </c>
      <c r="B6227" s="7" t="s">
        <v>13208</v>
      </c>
      <c r="C6227" s="7" t="s">
        <v>13209</v>
      </c>
      <c r="G6227" s="8" t="s">
        <v>15</v>
      </c>
    </row>
    <row r="6228" spans="1:7" hidden="1" x14ac:dyDescent="0.25">
      <c r="A6228" s="21">
        <v>6227</v>
      </c>
      <c r="B6228" s="7" t="s">
        <v>13210</v>
      </c>
      <c r="C6228" s="7" t="s">
        <v>13211</v>
      </c>
      <c r="G6228" s="8" t="s">
        <v>15</v>
      </c>
    </row>
    <row r="6229" spans="1:7" hidden="1" x14ac:dyDescent="0.25">
      <c r="A6229" s="21">
        <v>6228</v>
      </c>
      <c r="B6229" s="7" t="s">
        <v>13212</v>
      </c>
      <c r="C6229" s="7" t="s">
        <v>13213</v>
      </c>
      <c r="G6229" s="8" t="s">
        <v>15</v>
      </c>
    </row>
    <row r="6230" spans="1:7" hidden="1" x14ac:dyDescent="0.25">
      <c r="A6230" s="21">
        <v>6229</v>
      </c>
      <c r="B6230" s="7" t="s">
        <v>13214</v>
      </c>
      <c r="C6230" s="7" t="s">
        <v>13215</v>
      </c>
      <c r="G6230" s="8" t="s">
        <v>15</v>
      </c>
    </row>
    <row r="6231" spans="1:7" hidden="1" x14ac:dyDescent="0.25">
      <c r="A6231" s="21">
        <v>6230</v>
      </c>
      <c r="B6231" s="7" t="s">
        <v>13216</v>
      </c>
      <c r="C6231" s="7" t="s">
        <v>13217</v>
      </c>
      <c r="G6231" s="8" t="s">
        <v>15</v>
      </c>
    </row>
    <row r="6232" spans="1:7" hidden="1" x14ac:dyDescent="0.25">
      <c r="A6232" s="21">
        <v>6231</v>
      </c>
      <c r="B6232" s="7" t="s">
        <v>13218</v>
      </c>
      <c r="C6232" s="7" t="s">
        <v>13219</v>
      </c>
      <c r="G6232" s="8" t="s">
        <v>15</v>
      </c>
    </row>
    <row r="6233" spans="1:7" hidden="1" x14ac:dyDescent="0.25">
      <c r="A6233" s="21">
        <v>6232</v>
      </c>
      <c r="B6233" s="7" t="s">
        <v>13220</v>
      </c>
      <c r="C6233" s="7" t="s">
        <v>13221</v>
      </c>
      <c r="G6233" s="8" t="s">
        <v>15</v>
      </c>
    </row>
    <row r="6234" spans="1:7" hidden="1" x14ac:dyDescent="0.25">
      <c r="A6234" s="21">
        <v>6233</v>
      </c>
      <c r="B6234" s="7" t="s">
        <v>13222</v>
      </c>
      <c r="C6234" s="7" t="s">
        <v>13223</v>
      </c>
      <c r="G6234" s="8" t="s">
        <v>15</v>
      </c>
    </row>
    <row r="6235" spans="1:7" hidden="1" x14ac:dyDescent="0.25">
      <c r="A6235" s="21">
        <v>6234</v>
      </c>
      <c r="B6235" s="7" t="s">
        <v>13224</v>
      </c>
      <c r="C6235" s="7" t="s">
        <v>13225</v>
      </c>
      <c r="G6235" s="8" t="s">
        <v>15</v>
      </c>
    </row>
    <row r="6236" spans="1:7" hidden="1" x14ac:dyDescent="0.25">
      <c r="A6236" s="21">
        <v>6235</v>
      </c>
      <c r="B6236" s="7" t="s">
        <v>13226</v>
      </c>
      <c r="C6236" s="7" t="s">
        <v>13227</v>
      </c>
      <c r="G6236" s="8" t="s">
        <v>15</v>
      </c>
    </row>
    <row r="6237" spans="1:7" hidden="1" x14ac:dyDescent="0.25">
      <c r="A6237" s="21">
        <v>6236</v>
      </c>
      <c r="B6237" s="7" t="s">
        <v>13228</v>
      </c>
      <c r="C6237" s="7" t="s">
        <v>13229</v>
      </c>
      <c r="G6237" s="8" t="s">
        <v>15</v>
      </c>
    </row>
    <row r="6238" spans="1:7" hidden="1" x14ac:dyDescent="0.25">
      <c r="A6238" s="21">
        <v>6237</v>
      </c>
      <c r="B6238" s="7" t="s">
        <v>13230</v>
      </c>
      <c r="C6238" s="7" t="s">
        <v>13231</v>
      </c>
      <c r="G6238" s="8" t="s">
        <v>15</v>
      </c>
    </row>
    <row r="6239" spans="1:7" hidden="1" x14ac:dyDescent="0.25">
      <c r="A6239" s="21">
        <v>6238</v>
      </c>
      <c r="B6239" s="7" t="s">
        <v>13232</v>
      </c>
      <c r="C6239" s="7" t="s">
        <v>13233</v>
      </c>
      <c r="G6239" s="8" t="s">
        <v>15</v>
      </c>
    </row>
    <row r="6240" spans="1:7" hidden="1" x14ac:dyDescent="0.25">
      <c r="A6240" s="21">
        <v>6239</v>
      </c>
      <c r="B6240" s="7" t="s">
        <v>13234</v>
      </c>
      <c r="C6240" s="7" t="s">
        <v>13235</v>
      </c>
      <c r="G6240" s="8" t="s">
        <v>15</v>
      </c>
    </row>
    <row r="6241" spans="1:7" hidden="1" x14ac:dyDescent="0.25">
      <c r="A6241" s="21">
        <v>6240</v>
      </c>
      <c r="B6241" s="7" t="s">
        <v>13236</v>
      </c>
      <c r="C6241" s="7" t="s">
        <v>13237</v>
      </c>
      <c r="G6241" s="8" t="s">
        <v>15</v>
      </c>
    </row>
    <row r="6242" spans="1:7" hidden="1" x14ac:dyDescent="0.25">
      <c r="A6242" s="21">
        <v>6241</v>
      </c>
      <c r="B6242" s="7" t="s">
        <v>13238</v>
      </c>
      <c r="C6242" s="7" t="s">
        <v>13239</v>
      </c>
      <c r="G6242" s="8" t="s">
        <v>15</v>
      </c>
    </row>
    <row r="6243" spans="1:7" hidden="1" x14ac:dyDescent="0.25">
      <c r="A6243" s="21">
        <v>6242</v>
      </c>
      <c r="B6243" s="7" t="s">
        <v>13240</v>
      </c>
      <c r="C6243" s="7" t="s">
        <v>13241</v>
      </c>
      <c r="G6243" s="8" t="s">
        <v>15</v>
      </c>
    </row>
    <row r="6244" spans="1:7" hidden="1" x14ac:dyDescent="0.25">
      <c r="A6244" s="21">
        <v>6243</v>
      </c>
      <c r="B6244" s="7" t="s">
        <v>13242</v>
      </c>
      <c r="C6244" s="7" t="s">
        <v>13243</v>
      </c>
      <c r="G6244" s="8" t="s">
        <v>15</v>
      </c>
    </row>
    <row r="6245" spans="1:7" hidden="1" x14ac:dyDescent="0.25">
      <c r="A6245" s="21">
        <v>6244</v>
      </c>
      <c r="B6245" s="7" t="s">
        <v>13244</v>
      </c>
      <c r="C6245" s="7" t="s">
        <v>13245</v>
      </c>
      <c r="G6245" s="8" t="s">
        <v>15</v>
      </c>
    </row>
    <row r="6246" spans="1:7" hidden="1" x14ac:dyDescent="0.25">
      <c r="A6246" s="21">
        <v>6245</v>
      </c>
      <c r="B6246" s="7" t="s">
        <v>13246</v>
      </c>
      <c r="C6246" s="7" t="s">
        <v>13247</v>
      </c>
      <c r="G6246" s="8" t="s">
        <v>15</v>
      </c>
    </row>
    <row r="6247" spans="1:7" hidden="1" x14ac:dyDescent="0.25">
      <c r="A6247" s="21">
        <v>6246</v>
      </c>
      <c r="B6247" s="7" t="s">
        <v>13248</v>
      </c>
      <c r="C6247" s="7" t="s">
        <v>13249</v>
      </c>
      <c r="G6247" s="8" t="s">
        <v>15</v>
      </c>
    </row>
    <row r="6248" spans="1:7" hidden="1" x14ac:dyDescent="0.25">
      <c r="A6248" s="21">
        <v>6247</v>
      </c>
      <c r="B6248" s="7" t="s">
        <v>13250</v>
      </c>
      <c r="C6248" s="7" t="s">
        <v>13251</v>
      </c>
      <c r="G6248" s="8" t="s">
        <v>15</v>
      </c>
    </row>
    <row r="6249" spans="1:7" hidden="1" x14ac:dyDescent="0.25">
      <c r="A6249" s="21">
        <v>6248</v>
      </c>
      <c r="B6249" s="7" t="s">
        <v>13252</v>
      </c>
      <c r="C6249" s="7" t="s">
        <v>13253</v>
      </c>
      <c r="G6249" s="8" t="s">
        <v>15</v>
      </c>
    </row>
    <row r="6250" spans="1:7" hidden="1" x14ac:dyDescent="0.25">
      <c r="A6250" s="21">
        <v>6249</v>
      </c>
      <c r="B6250" s="7" t="s">
        <v>13254</v>
      </c>
      <c r="C6250" s="7" t="s">
        <v>13255</v>
      </c>
      <c r="G6250" s="8" t="s">
        <v>15</v>
      </c>
    </row>
    <row r="6251" spans="1:7" hidden="1" x14ac:dyDescent="0.25">
      <c r="A6251" s="21">
        <v>6250</v>
      </c>
      <c r="B6251" s="7" t="s">
        <v>13256</v>
      </c>
      <c r="C6251" s="7" t="s">
        <v>13257</v>
      </c>
      <c r="G6251" s="8" t="s">
        <v>15</v>
      </c>
    </row>
    <row r="6252" spans="1:7" hidden="1" x14ac:dyDescent="0.25">
      <c r="A6252" s="21">
        <v>6251</v>
      </c>
      <c r="B6252" s="7" t="s">
        <v>13258</v>
      </c>
      <c r="C6252" s="7" t="s">
        <v>13259</v>
      </c>
      <c r="G6252" s="8" t="s">
        <v>15</v>
      </c>
    </row>
    <row r="6253" spans="1:7" hidden="1" x14ac:dyDescent="0.25">
      <c r="A6253" s="21">
        <v>6252</v>
      </c>
      <c r="B6253" s="7" t="s">
        <v>13260</v>
      </c>
      <c r="C6253" s="7" t="s">
        <v>13261</v>
      </c>
      <c r="G6253" s="8" t="s">
        <v>15</v>
      </c>
    </row>
    <row r="6254" spans="1:7" hidden="1" x14ac:dyDescent="0.25">
      <c r="A6254" s="21">
        <v>6253</v>
      </c>
      <c r="B6254" s="7" t="s">
        <v>13262</v>
      </c>
      <c r="C6254" s="7" t="s">
        <v>13263</v>
      </c>
      <c r="G6254" s="8" t="s">
        <v>15</v>
      </c>
    </row>
    <row r="6255" spans="1:7" hidden="1" x14ac:dyDescent="0.25">
      <c r="A6255" s="21">
        <v>6254</v>
      </c>
      <c r="B6255" s="7" t="s">
        <v>13264</v>
      </c>
      <c r="C6255" s="7" t="s">
        <v>13265</v>
      </c>
      <c r="G6255" s="8" t="s">
        <v>15</v>
      </c>
    </row>
    <row r="6256" spans="1:7" hidden="1" x14ac:dyDescent="0.25">
      <c r="A6256" s="21">
        <v>6255</v>
      </c>
      <c r="B6256" s="7" t="s">
        <v>13266</v>
      </c>
      <c r="C6256" s="7" t="s">
        <v>13267</v>
      </c>
      <c r="G6256" s="8" t="s">
        <v>15</v>
      </c>
    </row>
    <row r="6257" spans="1:7" hidden="1" x14ac:dyDescent="0.25">
      <c r="A6257" s="21">
        <v>6256</v>
      </c>
      <c r="B6257" s="7" t="s">
        <v>13268</v>
      </c>
      <c r="C6257" s="7" t="s">
        <v>13269</v>
      </c>
      <c r="G6257" s="8" t="s">
        <v>15</v>
      </c>
    </row>
    <row r="6258" spans="1:7" hidden="1" x14ac:dyDescent="0.25">
      <c r="A6258" s="21">
        <v>6257</v>
      </c>
      <c r="B6258" s="7" t="s">
        <v>13270</v>
      </c>
      <c r="C6258" s="7" t="s">
        <v>13271</v>
      </c>
      <c r="G6258" s="8" t="s">
        <v>15</v>
      </c>
    </row>
    <row r="6259" spans="1:7" hidden="1" x14ac:dyDescent="0.25">
      <c r="A6259" s="21">
        <v>6258</v>
      </c>
      <c r="B6259" s="7" t="s">
        <v>13272</v>
      </c>
      <c r="C6259" s="7" t="s">
        <v>13273</v>
      </c>
      <c r="G6259" s="8" t="s">
        <v>15</v>
      </c>
    </row>
    <row r="6260" spans="1:7" hidden="1" x14ac:dyDescent="0.25">
      <c r="A6260" s="21">
        <v>6259</v>
      </c>
      <c r="B6260" s="7" t="s">
        <v>13274</v>
      </c>
      <c r="C6260" s="7" t="s">
        <v>13275</v>
      </c>
      <c r="G6260" s="8" t="s">
        <v>15</v>
      </c>
    </row>
    <row r="6261" spans="1:7" hidden="1" x14ac:dyDescent="0.25">
      <c r="A6261" s="21">
        <v>6260</v>
      </c>
      <c r="B6261" s="7" t="s">
        <v>13276</v>
      </c>
      <c r="C6261" s="7" t="s">
        <v>13277</v>
      </c>
      <c r="G6261" s="8" t="s">
        <v>15</v>
      </c>
    </row>
    <row r="6262" spans="1:7" hidden="1" x14ac:dyDescent="0.25">
      <c r="A6262" s="21">
        <v>6261</v>
      </c>
      <c r="B6262" s="7" t="s">
        <v>13278</v>
      </c>
      <c r="C6262" s="7" t="s">
        <v>13279</v>
      </c>
      <c r="G6262" s="8" t="s">
        <v>15</v>
      </c>
    </row>
    <row r="6263" spans="1:7" hidden="1" x14ac:dyDescent="0.25">
      <c r="A6263" s="21">
        <v>6262</v>
      </c>
      <c r="B6263" s="7" t="s">
        <v>13280</v>
      </c>
      <c r="C6263" s="7" t="s">
        <v>13281</v>
      </c>
      <c r="G6263" s="8" t="s">
        <v>15</v>
      </c>
    </row>
    <row r="6264" spans="1:7" hidden="1" x14ac:dyDescent="0.25">
      <c r="A6264" s="21">
        <v>6263</v>
      </c>
      <c r="B6264" s="7" t="s">
        <v>13282</v>
      </c>
      <c r="C6264" s="7" t="s">
        <v>13283</v>
      </c>
      <c r="G6264" s="8" t="s">
        <v>15</v>
      </c>
    </row>
    <row r="6265" spans="1:7" hidden="1" x14ac:dyDescent="0.25">
      <c r="A6265" s="21">
        <v>6264</v>
      </c>
      <c r="B6265" s="7" t="s">
        <v>13284</v>
      </c>
      <c r="C6265" s="7" t="s">
        <v>13285</v>
      </c>
      <c r="G6265" s="8" t="s">
        <v>15</v>
      </c>
    </row>
    <row r="6266" spans="1:7" hidden="1" x14ac:dyDescent="0.25">
      <c r="A6266" s="21">
        <v>6265</v>
      </c>
      <c r="B6266" s="7" t="s">
        <v>13286</v>
      </c>
      <c r="C6266" s="7" t="s">
        <v>13287</v>
      </c>
      <c r="G6266" s="8" t="s">
        <v>15</v>
      </c>
    </row>
    <row r="6267" spans="1:7" hidden="1" x14ac:dyDescent="0.25">
      <c r="A6267" s="21">
        <v>6266</v>
      </c>
      <c r="B6267" s="7" t="s">
        <v>13288</v>
      </c>
      <c r="C6267" s="7" t="s">
        <v>13289</v>
      </c>
      <c r="G6267" s="8" t="s">
        <v>15</v>
      </c>
    </row>
    <row r="6268" spans="1:7" hidden="1" x14ac:dyDescent="0.25">
      <c r="A6268" s="21">
        <v>6267</v>
      </c>
      <c r="B6268" s="7" t="s">
        <v>13290</v>
      </c>
      <c r="C6268" s="7" t="s">
        <v>13291</v>
      </c>
      <c r="G6268" s="8" t="s">
        <v>15</v>
      </c>
    </row>
    <row r="6269" spans="1:7" hidden="1" x14ac:dyDescent="0.25">
      <c r="A6269" s="21">
        <v>6268</v>
      </c>
      <c r="B6269" s="7" t="s">
        <v>13292</v>
      </c>
      <c r="C6269" s="7" t="s">
        <v>13293</v>
      </c>
      <c r="G6269" s="8" t="s">
        <v>15</v>
      </c>
    </row>
    <row r="6270" spans="1:7" hidden="1" x14ac:dyDescent="0.25">
      <c r="A6270" s="21">
        <v>6269</v>
      </c>
      <c r="B6270" s="7" t="s">
        <v>13294</v>
      </c>
      <c r="C6270" s="7" t="s">
        <v>13295</v>
      </c>
      <c r="G6270" s="8" t="s">
        <v>15</v>
      </c>
    </row>
    <row r="6271" spans="1:7" hidden="1" x14ac:dyDescent="0.25">
      <c r="A6271" s="21">
        <v>6270</v>
      </c>
      <c r="B6271" s="7" t="s">
        <v>13296</v>
      </c>
      <c r="C6271" s="7" t="s">
        <v>13297</v>
      </c>
      <c r="G6271" s="8" t="s">
        <v>15</v>
      </c>
    </row>
    <row r="6272" spans="1:7" hidden="1" x14ac:dyDescent="0.25">
      <c r="A6272" s="21">
        <v>6271</v>
      </c>
      <c r="B6272" s="7" t="s">
        <v>13298</v>
      </c>
      <c r="C6272" s="7" t="s">
        <v>13299</v>
      </c>
      <c r="G6272" s="8" t="s">
        <v>15</v>
      </c>
    </row>
    <row r="6273" spans="1:7" hidden="1" x14ac:dyDescent="0.25">
      <c r="A6273" s="21">
        <v>6272</v>
      </c>
      <c r="B6273" s="7" t="s">
        <v>13300</v>
      </c>
      <c r="C6273" s="7" t="s">
        <v>13301</v>
      </c>
      <c r="G6273" s="8" t="s">
        <v>15</v>
      </c>
    </row>
    <row r="6274" spans="1:7" hidden="1" x14ac:dyDescent="0.25">
      <c r="A6274" s="21">
        <v>6273</v>
      </c>
      <c r="B6274" s="7" t="s">
        <v>13302</v>
      </c>
      <c r="C6274" s="7" t="s">
        <v>13303</v>
      </c>
      <c r="G6274" s="8" t="s">
        <v>15</v>
      </c>
    </row>
    <row r="6275" spans="1:7" hidden="1" x14ac:dyDescent="0.25">
      <c r="A6275" s="21">
        <v>6274</v>
      </c>
      <c r="B6275" s="7" t="s">
        <v>13304</v>
      </c>
      <c r="C6275" s="7" t="s">
        <v>13305</v>
      </c>
      <c r="G6275" s="8" t="s">
        <v>15</v>
      </c>
    </row>
    <row r="6276" spans="1:7" hidden="1" x14ac:dyDescent="0.25">
      <c r="A6276" s="21">
        <v>6275</v>
      </c>
      <c r="B6276" s="7" t="s">
        <v>13306</v>
      </c>
      <c r="C6276" s="7" t="s">
        <v>13307</v>
      </c>
      <c r="G6276" s="8" t="s">
        <v>15</v>
      </c>
    </row>
    <row r="6277" spans="1:7" hidden="1" x14ac:dyDescent="0.25">
      <c r="A6277" s="21">
        <v>6276</v>
      </c>
      <c r="B6277" s="7" t="s">
        <v>13308</v>
      </c>
      <c r="C6277" s="7" t="s">
        <v>13309</v>
      </c>
      <c r="G6277" s="8" t="s">
        <v>15</v>
      </c>
    </row>
    <row r="6278" spans="1:7" hidden="1" x14ac:dyDescent="0.25">
      <c r="A6278" s="21">
        <v>6277</v>
      </c>
      <c r="B6278" s="7" t="s">
        <v>13310</v>
      </c>
      <c r="C6278" s="7" t="s">
        <v>13311</v>
      </c>
      <c r="G6278" s="8" t="s">
        <v>15</v>
      </c>
    </row>
    <row r="6279" spans="1:7" hidden="1" x14ac:dyDescent="0.25">
      <c r="A6279" s="21">
        <v>6278</v>
      </c>
      <c r="B6279" s="7" t="s">
        <v>13312</v>
      </c>
      <c r="C6279" s="7" t="s">
        <v>13313</v>
      </c>
      <c r="G6279" s="8" t="s">
        <v>15</v>
      </c>
    </row>
    <row r="6280" spans="1:7" hidden="1" x14ac:dyDescent="0.25">
      <c r="A6280" s="21">
        <v>6279</v>
      </c>
      <c r="B6280" s="7" t="s">
        <v>13314</v>
      </c>
      <c r="C6280" s="7" t="s">
        <v>13315</v>
      </c>
      <c r="G6280" s="8" t="s">
        <v>15</v>
      </c>
    </row>
    <row r="6281" spans="1:7" hidden="1" x14ac:dyDescent="0.25">
      <c r="A6281" s="21">
        <v>6280</v>
      </c>
      <c r="B6281" s="7" t="s">
        <v>13316</v>
      </c>
      <c r="C6281" s="7" t="s">
        <v>13317</v>
      </c>
      <c r="G6281" s="8" t="s">
        <v>15</v>
      </c>
    </row>
    <row r="6282" spans="1:7" hidden="1" x14ac:dyDescent="0.25">
      <c r="A6282" s="21">
        <v>6281</v>
      </c>
      <c r="B6282" s="7" t="s">
        <v>13318</v>
      </c>
      <c r="C6282" s="7" t="s">
        <v>13319</v>
      </c>
      <c r="G6282" s="8" t="s">
        <v>15</v>
      </c>
    </row>
    <row r="6283" spans="1:7" hidden="1" x14ac:dyDescent="0.25">
      <c r="A6283" s="21">
        <v>6282</v>
      </c>
      <c r="B6283" s="7" t="s">
        <v>13320</v>
      </c>
      <c r="C6283" s="7" t="s">
        <v>13321</v>
      </c>
      <c r="G6283" s="8" t="s">
        <v>15</v>
      </c>
    </row>
    <row r="6284" spans="1:7" hidden="1" x14ac:dyDescent="0.25">
      <c r="A6284" s="21">
        <v>6283</v>
      </c>
      <c r="B6284" s="7" t="s">
        <v>13322</v>
      </c>
      <c r="C6284" s="7" t="s">
        <v>13323</v>
      </c>
      <c r="G6284" s="8" t="s">
        <v>15</v>
      </c>
    </row>
    <row r="6285" spans="1:7" hidden="1" x14ac:dyDescent="0.25">
      <c r="A6285" s="21">
        <v>6284</v>
      </c>
      <c r="B6285" s="7" t="s">
        <v>13324</v>
      </c>
      <c r="C6285" s="7" t="s">
        <v>13325</v>
      </c>
      <c r="G6285" s="8" t="s">
        <v>15</v>
      </c>
    </row>
    <row r="6286" spans="1:7" hidden="1" x14ac:dyDescent="0.25">
      <c r="A6286" s="21">
        <v>6285</v>
      </c>
      <c r="B6286" s="7" t="s">
        <v>13326</v>
      </c>
      <c r="C6286" s="7" t="s">
        <v>13327</v>
      </c>
      <c r="G6286" s="8" t="s">
        <v>15</v>
      </c>
    </row>
    <row r="6287" spans="1:7" hidden="1" x14ac:dyDescent="0.25">
      <c r="A6287" s="21">
        <v>6286</v>
      </c>
      <c r="B6287" s="7" t="s">
        <v>13328</v>
      </c>
      <c r="C6287" s="7" t="s">
        <v>13329</v>
      </c>
      <c r="G6287" s="8" t="s">
        <v>15</v>
      </c>
    </row>
    <row r="6288" spans="1:7" hidden="1" x14ac:dyDescent="0.25">
      <c r="A6288" s="21">
        <v>6287</v>
      </c>
      <c r="B6288" s="7" t="s">
        <v>13330</v>
      </c>
      <c r="C6288" s="7" t="s">
        <v>13331</v>
      </c>
      <c r="G6288" s="8" t="s">
        <v>15</v>
      </c>
    </row>
    <row r="6289" spans="1:7" hidden="1" x14ac:dyDescent="0.25">
      <c r="A6289" s="21">
        <v>6288</v>
      </c>
      <c r="B6289" s="7" t="s">
        <v>13332</v>
      </c>
      <c r="C6289" s="7" t="s">
        <v>13333</v>
      </c>
      <c r="G6289" s="8" t="s">
        <v>15</v>
      </c>
    </row>
    <row r="6290" spans="1:7" hidden="1" x14ac:dyDescent="0.25">
      <c r="A6290" s="21">
        <v>6289</v>
      </c>
      <c r="B6290" s="7" t="s">
        <v>13334</v>
      </c>
      <c r="C6290" s="7" t="s">
        <v>13335</v>
      </c>
      <c r="G6290" s="8" t="s">
        <v>15</v>
      </c>
    </row>
    <row r="6291" spans="1:7" hidden="1" x14ac:dyDescent="0.25">
      <c r="A6291" s="21">
        <v>6290</v>
      </c>
      <c r="B6291" s="7" t="s">
        <v>13336</v>
      </c>
      <c r="C6291" s="7" t="s">
        <v>13337</v>
      </c>
      <c r="G6291" s="8" t="s">
        <v>15</v>
      </c>
    </row>
    <row r="6292" spans="1:7" hidden="1" x14ac:dyDescent="0.25">
      <c r="A6292" s="21">
        <v>6291</v>
      </c>
      <c r="B6292" s="7" t="s">
        <v>13338</v>
      </c>
      <c r="C6292" s="7" t="s">
        <v>13339</v>
      </c>
      <c r="G6292" s="8" t="s">
        <v>15</v>
      </c>
    </row>
    <row r="6293" spans="1:7" hidden="1" x14ac:dyDescent="0.25">
      <c r="A6293" s="21">
        <v>6292</v>
      </c>
      <c r="B6293" s="7" t="s">
        <v>13340</v>
      </c>
      <c r="C6293" s="7" t="s">
        <v>13341</v>
      </c>
      <c r="G6293" s="8" t="s">
        <v>15</v>
      </c>
    </row>
    <row r="6294" spans="1:7" hidden="1" x14ac:dyDescent="0.25">
      <c r="A6294" s="21">
        <v>6293</v>
      </c>
      <c r="B6294" s="7" t="s">
        <v>13342</v>
      </c>
      <c r="C6294" s="7" t="s">
        <v>13343</v>
      </c>
      <c r="G6294" s="8" t="s">
        <v>15</v>
      </c>
    </row>
    <row r="6295" spans="1:7" hidden="1" x14ac:dyDescent="0.25">
      <c r="A6295" s="21">
        <v>6294</v>
      </c>
      <c r="B6295" s="7" t="s">
        <v>13344</v>
      </c>
      <c r="C6295" s="7" t="s">
        <v>13345</v>
      </c>
      <c r="G6295" s="8" t="s">
        <v>15</v>
      </c>
    </row>
    <row r="6296" spans="1:7" hidden="1" x14ac:dyDescent="0.25">
      <c r="A6296" s="21">
        <v>6295</v>
      </c>
      <c r="B6296" s="7" t="s">
        <v>13346</v>
      </c>
      <c r="C6296" s="7" t="s">
        <v>13347</v>
      </c>
      <c r="G6296" s="8" t="s">
        <v>15</v>
      </c>
    </row>
    <row r="6297" spans="1:7" hidden="1" x14ac:dyDescent="0.25">
      <c r="A6297" s="21">
        <v>6296</v>
      </c>
      <c r="B6297" s="7" t="s">
        <v>13348</v>
      </c>
      <c r="C6297" s="7" t="s">
        <v>13349</v>
      </c>
      <c r="G6297" s="8" t="s">
        <v>15</v>
      </c>
    </row>
    <row r="6298" spans="1:7" hidden="1" x14ac:dyDescent="0.25">
      <c r="A6298" s="21">
        <v>6297</v>
      </c>
      <c r="B6298" s="7" t="s">
        <v>13350</v>
      </c>
      <c r="C6298" s="7" t="s">
        <v>13351</v>
      </c>
      <c r="G6298" s="8" t="s">
        <v>15</v>
      </c>
    </row>
    <row r="6299" spans="1:7" hidden="1" x14ac:dyDescent="0.25">
      <c r="A6299" s="21">
        <v>6298</v>
      </c>
      <c r="B6299" s="7" t="s">
        <v>13352</v>
      </c>
      <c r="C6299" s="7" t="s">
        <v>13353</v>
      </c>
      <c r="G6299" s="8" t="s">
        <v>15</v>
      </c>
    </row>
    <row r="6300" spans="1:7" hidden="1" x14ac:dyDescent="0.25">
      <c r="A6300" s="21">
        <v>6299</v>
      </c>
      <c r="B6300" s="7" t="s">
        <v>13354</v>
      </c>
      <c r="C6300" s="7" t="s">
        <v>13355</v>
      </c>
      <c r="G6300" s="8" t="s">
        <v>15</v>
      </c>
    </row>
    <row r="6301" spans="1:7" hidden="1" x14ac:dyDescent="0.25">
      <c r="A6301" s="21">
        <v>6300</v>
      </c>
      <c r="B6301" s="7" t="s">
        <v>13356</v>
      </c>
      <c r="C6301" s="7" t="s">
        <v>13357</v>
      </c>
      <c r="G6301" s="8" t="s">
        <v>15</v>
      </c>
    </row>
    <row r="6302" spans="1:7" hidden="1" x14ac:dyDescent="0.25">
      <c r="A6302" s="21">
        <v>6301</v>
      </c>
      <c r="B6302" s="7" t="s">
        <v>13358</v>
      </c>
      <c r="C6302" s="7" t="s">
        <v>13359</v>
      </c>
      <c r="G6302" s="8" t="s">
        <v>15</v>
      </c>
    </row>
    <row r="6303" spans="1:7" hidden="1" x14ac:dyDescent="0.25">
      <c r="A6303" s="21">
        <v>6302</v>
      </c>
      <c r="B6303" s="7" t="s">
        <v>13360</v>
      </c>
      <c r="C6303" s="7" t="s">
        <v>13361</v>
      </c>
      <c r="G6303" s="8" t="s">
        <v>15</v>
      </c>
    </row>
    <row r="6304" spans="1:7" hidden="1" x14ac:dyDescent="0.25">
      <c r="A6304" s="21">
        <v>6303</v>
      </c>
      <c r="B6304" s="7" t="s">
        <v>13362</v>
      </c>
      <c r="C6304" s="7" t="s">
        <v>13363</v>
      </c>
      <c r="G6304" s="8" t="s">
        <v>15</v>
      </c>
    </row>
    <row r="6305" spans="1:7" hidden="1" x14ac:dyDescent="0.25">
      <c r="A6305" s="21">
        <v>6304</v>
      </c>
      <c r="B6305" s="7" t="s">
        <v>13364</v>
      </c>
      <c r="C6305" s="7" t="s">
        <v>13365</v>
      </c>
      <c r="G6305" s="8" t="s">
        <v>15</v>
      </c>
    </row>
    <row r="6306" spans="1:7" hidden="1" x14ac:dyDescent="0.25">
      <c r="A6306" s="21">
        <v>6305</v>
      </c>
      <c r="B6306" s="7" t="s">
        <v>13366</v>
      </c>
      <c r="C6306" s="7" t="s">
        <v>13367</v>
      </c>
      <c r="G6306" s="8" t="s">
        <v>15</v>
      </c>
    </row>
    <row r="6307" spans="1:7" hidden="1" x14ac:dyDescent="0.25">
      <c r="A6307" s="21">
        <v>6306</v>
      </c>
      <c r="B6307" s="7" t="s">
        <v>13368</v>
      </c>
      <c r="C6307" s="7" t="s">
        <v>13369</v>
      </c>
      <c r="G6307" s="8" t="s">
        <v>15</v>
      </c>
    </row>
    <row r="6308" spans="1:7" hidden="1" x14ac:dyDescent="0.25">
      <c r="A6308" s="21">
        <v>6307</v>
      </c>
      <c r="B6308" s="7" t="s">
        <v>13370</v>
      </c>
      <c r="C6308" s="7" t="s">
        <v>13371</v>
      </c>
      <c r="G6308" s="8" t="s">
        <v>15</v>
      </c>
    </row>
    <row r="6309" spans="1:7" hidden="1" x14ac:dyDescent="0.25">
      <c r="A6309" s="21">
        <v>6308</v>
      </c>
      <c r="B6309" s="7" t="s">
        <v>13372</v>
      </c>
      <c r="C6309" s="7" t="s">
        <v>13373</v>
      </c>
      <c r="G6309" s="8" t="s">
        <v>15</v>
      </c>
    </row>
    <row r="6310" spans="1:7" hidden="1" x14ac:dyDescent="0.25">
      <c r="A6310" s="21">
        <v>6309</v>
      </c>
      <c r="B6310" s="7" t="s">
        <v>13374</v>
      </c>
      <c r="C6310" s="7" t="s">
        <v>13375</v>
      </c>
      <c r="G6310" s="8" t="s">
        <v>15</v>
      </c>
    </row>
    <row r="6311" spans="1:7" hidden="1" x14ac:dyDescent="0.25">
      <c r="A6311" s="21">
        <v>6310</v>
      </c>
      <c r="B6311" s="7" t="s">
        <v>13376</v>
      </c>
      <c r="C6311" s="7" t="s">
        <v>13377</v>
      </c>
      <c r="G6311" s="8" t="s">
        <v>15</v>
      </c>
    </row>
    <row r="6312" spans="1:7" hidden="1" x14ac:dyDescent="0.25">
      <c r="A6312" s="21">
        <v>6311</v>
      </c>
      <c r="B6312" s="7" t="s">
        <v>13378</v>
      </c>
      <c r="C6312" s="7" t="s">
        <v>13379</v>
      </c>
      <c r="G6312" s="8" t="s">
        <v>15</v>
      </c>
    </row>
    <row r="6313" spans="1:7" hidden="1" x14ac:dyDescent="0.25">
      <c r="A6313" s="21">
        <v>6312</v>
      </c>
      <c r="B6313" s="7" t="s">
        <v>13380</v>
      </c>
      <c r="C6313" s="7" t="s">
        <v>13381</v>
      </c>
      <c r="G6313" s="8" t="s">
        <v>15</v>
      </c>
    </row>
    <row r="6314" spans="1:7" hidden="1" x14ac:dyDescent="0.25">
      <c r="A6314" s="21">
        <v>6313</v>
      </c>
      <c r="B6314" s="7" t="s">
        <v>13382</v>
      </c>
      <c r="C6314" s="7" t="s">
        <v>13383</v>
      </c>
      <c r="G6314" s="8" t="s">
        <v>15</v>
      </c>
    </row>
    <row r="6315" spans="1:7" hidden="1" x14ac:dyDescent="0.25">
      <c r="A6315" s="21">
        <v>6314</v>
      </c>
      <c r="B6315" s="7" t="s">
        <v>13384</v>
      </c>
      <c r="C6315" s="7" t="s">
        <v>13385</v>
      </c>
      <c r="G6315" s="8" t="s">
        <v>15</v>
      </c>
    </row>
    <row r="6316" spans="1:7" hidden="1" x14ac:dyDescent="0.25">
      <c r="A6316" s="21">
        <v>6315</v>
      </c>
      <c r="B6316" s="7" t="s">
        <v>13386</v>
      </c>
      <c r="C6316" s="7" t="s">
        <v>13387</v>
      </c>
      <c r="G6316" s="8" t="s">
        <v>15</v>
      </c>
    </row>
    <row r="6317" spans="1:7" hidden="1" x14ac:dyDescent="0.25">
      <c r="A6317" s="21">
        <v>6316</v>
      </c>
      <c r="B6317" s="7" t="s">
        <v>13388</v>
      </c>
      <c r="C6317" s="7" t="s">
        <v>13389</v>
      </c>
      <c r="G6317" s="8" t="s">
        <v>15</v>
      </c>
    </row>
    <row r="6318" spans="1:7" hidden="1" x14ac:dyDescent="0.25">
      <c r="A6318" s="21">
        <v>6317</v>
      </c>
      <c r="B6318" s="7" t="s">
        <v>13390</v>
      </c>
      <c r="C6318" s="7" t="s">
        <v>13391</v>
      </c>
      <c r="G6318" s="8" t="s">
        <v>15</v>
      </c>
    </row>
    <row r="6319" spans="1:7" hidden="1" x14ac:dyDescent="0.25">
      <c r="A6319" s="21">
        <v>6318</v>
      </c>
      <c r="B6319" s="7" t="s">
        <v>13392</v>
      </c>
      <c r="C6319" s="7" t="s">
        <v>13393</v>
      </c>
      <c r="G6319" s="8" t="s">
        <v>15</v>
      </c>
    </row>
    <row r="6320" spans="1:7" hidden="1" x14ac:dyDescent="0.25">
      <c r="A6320" s="21">
        <v>6319</v>
      </c>
      <c r="B6320" s="7" t="s">
        <v>13394</v>
      </c>
      <c r="C6320" s="7" t="s">
        <v>13395</v>
      </c>
      <c r="G6320" s="8" t="s">
        <v>15</v>
      </c>
    </row>
    <row r="6321" spans="1:7" hidden="1" x14ac:dyDescent="0.25">
      <c r="A6321" s="21">
        <v>6320</v>
      </c>
      <c r="B6321" s="7" t="s">
        <v>13396</v>
      </c>
      <c r="C6321" s="7" t="s">
        <v>13397</v>
      </c>
      <c r="G6321" s="8" t="s">
        <v>15</v>
      </c>
    </row>
    <row r="6322" spans="1:7" hidden="1" x14ac:dyDescent="0.25">
      <c r="A6322" s="21">
        <v>6321</v>
      </c>
      <c r="B6322" s="7" t="s">
        <v>13398</v>
      </c>
      <c r="C6322" s="7" t="s">
        <v>13399</v>
      </c>
      <c r="G6322" s="8" t="s">
        <v>15</v>
      </c>
    </row>
    <row r="6323" spans="1:7" hidden="1" x14ac:dyDescent="0.25">
      <c r="A6323" s="21">
        <v>6322</v>
      </c>
      <c r="B6323" s="7" t="s">
        <v>13400</v>
      </c>
      <c r="C6323" s="7" t="s">
        <v>13401</v>
      </c>
      <c r="G6323" s="8" t="s">
        <v>15</v>
      </c>
    </row>
    <row r="6324" spans="1:7" hidden="1" x14ac:dyDescent="0.25">
      <c r="A6324" s="21">
        <v>6323</v>
      </c>
      <c r="B6324" s="7" t="s">
        <v>13402</v>
      </c>
      <c r="C6324" s="7" t="s">
        <v>13403</v>
      </c>
      <c r="G6324" s="8" t="s">
        <v>15</v>
      </c>
    </row>
    <row r="6325" spans="1:7" hidden="1" x14ac:dyDescent="0.25">
      <c r="A6325" s="21">
        <v>6324</v>
      </c>
      <c r="B6325" s="7" t="s">
        <v>13404</v>
      </c>
      <c r="C6325" s="7" t="s">
        <v>13405</v>
      </c>
      <c r="G6325" s="8" t="s">
        <v>15</v>
      </c>
    </row>
    <row r="6326" spans="1:7" hidden="1" x14ac:dyDescent="0.25">
      <c r="A6326" s="21">
        <v>6325</v>
      </c>
      <c r="B6326" s="7" t="s">
        <v>13406</v>
      </c>
      <c r="C6326" s="7" t="s">
        <v>13407</v>
      </c>
      <c r="G6326" s="8" t="s">
        <v>15</v>
      </c>
    </row>
    <row r="6327" spans="1:7" hidden="1" x14ac:dyDescent="0.25">
      <c r="A6327" s="21">
        <v>6326</v>
      </c>
      <c r="B6327" s="7" t="s">
        <v>13408</v>
      </c>
      <c r="C6327" s="7" t="s">
        <v>13409</v>
      </c>
      <c r="G6327" s="8" t="s">
        <v>15</v>
      </c>
    </row>
    <row r="6328" spans="1:7" hidden="1" x14ac:dyDescent="0.25">
      <c r="A6328" s="21">
        <v>6327</v>
      </c>
      <c r="B6328" s="7" t="s">
        <v>13410</v>
      </c>
      <c r="C6328" s="7" t="s">
        <v>13411</v>
      </c>
      <c r="G6328" s="8" t="s">
        <v>15</v>
      </c>
    </row>
    <row r="6329" spans="1:7" hidden="1" x14ac:dyDescent="0.25">
      <c r="A6329" s="21">
        <v>6328</v>
      </c>
      <c r="B6329" s="7" t="s">
        <v>13412</v>
      </c>
      <c r="C6329" s="7" t="s">
        <v>13413</v>
      </c>
      <c r="G6329" s="8" t="s">
        <v>15</v>
      </c>
    </row>
    <row r="6330" spans="1:7" hidden="1" x14ac:dyDescent="0.25">
      <c r="A6330" s="21">
        <v>6329</v>
      </c>
      <c r="B6330" s="7" t="s">
        <v>13414</v>
      </c>
      <c r="C6330" s="7" t="s">
        <v>13415</v>
      </c>
      <c r="G6330" s="8" t="s">
        <v>15</v>
      </c>
    </row>
    <row r="6331" spans="1:7" hidden="1" x14ac:dyDescent="0.25">
      <c r="A6331" s="21">
        <v>6330</v>
      </c>
      <c r="B6331" s="7" t="s">
        <v>13416</v>
      </c>
      <c r="C6331" s="7" t="s">
        <v>13417</v>
      </c>
      <c r="G6331" s="8" t="s">
        <v>15</v>
      </c>
    </row>
    <row r="6332" spans="1:7" hidden="1" x14ac:dyDescent="0.25">
      <c r="A6332" s="21">
        <v>6331</v>
      </c>
      <c r="B6332" s="7" t="s">
        <v>13418</v>
      </c>
      <c r="C6332" s="7" t="s">
        <v>13419</v>
      </c>
      <c r="G6332" s="8" t="s">
        <v>15</v>
      </c>
    </row>
    <row r="6333" spans="1:7" hidden="1" x14ac:dyDescent="0.25">
      <c r="A6333" s="21">
        <v>6332</v>
      </c>
      <c r="B6333" s="7" t="s">
        <v>13420</v>
      </c>
      <c r="C6333" s="7" t="s">
        <v>13421</v>
      </c>
      <c r="G6333" s="8" t="s">
        <v>15</v>
      </c>
    </row>
    <row r="6334" spans="1:7" hidden="1" x14ac:dyDescent="0.25">
      <c r="A6334" s="21">
        <v>6333</v>
      </c>
      <c r="B6334" s="7" t="s">
        <v>13422</v>
      </c>
      <c r="C6334" s="7" t="s">
        <v>13423</v>
      </c>
      <c r="G6334" s="8" t="s">
        <v>15</v>
      </c>
    </row>
    <row r="6335" spans="1:7" hidden="1" x14ac:dyDescent="0.25">
      <c r="A6335" s="21">
        <v>6334</v>
      </c>
      <c r="B6335" s="7" t="s">
        <v>13424</v>
      </c>
      <c r="C6335" s="7" t="s">
        <v>13425</v>
      </c>
      <c r="G6335" s="8" t="s">
        <v>15</v>
      </c>
    </row>
    <row r="6336" spans="1:7" hidden="1" x14ac:dyDescent="0.25">
      <c r="A6336" s="21">
        <v>6335</v>
      </c>
      <c r="B6336" s="7" t="s">
        <v>13426</v>
      </c>
      <c r="C6336" s="7" t="s">
        <v>13427</v>
      </c>
      <c r="G6336" s="8" t="s">
        <v>15</v>
      </c>
    </row>
    <row r="6337" spans="1:7" hidden="1" x14ac:dyDescent="0.25">
      <c r="A6337" s="21">
        <v>6336</v>
      </c>
      <c r="B6337" s="7" t="s">
        <v>13428</v>
      </c>
      <c r="C6337" s="7" t="s">
        <v>13429</v>
      </c>
      <c r="G6337" s="8" t="s">
        <v>15</v>
      </c>
    </row>
    <row r="6338" spans="1:7" hidden="1" x14ac:dyDescent="0.25">
      <c r="A6338" s="21">
        <v>6337</v>
      </c>
      <c r="B6338" s="7" t="s">
        <v>13430</v>
      </c>
      <c r="C6338" s="7" t="s">
        <v>13431</v>
      </c>
      <c r="G6338" s="8" t="s">
        <v>15</v>
      </c>
    </row>
    <row r="6339" spans="1:7" hidden="1" x14ac:dyDescent="0.25">
      <c r="A6339" s="21">
        <v>6338</v>
      </c>
      <c r="B6339" s="7" t="s">
        <v>13432</v>
      </c>
      <c r="C6339" s="7" t="s">
        <v>13433</v>
      </c>
      <c r="G6339" s="8" t="s">
        <v>15</v>
      </c>
    </row>
    <row r="6340" spans="1:7" hidden="1" x14ac:dyDescent="0.25">
      <c r="A6340" s="21">
        <v>6339</v>
      </c>
      <c r="B6340" s="7" t="s">
        <v>13434</v>
      </c>
      <c r="C6340" s="7" t="s">
        <v>13435</v>
      </c>
      <c r="G6340" s="8" t="s">
        <v>15</v>
      </c>
    </row>
    <row r="6341" spans="1:7" hidden="1" x14ac:dyDescent="0.25">
      <c r="A6341" s="21">
        <v>6340</v>
      </c>
      <c r="B6341" s="7" t="s">
        <v>13436</v>
      </c>
      <c r="C6341" s="7" t="s">
        <v>13437</v>
      </c>
      <c r="G6341" s="8" t="s">
        <v>15</v>
      </c>
    </row>
    <row r="6342" spans="1:7" hidden="1" x14ac:dyDescent="0.25">
      <c r="A6342" s="21">
        <v>6341</v>
      </c>
      <c r="B6342" s="7" t="s">
        <v>13438</v>
      </c>
      <c r="C6342" s="7" t="s">
        <v>13439</v>
      </c>
      <c r="G6342" s="8" t="s">
        <v>15</v>
      </c>
    </row>
    <row r="6343" spans="1:7" hidden="1" x14ac:dyDescent="0.25">
      <c r="A6343" s="21">
        <v>6342</v>
      </c>
      <c r="B6343" s="7" t="s">
        <v>13440</v>
      </c>
      <c r="C6343" s="7" t="s">
        <v>13441</v>
      </c>
      <c r="G6343" s="8" t="s">
        <v>15</v>
      </c>
    </row>
    <row r="6344" spans="1:7" hidden="1" x14ac:dyDescent="0.25">
      <c r="A6344" s="21">
        <v>6343</v>
      </c>
      <c r="B6344" s="7" t="s">
        <v>13442</v>
      </c>
      <c r="C6344" s="7" t="s">
        <v>13443</v>
      </c>
      <c r="G6344" s="8" t="s">
        <v>15</v>
      </c>
    </row>
    <row r="6345" spans="1:7" hidden="1" x14ac:dyDescent="0.25">
      <c r="A6345" s="21">
        <v>6344</v>
      </c>
      <c r="B6345" s="7" t="s">
        <v>13444</v>
      </c>
      <c r="C6345" s="7" t="s">
        <v>13445</v>
      </c>
      <c r="G6345" s="8" t="s">
        <v>15</v>
      </c>
    </row>
    <row r="6346" spans="1:7" hidden="1" x14ac:dyDescent="0.25">
      <c r="A6346" s="21">
        <v>6345</v>
      </c>
      <c r="B6346" s="7" t="s">
        <v>13446</v>
      </c>
      <c r="C6346" s="7" t="s">
        <v>13447</v>
      </c>
      <c r="G6346" s="8" t="s">
        <v>15</v>
      </c>
    </row>
    <row r="6347" spans="1:7" hidden="1" x14ac:dyDescent="0.25">
      <c r="A6347" s="21">
        <v>6346</v>
      </c>
      <c r="B6347" s="7" t="s">
        <v>13448</v>
      </c>
      <c r="C6347" s="7" t="s">
        <v>13449</v>
      </c>
      <c r="G6347" s="8" t="s">
        <v>15</v>
      </c>
    </row>
    <row r="6348" spans="1:7" hidden="1" x14ac:dyDescent="0.25">
      <c r="A6348" s="21">
        <v>6347</v>
      </c>
      <c r="B6348" s="7" t="s">
        <v>13450</v>
      </c>
      <c r="C6348" s="7" t="s">
        <v>13451</v>
      </c>
      <c r="G6348" s="8" t="s">
        <v>15</v>
      </c>
    </row>
    <row r="6349" spans="1:7" hidden="1" x14ac:dyDescent="0.25">
      <c r="A6349" s="21">
        <v>6348</v>
      </c>
      <c r="B6349" s="7" t="s">
        <v>13452</v>
      </c>
      <c r="C6349" s="7" t="s">
        <v>13453</v>
      </c>
      <c r="G6349" s="8" t="s">
        <v>15</v>
      </c>
    </row>
    <row r="6350" spans="1:7" hidden="1" x14ac:dyDescent="0.25">
      <c r="A6350" s="21">
        <v>6349</v>
      </c>
      <c r="B6350" s="7" t="s">
        <v>13454</v>
      </c>
      <c r="C6350" s="7" t="s">
        <v>13455</v>
      </c>
      <c r="G6350" s="8" t="s">
        <v>15</v>
      </c>
    </row>
    <row r="6351" spans="1:7" hidden="1" x14ac:dyDescent="0.25">
      <c r="A6351" s="21">
        <v>6350</v>
      </c>
      <c r="B6351" s="7" t="s">
        <v>13456</v>
      </c>
      <c r="C6351" s="7" t="s">
        <v>13457</v>
      </c>
      <c r="G6351" s="8" t="s">
        <v>15</v>
      </c>
    </row>
    <row r="6352" spans="1:7" hidden="1" x14ac:dyDescent="0.25">
      <c r="A6352" s="21">
        <v>6351</v>
      </c>
      <c r="B6352" s="7" t="s">
        <v>13458</v>
      </c>
      <c r="C6352" s="7" t="s">
        <v>13459</v>
      </c>
      <c r="G6352" s="8" t="s">
        <v>15</v>
      </c>
    </row>
    <row r="6353" spans="1:7" hidden="1" x14ac:dyDescent="0.25">
      <c r="A6353" s="21">
        <v>6352</v>
      </c>
      <c r="B6353" s="7" t="s">
        <v>13460</v>
      </c>
      <c r="C6353" s="7" t="s">
        <v>13461</v>
      </c>
      <c r="G6353" s="8" t="s">
        <v>15</v>
      </c>
    </row>
    <row r="6354" spans="1:7" hidden="1" x14ac:dyDescent="0.25">
      <c r="A6354" s="21">
        <v>6353</v>
      </c>
      <c r="B6354" s="7" t="s">
        <v>13462</v>
      </c>
      <c r="C6354" s="7" t="s">
        <v>13463</v>
      </c>
      <c r="G6354" s="8" t="s">
        <v>15</v>
      </c>
    </row>
    <row r="6355" spans="1:7" hidden="1" x14ac:dyDescent="0.25">
      <c r="A6355" s="21">
        <v>6354</v>
      </c>
      <c r="B6355" s="7" t="s">
        <v>13464</v>
      </c>
      <c r="C6355" s="7" t="s">
        <v>13465</v>
      </c>
      <c r="G6355" s="8" t="s">
        <v>15</v>
      </c>
    </row>
    <row r="6356" spans="1:7" hidden="1" x14ac:dyDescent="0.25">
      <c r="A6356" s="21">
        <v>6355</v>
      </c>
      <c r="B6356" s="7" t="s">
        <v>13466</v>
      </c>
      <c r="C6356" s="7" t="s">
        <v>13467</v>
      </c>
      <c r="G6356" s="8" t="s">
        <v>15</v>
      </c>
    </row>
    <row r="6357" spans="1:7" hidden="1" x14ac:dyDescent="0.25">
      <c r="A6357" s="21">
        <v>6356</v>
      </c>
      <c r="B6357" s="7" t="s">
        <v>13468</v>
      </c>
      <c r="C6357" s="7" t="s">
        <v>13469</v>
      </c>
      <c r="G6357" s="8" t="s">
        <v>15</v>
      </c>
    </row>
    <row r="6358" spans="1:7" hidden="1" x14ac:dyDescent="0.25">
      <c r="A6358" s="21">
        <v>6357</v>
      </c>
      <c r="B6358" s="7" t="s">
        <v>13470</v>
      </c>
      <c r="C6358" s="7" t="s">
        <v>13471</v>
      </c>
      <c r="G6358" s="8" t="s">
        <v>15</v>
      </c>
    </row>
    <row r="6359" spans="1:7" hidden="1" x14ac:dyDescent="0.25">
      <c r="A6359" s="21">
        <v>6358</v>
      </c>
      <c r="B6359" s="7" t="s">
        <v>13472</v>
      </c>
      <c r="C6359" s="7" t="s">
        <v>13473</v>
      </c>
      <c r="G6359" s="8" t="s">
        <v>15</v>
      </c>
    </row>
    <row r="6360" spans="1:7" hidden="1" x14ac:dyDescent="0.25">
      <c r="A6360" s="21">
        <v>6359</v>
      </c>
      <c r="B6360" s="7" t="s">
        <v>13474</v>
      </c>
      <c r="C6360" s="7" t="s">
        <v>13475</v>
      </c>
      <c r="G6360" s="8" t="s">
        <v>15</v>
      </c>
    </row>
    <row r="6361" spans="1:7" hidden="1" x14ac:dyDescent="0.25">
      <c r="A6361" s="21">
        <v>6360</v>
      </c>
      <c r="B6361" s="7" t="s">
        <v>13476</v>
      </c>
      <c r="C6361" s="7" t="s">
        <v>13477</v>
      </c>
      <c r="G6361" s="8" t="s">
        <v>15</v>
      </c>
    </row>
    <row r="6362" spans="1:7" hidden="1" x14ac:dyDescent="0.25">
      <c r="A6362" s="21">
        <v>6361</v>
      </c>
      <c r="B6362" s="7" t="s">
        <v>13478</v>
      </c>
      <c r="C6362" s="7" t="s">
        <v>13479</v>
      </c>
      <c r="G6362" s="8" t="s">
        <v>15</v>
      </c>
    </row>
    <row r="6363" spans="1:7" hidden="1" x14ac:dyDescent="0.25">
      <c r="A6363" s="21">
        <v>6362</v>
      </c>
      <c r="B6363" s="7" t="s">
        <v>13480</v>
      </c>
      <c r="C6363" s="7" t="s">
        <v>13481</v>
      </c>
      <c r="G6363" s="8" t="s">
        <v>15</v>
      </c>
    </row>
    <row r="6364" spans="1:7" hidden="1" x14ac:dyDescent="0.25">
      <c r="A6364" s="21">
        <v>6363</v>
      </c>
      <c r="B6364" s="7" t="s">
        <v>13482</v>
      </c>
      <c r="C6364" s="7" t="s">
        <v>13483</v>
      </c>
      <c r="G6364" s="8" t="s">
        <v>15</v>
      </c>
    </row>
    <row r="6365" spans="1:7" hidden="1" x14ac:dyDescent="0.25">
      <c r="A6365" s="21">
        <v>6364</v>
      </c>
      <c r="B6365" s="7" t="s">
        <v>13484</v>
      </c>
      <c r="C6365" s="7" t="s">
        <v>13485</v>
      </c>
      <c r="G6365" s="8" t="s">
        <v>15</v>
      </c>
    </row>
    <row r="6366" spans="1:7" hidden="1" x14ac:dyDescent="0.25">
      <c r="A6366" s="21">
        <v>6365</v>
      </c>
      <c r="B6366" s="7" t="s">
        <v>13486</v>
      </c>
      <c r="C6366" s="7" t="s">
        <v>13487</v>
      </c>
      <c r="G6366" s="8" t="s">
        <v>15</v>
      </c>
    </row>
    <row r="6367" spans="1:7" hidden="1" x14ac:dyDescent="0.25">
      <c r="A6367" s="21">
        <v>6366</v>
      </c>
      <c r="B6367" s="7" t="s">
        <v>13488</v>
      </c>
      <c r="C6367" s="7" t="s">
        <v>13489</v>
      </c>
      <c r="G6367" s="8" t="s">
        <v>15</v>
      </c>
    </row>
    <row r="6368" spans="1:7" hidden="1" x14ac:dyDescent="0.25">
      <c r="A6368" s="21">
        <v>6367</v>
      </c>
      <c r="B6368" s="7" t="s">
        <v>13490</v>
      </c>
      <c r="C6368" s="7" t="s">
        <v>13491</v>
      </c>
      <c r="G6368" s="8" t="s">
        <v>15</v>
      </c>
    </row>
    <row r="6369" spans="1:7" hidden="1" x14ac:dyDescent="0.25">
      <c r="A6369" s="21">
        <v>6368</v>
      </c>
      <c r="B6369" s="7" t="s">
        <v>13492</v>
      </c>
      <c r="C6369" s="7" t="s">
        <v>13493</v>
      </c>
      <c r="G6369" s="8" t="s">
        <v>15</v>
      </c>
    </row>
    <row r="6370" spans="1:7" hidden="1" x14ac:dyDescent="0.25">
      <c r="A6370" s="21">
        <v>6369</v>
      </c>
      <c r="B6370" s="7" t="s">
        <v>13494</v>
      </c>
      <c r="C6370" s="7" t="s">
        <v>13495</v>
      </c>
      <c r="G6370" s="8" t="s">
        <v>15</v>
      </c>
    </row>
    <row r="6371" spans="1:7" hidden="1" x14ac:dyDescent="0.25">
      <c r="A6371" s="21">
        <v>6370</v>
      </c>
      <c r="B6371" s="7" t="s">
        <v>13496</v>
      </c>
      <c r="C6371" s="7" t="s">
        <v>13497</v>
      </c>
      <c r="G6371" s="8" t="s">
        <v>15</v>
      </c>
    </row>
    <row r="6372" spans="1:7" hidden="1" x14ac:dyDescent="0.25">
      <c r="A6372" s="21">
        <v>6371</v>
      </c>
      <c r="B6372" s="7" t="s">
        <v>13498</v>
      </c>
      <c r="C6372" s="7" t="s">
        <v>13499</v>
      </c>
      <c r="G6372" s="8" t="s">
        <v>15</v>
      </c>
    </row>
    <row r="6373" spans="1:7" hidden="1" x14ac:dyDescent="0.25">
      <c r="A6373" s="21">
        <v>6372</v>
      </c>
      <c r="B6373" s="7" t="s">
        <v>13500</v>
      </c>
      <c r="C6373" s="7" t="s">
        <v>13501</v>
      </c>
      <c r="G6373" s="8" t="s">
        <v>15</v>
      </c>
    </row>
    <row r="6374" spans="1:7" hidden="1" x14ac:dyDescent="0.25">
      <c r="A6374" s="21">
        <v>6373</v>
      </c>
      <c r="B6374" s="7" t="s">
        <v>13502</v>
      </c>
      <c r="C6374" s="7" t="s">
        <v>13503</v>
      </c>
      <c r="G6374" s="8" t="s">
        <v>15</v>
      </c>
    </row>
    <row r="6375" spans="1:7" hidden="1" x14ac:dyDescent="0.25">
      <c r="A6375" s="21">
        <v>6374</v>
      </c>
      <c r="B6375" s="7" t="s">
        <v>13504</v>
      </c>
      <c r="C6375" s="7" t="s">
        <v>13505</v>
      </c>
      <c r="G6375" s="8" t="s">
        <v>15</v>
      </c>
    </row>
    <row r="6376" spans="1:7" hidden="1" x14ac:dyDescent="0.25">
      <c r="A6376" s="21">
        <v>6375</v>
      </c>
      <c r="B6376" s="7" t="s">
        <v>13506</v>
      </c>
      <c r="C6376" s="7" t="s">
        <v>13507</v>
      </c>
      <c r="G6376" s="8" t="s">
        <v>15</v>
      </c>
    </row>
    <row r="6377" spans="1:7" hidden="1" x14ac:dyDescent="0.25">
      <c r="A6377" s="21">
        <v>6376</v>
      </c>
      <c r="B6377" s="7" t="s">
        <v>13508</v>
      </c>
      <c r="C6377" s="7" t="s">
        <v>13509</v>
      </c>
      <c r="G6377" s="8" t="s">
        <v>15</v>
      </c>
    </row>
    <row r="6378" spans="1:7" hidden="1" x14ac:dyDescent="0.25">
      <c r="A6378" s="21">
        <v>6377</v>
      </c>
      <c r="B6378" s="7" t="s">
        <v>13510</v>
      </c>
      <c r="C6378" s="7" t="s">
        <v>13511</v>
      </c>
      <c r="G6378" s="8" t="s">
        <v>15</v>
      </c>
    </row>
    <row r="6379" spans="1:7" hidden="1" x14ac:dyDescent="0.25">
      <c r="A6379" s="21">
        <v>6378</v>
      </c>
      <c r="B6379" s="7" t="s">
        <v>13512</v>
      </c>
      <c r="C6379" s="7" t="s">
        <v>13513</v>
      </c>
      <c r="G6379" s="8" t="s">
        <v>15</v>
      </c>
    </row>
    <row r="6380" spans="1:7" hidden="1" x14ac:dyDescent="0.25">
      <c r="A6380" s="21">
        <v>6379</v>
      </c>
      <c r="B6380" s="7" t="s">
        <v>13514</v>
      </c>
      <c r="C6380" s="7" t="s">
        <v>13515</v>
      </c>
      <c r="G6380" s="8" t="s">
        <v>15</v>
      </c>
    </row>
    <row r="6381" spans="1:7" hidden="1" x14ac:dyDescent="0.25">
      <c r="A6381" s="21">
        <v>6380</v>
      </c>
      <c r="B6381" s="7" t="s">
        <v>13516</v>
      </c>
      <c r="C6381" s="7" t="s">
        <v>13517</v>
      </c>
      <c r="G6381" s="8" t="s">
        <v>15</v>
      </c>
    </row>
    <row r="6382" spans="1:7" hidden="1" x14ac:dyDescent="0.25">
      <c r="A6382" s="21">
        <v>6381</v>
      </c>
      <c r="B6382" s="7" t="s">
        <v>13518</v>
      </c>
      <c r="C6382" s="7" t="s">
        <v>13519</v>
      </c>
      <c r="G6382" s="8" t="s">
        <v>15</v>
      </c>
    </row>
    <row r="6383" spans="1:7" hidden="1" x14ac:dyDescent="0.25">
      <c r="A6383" s="21">
        <v>6382</v>
      </c>
      <c r="B6383" s="7" t="s">
        <v>13520</v>
      </c>
      <c r="C6383" s="7" t="s">
        <v>13521</v>
      </c>
      <c r="G6383" s="8" t="s">
        <v>15</v>
      </c>
    </row>
    <row r="6384" spans="1:7" hidden="1" x14ac:dyDescent="0.25">
      <c r="A6384" s="21">
        <v>6383</v>
      </c>
      <c r="B6384" s="7" t="s">
        <v>13522</v>
      </c>
      <c r="C6384" s="7" t="s">
        <v>13523</v>
      </c>
      <c r="G6384" s="8" t="s">
        <v>15</v>
      </c>
    </row>
    <row r="6385" spans="1:7" hidden="1" x14ac:dyDescent="0.25">
      <c r="A6385" s="21">
        <v>6384</v>
      </c>
      <c r="B6385" s="7" t="s">
        <v>13524</v>
      </c>
      <c r="C6385" s="7" t="s">
        <v>13525</v>
      </c>
      <c r="G6385" s="8" t="s">
        <v>15</v>
      </c>
    </row>
    <row r="6386" spans="1:7" hidden="1" x14ac:dyDescent="0.25">
      <c r="A6386" s="21">
        <v>6385</v>
      </c>
      <c r="B6386" s="7" t="s">
        <v>13526</v>
      </c>
      <c r="C6386" s="7" t="s">
        <v>13527</v>
      </c>
      <c r="G6386" s="8" t="s">
        <v>15</v>
      </c>
    </row>
    <row r="6387" spans="1:7" hidden="1" x14ac:dyDescent="0.25">
      <c r="A6387" s="21">
        <v>6386</v>
      </c>
      <c r="B6387" s="7" t="s">
        <v>13528</v>
      </c>
      <c r="C6387" s="7" t="s">
        <v>13529</v>
      </c>
      <c r="G6387" s="8" t="s">
        <v>15</v>
      </c>
    </row>
    <row r="6388" spans="1:7" hidden="1" x14ac:dyDescent="0.25">
      <c r="A6388" s="21">
        <v>6387</v>
      </c>
      <c r="B6388" s="7" t="s">
        <v>13530</v>
      </c>
      <c r="C6388" s="7" t="s">
        <v>13531</v>
      </c>
      <c r="G6388" s="8" t="s">
        <v>15</v>
      </c>
    </row>
    <row r="6389" spans="1:7" hidden="1" x14ac:dyDescent="0.25">
      <c r="A6389" s="21">
        <v>6388</v>
      </c>
      <c r="B6389" s="7" t="s">
        <v>13532</v>
      </c>
      <c r="C6389" s="7" t="s">
        <v>13533</v>
      </c>
      <c r="G6389" s="8" t="s">
        <v>15</v>
      </c>
    </row>
    <row r="6390" spans="1:7" hidden="1" x14ac:dyDescent="0.25">
      <c r="A6390" s="21">
        <v>6389</v>
      </c>
      <c r="B6390" s="7" t="s">
        <v>13534</v>
      </c>
      <c r="C6390" s="7" t="s">
        <v>13535</v>
      </c>
      <c r="G6390" s="8" t="s">
        <v>15</v>
      </c>
    </row>
    <row r="6391" spans="1:7" hidden="1" x14ac:dyDescent="0.25">
      <c r="A6391" s="21">
        <v>6390</v>
      </c>
      <c r="B6391" s="7" t="s">
        <v>13536</v>
      </c>
      <c r="C6391" s="7" t="s">
        <v>13537</v>
      </c>
      <c r="G6391" s="8" t="s">
        <v>15</v>
      </c>
    </row>
    <row r="6392" spans="1:7" hidden="1" x14ac:dyDescent="0.25">
      <c r="A6392" s="21">
        <v>6391</v>
      </c>
      <c r="B6392" s="7" t="s">
        <v>13538</v>
      </c>
      <c r="C6392" s="7" t="s">
        <v>13539</v>
      </c>
      <c r="G6392" s="8" t="s">
        <v>15</v>
      </c>
    </row>
    <row r="6393" spans="1:7" hidden="1" x14ac:dyDescent="0.25">
      <c r="A6393" s="21">
        <v>6392</v>
      </c>
      <c r="B6393" s="7" t="s">
        <v>13540</v>
      </c>
      <c r="C6393" s="7" t="s">
        <v>13541</v>
      </c>
      <c r="G6393" s="8" t="s">
        <v>15</v>
      </c>
    </row>
    <row r="6394" spans="1:7" hidden="1" x14ac:dyDescent="0.25">
      <c r="A6394" s="21">
        <v>6393</v>
      </c>
      <c r="B6394" s="7" t="s">
        <v>13542</v>
      </c>
      <c r="C6394" s="7" t="s">
        <v>13543</v>
      </c>
      <c r="G6394" s="8" t="s">
        <v>15</v>
      </c>
    </row>
    <row r="6395" spans="1:7" hidden="1" x14ac:dyDescent="0.25">
      <c r="A6395" s="21">
        <v>6394</v>
      </c>
      <c r="B6395" s="7" t="s">
        <v>13544</v>
      </c>
      <c r="C6395" s="7" t="s">
        <v>13545</v>
      </c>
      <c r="G6395" s="8" t="s">
        <v>15</v>
      </c>
    </row>
    <row r="6396" spans="1:7" hidden="1" x14ac:dyDescent="0.25">
      <c r="A6396" s="21">
        <v>6395</v>
      </c>
      <c r="B6396" s="7" t="s">
        <v>13546</v>
      </c>
      <c r="C6396" s="7" t="s">
        <v>13547</v>
      </c>
      <c r="G6396" s="8" t="s">
        <v>15</v>
      </c>
    </row>
    <row r="6397" spans="1:7" hidden="1" x14ac:dyDescent="0.25">
      <c r="A6397" s="21">
        <v>6396</v>
      </c>
      <c r="B6397" s="7" t="s">
        <v>13548</v>
      </c>
      <c r="C6397" s="7" t="s">
        <v>13549</v>
      </c>
      <c r="G6397" s="8" t="s">
        <v>15</v>
      </c>
    </row>
    <row r="6398" spans="1:7" hidden="1" x14ac:dyDescent="0.25">
      <c r="A6398" s="21">
        <v>6397</v>
      </c>
      <c r="B6398" s="7" t="s">
        <v>13550</v>
      </c>
      <c r="C6398" s="7" t="s">
        <v>13551</v>
      </c>
      <c r="G6398" s="8" t="s">
        <v>15</v>
      </c>
    </row>
    <row r="6399" spans="1:7" hidden="1" x14ac:dyDescent="0.25">
      <c r="A6399" s="21">
        <v>6398</v>
      </c>
      <c r="B6399" s="7" t="s">
        <v>13552</v>
      </c>
      <c r="C6399" s="7" t="s">
        <v>13553</v>
      </c>
      <c r="G6399" s="8" t="s">
        <v>15</v>
      </c>
    </row>
    <row r="6400" spans="1:7" hidden="1" x14ac:dyDescent="0.25">
      <c r="A6400" s="21">
        <v>6399</v>
      </c>
      <c r="B6400" s="7" t="s">
        <v>13554</v>
      </c>
      <c r="C6400" s="7" t="s">
        <v>13555</v>
      </c>
      <c r="G6400" s="8" t="s">
        <v>15</v>
      </c>
    </row>
    <row r="6401" spans="1:7" hidden="1" x14ac:dyDescent="0.25">
      <c r="A6401" s="21">
        <v>6400</v>
      </c>
      <c r="B6401" s="7" t="s">
        <v>13556</v>
      </c>
      <c r="C6401" s="7" t="s">
        <v>13557</v>
      </c>
      <c r="G6401" s="8" t="s">
        <v>15</v>
      </c>
    </row>
    <row r="6402" spans="1:7" hidden="1" x14ac:dyDescent="0.25">
      <c r="A6402" s="21">
        <v>6401</v>
      </c>
      <c r="B6402" s="7" t="s">
        <v>13558</v>
      </c>
      <c r="C6402" s="7" t="s">
        <v>13559</v>
      </c>
      <c r="G6402" s="8" t="s">
        <v>15</v>
      </c>
    </row>
    <row r="6403" spans="1:7" hidden="1" x14ac:dyDescent="0.25">
      <c r="A6403" s="21">
        <v>6402</v>
      </c>
      <c r="B6403" s="7" t="s">
        <v>13560</v>
      </c>
      <c r="C6403" s="7" t="s">
        <v>13561</v>
      </c>
      <c r="G6403" s="8" t="s">
        <v>15</v>
      </c>
    </row>
    <row r="6404" spans="1:7" hidden="1" x14ac:dyDescent="0.25">
      <c r="A6404" s="21">
        <v>6403</v>
      </c>
      <c r="B6404" s="7" t="s">
        <v>13562</v>
      </c>
      <c r="C6404" s="7" t="s">
        <v>13563</v>
      </c>
      <c r="G6404" s="8" t="s">
        <v>15</v>
      </c>
    </row>
    <row r="6405" spans="1:7" hidden="1" x14ac:dyDescent="0.25">
      <c r="A6405" s="21">
        <v>6404</v>
      </c>
      <c r="B6405" s="7" t="s">
        <v>13564</v>
      </c>
      <c r="C6405" s="7" t="s">
        <v>13565</v>
      </c>
      <c r="G6405" s="8" t="s">
        <v>15</v>
      </c>
    </row>
    <row r="6406" spans="1:7" hidden="1" x14ac:dyDescent="0.25">
      <c r="A6406" s="21">
        <v>6405</v>
      </c>
      <c r="B6406" s="7" t="s">
        <v>13566</v>
      </c>
      <c r="C6406" s="7" t="s">
        <v>13567</v>
      </c>
      <c r="G6406" s="8" t="s">
        <v>15</v>
      </c>
    </row>
    <row r="6407" spans="1:7" hidden="1" x14ac:dyDescent="0.25">
      <c r="A6407" s="21">
        <v>6406</v>
      </c>
      <c r="B6407" s="7" t="s">
        <v>13568</v>
      </c>
      <c r="C6407" s="7" t="s">
        <v>13569</v>
      </c>
      <c r="G6407" s="8" t="s">
        <v>15</v>
      </c>
    </row>
    <row r="6408" spans="1:7" hidden="1" x14ac:dyDescent="0.25">
      <c r="A6408" s="21">
        <v>6407</v>
      </c>
      <c r="B6408" s="7" t="s">
        <v>13570</v>
      </c>
      <c r="C6408" s="7" t="s">
        <v>13571</v>
      </c>
      <c r="G6408" s="8" t="s">
        <v>15</v>
      </c>
    </row>
    <row r="6409" spans="1:7" hidden="1" x14ac:dyDescent="0.25">
      <c r="A6409" s="21">
        <v>6408</v>
      </c>
      <c r="B6409" s="7" t="s">
        <v>13572</v>
      </c>
      <c r="C6409" s="7" t="s">
        <v>13573</v>
      </c>
      <c r="G6409" s="8" t="s">
        <v>15</v>
      </c>
    </row>
    <row r="6410" spans="1:7" hidden="1" x14ac:dyDescent="0.25">
      <c r="A6410" s="21">
        <v>6409</v>
      </c>
      <c r="B6410" s="7" t="s">
        <v>13574</v>
      </c>
      <c r="C6410" s="7" t="s">
        <v>13575</v>
      </c>
      <c r="G6410" s="8" t="s">
        <v>15</v>
      </c>
    </row>
    <row r="6411" spans="1:7" hidden="1" x14ac:dyDescent="0.25">
      <c r="A6411" s="21">
        <v>6410</v>
      </c>
      <c r="B6411" s="7" t="s">
        <v>13576</v>
      </c>
      <c r="C6411" s="7" t="s">
        <v>13577</v>
      </c>
      <c r="G6411" s="8" t="s">
        <v>15</v>
      </c>
    </row>
    <row r="6412" spans="1:7" hidden="1" x14ac:dyDescent="0.25">
      <c r="A6412" s="21">
        <v>6411</v>
      </c>
      <c r="B6412" s="7" t="s">
        <v>13578</v>
      </c>
      <c r="C6412" s="7" t="s">
        <v>13579</v>
      </c>
      <c r="G6412" s="8" t="s">
        <v>15</v>
      </c>
    </row>
    <row r="6413" spans="1:7" hidden="1" x14ac:dyDescent="0.25">
      <c r="A6413" s="21">
        <v>6412</v>
      </c>
      <c r="B6413" s="7" t="s">
        <v>13580</v>
      </c>
      <c r="C6413" s="7" t="s">
        <v>13581</v>
      </c>
      <c r="G6413" s="8" t="s">
        <v>15</v>
      </c>
    </row>
    <row r="6414" spans="1:7" hidden="1" x14ac:dyDescent="0.25">
      <c r="A6414" s="21">
        <v>6413</v>
      </c>
      <c r="B6414" s="7" t="s">
        <v>13582</v>
      </c>
      <c r="C6414" s="7" t="s">
        <v>13583</v>
      </c>
      <c r="G6414" s="8" t="s">
        <v>15</v>
      </c>
    </row>
    <row r="6415" spans="1:7" hidden="1" x14ac:dyDescent="0.25">
      <c r="A6415" s="21">
        <v>6414</v>
      </c>
      <c r="B6415" s="7" t="s">
        <v>13584</v>
      </c>
      <c r="C6415" s="7" t="s">
        <v>13585</v>
      </c>
      <c r="G6415" s="8" t="s">
        <v>15</v>
      </c>
    </row>
    <row r="6416" spans="1:7" hidden="1" x14ac:dyDescent="0.25">
      <c r="A6416" s="21">
        <v>6415</v>
      </c>
      <c r="B6416" s="7" t="s">
        <v>13586</v>
      </c>
      <c r="C6416" s="7" t="s">
        <v>13587</v>
      </c>
      <c r="G6416" s="8" t="s">
        <v>15</v>
      </c>
    </row>
    <row r="6417" spans="1:7" hidden="1" x14ac:dyDescent="0.25">
      <c r="A6417" s="21">
        <v>6416</v>
      </c>
      <c r="B6417" s="7" t="s">
        <v>13588</v>
      </c>
      <c r="C6417" s="7" t="s">
        <v>13589</v>
      </c>
      <c r="G6417" s="8" t="s">
        <v>15</v>
      </c>
    </row>
    <row r="6418" spans="1:7" hidden="1" x14ac:dyDescent="0.25">
      <c r="A6418" s="21">
        <v>6417</v>
      </c>
      <c r="B6418" s="7" t="s">
        <v>13590</v>
      </c>
      <c r="C6418" s="7" t="s">
        <v>13591</v>
      </c>
      <c r="G6418" s="8" t="s">
        <v>15</v>
      </c>
    </row>
    <row r="6419" spans="1:7" hidden="1" x14ac:dyDescent="0.25">
      <c r="A6419" s="21">
        <v>6418</v>
      </c>
      <c r="B6419" s="7" t="s">
        <v>13592</v>
      </c>
      <c r="C6419" s="7" t="s">
        <v>13593</v>
      </c>
      <c r="G6419" s="8" t="s">
        <v>15</v>
      </c>
    </row>
    <row r="6420" spans="1:7" hidden="1" x14ac:dyDescent="0.25">
      <c r="A6420" s="21">
        <v>6419</v>
      </c>
      <c r="B6420" s="7" t="s">
        <v>13594</v>
      </c>
      <c r="C6420" s="7" t="s">
        <v>13595</v>
      </c>
      <c r="G6420" s="8" t="s">
        <v>15</v>
      </c>
    </row>
    <row r="6421" spans="1:7" hidden="1" x14ac:dyDescent="0.25">
      <c r="A6421" s="21">
        <v>6420</v>
      </c>
      <c r="B6421" s="7" t="s">
        <v>13596</v>
      </c>
      <c r="C6421" s="7" t="s">
        <v>13597</v>
      </c>
      <c r="G6421" s="8" t="s">
        <v>15</v>
      </c>
    </row>
    <row r="6422" spans="1:7" hidden="1" x14ac:dyDescent="0.25">
      <c r="A6422" s="21">
        <v>6421</v>
      </c>
      <c r="B6422" s="7" t="s">
        <v>13598</v>
      </c>
      <c r="C6422" s="7" t="s">
        <v>13599</v>
      </c>
      <c r="G6422" s="8" t="s">
        <v>15</v>
      </c>
    </row>
    <row r="6423" spans="1:7" hidden="1" x14ac:dyDescent="0.25">
      <c r="A6423" s="21">
        <v>6422</v>
      </c>
      <c r="B6423" s="7" t="s">
        <v>13600</v>
      </c>
      <c r="C6423" s="7" t="s">
        <v>13601</v>
      </c>
      <c r="G6423" s="8" t="s">
        <v>15</v>
      </c>
    </row>
    <row r="6424" spans="1:7" hidden="1" x14ac:dyDescent="0.25">
      <c r="A6424" s="21">
        <v>6423</v>
      </c>
      <c r="B6424" s="7" t="s">
        <v>13602</v>
      </c>
      <c r="C6424" s="7" t="s">
        <v>13603</v>
      </c>
      <c r="G6424" s="8" t="s">
        <v>15</v>
      </c>
    </row>
    <row r="6425" spans="1:7" hidden="1" x14ac:dyDescent="0.25">
      <c r="A6425" s="21">
        <v>6424</v>
      </c>
      <c r="B6425" s="7" t="s">
        <v>13604</v>
      </c>
      <c r="C6425" s="7" t="s">
        <v>13605</v>
      </c>
      <c r="G6425" s="8" t="s">
        <v>15</v>
      </c>
    </row>
    <row r="6426" spans="1:7" hidden="1" x14ac:dyDescent="0.25">
      <c r="A6426" s="21">
        <v>6425</v>
      </c>
      <c r="B6426" s="7" t="s">
        <v>13606</v>
      </c>
      <c r="C6426" s="7" t="s">
        <v>13607</v>
      </c>
      <c r="G6426" s="8" t="s">
        <v>15</v>
      </c>
    </row>
    <row r="6427" spans="1:7" hidden="1" x14ac:dyDescent="0.25">
      <c r="A6427" s="21">
        <v>6426</v>
      </c>
      <c r="B6427" s="7" t="s">
        <v>13608</v>
      </c>
      <c r="C6427" s="7" t="s">
        <v>13609</v>
      </c>
      <c r="G6427" s="8" t="s">
        <v>15</v>
      </c>
    </row>
    <row r="6428" spans="1:7" hidden="1" x14ac:dyDescent="0.25">
      <c r="A6428" s="21">
        <v>6427</v>
      </c>
      <c r="B6428" s="7" t="s">
        <v>13610</v>
      </c>
      <c r="C6428" s="7" t="s">
        <v>13611</v>
      </c>
      <c r="G6428" s="8" t="s">
        <v>15</v>
      </c>
    </row>
    <row r="6429" spans="1:7" hidden="1" x14ac:dyDescent="0.25">
      <c r="A6429" s="21">
        <v>6428</v>
      </c>
      <c r="B6429" s="7" t="s">
        <v>13612</v>
      </c>
      <c r="C6429" s="7" t="s">
        <v>13613</v>
      </c>
      <c r="G6429" s="8" t="s">
        <v>15</v>
      </c>
    </row>
    <row r="6430" spans="1:7" hidden="1" x14ac:dyDescent="0.25">
      <c r="A6430" s="21">
        <v>6429</v>
      </c>
      <c r="B6430" s="7" t="s">
        <v>13614</v>
      </c>
      <c r="C6430" s="7" t="s">
        <v>13615</v>
      </c>
      <c r="G6430" s="8" t="s">
        <v>15</v>
      </c>
    </row>
    <row r="6431" spans="1:7" hidden="1" x14ac:dyDescent="0.25">
      <c r="A6431" s="21">
        <v>6430</v>
      </c>
      <c r="B6431" s="7" t="s">
        <v>13616</v>
      </c>
      <c r="C6431" s="7" t="s">
        <v>13617</v>
      </c>
      <c r="G6431" s="8" t="s">
        <v>15</v>
      </c>
    </row>
    <row r="6432" spans="1:7" hidden="1" x14ac:dyDescent="0.25">
      <c r="A6432" s="21">
        <v>6431</v>
      </c>
      <c r="B6432" s="7" t="s">
        <v>13618</v>
      </c>
      <c r="C6432" s="7" t="s">
        <v>13619</v>
      </c>
      <c r="G6432" s="8" t="s">
        <v>15</v>
      </c>
    </row>
    <row r="6433" spans="1:7" hidden="1" x14ac:dyDescent="0.25">
      <c r="A6433" s="21">
        <v>6432</v>
      </c>
      <c r="B6433" s="7" t="s">
        <v>13620</v>
      </c>
      <c r="C6433" s="7" t="s">
        <v>13621</v>
      </c>
      <c r="G6433" s="8" t="s">
        <v>15</v>
      </c>
    </row>
    <row r="6434" spans="1:7" hidden="1" x14ac:dyDescent="0.25">
      <c r="A6434" s="21">
        <v>6433</v>
      </c>
      <c r="B6434" s="7" t="s">
        <v>13622</v>
      </c>
      <c r="C6434" s="7" t="s">
        <v>13623</v>
      </c>
      <c r="G6434" s="8" t="s">
        <v>15</v>
      </c>
    </row>
    <row r="6435" spans="1:7" hidden="1" x14ac:dyDescent="0.25">
      <c r="A6435" s="21">
        <v>6434</v>
      </c>
      <c r="B6435" s="7" t="s">
        <v>13624</v>
      </c>
      <c r="C6435" s="7" t="s">
        <v>13625</v>
      </c>
      <c r="G6435" s="8" t="s">
        <v>15</v>
      </c>
    </row>
    <row r="6436" spans="1:7" hidden="1" x14ac:dyDescent="0.25">
      <c r="A6436" s="21">
        <v>6435</v>
      </c>
      <c r="B6436" s="7" t="s">
        <v>13626</v>
      </c>
      <c r="C6436" s="7" t="s">
        <v>13627</v>
      </c>
      <c r="G6436" s="8" t="s">
        <v>15</v>
      </c>
    </row>
    <row r="6437" spans="1:7" hidden="1" x14ac:dyDescent="0.25">
      <c r="A6437" s="21">
        <v>6436</v>
      </c>
      <c r="B6437" s="7" t="s">
        <v>13628</v>
      </c>
      <c r="C6437" s="7" t="s">
        <v>13629</v>
      </c>
      <c r="G6437" s="8" t="s">
        <v>15</v>
      </c>
    </row>
    <row r="6438" spans="1:7" hidden="1" x14ac:dyDescent="0.25">
      <c r="A6438" s="21">
        <v>6437</v>
      </c>
      <c r="B6438" s="7" t="s">
        <v>13630</v>
      </c>
      <c r="C6438" s="7" t="s">
        <v>13631</v>
      </c>
      <c r="G6438" s="8" t="s">
        <v>15</v>
      </c>
    </row>
    <row r="6439" spans="1:7" hidden="1" x14ac:dyDescent="0.25">
      <c r="A6439" s="21">
        <v>6438</v>
      </c>
      <c r="B6439" s="7" t="s">
        <v>13632</v>
      </c>
      <c r="C6439" s="7" t="s">
        <v>13633</v>
      </c>
      <c r="G6439" s="8" t="s">
        <v>15</v>
      </c>
    </row>
    <row r="6440" spans="1:7" hidden="1" x14ac:dyDescent="0.25">
      <c r="A6440" s="21">
        <v>6439</v>
      </c>
      <c r="B6440" s="7" t="s">
        <v>13634</v>
      </c>
      <c r="C6440" s="7" t="s">
        <v>13635</v>
      </c>
      <c r="G6440" s="8" t="s">
        <v>15</v>
      </c>
    </row>
    <row r="6441" spans="1:7" hidden="1" x14ac:dyDescent="0.25">
      <c r="A6441" s="21">
        <v>6440</v>
      </c>
      <c r="B6441" s="7" t="s">
        <v>13636</v>
      </c>
      <c r="C6441" s="7" t="s">
        <v>13637</v>
      </c>
      <c r="G6441" s="8" t="s">
        <v>15</v>
      </c>
    </row>
    <row r="6442" spans="1:7" hidden="1" x14ac:dyDescent="0.25">
      <c r="A6442" s="21">
        <v>6441</v>
      </c>
      <c r="B6442" s="7" t="s">
        <v>13638</v>
      </c>
      <c r="C6442" s="7" t="s">
        <v>13639</v>
      </c>
      <c r="G6442" s="8" t="s">
        <v>15</v>
      </c>
    </row>
    <row r="6443" spans="1:7" hidden="1" x14ac:dyDescent="0.25">
      <c r="A6443" s="21">
        <v>6442</v>
      </c>
      <c r="B6443" s="7" t="s">
        <v>13640</v>
      </c>
      <c r="C6443" s="7" t="s">
        <v>13641</v>
      </c>
      <c r="G6443" s="8" t="s">
        <v>15</v>
      </c>
    </row>
    <row r="6444" spans="1:7" hidden="1" x14ac:dyDescent="0.25">
      <c r="A6444" s="21">
        <v>6443</v>
      </c>
      <c r="B6444" s="7" t="s">
        <v>13642</v>
      </c>
      <c r="C6444" s="7" t="s">
        <v>13643</v>
      </c>
      <c r="G6444" s="8" t="s">
        <v>15</v>
      </c>
    </row>
    <row r="6445" spans="1:7" hidden="1" x14ac:dyDescent="0.25">
      <c r="A6445" s="21">
        <v>6444</v>
      </c>
      <c r="B6445" s="7" t="s">
        <v>13644</v>
      </c>
      <c r="C6445" s="7" t="s">
        <v>13645</v>
      </c>
      <c r="G6445" s="8" t="s">
        <v>15</v>
      </c>
    </row>
    <row r="6446" spans="1:7" hidden="1" x14ac:dyDescent="0.25">
      <c r="A6446" s="21">
        <v>6445</v>
      </c>
      <c r="B6446" s="7" t="s">
        <v>13646</v>
      </c>
      <c r="C6446" s="7" t="s">
        <v>13647</v>
      </c>
      <c r="G6446" s="8" t="s">
        <v>15</v>
      </c>
    </row>
    <row r="6447" spans="1:7" hidden="1" x14ac:dyDescent="0.25">
      <c r="A6447" s="21">
        <v>6446</v>
      </c>
      <c r="B6447" s="7" t="s">
        <v>13648</v>
      </c>
      <c r="C6447" s="7" t="s">
        <v>13649</v>
      </c>
      <c r="G6447" s="8" t="s">
        <v>15</v>
      </c>
    </row>
    <row r="6448" spans="1:7" hidden="1" x14ac:dyDescent="0.25">
      <c r="A6448" s="21">
        <v>6447</v>
      </c>
      <c r="B6448" s="7" t="s">
        <v>13650</v>
      </c>
      <c r="C6448" s="7" t="s">
        <v>13651</v>
      </c>
      <c r="G6448" s="8" t="s">
        <v>15</v>
      </c>
    </row>
    <row r="6449" spans="1:7" hidden="1" x14ac:dyDescent="0.25">
      <c r="A6449" s="21">
        <v>6448</v>
      </c>
      <c r="B6449" s="7" t="s">
        <v>13652</v>
      </c>
      <c r="C6449" s="7" t="s">
        <v>13653</v>
      </c>
      <c r="G6449" s="8" t="s">
        <v>15</v>
      </c>
    </row>
    <row r="6450" spans="1:7" hidden="1" x14ac:dyDescent="0.25">
      <c r="A6450" s="21">
        <v>6449</v>
      </c>
      <c r="B6450" s="7" t="s">
        <v>13654</v>
      </c>
      <c r="C6450" s="7" t="s">
        <v>13655</v>
      </c>
      <c r="G6450" s="8" t="s">
        <v>15</v>
      </c>
    </row>
    <row r="6451" spans="1:7" hidden="1" x14ac:dyDescent="0.25">
      <c r="A6451" s="21">
        <v>6450</v>
      </c>
      <c r="B6451" s="7" t="s">
        <v>13656</v>
      </c>
      <c r="C6451" s="7" t="s">
        <v>13657</v>
      </c>
      <c r="G6451" s="8" t="s">
        <v>15</v>
      </c>
    </row>
    <row r="6452" spans="1:7" hidden="1" x14ac:dyDescent="0.25">
      <c r="A6452" s="21">
        <v>6451</v>
      </c>
      <c r="B6452" s="7" t="s">
        <v>13658</v>
      </c>
      <c r="C6452" s="7" t="s">
        <v>13659</v>
      </c>
      <c r="G6452" s="8" t="s">
        <v>15</v>
      </c>
    </row>
    <row r="6453" spans="1:7" hidden="1" x14ac:dyDescent="0.25">
      <c r="A6453" s="21">
        <v>6452</v>
      </c>
      <c r="B6453" s="7" t="s">
        <v>13660</v>
      </c>
      <c r="C6453" s="7" t="s">
        <v>13661</v>
      </c>
      <c r="G6453" s="8" t="s">
        <v>15</v>
      </c>
    </row>
    <row r="6454" spans="1:7" hidden="1" x14ac:dyDescent="0.25">
      <c r="A6454" s="21">
        <v>6453</v>
      </c>
      <c r="B6454" s="7" t="s">
        <v>13662</v>
      </c>
      <c r="C6454" s="7" t="s">
        <v>13663</v>
      </c>
      <c r="G6454" s="8" t="s">
        <v>15</v>
      </c>
    </row>
    <row r="6455" spans="1:7" hidden="1" x14ac:dyDescent="0.25">
      <c r="A6455" s="21">
        <v>6454</v>
      </c>
      <c r="B6455" s="7" t="s">
        <v>13664</v>
      </c>
      <c r="C6455" s="7" t="s">
        <v>13665</v>
      </c>
      <c r="G6455" s="8" t="s">
        <v>15</v>
      </c>
    </row>
    <row r="6456" spans="1:7" hidden="1" x14ac:dyDescent="0.25">
      <c r="A6456" s="21">
        <v>6455</v>
      </c>
      <c r="B6456" s="7" t="s">
        <v>13666</v>
      </c>
      <c r="C6456" s="7" t="s">
        <v>13667</v>
      </c>
      <c r="G6456" s="8" t="s">
        <v>15</v>
      </c>
    </row>
    <row r="6457" spans="1:7" hidden="1" x14ac:dyDescent="0.25">
      <c r="A6457" s="21">
        <v>6456</v>
      </c>
      <c r="B6457" s="7" t="s">
        <v>13668</v>
      </c>
      <c r="C6457" s="7" t="s">
        <v>13669</v>
      </c>
      <c r="G6457" s="8" t="s">
        <v>15</v>
      </c>
    </row>
    <row r="6458" spans="1:7" hidden="1" x14ac:dyDescent="0.25">
      <c r="A6458" s="21">
        <v>6457</v>
      </c>
      <c r="B6458" s="7" t="s">
        <v>13670</v>
      </c>
      <c r="C6458" s="7" t="s">
        <v>13671</v>
      </c>
      <c r="G6458" s="8" t="s">
        <v>15</v>
      </c>
    </row>
    <row r="6459" spans="1:7" hidden="1" x14ac:dyDescent="0.25">
      <c r="A6459" s="21">
        <v>6458</v>
      </c>
      <c r="B6459" s="7" t="s">
        <v>13672</v>
      </c>
      <c r="C6459" s="7" t="s">
        <v>13673</v>
      </c>
      <c r="G6459" s="8" t="s">
        <v>15</v>
      </c>
    </row>
    <row r="6460" spans="1:7" hidden="1" x14ac:dyDescent="0.25">
      <c r="A6460" s="21">
        <v>6459</v>
      </c>
      <c r="B6460" s="7" t="s">
        <v>13674</v>
      </c>
      <c r="C6460" s="7" t="s">
        <v>13675</v>
      </c>
      <c r="G6460" s="8" t="s">
        <v>15</v>
      </c>
    </row>
    <row r="6461" spans="1:7" hidden="1" x14ac:dyDescent="0.25">
      <c r="A6461" s="21">
        <v>6460</v>
      </c>
      <c r="B6461" s="7" t="s">
        <v>13676</v>
      </c>
      <c r="C6461" s="7" t="s">
        <v>13677</v>
      </c>
      <c r="G6461" s="8" t="s">
        <v>15</v>
      </c>
    </row>
    <row r="6462" spans="1:7" hidden="1" x14ac:dyDescent="0.25">
      <c r="A6462" s="21">
        <v>6461</v>
      </c>
      <c r="B6462" s="7" t="s">
        <v>13678</v>
      </c>
      <c r="C6462" s="7" t="s">
        <v>13679</v>
      </c>
      <c r="G6462" s="8" t="s">
        <v>15</v>
      </c>
    </row>
    <row r="6463" spans="1:7" hidden="1" x14ac:dyDescent="0.25">
      <c r="A6463" s="21">
        <v>6462</v>
      </c>
      <c r="B6463" s="7" t="s">
        <v>13680</v>
      </c>
      <c r="C6463" s="7" t="s">
        <v>13681</v>
      </c>
      <c r="G6463" s="8" t="s">
        <v>15</v>
      </c>
    </row>
    <row r="6464" spans="1:7" hidden="1" x14ac:dyDescent="0.25">
      <c r="A6464" s="21">
        <v>6463</v>
      </c>
      <c r="B6464" s="7" t="s">
        <v>13682</v>
      </c>
      <c r="C6464" s="7" t="s">
        <v>13683</v>
      </c>
      <c r="G6464" s="8" t="s">
        <v>15</v>
      </c>
    </row>
    <row r="6465" spans="1:7" hidden="1" x14ac:dyDescent="0.25">
      <c r="A6465" s="21">
        <v>6464</v>
      </c>
      <c r="B6465" s="7" t="s">
        <v>13684</v>
      </c>
      <c r="C6465" s="7" t="s">
        <v>13685</v>
      </c>
      <c r="G6465" s="8" t="s">
        <v>15</v>
      </c>
    </row>
    <row r="6466" spans="1:7" hidden="1" x14ac:dyDescent="0.25">
      <c r="A6466" s="21">
        <v>6465</v>
      </c>
      <c r="B6466" s="7" t="s">
        <v>13686</v>
      </c>
      <c r="C6466" s="7" t="s">
        <v>13687</v>
      </c>
      <c r="G6466" s="8" t="s">
        <v>15</v>
      </c>
    </row>
    <row r="6467" spans="1:7" hidden="1" x14ac:dyDescent="0.25">
      <c r="A6467" s="21">
        <v>6466</v>
      </c>
      <c r="B6467" s="7" t="s">
        <v>13688</v>
      </c>
      <c r="C6467" s="7" t="s">
        <v>13689</v>
      </c>
      <c r="G6467" s="8" t="s">
        <v>15</v>
      </c>
    </row>
    <row r="6468" spans="1:7" hidden="1" x14ac:dyDescent="0.25">
      <c r="A6468" s="21">
        <v>6467</v>
      </c>
      <c r="B6468" s="7" t="s">
        <v>13690</v>
      </c>
      <c r="C6468" s="7" t="s">
        <v>13691</v>
      </c>
      <c r="G6468" s="8" t="s">
        <v>15</v>
      </c>
    </row>
    <row r="6469" spans="1:7" hidden="1" x14ac:dyDescent="0.25">
      <c r="A6469" s="21">
        <v>6468</v>
      </c>
      <c r="B6469" s="7" t="s">
        <v>13692</v>
      </c>
      <c r="C6469" s="7" t="s">
        <v>13693</v>
      </c>
      <c r="G6469" s="8" t="s">
        <v>15</v>
      </c>
    </row>
    <row r="6470" spans="1:7" hidden="1" x14ac:dyDescent="0.25">
      <c r="A6470" s="21">
        <v>6469</v>
      </c>
      <c r="B6470" s="7" t="s">
        <v>13694</v>
      </c>
      <c r="C6470" s="7" t="s">
        <v>13695</v>
      </c>
      <c r="G6470" s="8" t="s">
        <v>15</v>
      </c>
    </row>
    <row r="6471" spans="1:7" hidden="1" x14ac:dyDescent="0.25">
      <c r="A6471" s="21">
        <v>6470</v>
      </c>
      <c r="B6471" s="7" t="s">
        <v>13696</v>
      </c>
      <c r="C6471" s="7" t="s">
        <v>13697</v>
      </c>
      <c r="G6471" s="8" t="s">
        <v>15</v>
      </c>
    </row>
    <row r="6472" spans="1:7" hidden="1" x14ac:dyDescent="0.25">
      <c r="A6472" s="21">
        <v>6471</v>
      </c>
      <c r="B6472" s="7" t="s">
        <v>13698</v>
      </c>
      <c r="C6472" s="7" t="s">
        <v>13699</v>
      </c>
      <c r="G6472" s="8" t="s">
        <v>15</v>
      </c>
    </row>
    <row r="6473" spans="1:7" hidden="1" x14ac:dyDescent="0.25">
      <c r="A6473" s="21">
        <v>6472</v>
      </c>
      <c r="B6473" s="7" t="s">
        <v>13700</v>
      </c>
      <c r="C6473" s="7" t="s">
        <v>13701</v>
      </c>
      <c r="G6473" s="8" t="s">
        <v>15</v>
      </c>
    </row>
    <row r="6474" spans="1:7" hidden="1" x14ac:dyDescent="0.25">
      <c r="A6474" s="21">
        <v>6473</v>
      </c>
      <c r="B6474" s="7" t="s">
        <v>13702</v>
      </c>
      <c r="C6474" s="7" t="s">
        <v>13703</v>
      </c>
      <c r="G6474" s="8" t="s">
        <v>15</v>
      </c>
    </row>
    <row r="6475" spans="1:7" hidden="1" x14ac:dyDescent="0.25">
      <c r="A6475" s="21">
        <v>6474</v>
      </c>
      <c r="B6475" s="7" t="s">
        <v>13704</v>
      </c>
      <c r="C6475" s="7" t="s">
        <v>13705</v>
      </c>
      <c r="G6475" s="8" t="s">
        <v>15</v>
      </c>
    </row>
    <row r="6476" spans="1:7" hidden="1" x14ac:dyDescent="0.25">
      <c r="A6476" s="21">
        <v>6475</v>
      </c>
      <c r="B6476" s="7" t="s">
        <v>13706</v>
      </c>
      <c r="C6476" s="7" t="s">
        <v>13707</v>
      </c>
      <c r="G6476" s="8" t="s">
        <v>15</v>
      </c>
    </row>
    <row r="6477" spans="1:7" hidden="1" x14ac:dyDescent="0.25">
      <c r="A6477" s="21">
        <v>6476</v>
      </c>
      <c r="B6477" s="7" t="s">
        <v>13708</v>
      </c>
      <c r="C6477" s="7" t="s">
        <v>13709</v>
      </c>
      <c r="G6477" s="8" t="s">
        <v>15</v>
      </c>
    </row>
    <row r="6478" spans="1:7" hidden="1" x14ac:dyDescent="0.25">
      <c r="A6478" s="21">
        <v>6477</v>
      </c>
      <c r="B6478" s="7" t="s">
        <v>13710</v>
      </c>
      <c r="C6478" s="7" t="s">
        <v>13711</v>
      </c>
      <c r="G6478" s="8" t="s">
        <v>15</v>
      </c>
    </row>
    <row r="6479" spans="1:7" hidden="1" x14ac:dyDescent="0.25">
      <c r="A6479" s="21">
        <v>6478</v>
      </c>
      <c r="B6479" s="7" t="s">
        <v>13712</v>
      </c>
      <c r="C6479" s="7" t="s">
        <v>13713</v>
      </c>
      <c r="G6479" s="8" t="s">
        <v>15</v>
      </c>
    </row>
    <row r="6480" spans="1:7" hidden="1" x14ac:dyDescent="0.25">
      <c r="A6480" s="21">
        <v>6479</v>
      </c>
      <c r="B6480" s="7" t="s">
        <v>13714</v>
      </c>
      <c r="C6480" s="7" t="s">
        <v>13715</v>
      </c>
      <c r="G6480" s="8" t="s">
        <v>15</v>
      </c>
    </row>
    <row r="6481" spans="1:7" hidden="1" x14ac:dyDescent="0.25">
      <c r="A6481" s="21">
        <v>6480</v>
      </c>
      <c r="B6481" s="7" t="s">
        <v>13716</v>
      </c>
      <c r="C6481" s="7" t="s">
        <v>13717</v>
      </c>
      <c r="G6481" s="8" t="s">
        <v>15</v>
      </c>
    </row>
    <row r="6482" spans="1:7" hidden="1" x14ac:dyDescent="0.25">
      <c r="A6482" s="21">
        <v>6481</v>
      </c>
      <c r="B6482" s="7" t="s">
        <v>13718</v>
      </c>
      <c r="C6482" s="7" t="s">
        <v>13719</v>
      </c>
      <c r="G6482" s="8" t="s">
        <v>15</v>
      </c>
    </row>
    <row r="6483" spans="1:7" hidden="1" x14ac:dyDescent="0.25">
      <c r="A6483" s="21">
        <v>6482</v>
      </c>
      <c r="B6483" s="7" t="s">
        <v>13720</v>
      </c>
      <c r="C6483" s="7" t="s">
        <v>13721</v>
      </c>
      <c r="G6483" s="8" t="s">
        <v>15</v>
      </c>
    </row>
    <row r="6484" spans="1:7" hidden="1" x14ac:dyDescent="0.25">
      <c r="A6484" s="21">
        <v>6483</v>
      </c>
      <c r="B6484" s="7" t="s">
        <v>13722</v>
      </c>
      <c r="C6484" s="7" t="s">
        <v>13723</v>
      </c>
      <c r="G6484" s="8" t="s">
        <v>15</v>
      </c>
    </row>
    <row r="6485" spans="1:7" hidden="1" x14ac:dyDescent="0.25">
      <c r="A6485" s="21">
        <v>6484</v>
      </c>
      <c r="B6485" s="7" t="s">
        <v>13724</v>
      </c>
      <c r="C6485" s="7" t="s">
        <v>13725</v>
      </c>
      <c r="G6485" s="8" t="s">
        <v>15</v>
      </c>
    </row>
    <row r="6486" spans="1:7" hidden="1" x14ac:dyDescent="0.25">
      <c r="A6486" s="21">
        <v>6485</v>
      </c>
      <c r="B6486" s="7" t="s">
        <v>13726</v>
      </c>
      <c r="C6486" s="7" t="s">
        <v>13727</v>
      </c>
      <c r="G6486" s="8" t="s">
        <v>15</v>
      </c>
    </row>
    <row r="6487" spans="1:7" hidden="1" x14ac:dyDescent="0.25">
      <c r="A6487" s="21">
        <v>6486</v>
      </c>
      <c r="B6487" s="7" t="s">
        <v>13728</v>
      </c>
      <c r="C6487" s="7" t="s">
        <v>13729</v>
      </c>
      <c r="G6487" s="8" t="s">
        <v>15</v>
      </c>
    </row>
    <row r="6488" spans="1:7" hidden="1" x14ac:dyDescent="0.25">
      <c r="A6488" s="21">
        <v>6487</v>
      </c>
      <c r="B6488" s="7" t="s">
        <v>13730</v>
      </c>
      <c r="C6488" s="7" t="s">
        <v>13731</v>
      </c>
      <c r="G6488" s="8" t="s">
        <v>15</v>
      </c>
    </row>
    <row r="6489" spans="1:7" hidden="1" x14ac:dyDescent="0.25">
      <c r="A6489" s="21">
        <v>6488</v>
      </c>
      <c r="B6489" s="7" t="s">
        <v>13732</v>
      </c>
      <c r="C6489" s="7" t="s">
        <v>13733</v>
      </c>
      <c r="G6489" s="8" t="s">
        <v>15</v>
      </c>
    </row>
    <row r="6490" spans="1:7" hidden="1" x14ac:dyDescent="0.25">
      <c r="A6490" s="21">
        <v>6489</v>
      </c>
      <c r="B6490" s="7" t="s">
        <v>13734</v>
      </c>
      <c r="C6490" s="7" t="s">
        <v>13735</v>
      </c>
      <c r="G6490" s="8" t="s">
        <v>15</v>
      </c>
    </row>
    <row r="6491" spans="1:7" hidden="1" x14ac:dyDescent="0.25">
      <c r="A6491" s="21">
        <v>6490</v>
      </c>
      <c r="B6491" s="7" t="s">
        <v>13736</v>
      </c>
      <c r="C6491" s="7" t="s">
        <v>13737</v>
      </c>
      <c r="G6491" s="8" t="s">
        <v>15</v>
      </c>
    </row>
    <row r="6492" spans="1:7" hidden="1" x14ac:dyDescent="0.25">
      <c r="A6492" s="21">
        <v>6491</v>
      </c>
      <c r="B6492" s="7" t="s">
        <v>13738</v>
      </c>
      <c r="C6492" s="7" t="s">
        <v>13739</v>
      </c>
      <c r="G6492" s="8" t="s">
        <v>15</v>
      </c>
    </row>
    <row r="6493" spans="1:7" hidden="1" x14ac:dyDescent="0.25">
      <c r="A6493" s="21">
        <v>6492</v>
      </c>
      <c r="B6493" s="7" t="s">
        <v>13740</v>
      </c>
      <c r="C6493" s="7" t="s">
        <v>13741</v>
      </c>
      <c r="G6493" s="8" t="s">
        <v>15</v>
      </c>
    </row>
    <row r="6494" spans="1:7" hidden="1" x14ac:dyDescent="0.25">
      <c r="A6494" s="21">
        <v>6493</v>
      </c>
      <c r="B6494" s="7" t="s">
        <v>13742</v>
      </c>
      <c r="C6494" s="7" t="s">
        <v>13743</v>
      </c>
      <c r="G6494" s="8" t="s">
        <v>15</v>
      </c>
    </row>
    <row r="6495" spans="1:7" hidden="1" x14ac:dyDescent="0.25">
      <c r="A6495" s="21">
        <v>6494</v>
      </c>
      <c r="B6495" s="7" t="s">
        <v>13744</v>
      </c>
      <c r="C6495" s="7" t="s">
        <v>13745</v>
      </c>
      <c r="G6495" s="8" t="s">
        <v>15</v>
      </c>
    </row>
    <row r="6496" spans="1:7" hidden="1" x14ac:dyDescent="0.25">
      <c r="A6496" s="21">
        <v>6495</v>
      </c>
      <c r="B6496" s="7" t="s">
        <v>13746</v>
      </c>
      <c r="C6496" s="7" t="s">
        <v>13747</v>
      </c>
      <c r="G6496" s="8" t="s">
        <v>15</v>
      </c>
    </row>
    <row r="6497" spans="1:7" hidden="1" x14ac:dyDescent="0.25">
      <c r="A6497" s="21">
        <v>6496</v>
      </c>
      <c r="B6497" s="7" t="s">
        <v>13748</v>
      </c>
      <c r="C6497" s="7" t="s">
        <v>13749</v>
      </c>
      <c r="G6497" s="8" t="s">
        <v>15</v>
      </c>
    </row>
    <row r="6498" spans="1:7" hidden="1" x14ac:dyDescent="0.25">
      <c r="A6498" s="21">
        <v>6497</v>
      </c>
      <c r="B6498" s="7" t="s">
        <v>13750</v>
      </c>
      <c r="C6498" s="7" t="s">
        <v>13751</v>
      </c>
      <c r="G6498" s="8" t="s">
        <v>15</v>
      </c>
    </row>
    <row r="6499" spans="1:7" hidden="1" x14ac:dyDescent="0.25">
      <c r="A6499" s="21">
        <v>6498</v>
      </c>
      <c r="B6499" s="7" t="s">
        <v>13752</v>
      </c>
      <c r="C6499" s="7" t="s">
        <v>13753</v>
      </c>
      <c r="G6499" s="8" t="s">
        <v>15</v>
      </c>
    </row>
    <row r="6500" spans="1:7" hidden="1" x14ac:dyDescent="0.25">
      <c r="A6500" s="21">
        <v>6499</v>
      </c>
      <c r="B6500" s="7" t="s">
        <v>13754</v>
      </c>
      <c r="C6500" s="7" t="s">
        <v>13755</v>
      </c>
      <c r="G6500" s="8" t="s">
        <v>15</v>
      </c>
    </row>
    <row r="6501" spans="1:7" hidden="1" x14ac:dyDescent="0.25">
      <c r="A6501" s="21">
        <v>6500</v>
      </c>
      <c r="B6501" s="7" t="s">
        <v>13756</v>
      </c>
      <c r="C6501" s="7" t="s">
        <v>13757</v>
      </c>
      <c r="G6501" s="8" t="s">
        <v>15</v>
      </c>
    </row>
    <row r="6502" spans="1:7" hidden="1" x14ac:dyDescent="0.25">
      <c r="A6502" s="21">
        <v>6501</v>
      </c>
      <c r="B6502" s="7" t="s">
        <v>13758</v>
      </c>
      <c r="C6502" s="7" t="s">
        <v>13759</v>
      </c>
      <c r="G6502" s="8" t="s">
        <v>15</v>
      </c>
    </row>
    <row r="6503" spans="1:7" hidden="1" x14ac:dyDescent="0.25">
      <c r="A6503" s="21">
        <v>6502</v>
      </c>
      <c r="B6503" s="7" t="s">
        <v>13760</v>
      </c>
      <c r="C6503" s="7" t="s">
        <v>13761</v>
      </c>
      <c r="G6503" s="8" t="s">
        <v>15</v>
      </c>
    </row>
    <row r="6504" spans="1:7" hidden="1" x14ac:dyDescent="0.25">
      <c r="A6504" s="21">
        <v>6503</v>
      </c>
      <c r="B6504" s="7" t="s">
        <v>13762</v>
      </c>
      <c r="C6504" s="7" t="s">
        <v>13763</v>
      </c>
      <c r="G6504" s="8" t="s">
        <v>15</v>
      </c>
    </row>
    <row r="6505" spans="1:7" hidden="1" x14ac:dyDescent="0.25">
      <c r="A6505" s="21">
        <v>6504</v>
      </c>
      <c r="B6505" s="7" t="s">
        <v>13764</v>
      </c>
      <c r="C6505" s="7" t="s">
        <v>13765</v>
      </c>
      <c r="G6505" s="8" t="s">
        <v>15</v>
      </c>
    </row>
    <row r="6506" spans="1:7" hidden="1" x14ac:dyDescent="0.25">
      <c r="A6506" s="21">
        <v>6505</v>
      </c>
      <c r="B6506" s="7" t="s">
        <v>13766</v>
      </c>
      <c r="C6506" s="7" t="s">
        <v>13767</v>
      </c>
      <c r="G6506" s="8" t="s">
        <v>15</v>
      </c>
    </row>
    <row r="6507" spans="1:7" hidden="1" x14ac:dyDescent="0.25">
      <c r="A6507" s="21">
        <v>6506</v>
      </c>
      <c r="B6507" s="7" t="s">
        <v>13768</v>
      </c>
      <c r="C6507" s="7" t="s">
        <v>13769</v>
      </c>
      <c r="G6507" s="8" t="s">
        <v>15</v>
      </c>
    </row>
    <row r="6508" spans="1:7" hidden="1" x14ac:dyDescent="0.25">
      <c r="A6508" s="21">
        <v>6507</v>
      </c>
      <c r="B6508" s="7" t="s">
        <v>13770</v>
      </c>
      <c r="C6508" s="7" t="s">
        <v>13771</v>
      </c>
      <c r="G6508" s="8" t="s">
        <v>15</v>
      </c>
    </row>
    <row r="6509" spans="1:7" hidden="1" x14ac:dyDescent="0.25">
      <c r="A6509" s="21">
        <v>6508</v>
      </c>
      <c r="B6509" s="7" t="s">
        <v>13772</v>
      </c>
      <c r="C6509" s="7" t="s">
        <v>13773</v>
      </c>
      <c r="G6509" s="8" t="s">
        <v>15</v>
      </c>
    </row>
    <row r="6510" spans="1:7" hidden="1" x14ac:dyDescent="0.25">
      <c r="A6510" s="21">
        <v>6509</v>
      </c>
      <c r="B6510" s="7" t="s">
        <v>13774</v>
      </c>
      <c r="C6510" s="7" t="s">
        <v>13775</v>
      </c>
      <c r="G6510" s="8" t="s">
        <v>15</v>
      </c>
    </row>
    <row r="6511" spans="1:7" hidden="1" x14ac:dyDescent="0.25">
      <c r="A6511" s="21">
        <v>6510</v>
      </c>
      <c r="B6511" s="7" t="s">
        <v>13776</v>
      </c>
      <c r="C6511" s="7" t="s">
        <v>13777</v>
      </c>
      <c r="G6511" s="8" t="s">
        <v>15</v>
      </c>
    </row>
    <row r="6512" spans="1:7" hidden="1" x14ac:dyDescent="0.25">
      <c r="A6512" s="21">
        <v>6511</v>
      </c>
      <c r="B6512" s="7" t="s">
        <v>13778</v>
      </c>
      <c r="C6512" s="7" t="s">
        <v>13779</v>
      </c>
      <c r="G6512" s="8" t="s">
        <v>15</v>
      </c>
    </row>
    <row r="6513" spans="1:7" hidden="1" x14ac:dyDescent="0.25">
      <c r="A6513" s="21">
        <v>6512</v>
      </c>
      <c r="B6513" s="7" t="s">
        <v>13780</v>
      </c>
      <c r="C6513" s="7" t="s">
        <v>13781</v>
      </c>
      <c r="G6513" s="8" t="s">
        <v>15</v>
      </c>
    </row>
    <row r="6514" spans="1:7" hidden="1" x14ac:dyDescent="0.25">
      <c r="A6514" s="21">
        <v>6513</v>
      </c>
      <c r="B6514" s="7" t="s">
        <v>13782</v>
      </c>
      <c r="C6514" s="7" t="s">
        <v>13783</v>
      </c>
      <c r="G6514" s="8" t="s">
        <v>15</v>
      </c>
    </row>
    <row r="6515" spans="1:7" hidden="1" x14ac:dyDescent="0.25">
      <c r="A6515" s="21">
        <v>6514</v>
      </c>
      <c r="B6515" s="7" t="s">
        <v>13784</v>
      </c>
      <c r="C6515" s="7" t="s">
        <v>13785</v>
      </c>
      <c r="G6515" s="8" t="s">
        <v>15</v>
      </c>
    </row>
    <row r="6516" spans="1:7" hidden="1" x14ac:dyDescent="0.25">
      <c r="A6516" s="21">
        <v>6515</v>
      </c>
      <c r="B6516" s="7" t="s">
        <v>13786</v>
      </c>
      <c r="C6516" s="7" t="s">
        <v>13787</v>
      </c>
      <c r="G6516" s="8" t="s">
        <v>15</v>
      </c>
    </row>
    <row r="6517" spans="1:7" hidden="1" x14ac:dyDescent="0.25">
      <c r="A6517" s="21">
        <v>6516</v>
      </c>
      <c r="B6517" s="7" t="s">
        <v>13788</v>
      </c>
      <c r="C6517" s="7" t="s">
        <v>13789</v>
      </c>
      <c r="G6517" s="8" t="s">
        <v>15</v>
      </c>
    </row>
    <row r="6518" spans="1:7" hidden="1" x14ac:dyDescent="0.25">
      <c r="A6518" s="21">
        <v>6517</v>
      </c>
      <c r="B6518" s="7" t="s">
        <v>13790</v>
      </c>
      <c r="C6518" s="7" t="s">
        <v>13791</v>
      </c>
      <c r="G6518" s="8" t="s">
        <v>15</v>
      </c>
    </row>
    <row r="6519" spans="1:7" hidden="1" x14ac:dyDescent="0.25">
      <c r="A6519" s="21">
        <v>6518</v>
      </c>
      <c r="B6519" s="7" t="s">
        <v>13792</v>
      </c>
      <c r="C6519" s="7" t="s">
        <v>13793</v>
      </c>
      <c r="G6519" s="8" t="s">
        <v>15</v>
      </c>
    </row>
    <row r="6520" spans="1:7" hidden="1" x14ac:dyDescent="0.25">
      <c r="A6520" s="21">
        <v>6519</v>
      </c>
      <c r="B6520" s="7" t="s">
        <v>13794</v>
      </c>
      <c r="C6520" s="7" t="s">
        <v>13795</v>
      </c>
      <c r="G6520" s="8" t="s">
        <v>15</v>
      </c>
    </row>
    <row r="6521" spans="1:7" hidden="1" x14ac:dyDescent="0.25">
      <c r="A6521" s="21">
        <v>6520</v>
      </c>
      <c r="B6521" s="7" t="s">
        <v>13796</v>
      </c>
      <c r="C6521" s="7" t="s">
        <v>13797</v>
      </c>
      <c r="G6521" s="8" t="s">
        <v>15</v>
      </c>
    </row>
    <row r="6522" spans="1:7" hidden="1" x14ac:dyDescent="0.25">
      <c r="A6522" s="21">
        <v>6521</v>
      </c>
      <c r="B6522" s="7" t="s">
        <v>13798</v>
      </c>
      <c r="C6522" s="7" t="s">
        <v>13799</v>
      </c>
      <c r="G6522" s="8" t="s">
        <v>15</v>
      </c>
    </row>
    <row r="6523" spans="1:7" hidden="1" x14ac:dyDescent="0.25">
      <c r="A6523" s="21">
        <v>6522</v>
      </c>
      <c r="B6523" s="7" t="s">
        <v>13800</v>
      </c>
      <c r="C6523" s="7" t="s">
        <v>13801</v>
      </c>
      <c r="G6523" s="8" t="s">
        <v>15</v>
      </c>
    </row>
    <row r="6524" spans="1:7" hidden="1" x14ac:dyDescent="0.25">
      <c r="A6524" s="21">
        <v>6523</v>
      </c>
      <c r="B6524" s="7" t="s">
        <v>13802</v>
      </c>
      <c r="C6524" s="7" t="s">
        <v>13803</v>
      </c>
      <c r="G6524" s="8" t="s">
        <v>15</v>
      </c>
    </row>
    <row r="6525" spans="1:7" hidden="1" x14ac:dyDescent="0.25">
      <c r="A6525" s="21">
        <v>6524</v>
      </c>
      <c r="B6525" s="7" t="s">
        <v>13804</v>
      </c>
      <c r="C6525" s="7" t="s">
        <v>13805</v>
      </c>
      <c r="G6525" s="8" t="s">
        <v>15</v>
      </c>
    </row>
    <row r="6526" spans="1:7" hidden="1" x14ac:dyDescent="0.25">
      <c r="A6526" s="21">
        <v>6525</v>
      </c>
      <c r="B6526" s="7" t="s">
        <v>13806</v>
      </c>
      <c r="C6526" s="7" t="s">
        <v>13807</v>
      </c>
      <c r="G6526" s="8" t="s">
        <v>15</v>
      </c>
    </row>
    <row r="6527" spans="1:7" hidden="1" x14ac:dyDescent="0.25">
      <c r="A6527" s="21">
        <v>6526</v>
      </c>
      <c r="B6527" s="7" t="s">
        <v>13808</v>
      </c>
      <c r="C6527" s="7" t="s">
        <v>13809</v>
      </c>
      <c r="G6527" s="8" t="s">
        <v>15</v>
      </c>
    </row>
    <row r="6528" spans="1:7" hidden="1" x14ac:dyDescent="0.25">
      <c r="A6528" s="21">
        <v>6527</v>
      </c>
      <c r="B6528" s="7" t="s">
        <v>13810</v>
      </c>
      <c r="C6528" s="7" t="s">
        <v>13811</v>
      </c>
      <c r="G6528" s="8" t="s">
        <v>15</v>
      </c>
    </row>
    <row r="6529" spans="1:7" hidden="1" x14ac:dyDescent="0.25">
      <c r="A6529" s="21">
        <v>6528</v>
      </c>
      <c r="B6529" s="7" t="s">
        <v>13812</v>
      </c>
      <c r="C6529" s="7" t="s">
        <v>13813</v>
      </c>
      <c r="G6529" s="8" t="s">
        <v>15</v>
      </c>
    </row>
    <row r="6530" spans="1:7" hidden="1" x14ac:dyDescent="0.25">
      <c r="A6530" s="21">
        <v>6529</v>
      </c>
      <c r="B6530" s="7" t="s">
        <v>13814</v>
      </c>
      <c r="C6530" s="7" t="s">
        <v>13815</v>
      </c>
      <c r="G6530" s="8" t="s">
        <v>15</v>
      </c>
    </row>
    <row r="6531" spans="1:7" hidden="1" x14ac:dyDescent="0.25">
      <c r="A6531" s="21">
        <v>6530</v>
      </c>
      <c r="B6531" s="7" t="s">
        <v>13816</v>
      </c>
      <c r="C6531" s="7" t="s">
        <v>13817</v>
      </c>
      <c r="G6531" s="8" t="s">
        <v>15</v>
      </c>
    </row>
    <row r="6532" spans="1:7" hidden="1" x14ac:dyDescent="0.25">
      <c r="A6532" s="21">
        <v>6531</v>
      </c>
      <c r="B6532" s="7" t="s">
        <v>13818</v>
      </c>
      <c r="C6532" s="7" t="s">
        <v>13819</v>
      </c>
      <c r="G6532" s="8" t="s">
        <v>15</v>
      </c>
    </row>
    <row r="6533" spans="1:7" hidden="1" x14ac:dyDescent="0.25">
      <c r="A6533" s="21">
        <v>6532</v>
      </c>
      <c r="B6533" s="7" t="s">
        <v>13820</v>
      </c>
      <c r="C6533" s="7" t="s">
        <v>13821</v>
      </c>
      <c r="G6533" s="8" t="s">
        <v>15</v>
      </c>
    </row>
    <row r="6534" spans="1:7" hidden="1" x14ac:dyDescent="0.25">
      <c r="A6534" s="21">
        <v>6533</v>
      </c>
      <c r="B6534" s="7" t="s">
        <v>13822</v>
      </c>
      <c r="C6534" s="7" t="s">
        <v>13823</v>
      </c>
      <c r="G6534" s="8" t="s">
        <v>15</v>
      </c>
    </row>
    <row r="6535" spans="1:7" hidden="1" x14ac:dyDescent="0.25">
      <c r="A6535" s="21">
        <v>6534</v>
      </c>
      <c r="B6535" s="7" t="s">
        <v>13824</v>
      </c>
      <c r="C6535" s="7" t="s">
        <v>13825</v>
      </c>
      <c r="G6535" s="8" t="s">
        <v>15</v>
      </c>
    </row>
    <row r="6536" spans="1:7" hidden="1" x14ac:dyDescent="0.25">
      <c r="A6536" s="21">
        <v>6535</v>
      </c>
      <c r="B6536" s="7" t="s">
        <v>13826</v>
      </c>
      <c r="C6536" s="7" t="s">
        <v>13827</v>
      </c>
      <c r="G6536" s="8" t="s">
        <v>15</v>
      </c>
    </row>
    <row r="6537" spans="1:7" hidden="1" x14ac:dyDescent="0.25">
      <c r="A6537" s="21">
        <v>6536</v>
      </c>
      <c r="B6537" s="7" t="s">
        <v>13828</v>
      </c>
      <c r="C6537" s="7" t="s">
        <v>13829</v>
      </c>
      <c r="G6537" s="8" t="s">
        <v>15</v>
      </c>
    </row>
    <row r="6538" spans="1:7" hidden="1" x14ac:dyDescent="0.25">
      <c r="A6538" s="21">
        <v>6537</v>
      </c>
      <c r="B6538" s="7" t="s">
        <v>13830</v>
      </c>
      <c r="C6538" s="7" t="s">
        <v>13831</v>
      </c>
      <c r="G6538" s="8" t="s">
        <v>15</v>
      </c>
    </row>
    <row r="6539" spans="1:7" hidden="1" x14ac:dyDescent="0.25">
      <c r="A6539" s="21">
        <v>6538</v>
      </c>
      <c r="B6539" s="7" t="s">
        <v>13832</v>
      </c>
      <c r="C6539" s="7" t="s">
        <v>13833</v>
      </c>
      <c r="G6539" s="8" t="s">
        <v>15</v>
      </c>
    </row>
    <row r="6540" spans="1:7" hidden="1" x14ac:dyDescent="0.25">
      <c r="A6540" s="21">
        <v>6539</v>
      </c>
      <c r="B6540" s="7" t="s">
        <v>13834</v>
      </c>
      <c r="C6540" s="7" t="s">
        <v>13835</v>
      </c>
      <c r="G6540" s="8" t="s">
        <v>15</v>
      </c>
    </row>
    <row r="6541" spans="1:7" hidden="1" x14ac:dyDescent="0.25">
      <c r="A6541" s="21">
        <v>6540</v>
      </c>
      <c r="B6541" s="7" t="s">
        <v>13836</v>
      </c>
      <c r="C6541" s="7" t="s">
        <v>13837</v>
      </c>
      <c r="G6541" s="8" t="s">
        <v>15</v>
      </c>
    </row>
    <row r="6542" spans="1:7" hidden="1" x14ac:dyDescent="0.25">
      <c r="A6542" s="21">
        <v>6541</v>
      </c>
      <c r="B6542" s="7" t="s">
        <v>13838</v>
      </c>
      <c r="C6542" s="7" t="s">
        <v>13839</v>
      </c>
      <c r="G6542" s="8" t="s">
        <v>15</v>
      </c>
    </row>
    <row r="6543" spans="1:7" hidden="1" x14ac:dyDescent="0.25">
      <c r="A6543" s="21">
        <v>6542</v>
      </c>
      <c r="B6543" s="7" t="s">
        <v>13840</v>
      </c>
      <c r="C6543" s="7" t="s">
        <v>13841</v>
      </c>
      <c r="G6543" s="8" t="s">
        <v>15</v>
      </c>
    </row>
    <row r="6544" spans="1:7" hidden="1" x14ac:dyDescent="0.25">
      <c r="A6544" s="21">
        <v>6543</v>
      </c>
      <c r="B6544" s="7" t="s">
        <v>13842</v>
      </c>
      <c r="C6544" s="7" t="s">
        <v>13843</v>
      </c>
      <c r="G6544" s="8" t="s">
        <v>15</v>
      </c>
    </row>
    <row r="6545" spans="1:7" hidden="1" x14ac:dyDescent="0.25">
      <c r="A6545" s="21">
        <v>6544</v>
      </c>
      <c r="B6545" s="7" t="s">
        <v>13844</v>
      </c>
      <c r="C6545" s="7" t="s">
        <v>13845</v>
      </c>
      <c r="G6545" s="8" t="s">
        <v>15</v>
      </c>
    </row>
    <row r="6546" spans="1:7" hidden="1" x14ac:dyDescent="0.25">
      <c r="A6546" s="21">
        <v>6545</v>
      </c>
      <c r="B6546" s="7" t="s">
        <v>13846</v>
      </c>
      <c r="C6546" s="7" t="s">
        <v>13847</v>
      </c>
      <c r="G6546" s="8" t="s">
        <v>15</v>
      </c>
    </row>
    <row r="6547" spans="1:7" hidden="1" x14ac:dyDescent="0.25">
      <c r="A6547" s="21">
        <v>6546</v>
      </c>
      <c r="B6547" s="7" t="s">
        <v>13848</v>
      </c>
      <c r="C6547" s="7" t="s">
        <v>13849</v>
      </c>
      <c r="G6547" s="8" t="s">
        <v>15</v>
      </c>
    </row>
    <row r="6548" spans="1:7" hidden="1" x14ac:dyDescent="0.25">
      <c r="A6548" s="21">
        <v>6547</v>
      </c>
      <c r="B6548" s="7" t="s">
        <v>13850</v>
      </c>
      <c r="C6548" s="7" t="s">
        <v>13851</v>
      </c>
      <c r="G6548" s="8" t="s">
        <v>15</v>
      </c>
    </row>
    <row r="6549" spans="1:7" hidden="1" x14ac:dyDescent="0.25">
      <c r="A6549" s="21">
        <v>6548</v>
      </c>
      <c r="B6549" s="7" t="s">
        <v>13852</v>
      </c>
      <c r="C6549" s="7" t="s">
        <v>13853</v>
      </c>
      <c r="G6549" s="8" t="s">
        <v>15</v>
      </c>
    </row>
    <row r="6550" spans="1:7" hidden="1" x14ac:dyDescent="0.25">
      <c r="A6550" s="21">
        <v>6549</v>
      </c>
      <c r="B6550" s="7" t="s">
        <v>13854</v>
      </c>
      <c r="C6550" s="7" t="s">
        <v>13855</v>
      </c>
      <c r="G6550" s="8" t="s">
        <v>15</v>
      </c>
    </row>
    <row r="6551" spans="1:7" hidden="1" x14ac:dyDescent="0.25">
      <c r="A6551" s="21">
        <v>6550</v>
      </c>
      <c r="B6551" s="7" t="s">
        <v>13856</v>
      </c>
      <c r="C6551" s="7" t="s">
        <v>13857</v>
      </c>
      <c r="G6551" s="8" t="s">
        <v>15</v>
      </c>
    </row>
    <row r="6552" spans="1:7" hidden="1" x14ac:dyDescent="0.25">
      <c r="A6552" s="21">
        <v>6551</v>
      </c>
      <c r="B6552" s="7" t="s">
        <v>13858</v>
      </c>
      <c r="C6552" s="7" t="s">
        <v>13859</v>
      </c>
      <c r="G6552" s="8" t="s">
        <v>15</v>
      </c>
    </row>
    <row r="6553" spans="1:7" hidden="1" x14ac:dyDescent="0.25">
      <c r="A6553" s="21">
        <v>6552</v>
      </c>
      <c r="B6553" s="7" t="s">
        <v>13860</v>
      </c>
      <c r="C6553" s="7" t="s">
        <v>13861</v>
      </c>
      <c r="G6553" s="8" t="s">
        <v>15</v>
      </c>
    </row>
    <row r="6554" spans="1:7" hidden="1" x14ac:dyDescent="0.25">
      <c r="A6554" s="21">
        <v>6553</v>
      </c>
      <c r="B6554" s="7" t="s">
        <v>13862</v>
      </c>
      <c r="C6554" s="7" t="s">
        <v>13863</v>
      </c>
      <c r="G6554" s="8" t="s">
        <v>15</v>
      </c>
    </row>
    <row r="6555" spans="1:7" hidden="1" x14ac:dyDescent="0.25">
      <c r="A6555" s="21">
        <v>6554</v>
      </c>
      <c r="B6555" s="7" t="s">
        <v>13864</v>
      </c>
      <c r="C6555" s="7" t="s">
        <v>13865</v>
      </c>
      <c r="G6555" s="8" t="s">
        <v>15</v>
      </c>
    </row>
    <row r="6556" spans="1:7" hidden="1" x14ac:dyDescent="0.25">
      <c r="A6556" s="21">
        <v>6555</v>
      </c>
      <c r="B6556" s="7" t="s">
        <v>13866</v>
      </c>
      <c r="C6556" s="7" t="s">
        <v>13867</v>
      </c>
      <c r="G6556" s="8" t="s">
        <v>15</v>
      </c>
    </row>
    <row r="6557" spans="1:7" hidden="1" x14ac:dyDescent="0.25">
      <c r="A6557" s="21">
        <v>6556</v>
      </c>
      <c r="B6557" s="7" t="s">
        <v>13868</v>
      </c>
      <c r="C6557" s="7" t="s">
        <v>13869</v>
      </c>
      <c r="G6557" s="8" t="s">
        <v>15</v>
      </c>
    </row>
    <row r="6558" spans="1:7" hidden="1" x14ac:dyDescent="0.25">
      <c r="A6558" s="21">
        <v>6557</v>
      </c>
      <c r="B6558" s="7" t="s">
        <v>13870</v>
      </c>
      <c r="C6558" s="7" t="s">
        <v>13871</v>
      </c>
      <c r="G6558" s="8" t="s">
        <v>15</v>
      </c>
    </row>
    <row r="6559" spans="1:7" hidden="1" x14ac:dyDescent="0.25">
      <c r="A6559" s="21">
        <v>6558</v>
      </c>
      <c r="B6559" s="7" t="s">
        <v>13872</v>
      </c>
      <c r="C6559" s="7" t="s">
        <v>13873</v>
      </c>
      <c r="G6559" s="8" t="s">
        <v>15</v>
      </c>
    </row>
    <row r="6560" spans="1:7" hidden="1" x14ac:dyDescent="0.25">
      <c r="A6560" s="21">
        <v>6559</v>
      </c>
      <c r="B6560" s="7" t="s">
        <v>13874</v>
      </c>
      <c r="C6560" s="7" t="s">
        <v>13875</v>
      </c>
      <c r="G6560" s="8" t="s">
        <v>15</v>
      </c>
    </row>
    <row r="6561" spans="1:7" hidden="1" x14ac:dyDescent="0.25">
      <c r="A6561" s="21">
        <v>6560</v>
      </c>
      <c r="B6561" s="7" t="s">
        <v>13876</v>
      </c>
      <c r="C6561" s="7" t="s">
        <v>13877</v>
      </c>
      <c r="G6561" s="8" t="s">
        <v>15</v>
      </c>
    </row>
    <row r="6562" spans="1:7" hidden="1" x14ac:dyDescent="0.25">
      <c r="A6562" s="21">
        <v>6561</v>
      </c>
      <c r="B6562" s="7" t="s">
        <v>13878</v>
      </c>
      <c r="C6562" s="7" t="s">
        <v>13879</v>
      </c>
      <c r="G6562" s="8" t="s">
        <v>15</v>
      </c>
    </row>
    <row r="6563" spans="1:7" hidden="1" x14ac:dyDescent="0.25">
      <c r="A6563" s="21">
        <v>6562</v>
      </c>
      <c r="B6563" s="7" t="s">
        <v>13880</v>
      </c>
      <c r="C6563" s="7" t="s">
        <v>13881</v>
      </c>
      <c r="G6563" s="8" t="s">
        <v>15</v>
      </c>
    </row>
    <row r="6564" spans="1:7" hidden="1" x14ac:dyDescent="0.25">
      <c r="A6564" s="21">
        <v>6563</v>
      </c>
      <c r="B6564" s="7" t="s">
        <v>13882</v>
      </c>
      <c r="C6564" s="7" t="s">
        <v>13883</v>
      </c>
      <c r="G6564" s="8" t="s">
        <v>15</v>
      </c>
    </row>
    <row r="6565" spans="1:7" hidden="1" x14ac:dyDescent="0.25">
      <c r="A6565" s="21">
        <v>6564</v>
      </c>
      <c r="B6565" s="7" t="s">
        <v>13884</v>
      </c>
      <c r="C6565" s="7" t="s">
        <v>13885</v>
      </c>
      <c r="G6565" s="8" t="s">
        <v>15</v>
      </c>
    </row>
    <row r="6566" spans="1:7" hidden="1" x14ac:dyDescent="0.25">
      <c r="A6566" s="21">
        <v>6565</v>
      </c>
      <c r="B6566" s="7" t="s">
        <v>13886</v>
      </c>
      <c r="C6566" s="7" t="s">
        <v>13887</v>
      </c>
      <c r="G6566" s="8" t="s">
        <v>15</v>
      </c>
    </row>
    <row r="6567" spans="1:7" hidden="1" x14ac:dyDescent="0.25">
      <c r="A6567" s="21">
        <v>6566</v>
      </c>
      <c r="B6567" s="7" t="s">
        <v>13888</v>
      </c>
      <c r="C6567" s="7" t="s">
        <v>13889</v>
      </c>
      <c r="G6567" s="8" t="s">
        <v>15</v>
      </c>
    </row>
    <row r="6568" spans="1:7" hidden="1" x14ac:dyDescent="0.25">
      <c r="A6568" s="21">
        <v>6567</v>
      </c>
      <c r="B6568" s="7" t="s">
        <v>13890</v>
      </c>
      <c r="C6568" s="7" t="s">
        <v>13891</v>
      </c>
      <c r="G6568" s="8" t="s">
        <v>15</v>
      </c>
    </row>
    <row r="6569" spans="1:7" hidden="1" x14ac:dyDescent="0.25">
      <c r="A6569" s="21">
        <v>6568</v>
      </c>
      <c r="B6569" s="7" t="s">
        <v>13892</v>
      </c>
      <c r="C6569" s="7" t="s">
        <v>13893</v>
      </c>
      <c r="G6569" s="8" t="s">
        <v>15</v>
      </c>
    </row>
    <row r="6570" spans="1:7" hidden="1" x14ac:dyDescent="0.25">
      <c r="A6570" s="21">
        <v>6569</v>
      </c>
      <c r="B6570" s="7" t="s">
        <v>13894</v>
      </c>
      <c r="C6570" s="7" t="s">
        <v>13895</v>
      </c>
      <c r="G6570" s="8" t="s">
        <v>15</v>
      </c>
    </row>
    <row r="6571" spans="1:7" hidden="1" x14ac:dyDescent="0.25">
      <c r="A6571" s="21">
        <v>6570</v>
      </c>
      <c r="B6571" s="7" t="s">
        <v>13896</v>
      </c>
      <c r="C6571" s="7" t="s">
        <v>13897</v>
      </c>
      <c r="G6571" s="8" t="s">
        <v>15</v>
      </c>
    </row>
    <row r="6572" spans="1:7" hidden="1" x14ac:dyDescent="0.25">
      <c r="A6572" s="21">
        <v>6571</v>
      </c>
      <c r="B6572" s="7" t="s">
        <v>13898</v>
      </c>
      <c r="C6572" s="7" t="s">
        <v>13899</v>
      </c>
      <c r="G6572" s="8" t="s">
        <v>15</v>
      </c>
    </row>
    <row r="6573" spans="1:7" hidden="1" x14ac:dyDescent="0.25">
      <c r="A6573" s="21">
        <v>6572</v>
      </c>
      <c r="B6573" s="7" t="s">
        <v>13900</v>
      </c>
      <c r="C6573" s="7" t="s">
        <v>13901</v>
      </c>
      <c r="G6573" s="8" t="s">
        <v>15</v>
      </c>
    </row>
    <row r="6574" spans="1:7" hidden="1" x14ac:dyDescent="0.25">
      <c r="A6574" s="21">
        <v>6573</v>
      </c>
      <c r="B6574" s="7" t="s">
        <v>13902</v>
      </c>
      <c r="C6574" s="7" t="s">
        <v>13903</v>
      </c>
      <c r="G6574" s="8" t="s">
        <v>15</v>
      </c>
    </row>
    <row r="6575" spans="1:7" hidden="1" x14ac:dyDescent="0.25">
      <c r="A6575" s="21">
        <v>6574</v>
      </c>
      <c r="B6575" s="7" t="s">
        <v>13904</v>
      </c>
      <c r="C6575" s="7" t="s">
        <v>13905</v>
      </c>
      <c r="G6575" s="8" t="s">
        <v>15</v>
      </c>
    </row>
    <row r="6576" spans="1:7" hidden="1" x14ac:dyDescent="0.25">
      <c r="A6576" s="21">
        <v>6575</v>
      </c>
      <c r="B6576" s="7" t="s">
        <v>13906</v>
      </c>
      <c r="C6576" s="7" t="s">
        <v>13907</v>
      </c>
      <c r="G6576" s="8" t="s">
        <v>15</v>
      </c>
    </row>
    <row r="6577" spans="1:7" hidden="1" x14ac:dyDescent="0.25">
      <c r="A6577" s="21">
        <v>6576</v>
      </c>
      <c r="B6577" s="7" t="s">
        <v>13908</v>
      </c>
      <c r="C6577" s="7" t="s">
        <v>13909</v>
      </c>
      <c r="G6577" s="8" t="s">
        <v>15</v>
      </c>
    </row>
    <row r="6578" spans="1:7" hidden="1" x14ac:dyDescent="0.25">
      <c r="A6578" s="21">
        <v>6577</v>
      </c>
      <c r="B6578" s="7" t="s">
        <v>13910</v>
      </c>
      <c r="C6578" s="7" t="s">
        <v>13911</v>
      </c>
      <c r="G6578" s="8" t="s">
        <v>15</v>
      </c>
    </row>
    <row r="6579" spans="1:7" hidden="1" x14ac:dyDescent="0.25">
      <c r="A6579" s="21">
        <v>6578</v>
      </c>
      <c r="B6579" s="7" t="s">
        <v>13912</v>
      </c>
      <c r="C6579" s="7" t="s">
        <v>13913</v>
      </c>
      <c r="G6579" s="8" t="s">
        <v>15</v>
      </c>
    </row>
    <row r="6580" spans="1:7" hidden="1" x14ac:dyDescent="0.25">
      <c r="A6580" s="21">
        <v>6579</v>
      </c>
      <c r="B6580" s="7" t="s">
        <v>13914</v>
      </c>
      <c r="C6580" s="7" t="s">
        <v>13915</v>
      </c>
      <c r="G6580" s="8" t="s">
        <v>15</v>
      </c>
    </row>
    <row r="6581" spans="1:7" hidden="1" x14ac:dyDescent="0.25">
      <c r="A6581" s="21">
        <v>6580</v>
      </c>
      <c r="B6581" s="7" t="s">
        <v>13916</v>
      </c>
      <c r="C6581" s="7" t="s">
        <v>13917</v>
      </c>
      <c r="G6581" s="8" t="s">
        <v>15</v>
      </c>
    </row>
    <row r="6582" spans="1:7" hidden="1" x14ac:dyDescent="0.25">
      <c r="A6582" s="21">
        <v>6581</v>
      </c>
      <c r="B6582" s="7" t="s">
        <v>13918</v>
      </c>
      <c r="C6582" s="7" t="s">
        <v>13919</v>
      </c>
      <c r="G6582" s="8" t="s">
        <v>15</v>
      </c>
    </row>
    <row r="6583" spans="1:7" hidden="1" x14ac:dyDescent="0.25">
      <c r="A6583" s="21">
        <v>6582</v>
      </c>
      <c r="B6583" s="7" t="s">
        <v>13920</v>
      </c>
      <c r="C6583" s="7" t="s">
        <v>13921</v>
      </c>
      <c r="G6583" s="8" t="s">
        <v>15</v>
      </c>
    </row>
    <row r="6584" spans="1:7" hidden="1" x14ac:dyDescent="0.25">
      <c r="A6584" s="21">
        <v>6583</v>
      </c>
      <c r="B6584" s="7" t="s">
        <v>13922</v>
      </c>
      <c r="C6584" s="7" t="s">
        <v>13923</v>
      </c>
      <c r="G6584" s="8" t="s">
        <v>15</v>
      </c>
    </row>
    <row r="6585" spans="1:7" hidden="1" x14ac:dyDescent="0.25">
      <c r="A6585" s="21">
        <v>6584</v>
      </c>
      <c r="B6585" s="7" t="s">
        <v>13924</v>
      </c>
      <c r="C6585" s="7" t="s">
        <v>13925</v>
      </c>
      <c r="G6585" s="8" t="s">
        <v>15</v>
      </c>
    </row>
    <row r="6586" spans="1:7" hidden="1" x14ac:dyDescent="0.25">
      <c r="A6586" s="21">
        <v>6585</v>
      </c>
      <c r="B6586" s="7" t="s">
        <v>13926</v>
      </c>
      <c r="C6586" s="7" t="s">
        <v>13927</v>
      </c>
      <c r="G6586" s="8" t="s">
        <v>15</v>
      </c>
    </row>
    <row r="6587" spans="1:7" hidden="1" x14ac:dyDescent="0.25">
      <c r="A6587" s="21">
        <v>6586</v>
      </c>
      <c r="B6587" s="7" t="s">
        <v>13928</v>
      </c>
      <c r="C6587" s="7" t="s">
        <v>13929</v>
      </c>
      <c r="G6587" s="8" t="s">
        <v>15</v>
      </c>
    </row>
    <row r="6588" spans="1:7" hidden="1" x14ac:dyDescent="0.25">
      <c r="A6588" s="21">
        <v>6587</v>
      </c>
      <c r="B6588" s="7" t="s">
        <v>13930</v>
      </c>
      <c r="C6588" s="7" t="s">
        <v>13931</v>
      </c>
      <c r="G6588" s="8" t="s">
        <v>15</v>
      </c>
    </row>
    <row r="6589" spans="1:7" hidden="1" x14ac:dyDescent="0.25">
      <c r="A6589" s="21">
        <v>6588</v>
      </c>
      <c r="B6589" s="7" t="s">
        <v>13932</v>
      </c>
      <c r="C6589" s="7" t="s">
        <v>13933</v>
      </c>
      <c r="G6589" s="8" t="s">
        <v>15</v>
      </c>
    </row>
    <row r="6590" spans="1:7" hidden="1" x14ac:dyDescent="0.25">
      <c r="A6590" s="21">
        <v>6589</v>
      </c>
      <c r="B6590" s="7" t="s">
        <v>13934</v>
      </c>
      <c r="C6590" s="7" t="s">
        <v>13935</v>
      </c>
      <c r="G6590" s="8" t="s">
        <v>15</v>
      </c>
    </row>
    <row r="6591" spans="1:7" hidden="1" x14ac:dyDescent="0.25">
      <c r="A6591" s="21">
        <v>6590</v>
      </c>
      <c r="B6591" s="7" t="s">
        <v>13936</v>
      </c>
      <c r="C6591" s="7" t="s">
        <v>13937</v>
      </c>
      <c r="G6591" s="8" t="s">
        <v>15</v>
      </c>
    </row>
    <row r="6592" spans="1:7" hidden="1" x14ac:dyDescent="0.25">
      <c r="A6592" s="21">
        <v>6591</v>
      </c>
      <c r="B6592" s="7" t="s">
        <v>13938</v>
      </c>
      <c r="C6592" s="7" t="s">
        <v>13939</v>
      </c>
      <c r="G6592" s="8" t="s">
        <v>15</v>
      </c>
    </row>
    <row r="6593" spans="1:7" hidden="1" x14ac:dyDescent="0.25">
      <c r="A6593" s="21">
        <v>6592</v>
      </c>
      <c r="B6593" s="7" t="s">
        <v>13940</v>
      </c>
      <c r="C6593" s="7" t="s">
        <v>13941</v>
      </c>
      <c r="G6593" s="8" t="s">
        <v>15</v>
      </c>
    </row>
    <row r="6594" spans="1:7" hidden="1" x14ac:dyDescent="0.25">
      <c r="A6594" s="21">
        <v>6593</v>
      </c>
      <c r="B6594" s="7" t="s">
        <v>13942</v>
      </c>
      <c r="C6594" s="7" t="s">
        <v>13943</v>
      </c>
      <c r="G6594" s="8" t="s">
        <v>15</v>
      </c>
    </row>
    <row r="6595" spans="1:7" hidden="1" x14ac:dyDescent="0.25">
      <c r="A6595" s="21">
        <v>6594</v>
      </c>
      <c r="B6595" s="7" t="s">
        <v>13944</v>
      </c>
      <c r="C6595" s="7" t="s">
        <v>13945</v>
      </c>
      <c r="G6595" s="8" t="s">
        <v>15</v>
      </c>
    </row>
    <row r="6596" spans="1:7" hidden="1" x14ac:dyDescent="0.25">
      <c r="A6596" s="21">
        <v>6595</v>
      </c>
      <c r="B6596" s="7" t="s">
        <v>13946</v>
      </c>
      <c r="C6596" s="7" t="s">
        <v>13947</v>
      </c>
      <c r="G6596" s="8" t="s">
        <v>15</v>
      </c>
    </row>
    <row r="6597" spans="1:7" hidden="1" x14ac:dyDescent="0.25">
      <c r="A6597" s="21">
        <v>6596</v>
      </c>
      <c r="B6597" s="7" t="s">
        <v>13948</v>
      </c>
      <c r="C6597" s="7" t="s">
        <v>13949</v>
      </c>
      <c r="G6597" s="8" t="s">
        <v>15</v>
      </c>
    </row>
    <row r="6598" spans="1:7" hidden="1" x14ac:dyDescent="0.25">
      <c r="A6598" s="21">
        <v>6597</v>
      </c>
      <c r="B6598" s="7" t="s">
        <v>13950</v>
      </c>
      <c r="C6598" s="7" t="s">
        <v>13951</v>
      </c>
      <c r="G6598" s="8" t="s">
        <v>15</v>
      </c>
    </row>
    <row r="6599" spans="1:7" hidden="1" x14ac:dyDescent="0.25">
      <c r="A6599" s="21">
        <v>6598</v>
      </c>
      <c r="B6599" s="7" t="s">
        <v>13952</v>
      </c>
      <c r="C6599" s="7" t="s">
        <v>13953</v>
      </c>
      <c r="G6599" s="8" t="s">
        <v>15</v>
      </c>
    </row>
    <row r="6600" spans="1:7" hidden="1" x14ac:dyDescent="0.25">
      <c r="A6600" s="21">
        <v>6599</v>
      </c>
      <c r="B6600" s="7" t="s">
        <v>13954</v>
      </c>
      <c r="C6600" s="7" t="s">
        <v>13955</v>
      </c>
      <c r="G6600" s="8" t="s">
        <v>15</v>
      </c>
    </row>
    <row r="6601" spans="1:7" hidden="1" x14ac:dyDescent="0.25">
      <c r="A6601" s="21">
        <v>6600</v>
      </c>
      <c r="B6601" s="7" t="s">
        <v>13956</v>
      </c>
      <c r="C6601" s="7" t="s">
        <v>13957</v>
      </c>
      <c r="G6601" s="8" t="s">
        <v>15</v>
      </c>
    </row>
    <row r="6602" spans="1:7" hidden="1" x14ac:dyDescent="0.25">
      <c r="A6602" s="21">
        <v>6601</v>
      </c>
      <c r="B6602" s="7" t="s">
        <v>13958</v>
      </c>
      <c r="C6602" s="7" t="s">
        <v>13959</v>
      </c>
      <c r="G6602" s="8" t="s">
        <v>15</v>
      </c>
    </row>
    <row r="6603" spans="1:7" hidden="1" x14ac:dyDescent="0.25">
      <c r="A6603" s="21">
        <v>6602</v>
      </c>
      <c r="B6603" s="7" t="s">
        <v>13960</v>
      </c>
      <c r="C6603" s="7" t="s">
        <v>13961</v>
      </c>
      <c r="G6603" s="8" t="s">
        <v>15</v>
      </c>
    </row>
    <row r="6604" spans="1:7" hidden="1" x14ac:dyDescent="0.25">
      <c r="A6604" s="21">
        <v>6603</v>
      </c>
      <c r="B6604" s="7" t="s">
        <v>13962</v>
      </c>
      <c r="C6604" s="7" t="s">
        <v>13963</v>
      </c>
      <c r="G6604" s="8" t="s">
        <v>15</v>
      </c>
    </row>
    <row r="6605" spans="1:7" hidden="1" x14ac:dyDescent="0.25">
      <c r="A6605" s="21">
        <v>6604</v>
      </c>
      <c r="B6605" s="7" t="s">
        <v>13964</v>
      </c>
      <c r="C6605" s="7" t="s">
        <v>13965</v>
      </c>
      <c r="G6605" s="8" t="s">
        <v>15</v>
      </c>
    </row>
    <row r="6606" spans="1:7" hidden="1" x14ac:dyDescent="0.25">
      <c r="A6606" s="21">
        <v>6605</v>
      </c>
      <c r="B6606" s="7" t="s">
        <v>13966</v>
      </c>
      <c r="C6606" s="7" t="s">
        <v>13967</v>
      </c>
      <c r="G6606" s="8" t="s">
        <v>15</v>
      </c>
    </row>
    <row r="6607" spans="1:7" hidden="1" x14ac:dyDescent="0.25">
      <c r="A6607" s="21">
        <v>6606</v>
      </c>
      <c r="B6607" s="7" t="s">
        <v>13968</v>
      </c>
      <c r="C6607" s="7" t="s">
        <v>13969</v>
      </c>
      <c r="G6607" s="8" t="s">
        <v>15</v>
      </c>
    </row>
    <row r="6608" spans="1:7" hidden="1" x14ac:dyDescent="0.25">
      <c r="A6608" s="21">
        <v>6607</v>
      </c>
      <c r="B6608" s="7" t="s">
        <v>13970</v>
      </c>
      <c r="C6608" s="7" t="s">
        <v>13971</v>
      </c>
      <c r="G6608" s="8" t="s">
        <v>15</v>
      </c>
    </row>
    <row r="6609" spans="1:7" hidden="1" x14ac:dyDescent="0.25">
      <c r="A6609" s="21">
        <v>6608</v>
      </c>
      <c r="B6609" s="7" t="s">
        <v>13972</v>
      </c>
      <c r="C6609" s="7" t="s">
        <v>13973</v>
      </c>
      <c r="G6609" s="8" t="s">
        <v>15</v>
      </c>
    </row>
    <row r="6610" spans="1:7" hidden="1" x14ac:dyDescent="0.25">
      <c r="A6610" s="21">
        <v>6609</v>
      </c>
      <c r="B6610" s="7" t="s">
        <v>13974</v>
      </c>
      <c r="C6610" s="7" t="s">
        <v>13975</v>
      </c>
      <c r="G6610" s="8" t="s">
        <v>15</v>
      </c>
    </row>
    <row r="6611" spans="1:7" hidden="1" x14ac:dyDescent="0.25">
      <c r="A6611" s="21">
        <v>6610</v>
      </c>
      <c r="B6611" s="7" t="s">
        <v>13976</v>
      </c>
      <c r="C6611" s="7" t="s">
        <v>13977</v>
      </c>
      <c r="G6611" s="8" t="s">
        <v>15</v>
      </c>
    </row>
    <row r="6612" spans="1:7" hidden="1" x14ac:dyDescent="0.25">
      <c r="A6612" s="21">
        <v>6611</v>
      </c>
      <c r="B6612" s="7" t="s">
        <v>13978</v>
      </c>
      <c r="C6612" s="7" t="s">
        <v>13979</v>
      </c>
      <c r="G6612" s="8" t="s">
        <v>15</v>
      </c>
    </row>
    <row r="6613" spans="1:7" hidden="1" x14ac:dyDescent="0.25">
      <c r="A6613" s="21">
        <v>6612</v>
      </c>
      <c r="B6613" s="7" t="s">
        <v>13980</v>
      </c>
      <c r="C6613" s="7" t="s">
        <v>13981</v>
      </c>
      <c r="G6613" s="8" t="s">
        <v>15</v>
      </c>
    </row>
    <row r="6614" spans="1:7" hidden="1" x14ac:dyDescent="0.25">
      <c r="A6614" s="21">
        <v>6613</v>
      </c>
      <c r="B6614" s="7" t="s">
        <v>13982</v>
      </c>
      <c r="C6614" s="7" t="s">
        <v>13983</v>
      </c>
      <c r="G6614" s="8" t="s">
        <v>15</v>
      </c>
    </row>
    <row r="6615" spans="1:7" hidden="1" x14ac:dyDescent="0.25">
      <c r="A6615" s="21">
        <v>6614</v>
      </c>
      <c r="B6615" s="7" t="s">
        <v>13984</v>
      </c>
      <c r="C6615" s="7" t="s">
        <v>13985</v>
      </c>
      <c r="G6615" s="8" t="s">
        <v>15</v>
      </c>
    </row>
    <row r="6616" spans="1:7" hidden="1" x14ac:dyDescent="0.25">
      <c r="A6616" s="21">
        <v>6615</v>
      </c>
      <c r="B6616" s="7" t="s">
        <v>13986</v>
      </c>
      <c r="C6616" s="7" t="s">
        <v>13987</v>
      </c>
      <c r="G6616" s="8" t="s">
        <v>15</v>
      </c>
    </row>
    <row r="6617" spans="1:7" hidden="1" x14ac:dyDescent="0.25">
      <c r="A6617" s="21">
        <v>6616</v>
      </c>
      <c r="B6617" s="7" t="s">
        <v>13988</v>
      </c>
      <c r="C6617" s="7" t="s">
        <v>13989</v>
      </c>
      <c r="G6617" s="8" t="s">
        <v>15</v>
      </c>
    </row>
    <row r="6618" spans="1:7" hidden="1" x14ac:dyDescent="0.25">
      <c r="A6618" s="21">
        <v>6617</v>
      </c>
      <c r="B6618" s="7" t="s">
        <v>13990</v>
      </c>
      <c r="C6618" s="7" t="s">
        <v>13991</v>
      </c>
      <c r="G6618" s="8" t="s">
        <v>15</v>
      </c>
    </row>
    <row r="6619" spans="1:7" hidden="1" x14ac:dyDescent="0.25">
      <c r="A6619" s="21">
        <v>6618</v>
      </c>
      <c r="B6619" s="7" t="s">
        <v>13992</v>
      </c>
      <c r="C6619" s="7" t="s">
        <v>13993</v>
      </c>
      <c r="G6619" s="8" t="s">
        <v>15</v>
      </c>
    </row>
    <row r="6620" spans="1:7" hidden="1" x14ac:dyDescent="0.25">
      <c r="A6620" s="21">
        <v>6619</v>
      </c>
      <c r="B6620" s="7" t="s">
        <v>13994</v>
      </c>
      <c r="C6620" s="7" t="s">
        <v>13995</v>
      </c>
      <c r="G6620" s="8" t="s">
        <v>15</v>
      </c>
    </row>
    <row r="6621" spans="1:7" hidden="1" x14ac:dyDescent="0.25">
      <c r="A6621" s="21">
        <v>6620</v>
      </c>
      <c r="B6621" s="7" t="s">
        <v>13996</v>
      </c>
      <c r="C6621" s="7" t="s">
        <v>13997</v>
      </c>
      <c r="G6621" s="8" t="s">
        <v>15</v>
      </c>
    </row>
    <row r="6622" spans="1:7" hidden="1" x14ac:dyDescent="0.25">
      <c r="A6622" s="21">
        <v>6621</v>
      </c>
      <c r="B6622" s="7" t="s">
        <v>13998</v>
      </c>
      <c r="C6622" s="7" t="s">
        <v>13999</v>
      </c>
      <c r="G6622" s="8" t="s">
        <v>15</v>
      </c>
    </row>
    <row r="6623" spans="1:7" hidden="1" x14ac:dyDescent="0.25">
      <c r="A6623" s="21">
        <v>6622</v>
      </c>
      <c r="B6623" s="7" t="s">
        <v>14000</v>
      </c>
      <c r="C6623" s="7" t="s">
        <v>14001</v>
      </c>
      <c r="G6623" s="8" t="s">
        <v>15</v>
      </c>
    </row>
    <row r="6624" spans="1:7" hidden="1" x14ac:dyDescent="0.25">
      <c r="A6624" s="21">
        <v>6623</v>
      </c>
      <c r="B6624" s="7" t="s">
        <v>14002</v>
      </c>
      <c r="C6624" s="7" t="s">
        <v>14003</v>
      </c>
      <c r="G6624" s="8" t="s">
        <v>15</v>
      </c>
    </row>
    <row r="6625" spans="1:7" hidden="1" x14ac:dyDescent="0.25">
      <c r="A6625" s="21">
        <v>6624</v>
      </c>
      <c r="B6625" s="7" t="s">
        <v>14004</v>
      </c>
      <c r="C6625" s="7" t="s">
        <v>14005</v>
      </c>
      <c r="G6625" s="8" t="s">
        <v>15</v>
      </c>
    </row>
    <row r="6626" spans="1:7" hidden="1" x14ac:dyDescent="0.25">
      <c r="A6626" s="21">
        <v>6625</v>
      </c>
      <c r="B6626" s="7" t="s">
        <v>14006</v>
      </c>
      <c r="C6626" s="7" t="s">
        <v>14007</v>
      </c>
      <c r="G6626" s="8" t="s">
        <v>15</v>
      </c>
    </row>
    <row r="6627" spans="1:7" hidden="1" x14ac:dyDescent="0.25">
      <c r="A6627" s="21">
        <v>6626</v>
      </c>
      <c r="B6627" s="7" t="s">
        <v>14008</v>
      </c>
      <c r="C6627" s="7" t="s">
        <v>14009</v>
      </c>
      <c r="G6627" s="8" t="s">
        <v>15</v>
      </c>
    </row>
    <row r="6628" spans="1:7" hidden="1" x14ac:dyDescent="0.25">
      <c r="A6628" s="21">
        <v>6627</v>
      </c>
      <c r="B6628" s="7" t="s">
        <v>14010</v>
      </c>
      <c r="C6628" s="7" t="s">
        <v>14011</v>
      </c>
      <c r="G6628" s="8" t="s">
        <v>15</v>
      </c>
    </row>
    <row r="6629" spans="1:7" hidden="1" x14ac:dyDescent="0.25">
      <c r="A6629" s="21">
        <v>6628</v>
      </c>
      <c r="B6629" s="7" t="s">
        <v>14012</v>
      </c>
      <c r="C6629" s="7" t="s">
        <v>14013</v>
      </c>
      <c r="G6629" s="8" t="s">
        <v>15</v>
      </c>
    </row>
    <row r="6630" spans="1:7" hidden="1" x14ac:dyDescent="0.25">
      <c r="A6630" s="21">
        <v>6629</v>
      </c>
      <c r="B6630" s="7" t="s">
        <v>14014</v>
      </c>
      <c r="C6630" s="7" t="s">
        <v>14015</v>
      </c>
      <c r="G6630" s="8" t="s">
        <v>15</v>
      </c>
    </row>
    <row r="6631" spans="1:7" hidden="1" x14ac:dyDescent="0.25">
      <c r="A6631" s="21">
        <v>6630</v>
      </c>
      <c r="B6631" s="7" t="s">
        <v>14016</v>
      </c>
      <c r="C6631" s="7" t="s">
        <v>14017</v>
      </c>
      <c r="G6631" s="8" t="s">
        <v>15</v>
      </c>
    </row>
    <row r="6632" spans="1:7" hidden="1" x14ac:dyDescent="0.25">
      <c r="A6632" s="21">
        <v>6631</v>
      </c>
      <c r="B6632" s="7" t="s">
        <v>14018</v>
      </c>
      <c r="C6632" s="7" t="s">
        <v>14019</v>
      </c>
      <c r="G6632" s="8" t="s">
        <v>15</v>
      </c>
    </row>
    <row r="6633" spans="1:7" hidden="1" x14ac:dyDescent="0.25">
      <c r="A6633" s="21">
        <v>6632</v>
      </c>
      <c r="B6633" s="7" t="s">
        <v>14020</v>
      </c>
      <c r="C6633" s="7" t="s">
        <v>14021</v>
      </c>
      <c r="G6633" s="8" t="s">
        <v>15</v>
      </c>
    </row>
    <row r="6634" spans="1:7" hidden="1" x14ac:dyDescent="0.25">
      <c r="A6634" s="21">
        <v>6633</v>
      </c>
      <c r="B6634" s="7" t="s">
        <v>14022</v>
      </c>
      <c r="C6634" s="7" t="s">
        <v>14023</v>
      </c>
      <c r="G6634" s="8" t="s">
        <v>15</v>
      </c>
    </row>
    <row r="6635" spans="1:7" hidden="1" x14ac:dyDescent="0.25">
      <c r="A6635" s="21">
        <v>6634</v>
      </c>
      <c r="B6635" s="7" t="s">
        <v>14024</v>
      </c>
      <c r="C6635" s="7" t="s">
        <v>14025</v>
      </c>
      <c r="G6635" s="8" t="s">
        <v>15</v>
      </c>
    </row>
    <row r="6636" spans="1:7" hidden="1" x14ac:dyDescent="0.25">
      <c r="A6636" s="21">
        <v>6635</v>
      </c>
      <c r="B6636" s="7" t="s">
        <v>14026</v>
      </c>
      <c r="C6636" s="7" t="s">
        <v>14027</v>
      </c>
      <c r="G6636" s="8" t="s">
        <v>15</v>
      </c>
    </row>
    <row r="6637" spans="1:7" hidden="1" x14ac:dyDescent="0.25">
      <c r="A6637" s="21">
        <v>6636</v>
      </c>
      <c r="B6637" s="7" t="s">
        <v>14028</v>
      </c>
      <c r="C6637" s="7" t="s">
        <v>14029</v>
      </c>
      <c r="G6637" s="8" t="s">
        <v>15</v>
      </c>
    </row>
    <row r="6638" spans="1:7" hidden="1" x14ac:dyDescent="0.25">
      <c r="A6638" s="21">
        <v>6637</v>
      </c>
      <c r="B6638" s="7" t="s">
        <v>14030</v>
      </c>
      <c r="C6638" s="7" t="s">
        <v>14031</v>
      </c>
      <c r="G6638" s="8" t="s">
        <v>15</v>
      </c>
    </row>
    <row r="6639" spans="1:7" hidden="1" x14ac:dyDescent="0.25">
      <c r="A6639" s="21">
        <v>6638</v>
      </c>
      <c r="B6639" s="7" t="s">
        <v>14032</v>
      </c>
      <c r="C6639" s="7" t="s">
        <v>14033</v>
      </c>
      <c r="G6639" s="8" t="s">
        <v>15</v>
      </c>
    </row>
    <row r="6640" spans="1:7" hidden="1" x14ac:dyDescent="0.25">
      <c r="A6640" s="21">
        <v>6639</v>
      </c>
      <c r="B6640" s="7" t="s">
        <v>14034</v>
      </c>
      <c r="C6640" s="7" t="s">
        <v>14035</v>
      </c>
      <c r="G6640" s="8" t="s">
        <v>15</v>
      </c>
    </row>
    <row r="6641" spans="1:7" hidden="1" x14ac:dyDescent="0.25">
      <c r="A6641" s="21">
        <v>6640</v>
      </c>
      <c r="B6641" s="7" t="s">
        <v>14036</v>
      </c>
      <c r="C6641" s="7" t="s">
        <v>14037</v>
      </c>
      <c r="G6641" s="8" t="s">
        <v>15</v>
      </c>
    </row>
    <row r="6642" spans="1:7" hidden="1" x14ac:dyDescent="0.25">
      <c r="A6642" s="21">
        <v>6641</v>
      </c>
      <c r="B6642" s="7" t="s">
        <v>14038</v>
      </c>
      <c r="C6642" s="7" t="s">
        <v>14039</v>
      </c>
      <c r="G6642" s="8" t="s">
        <v>15</v>
      </c>
    </row>
    <row r="6643" spans="1:7" hidden="1" x14ac:dyDescent="0.25">
      <c r="A6643" s="21">
        <v>6642</v>
      </c>
      <c r="B6643" s="7" t="s">
        <v>14040</v>
      </c>
      <c r="C6643" s="7" t="s">
        <v>14041</v>
      </c>
      <c r="G6643" s="8" t="s">
        <v>15</v>
      </c>
    </row>
    <row r="6644" spans="1:7" hidden="1" x14ac:dyDescent="0.25">
      <c r="A6644" s="21">
        <v>6643</v>
      </c>
      <c r="B6644" s="7" t="s">
        <v>14042</v>
      </c>
      <c r="C6644" s="7" t="s">
        <v>14043</v>
      </c>
      <c r="G6644" s="8" t="s">
        <v>15</v>
      </c>
    </row>
    <row r="6645" spans="1:7" hidden="1" x14ac:dyDescent="0.25">
      <c r="A6645" s="21">
        <v>6644</v>
      </c>
      <c r="B6645" s="7" t="s">
        <v>14044</v>
      </c>
      <c r="C6645" s="7" t="s">
        <v>14045</v>
      </c>
      <c r="G6645" s="8" t="s">
        <v>15</v>
      </c>
    </row>
    <row r="6646" spans="1:7" hidden="1" x14ac:dyDescent="0.25">
      <c r="A6646" s="21">
        <v>6645</v>
      </c>
      <c r="B6646" s="7" t="s">
        <v>14046</v>
      </c>
      <c r="C6646" s="7" t="s">
        <v>14047</v>
      </c>
      <c r="G6646" s="8" t="s">
        <v>15</v>
      </c>
    </row>
    <row r="6647" spans="1:7" hidden="1" x14ac:dyDescent="0.25">
      <c r="A6647" s="21">
        <v>6646</v>
      </c>
      <c r="B6647" s="7" t="s">
        <v>14048</v>
      </c>
      <c r="C6647" s="7" t="s">
        <v>14049</v>
      </c>
      <c r="G6647" s="8" t="s">
        <v>15</v>
      </c>
    </row>
    <row r="6648" spans="1:7" hidden="1" x14ac:dyDescent="0.25">
      <c r="A6648" s="21">
        <v>6647</v>
      </c>
      <c r="B6648" s="7" t="s">
        <v>14050</v>
      </c>
      <c r="C6648" s="7" t="s">
        <v>14051</v>
      </c>
      <c r="G6648" s="8" t="s">
        <v>15</v>
      </c>
    </row>
    <row r="6649" spans="1:7" hidden="1" x14ac:dyDescent="0.25">
      <c r="A6649" s="21">
        <v>6648</v>
      </c>
      <c r="B6649" s="7" t="s">
        <v>14052</v>
      </c>
      <c r="C6649" s="7" t="s">
        <v>14053</v>
      </c>
      <c r="G6649" s="8" t="s">
        <v>15</v>
      </c>
    </row>
    <row r="6650" spans="1:7" hidden="1" x14ac:dyDescent="0.25">
      <c r="A6650" s="21">
        <v>6649</v>
      </c>
      <c r="B6650" s="7" t="s">
        <v>14054</v>
      </c>
      <c r="C6650" s="7" t="s">
        <v>14055</v>
      </c>
      <c r="G6650" s="8" t="s">
        <v>15</v>
      </c>
    </row>
    <row r="6651" spans="1:7" hidden="1" x14ac:dyDescent="0.25">
      <c r="A6651" s="21">
        <v>6650</v>
      </c>
      <c r="B6651" s="7" t="s">
        <v>14056</v>
      </c>
      <c r="C6651" s="7" t="s">
        <v>14057</v>
      </c>
      <c r="G6651" s="8" t="s">
        <v>15</v>
      </c>
    </row>
    <row r="6652" spans="1:7" hidden="1" x14ac:dyDescent="0.25">
      <c r="A6652" s="21">
        <v>6651</v>
      </c>
      <c r="B6652" s="7" t="s">
        <v>14058</v>
      </c>
      <c r="C6652" s="7" t="s">
        <v>14059</v>
      </c>
      <c r="G6652" s="8" t="s">
        <v>15</v>
      </c>
    </row>
    <row r="6653" spans="1:7" hidden="1" x14ac:dyDescent="0.25">
      <c r="A6653" s="21">
        <v>6652</v>
      </c>
      <c r="B6653" s="7" t="s">
        <v>14060</v>
      </c>
      <c r="C6653" s="7" t="s">
        <v>14061</v>
      </c>
      <c r="G6653" s="8" t="s">
        <v>15</v>
      </c>
    </row>
    <row r="6654" spans="1:7" hidden="1" x14ac:dyDescent="0.25">
      <c r="A6654" s="21">
        <v>6653</v>
      </c>
      <c r="B6654" s="7" t="s">
        <v>14062</v>
      </c>
      <c r="C6654" s="7" t="s">
        <v>14063</v>
      </c>
      <c r="G6654" s="8" t="s">
        <v>15</v>
      </c>
    </row>
    <row r="6655" spans="1:7" hidden="1" x14ac:dyDescent="0.25">
      <c r="A6655" s="21">
        <v>6654</v>
      </c>
      <c r="B6655" s="7" t="s">
        <v>14064</v>
      </c>
      <c r="C6655" s="7" t="s">
        <v>14065</v>
      </c>
      <c r="G6655" s="8" t="s">
        <v>15</v>
      </c>
    </row>
    <row r="6656" spans="1:7" hidden="1" x14ac:dyDescent="0.25">
      <c r="A6656" s="21">
        <v>6655</v>
      </c>
      <c r="B6656" s="7" t="s">
        <v>14066</v>
      </c>
      <c r="C6656" s="7" t="s">
        <v>14067</v>
      </c>
      <c r="G6656" s="8" t="s">
        <v>15</v>
      </c>
    </row>
    <row r="6657" spans="1:7" hidden="1" x14ac:dyDescent="0.25">
      <c r="A6657" s="21">
        <v>6656</v>
      </c>
      <c r="B6657" s="7" t="s">
        <v>14068</v>
      </c>
      <c r="C6657" s="7" t="s">
        <v>14069</v>
      </c>
      <c r="G6657" s="8" t="s">
        <v>15</v>
      </c>
    </row>
    <row r="6658" spans="1:7" hidden="1" x14ac:dyDescent="0.25">
      <c r="A6658" s="21">
        <v>6657</v>
      </c>
      <c r="B6658" s="7" t="s">
        <v>14070</v>
      </c>
      <c r="C6658" s="7" t="s">
        <v>14071</v>
      </c>
      <c r="G6658" s="8" t="s">
        <v>15</v>
      </c>
    </row>
    <row r="6659" spans="1:7" hidden="1" x14ac:dyDescent="0.25">
      <c r="A6659" s="21">
        <v>6658</v>
      </c>
      <c r="B6659" s="7" t="s">
        <v>14072</v>
      </c>
      <c r="C6659" s="7" t="s">
        <v>14073</v>
      </c>
      <c r="G6659" s="8" t="s">
        <v>15</v>
      </c>
    </row>
    <row r="6660" spans="1:7" hidden="1" x14ac:dyDescent="0.25">
      <c r="A6660" s="21">
        <v>6659</v>
      </c>
      <c r="B6660" s="7" t="s">
        <v>14074</v>
      </c>
      <c r="C6660" s="7" t="s">
        <v>14075</v>
      </c>
      <c r="G6660" s="8" t="s">
        <v>15</v>
      </c>
    </row>
    <row r="6661" spans="1:7" hidden="1" x14ac:dyDescent="0.25">
      <c r="A6661" s="21">
        <v>6660</v>
      </c>
      <c r="B6661" s="7" t="s">
        <v>14076</v>
      </c>
      <c r="C6661" s="7" t="s">
        <v>14077</v>
      </c>
      <c r="G6661" s="8" t="s">
        <v>15</v>
      </c>
    </row>
    <row r="6662" spans="1:7" hidden="1" x14ac:dyDescent="0.25">
      <c r="A6662" s="21">
        <v>6661</v>
      </c>
      <c r="B6662" s="7" t="s">
        <v>14078</v>
      </c>
      <c r="C6662" s="7" t="s">
        <v>14079</v>
      </c>
      <c r="G6662" s="8" t="s">
        <v>15</v>
      </c>
    </row>
    <row r="6663" spans="1:7" hidden="1" x14ac:dyDescent="0.25">
      <c r="A6663" s="21">
        <v>6662</v>
      </c>
      <c r="B6663" s="7" t="s">
        <v>14080</v>
      </c>
      <c r="C6663" s="7" t="s">
        <v>14081</v>
      </c>
      <c r="G6663" s="8" t="s">
        <v>15</v>
      </c>
    </row>
    <row r="6664" spans="1:7" hidden="1" x14ac:dyDescent="0.25">
      <c r="A6664" s="21">
        <v>6663</v>
      </c>
      <c r="B6664" s="7" t="s">
        <v>14082</v>
      </c>
      <c r="C6664" s="7" t="s">
        <v>14083</v>
      </c>
      <c r="G6664" s="8" t="s">
        <v>15</v>
      </c>
    </row>
    <row r="6665" spans="1:7" hidden="1" x14ac:dyDescent="0.25">
      <c r="A6665" s="21">
        <v>6664</v>
      </c>
      <c r="B6665" s="7" t="s">
        <v>14084</v>
      </c>
      <c r="C6665" s="7" t="s">
        <v>14085</v>
      </c>
      <c r="G6665" s="8" t="s">
        <v>15</v>
      </c>
    </row>
    <row r="6666" spans="1:7" hidden="1" x14ac:dyDescent="0.25">
      <c r="A6666" s="21">
        <v>6665</v>
      </c>
      <c r="B6666" s="7" t="s">
        <v>14086</v>
      </c>
      <c r="C6666" s="7" t="s">
        <v>14087</v>
      </c>
      <c r="G6666" s="8" t="s">
        <v>15</v>
      </c>
    </row>
    <row r="6667" spans="1:7" hidden="1" x14ac:dyDescent="0.25">
      <c r="A6667" s="21">
        <v>6666</v>
      </c>
      <c r="B6667" s="7" t="s">
        <v>14088</v>
      </c>
      <c r="C6667" s="7" t="s">
        <v>14089</v>
      </c>
      <c r="G6667" s="8" t="s">
        <v>15</v>
      </c>
    </row>
    <row r="6668" spans="1:7" hidden="1" x14ac:dyDescent="0.25">
      <c r="A6668" s="21">
        <v>6667</v>
      </c>
      <c r="B6668" s="7" t="s">
        <v>14090</v>
      </c>
      <c r="C6668" s="7" t="s">
        <v>14091</v>
      </c>
      <c r="G6668" s="8" t="s">
        <v>15</v>
      </c>
    </row>
    <row r="6669" spans="1:7" hidden="1" x14ac:dyDescent="0.25">
      <c r="A6669" s="21">
        <v>6668</v>
      </c>
      <c r="B6669" s="7" t="s">
        <v>14092</v>
      </c>
      <c r="C6669" s="7" t="s">
        <v>14093</v>
      </c>
      <c r="G6669" s="8" t="s">
        <v>15</v>
      </c>
    </row>
    <row r="6670" spans="1:7" hidden="1" x14ac:dyDescent="0.25">
      <c r="A6670" s="21">
        <v>6669</v>
      </c>
      <c r="B6670" s="7" t="s">
        <v>14094</v>
      </c>
      <c r="C6670" s="7" t="s">
        <v>14095</v>
      </c>
      <c r="G6670" s="8" t="s">
        <v>15</v>
      </c>
    </row>
    <row r="6671" spans="1:7" hidden="1" x14ac:dyDescent="0.25">
      <c r="A6671" s="21">
        <v>6670</v>
      </c>
      <c r="B6671" s="7" t="s">
        <v>14096</v>
      </c>
      <c r="C6671" s="7" t="s">
        <v>14097</v>
      </c>
      <c r="G6671" s="8" t="s">
        <v>15</v>
      </c>
    </row>
    <row r="6672" spans="1:7" hidden="1" x14ac:dyDescent="0.25">
      <c r="A6672" s="21">
        <v>6671</v>
      </c>
      <c r="B6672" s="7" t="s">
        <v>14098</v>
      </c>
      <c r="C6672" s="7" t="s">
        <v>14099</v>
      </c>
      <c r="G6672" s="8" t="s">
        <v>15</v>
      </c>
    </row>
    <row r="6673" spans="1:7" hidden="1" x14ac:dyDescent="0.25">
      <c r="A6673" s="21">
        <v>6672</v>
      </c>
      <c r="B6673" s="7" t="s">
        <v>14100</v>
      </c>
      <c r="C6673" s="7" t="s">
        <v>14101</v>
      </c>
      <c r="G6673" s="8" t="s">
        <v>15</v>
      </c>
    </row>
    <row r="6674" spans="1:7" hidden="1" x14ac:dyDescent="0.25">
      <c r="A6674" s="21">
        <v>6673</v>
      </c>
      <c r="B6674" s="7" t="s">
        <v>14102</v>
      </c>
      <c r="C6674" s="7" t="s">
        <v>14103</v>
      </c>
      <c r="G6674" s="8" t="s">
        <v>15</v>
      </c>
    </row>
    <row r="6675" spans="1:7" hidden="1" x14ac:dyDescent="0.25">
      <c r="A6675" s="21">
        <v>6674</v>
      </c>
      <c r="B6675" s="7" t="s">
        <v>14104</v>
      </c>
      <c r="C6675" s="7" t="s">
        <v>14105</v>
      </c>
      <c r="G6675" s="8" t="s">
        <v>15</v>
      </c>
    </row>
    <row r="6676" spans="1:7" hidden="1" x14ac:dyDescent="0.25">
      <c r="A6676" s="21">
        <v>6675</v>
      </c>
      <c r="B6676" s="7" t="s">
        <v>14106</v>
      </c>
      <c r="C6676" s="7" t="s">
        <v>14107</v>
      </c>
      <c r="G6676" s="8" t="s">
        <v>15</v>
      </c>
    </row>
    <row r="6677" spans="1:7" hidden="1" x14ac:dyDescent="0.25">
      <c r="A6677" s="21">
        <v>6676</v>
      </c>
      <c r="B6677" s="7" t="s">
        <v>14108</v>
      </c>
      <c r="C6677" s="7" t="s">
        <v>14109</v>
      </c>
      <c r="G6677" s="8" t="s">
        <v>15</v>
      </c>
    </row>
    <row r="6678" spans="1:7" hidden="1" x14ac:dyDescent="0.25">
      <c r="A6678" s="21">
        <v>6677</v>
      </c>
      <c r="B6678" s="7" t="s">
        <v>14110</v>
      </c>
      <c r="C6678" s="7" t="s">
        <v>14111</v>
      </c>
      <c r="G6678" s="8" t="s">
        <v>15</v>
      </c>
    </row>
    <row r="6679" spans="1:7" hidden="1" x14ac:dyDescent="0.25">
      <c r="A6679" s="21">
        <v>6678</v>
      </c>
      <c r="B6679" s="7" t="s">
        <v>14112</v>
      </c>
      <c r="C6679" s="7" t="s">
        <v>14113</v>
      </c>
      <c r="G6679" s="8" t="s">
        <v>15</v>
      </c>
    </row>
    <row r="6680" spans="1:7" hidden="1" x14ac:dyDescent="0.25">
      <c r="A6680" s="21">
        <v>6679</v>
      </c>
      <c r="B6680" s="7" t="s">
        <v>14114</v>
      </c>
      <c r="C6680" s="7" t="s">
        <v>14115</v>
      </c>
      <c r="G6680" s="8" t="s">
        <v>15</v>
      </c>
    </row>
    <row r="6681" spans="1:7" hidden="1" x14ac:dyDescent="0.25">
      <c r="A6681" s="21">
        <v>6680</v>
      </c>
      <c r="B6681" s="7" t="s">
        <v>14116</v>
      </c>
      <c r="C6681" s="7" t="s">
        <v>14117</v>
      </c>
      <c r="G6681" s="8" t="s">
        <v>15</v>
      </c>
    </row>
    <row r="6682" spans="1:7" hidden="1" x14ac:dyDescent="0.25">
      <c r="A6682" s="21">
        <v>6681</v>
      </c>
      <c r="B6682" s="7" t="s">
        <v>14118</v>
      </c>
      <c r="C6682" s="7" t="s">
        <v>14119</v>
      </c>
      <c r="G6682" s="8" t="s">
        <v>15</v>
      </c>
    </row>
    <row r="6683" spans="1:7" hidden="1" x14ac:dyDescent="0.25">
      <c r="A6683" s="21">
        <v>6682</v>
      </c>
      <c r="B6683" s="7" t="s">
        <v>14120</v>
      </c>
      <c r="C6683" s="7" t="s">
        <v>14121</v>
      </c>
      <c r="G6683" s="8" t="s">
        <v>15</v>
      </c>
    </row>
    <row r="6684" spans="1:7" hidden="1" x14ac:dyDescent="0.25">
      <c r="A6684" s="21">
        <v>6683</v>
      </c>
      <c r="B6684" s="7" t="s">
        <v>14122</v>
      </c>
      <c r="C6684" s="7" t="s">
        <v>14123</v>
      </c>
      <c r="G6684" s="8" t="s">
        <v>15</v>
      </c>
    </row>
    <row r="6685" spans="1:7" hidden="1" x14ac:dyDescent="0.25">
      <c r="A6685" s="21">
        <v>6684</v>
      </c>
      <c r="B6685" s="7" t="s">
        <v>14124</v>
      </c>
      <c r="C6685" s="7" t="s">
        <v>14125</v>
      </c>
      <c r="G6685" s="8" t="s">
        <v>15</v>
      </c>
    </row>
    <row r="6686" spans="1:7" hidden="1" x14ac:dyDescent="0.25">
      <c r="A6686" s="21">
        <v>6685</v>
      </c>
      <c r="B6686" s="7" t="s">
        <v>14126</v>
      </c>
      <c r="C6686" s="7" t="s">
        <v>14127</v>
      </c>
      <c r="G6686" s="8" t="s">
        <v>15</v>
      </c>
    </row>
    <row r="6687" spans="1:7" hidden="1" x14ac:dyDescent="0.25">
      <c r="A6687" s="21">
        <v>6686</v>
      </c>
      <c r="B6687" s="7" t="s">
        <v>14128</v>
      </c>
      <c r="C6687" s="7" t="s">
        <v>14129</v>
      </c>
      <c r="G6687" s="8" t="s">
        <v>15</v>
      </c>
    </row>
    <row r="6688" spans="1:7" hidden="1" x14ac:dyDescent="0.25">
      <c r="A6688" s="21">
        <v>6687</v>
      </c>
      <c r="B6688" s="7" t="s">
        <v>14130</v>
      </c>
      <c r="C6688" s="7" t="s">
        <v>14131</v>
      </c>
      <c r="G6688" s="8" t="s">
        <v>15</v>
      </c>
    </row>
    <row r="6689" spans="1:7" hidden="1" x14ac:dyDescent="0.25">
      <c r="A6689" s="21">
        <v>6688</v>
      </c>
      <c r="B6689" s="7" t="s">
        <v>14132</v>
      </c>
      <c r="C6689" s="7" t="s">
        <v>14133</v>
      </c>
      <c r="G6689" s="8" t="s">
        <v>15</v>
      </c>
    </row>
    <row r="6690" spans="1:7" hidden="1" x14ac:dyDescent="0.25">
      <c r="A6690" s="21">
        <v>6689</v>
      </c>
      <c r="B6690" s="7" t="s">
        <v>14134</v>
      </c>
      <c r="C6690" s="7" t="s">
        <v>14135</v>
      </c>
      <c r="G6690" s="8" t="s">
        <v>15</v>
      </c>
    </row>
    <row r="6691" spans="1:7" hidden="1" x14ac:dyDescent="0.25">
      <c r="A6691" s="21">
        <v>6690</v>
      </c>
      <c r="B6691" s="7" t="s">
        <v>14136</v>
      </c>
      <c r="C6691" s="7" t="s">
        <v>14137</v>
      </c>
      <c r="G6691" s="8" t="s">
        <v>15</v>
      </c>
    </row>
    <row r="6692" spans="1:7" hidden="1" x14ac:dyDescent="0.25">
      <c r="A6692" s="21">
        <v>6691</v>
      </c>
      <c r="B6692" s="7" t="s">
        <v>14138</v>
      </c>
      <c r="C6692" s="7" t="s">
        <v>14139</v>
      </c>
      <c r="G6692" s="8" t="s">
        <v>15</v>
      </c>
    </row>
    <row r="6693" spans="1:7" hidden="1" x14ac:dyDescent="0.25">
      <c r="A6693" s="21">
        <v>6692</v>
      </c>
      <c r="B6693" s="7" t="s">
        <v>14140</v>
      </c>
      <c r="C6693" s="7" t="s">
        <v>14141</v>
      </c>
      <c r="G6693" s="8" t="s">
        <v>15</v>
      </c>
    </row>
    <row r="6694" spans="1:7" hidden="1" x14ac:dyDescent="0.25">
      <c r="A6694" s="21">
        <v>6693</v>
      </c>
      <c r="B6694" s="7" t="s">
        <v>14142</v>
      </c>
      <c r="C6694" s="7" t="s">
        <v>14143</v>
      </c>
      <c r="G6694" s="8" t="s">
        <v>15</v>
      </c>
    </row>
    <row r="6695" spans="1:7" hidden="1" x14ac:dyDescent="0.25">
      <c r="A6695" s="21">
        <v>6694</v>
      </c>
      <c r="B6695" s="7" t="s">
        <v>14144</v>
      </c>
      <c r="C6695" s="7" t="s">
        <v>14145</v>
      </c>
      <c r="G6695" s="8" t="s">
        <v>15</v>
      </c>
    </row>
    <row r="6696" spans="1:7" hidden="1" x14ac:dyDescent="0.25">
      <c r="A6696" s="21">
        <v>6695</v>
      </c>
      <c r="B6696" s="7" t="s">
        <v>14146</v>
      </c>
      <c r="C6696" s="7" t="s">
        <v>14147</v>
      </c>
      <c r="G6696" s="8" t="s">
        <v>15</v>
      </c>
    </row>
    <row r="6697" spans="1:7" hidden="1" x14ac:dyDescent="0.25">
      <c r="A6697" s="21">
        <v>6696</v>
      </c>
      <c r="B6697" s="7" t="s">
        <v>14148</v>
      </c>
      <c r="C6697" s="7" t="s">
        <v>14149</v>
      </c>
      <c r="G6697" s="8" t="s">
        <v>15</v>
      </c>
    </row>
    <row r="6698" spans="1:7" hidden="1" x14ac:dyDescent="0.25">
      <c r="A6698" s="21">
        <v>6697</v>
      </c>
      <c r="B6698" s="7" t="s">
        <v>14150</v>
      </c>
      <c r="C6698" s="7" t="s">
        <v>14151</v>
      </c>
      <c r="G6698" s="8" t="s">
        <v>15</v>
      </c>
    </row>
    <row r="6699" spans="1:7" hidden="1" x14ac:dyDescent="0.25">
      <c r="A6699" s="21">
        <v>6698</v>
      </c>
      <c r="B6699" s="7" t="s">
        <v>14152</v>
      </c>
      <c r="C6699" s="7" t="s">
        <v>14153</v>
      </c>
      <c r="G6699" s="8" t="s">
        <v>15</v>
      </c>
    </row>
    <row r="6700" spans="1:7" hidden="1" x14ac:dyDescent="0.25">
      <c r="A6700" s="21">
        <v>6699</v>
      </c>
      <c r="B6700" s="7" t="s">
        <v>14154</v>
      </c>
      <c r="C6700" s="7" t="s">
        <v>14155</v>
      </c>
      <c r="G6700" s="8" t="s">
        <v>15</v>
      </c>
    </row>
    <row r="6701" spans="1:7" hidden="1" x14ac:dyDescent="0.25">
      <c r="A6701" s="21">
        <v>6700</v>
      </c>
      <c r="B6701" s="7" t="s">
        <v>14156</v>
      </c>
      <c r="C6701" s="7" t="s">
        <v>14157</v>
      </c>
      <c r="G6701" s="8" t="s">
        <v>15</v>
      </c>
    </row>
    <row r="6702" spans="1:7" hidden="1" x14ac:dyDescent="0.25">
      <c r="A6702" s="21">
        <v>6701</v>
      </c>
      <c r="B6702" s="7" t="s">
        <v>14158</v>
      </c>
      <c r="C6702" s="7" t="s">
        <v>14159</v>
      </c>
      <c r="G6702" s="8" t="s">
        <v>15</v>
      </c>
    </row>
    <row r="6703" spans="1:7" hidden="1" x14ac:dyDescent="0.25">
      <c r="A6703" s="21">
        <v>6702</v>
      </c>
      <c r="B6703" s="7" t="s">
        <v>14160</v>
      </c>
      <c r="C6703" s="7" t="s">
        <v>14161</v>
      </c>
      <c r="G6703" s="8" t="s">
        <v>15</v>
      </c>
    </row>
    <row r="6704" spans="1:7" hidden="1" x14ac:dyDescent="0.25">
      <c r="A6704" s="21">
        <v>6703</v>
      </c>
      <c r="B6704" s="7" t="s">
        <v>14162</v>
      </c>
      <c r="C6704" s="7" t="s">
        <v>14163</v>
      </c>
      <c r="G6704" s="8" t="s">
        <v>15</v>
      </c>
    </row>
    <row r="6705" spans="1:7" hidden="1" x14ac:dyDescent="0.25">
      <c r="A6705" s="21">
        <v>6704</v>
      </c>
      <c r="B6705" s="7" t="s">
        <v>14164</v>
      </c>
      <c r="C6705" s="7" t="s">
        <v>14165</v>
      </c>
      <c r="G6705" s="8" t="s">
        <v>15</v>
      </c>
    </row>
    <row r="6706" spans="1:7" hidden="1" x14ac:dyDescent="0.25">
      <c r="A6706" s="21">
        <v>6705</v>
      </c>
      <c r="B6706" s="7" t="s">
        <v>14166</v>
      </c>
      <c r="C6706" s="7" t="s">
        <v>14167</v>
      </c>
      <c r="G6706" s="8" t="s">
        <v>15</v>
      </c>
    </row>
    <row r="6707" spans="1:7" hidden="1" x14ac:dyDescent="0.25">
      <c r="A6707" s="21">
        <v>6706</v>
      </c>
      <c r="B6707" s="7" t="s">
        <v>14168</v>
      </c>
      <c r="C6707" s="7" t="s">
        <v>14169</v>
      </c>
      <c r="G6707" s="8" t="s">
        <v>15</v>
      </c>
    </row>
    <row r="6708" spans="1:7" hidden="1" x14ac:dyDescent="0.25">
      <c r="A6708" s="21">
        <v>6707</v>
      </c>
      <c r="B6708" s="7" t="s">
        <v>14170</v>
      </c>
      <c r="C6708" s="7" t="s">
        <v>14171</v>
      </c>
      <c r="G6708" s="8" t="s">
        <v>15</v>
      </c>
    </row>
    <row r="6709" spans="1:7" hidden="1" x14ac:dyDescent="0.25">
      <c r="A6709" s="21">
        <v>6708</v>
      </c>
      <c r="B6709" s="7" t="s">
        <v>14172</v>
      </c>
      <c r="C6709" s="7" t="s">
        <v>14173</v>
      </c>
      <c r="G6709" s="8" t="s">
        <v>15</v>
      </c>
    </row>
    <row r="6710" spans="1:7" hidden="1" x14ac:dyDescent="0.25">
      <c r="A6710" s="21">
        <v>6709</v>
      </c>
      <c r="B6710" s="7" t="s">
        <v>14174</v>
      </c>
      <c r="C6710" s="7" t="s">
        <v>14175</v>
      </c>
      <c r="G6710" s="8" t="s">
        <v>15</v>
      </c>
    </row>
    <row r="6711" spans="1:7" hidden="1" x14ac:dyDescent="0.25">
      <c r="A6711" s="21">
        <v>6710</v>
      </c>
      <c r="B6711" s="7" t="s">
        <v>14176</v>
      </c>
      <c r="C6711" s="7" t="s">
        <v>14177</v>
      </c>
      <c r="G6711" s="8" t="s">
        <v>15</v>
      </c>
    </row>
    <row r="6712" spans="1:7" hidden="1" x14ac:dyDescent="0.25">
      <c r="A6712" s="21">
        <v>6711</v>
      </c>
      <c r="B6712" s="7" t="s">
        <v>14178</v>
      </c>
      <c r="C6712" s="7" t="s">
        <v>14179</v>
      </c>
      <c r="G6712" s="8" t="s">
        <v>15</v>
      </c>
    </row>
    <row r="6713" spans="1:7" hidden="1" x14ac:dyDescent="0.25">
      <c r="A6713" s="21">
        <v>6712</v>
      </c>
      <c r="B6713" s="7" t="s">
        <v>14180</v>
      </c>
      <c r="C6713" s="7" t="s">
        <v>14181</v>
      </c>
      <c r="G6713" s="8" t="s">
        <v>15</v>
      </c>
    </row>
    <row r="6714" spans="1:7" hidden="1" x14ac:dyDescent="0.25">
      <c r="A6714" s="21">
        <v>6713</v>
      </c>
      <c r="B6714" s="7" t="s">
        <v>14182</v>
      </c>
      <c r="C6714" s="7" t="s">
        <v>14183</v>
      </c>
      <c r="G6714" s="8" t="s">
        <v>15</v>
      </c>
    </row>
    <row r="6715" spans="1:7" hidden="1" x14ac:dyDescent="0.25">
      <c r="A6715" s="21">
        <v>6714</v>
      </c>
      <c r="B6715" s="7" t="s">
        <v>14184</v>
      </c>
      <c r="C6715" s="7" t="s">
        <v>14185</v>
      </c>
      <c r="G6715" s="8" t="s">
        <v>15</v>
      </c>
    </row>
    <row r="6716" spans="1:7" hidden="1" x14ac:dyDescent="0.25">
      <c r="A6716" s="21">
        <v>6715</v>
      </c>
      <c r="B6716" s="7" t="s">
        <v>14186</v>
      </c>
      <c r="C6716" s="7" t="s">
        <v>14187</v>
      </c>
      <c r="G6716" s="8" t="s">
        <v>15</v>
      </c>
    </row>
    <row r="6717" spans="1:7" hidden="1" x14ac:dyDescent="0.25">
      <c r="A6717" s="21">
        <v>6716</v>
      </c>
      <c r="B6717" s="7" t="s">
        <v>14188</v>
      </c>
      <c r="C6717" s="7" t="s">
        <v>14189</v>
      </c>
      <c r="G6717" s="8" t="s">
        <v>15</v>
      </c>
    </row>
    <row r="6718" spans="1:7" hidden="1" x14ac:dyDescent="0.25">
      <c r="A6718" s="21">
        <v>6717</v>
      </c>
      <c r="B6718" s="7" t="s">
        <v>14190</v>
      </c>
      <c r="C6718" s="7" t="s">
        <v>14191</v>
      </c>
      <c r="G6718" s="8" t="s">
        <v>15</v>
      </c>
    </row>
    <row r="6719" spans="1:7" hidden="1" x14ac:dyDescent="0.25">
      <c r="A6719" s="21">
        <v>6718</v>
      </c>
      <c r="B6719" s="7" t="s">
        <v>14192</v>
      </c>
      <c r="C6719" s="7" t="s">
        <v>14193</v>
      </c>
      <c r="G6719" s="8" t="s">
        <v>15</v>
      </c>
    </row>
    <row r="6720" spans="1:7" hidden="1" x14ac:dyDescent="0.25">
      <c r="A6720" s="21">
        <v>6719</v>
      </c>
      <c r="B6720" s="7" t="s">
        <v>14194</v>
      </c>
      <c r="C6720" s="7" t="s">
        <v>14195</v>
      </c>
      <c r="G6720" s="8" t="s">
        <v>15</v>
      </c>
    </row>
    <row r="6721" spans="1:7" hidden="1" x14ac:dyDescent="0.25">
      <c r="A6721" s="21">
        <v>6720</v>
      </c>
      <c r="B6721" s="7" t="s">
        <v>14196</v>
      </c>
      <c r="C6721" s="7" t="s">
        <v>14197</v>
      </c>
      <c r="G6721" s="8" t="s">
        <v>15</v>
      </c>
    </row>
    <row r="6722" spans="1:7" hidden="1" x14ac:dyDescent="0.25">
      <c r="A6722" s="21">
        <v>6721</v>
      </c>
      <c r="B6722" s="7" t="s">
        <v>14198</v>
      </c>
      <c r="C6722" s="7" t="s">
        <v>14199</v>
      </c>
      <c r="G6722" s="8" t="s">
        <v>15</v>
      </c>
    </row>
    <row r="6723" spans="1:7" hidden="1" x14ac:dyDescent="0.25">
      <c r="A6723" s="21">
        <v>6722</v>
      </c>
      <c r="B6723" s="7" t="s">
        <v>14200</v>
      </c>
      <c r="C6723" s="7" t="s">
        <v>14201</v>
      </c>
      <c r="G6723" s="8" t="s">
        <v>15</v>
      </c>
    </row>
    <row r="6724" spans="1:7" hidden="1" x14ac:dyDescent="0.25">
      <c r="A6724" s="21">
        <v>6723</v>
      </c>
      <c r="B6724" s="7" t="s">
        <v>14202</v>
      </c>
      <c r="C6724" s="7" t="s">
        <v>14203</v>
      </c>
      <c r="G6724" s="8" t="s">
        <v>15</v>
      </c>
    </row>
    <row r="6725" spans="1:7" hidden="1" x14ac:dyDescent="0.25">
      <c r="A6725" s="21">
        <v>6724</v>
      </c>
      <c r="B6725" s="7" t="s">
        <v>14204</v>
      </c>
      <c r="C6725" s="7" t="s">
        <v>14205</v>
      </c>
      <c r="G6725" s="8" t="s">
        <v>15</v>
      </c>
    </row>
    <row r="6726" spans="1:7" hidden="1" x14ac:dyDescent="0.25">
      <c r="A6726" s="21">
        <v>6725</v>
      </c>
      <c r="B6726" s="7" t="s">
        <v>14206</v>
      </c>
      <c r="C6726" s="7" t="s">
        <v>14207</v>
      </c>
      <c r="G6726" s="8" t="s">
        <v>15</v>
      </c>
    </row>
    <row r="6727" spans="1:7" hidden="1" x14ac:dyDescent="0.25">
      <c r="A6727" s="21">
        <v>6726</v>
      </c>
      <c r="B6727" s="7" t="s">
        <v>14208</v>
      </c>
      <c r="C6727" s="7" t="s">
        <v>14209</v>
      </c>
      <c r="F6727" s="8" t="s">
        <v>1254</v>
      </c>
      <c r="G6727" s="8" t="s">
        <v>15</v>
      </c>
    </row>
    <row r="6728" spans="1:7" hidden="1" x14ac:dyDescent="0.25">
      <c r="A6728" s="21">
        <v>6727</v>
      </c>
      <c r="B6728" s="7" t="s">
        <v>14210</v>
      </c>
      <c r="C6728" s="7" t="s">
        <v>14211</v>
      </c>
      <c r="G6728" s="8" t="s">
        <v>15</v>
      </c>
    </row>
    <row r="6729" spans="1:7" hidden="1" x14ac:dyDescent="0.25">
      <c r="A6729" s="21">
        <v>6728</v>
      </c>
      <c r="B6729" s="7" t="s">
        <v>14212</v>
      </c>
      <c r="C6729" s="7" t="s">
        <v>14213</v>
      </c>
      <c r="G6729" s="8" t="s">
        <v>15</v>
      </c>
    </row>
    <row r="6730" spans="1:7" hidden="1" x14ac:dyDescent="0.25">
      <c r="A6730" s="21">
        <v>6729</v>
      </c>
      <c r="B6730" s="7" t="s">
        <v>14214</v>
      </c>
      <c r="C6730" s="7" t="s">
        <v>14215</v>
      </c>
      <c r="G6730" s="8" t="s">
        <v>15</v>
      </c>
    </row>
    <row r="6731" spans="1:7" hidden="1" x14ac:dyDescent="0.25">
      <c r="A6731" s="21">
        <v>6730</v>
      </c>
      <c r="B6731" s="7" t="s">
        <v>14216</v>
      </c>
      <c r="C6731" s="7" t="s">
        <v>14217</v>
      </c>
      <c r="G6731" s="8" t="s">
        <v>15</v>
      </c>
    </row>
    <row r="6732" spans="1:7" hidden="1" x14ac:dyDescent="0.25">
      <c r="A6732" s="21">
        <v>6731</v>
      </c>
      <c r="B6732" s="7" t="s">
        <v>14218</v>
      </c>
      <c r="C6732" s="7" t="s">
        <v>14219</v>
      </c>
      <c r="G6732" s="8" t="s">
        <v>15</v>
      </c>
    </row>
    <row r="6733" spans="1:7" hidden="1" x14ac:dyDescent="0.25">
      <c r="A6733" s="21">
        <v>6732</v>
      </c>
      <c r="B6733" s="7" t="s">
        <v>14220</v>
      </c>
      <c r="C6733" s="7" t="s">
        <v>14221</v>
      </c>
      <c r="G6733" s="8" t="s">
        <v>15</v>
      </c>
    </row>
    <row r="6734" spans="1:7" hidden="1" x14ac:dyDescent="0.25">
      <c r="A6734" s="21">
        <v>6733</v>
      </c>
      <c r="B6734" s="7" t="s">
        <v>14222</v>
      </c>
      <c r="C6734" s="7" t="s">
        <v>14223</v>
      </c>
      <c r="G6734" s="8" t="s">
        <v>15</v>
      </c>
    </row>
    <row r="6735" spans="1:7" hidden="1" x14ac:dyDescent="0.25">
      <c r="A6735" s="21">
        <v>6734</v>
      </c>
      <c r="B6735" s="7" t="s">
        <v>14224</v>
      </c>
      <c r="C6735" s="7" t="s">
        <v>14225</v>
      </c>
      <c r="G6735" s="8" t="s">
        <v>15</v>
      </c>
    </row>
    <row r="6736" spans="1:7" hidden="1" x14ac:dyDescent="0.25">
      <c r="A6736" s="21">
        <v>6735</v>
      </c>
      <c r="B6736" s="7" t="s">
        <v>14226</v>
      </c>
      <c r="C6736" s="7" t="s">
        <v>14227</v>
      </c>
      <c r="G6736" s="8" t="s">
        <v>15</v>
      </c>
    </row>
    <row r="6737" spans="1:7" hidden="1" x14ac:dyDescent="0.25">
      <c r="A6737" s="21">
        <v>6736</v>
      </c>
      <c r="B6737" s="7" t="s">
        <v>14228</v>
      </c>
      <c r="C6737" s="7" t="s">
        <v>14229</v>
      </c>
      <c r="G6737" s="8" t="s">
        <v>15</v>
      </c>
    </row>
    <row r="6738" spans="1:7" hidden="1" x14ac:dyDescent="0.25">
      <c r="A6738" s="21">
        <v>6737</v>
      </c>
      <c r="B6738" s="7" t="s">
        <v>14230</v>
      </c>
      <c r="C6738" s="7" t="s">
        <v>14231</v>
      </c>
      <c r="G6738" s="8" t="s">
        <v>15</v>
      </c>
    </row>
    <row r="6739" spans="1:7" hidden="1" x14ac:dyDescent="0.25">
      <c r="A6739" s="21">
        <v>6738</v>
      </c>
      <c r="B6739" s="7" t="s">
        <v>14232</v>
      </c>
      <c r="C6739" s="7" t="s">
        <v>14233</v>
      </c>
      <c r="G6739" s="8" t="s">
        <v>15</v>
      </c>
    </row>
    <row r="6740" spans="1:7" hidden="1" x14ac:dyDescent="0.25">
      <c r="A6740" s="21">
        <v>6739</v>
      </c>
      <c r="B6740" s="7" t="s">
        <v>14234</v>
      </c>
      <c r="C6740" s="7" t="s">
        <v>14235</v>
      </c>
      <c r="G6740" s="8" t="s">
        <v>15</v>
      </c>
    </row>
    <row r="6741" spans="1:7" hidden="1" x14ac:dyDescent="0.25">
      <c r="A6741" s="21">
        <v>6740</v>
      </c>
      <c r="B6741" s="7" t="s">
        <v>14236</v>
      </c>
      <c r="C6741" s="7" t="s">
        <v>14237</v>
      </c>
      <c r="G6741" s="8" t="s">
        <v>15</v>
      </c>
    </row>
    <row r="6742" spans="1:7" hidden="1" x14ac:dyDescent="0.25">
      <c r="A6742" s="21">
        <v>6741</v>
      </c>
      <c r="B6742" s="7" t="s">
        <v>14238</v>
      </c>
      <c r="C6742" s="7" t="s">
        <v>14239</v>
      </c>
      <c r="G6742" s="8" t="s">
        <v>15</v>
      </c>
    </row>
    <row r="6743" spans="1:7" hidden="1" x14ac:dyDescent="0.25">
      <c r="A6743" s="21">
        <v>6742</v>
      </c>
      <c r="B6743" s="7" t="s">
        <v>14240</v>
      </c>
      <c r="C6743" s="7" t="s">
        <v>14241</v>
      </c>
      <c r="G6743" s="8" t="s">
        <v>15</v>
      </c>
    </row>
    <row r="6744" spans="1:7" hidden="1" x14ac:dyDescent="0.25">
      <c r="A6744" s="21">
        <v>6743</v>
      </c>
      <c r="B6744" s="7" t="s">
        <v>14242</v>
      </c>
      <c r="C6744" s="7" t="s">
        <v>14243</v>
      </c>
      <c r="G6744" s="8" t="s">
        <v>15</v>
      </c>
    </row>
    <row r="6745" spans="1:7" hidden="1" x14ac:dyDescent="0.25">
      <c r="A6745" s="21">
        <v>6744</v>
      </c>
      <c r="B6745" s="7" t="s">
        <v>14244</v>
      </c>
      <c r="C6745" s="7" t="s">
        <v>14245</v>
      </c>
      <c r="G6745" s="8" t="s">
        <v>15</v>
      </c>
    </row>
    <row r="6746" spans="1:7" hidden="1" x14ac:dyDescent="0.25">
      <c r="A6746" s="21">
        <v>6745</v>
      </c>
      <c r="B6746" s="7" t="s">
        <v>14246</v>
      </c>
      <c r="C6746" s="7" t="s">
        <v>14247</v>
      </c>
      <c r="G6746" s="8" t="s">
        <v>15</v>
      </c>
    </row>
    <row r="6747" spans="1:7" hidden="1" x14ac:dyDescent="0.25">
      <c r="A6747" s="21">
        <v>6746</v>
      </c>
      <c r="B6747" s="7" t="s">
        <v>14248</v>
      </c>
      <c r="C6747" s="7" t="s">
        <v>14249</v>
      </c>
      <c r="G6747" s="8" t="s">
        <v>15</v>
      </c>
    </row>
    <row r="6748" spans="1:7" hidden="1" x14ac:dyDescent="0.25">
      <c r="A6748" s="21">
        <v>6747</v>
      </c>
      <c r="B6748" s="7" t="s">
        <v>14250</v>
      </c>
      <c r="C6748" s="7" t="s">
        <v>14251</v>
      </c>
      <c r="G6748" s="8" t="s">
        <v>15</v>
      </c>
    </row>
    <row r="6749" spans="1:7" hidden="1" x14ac:dyDescent="0.25">
      <c r="A6749" s="21">
        <v>6748</v>
      </c>
      <c r="B6749" s="7" t="s">
        <v>14252</v>
      </c>
      <c r="C6749" s="7" t="s">
        <v>14253</v>
      </c>
      <c r="G6749" s="8" t="s">
        <v>15</v>
      </c>
    </row>
    <row r="6750" spans="1:7" hidden="1" x14ac:dyDescent="0.25">
      <c r="A6750" s="21">
        <v>6749</v>
      </c>
      <c r="B6750" s="7" t="s">
        <v>14254</v>
      </c>
      <c r="C6750" s="7" t="s">
        <v>14255</v>
      </c>
      <c r="G6750" s="8" t="s">
        <v>15</v>
      </c>
    </row>
    <row r="6751" spans="1:7" hidden="1" x14ac:dyDescent="0.25">
      <c r="A6751" s="21">
        <v>6750</v>
      </c>
      <c r="B6751" s="7" t="s">
        <v>14256</v>
      </c>
      <c r="C6751" s="7" t="s">
        <v>14257</v>
      </c>
      <c r="G6751" s="8" t="s">
        <v>15</v>
      </c>
    </row>
    <row r="6752" spans="1:7" hidden="1" x14ac:dyDescent="0.25">
      <c r="A6752" s="21">
        <v>6751</v>
      </c>
      <c r="B6752" s="7" t="s">
        <v>14258</v>
      </c>
      <c r="C6752" s="7" t="s">
        <v>14259</v>
      </c>
      <c r="G6752" s="8" t="s">
        <v>15</v>
      </c>
    </row>
    <row r="6753" spans="1:7" hidden="1" x14ac:dyDescent="0.25">
      <c r="A6753" s="21">
        <v>6752</v>
      </c>
      <c r="B6753" s="7" t="s">
        <v>14260</v>
      </c>
      <c r="C6753" s="7" t="s">
        <v>14261</v>
      </c>
      <c r="G6753" s="8" t="s">
        <v>15</v>
      </c>
    </row>
    <row r="6754" spans="1:7" hidden="1" x14ac:dyDescent="0.25">
      <c r="A6754" s="21">
        <v>6753</v>
      </c>
      <c r="B6754" s="7" t="s">
        <v>14262</v>
      </c>
      <c r="C6754" s="7" t="s">
        <v>14263</v>
      </c>
      <c r="G6754" s="8" t="s">
        <v>15</v>
      </c>
    </row>
    <row r="6755" spans="1:7" hidden="1" x14ac:dyDescent="0.25">
      <c r="A6755" s="21">
        <v>6754</v>
      </c>
      <c r="B6755" s="7" t="s">
        <v>14264</v>
      </c>
      <c r="C6755" s="7" t="s">
        <v>14265</v>
      </c>
      <c r="G6755" s="8" t="s">
        <v>15</v>
      </c>
    </row>
    <row r="6756" spans="1:7" hidden="1" x14ac:dyDescent="0.25">
      <c r="A6756" s="21">
        <v>6755</v>
      </c>
      <c r="B6756" s="7" t="s">
        <v>14266</v>
      </c>
      <c r="C6756" s="7" t="s">
        <v>14267</v>
      </c>
      <c r="G6756" s="8" t="s">
        <v>15</v>
      </c>
    </row>
    <row r="6757" spans="1:7" hidden="1" x14ac:dyDescent="0.25">
      <c r="A6757" s="21">
        <v>6756</v>
      </c>
      <c r="B6757" s="7" t="s">
        <v>14268</v>
      </c>
      <c r="C6757" s="7" t="s">
        <v>14269</v>
      </c>
      <c r="G6757" s="8" t="s">
        <v>15</v>
      </c>
    </row>
    <row r="6758" spans="1:7" hidden="1" x14ac:dyDescent="0.25">
      <c r="A6758" s="21">
        <v>6757</v>
      </c>
      <c r="B6758" s="7" t="s">
        <v>14270</v>
      </c>
      <c r="C6758" s="7" t="s">
        <v>14271</v>
      </c>
      <c r="G6758" s="8" t="s">
        <v>15</v>
      </c>
    </row>
    <row r="6759" spans="1:7" hidden="1" x14ac:dyDescent="0.25">
      <c r="A6759" s="21">
        <v>6758</v>
      </c>
      <c r="B6759" s="7" t="s">
        <v>14272</v>
      </c>
      <c r="C6759" s="7" t="s">
        <v>14273</v>
      </c>
      <c r="G6759" s="8" t="s">
        <v>15</v>
      </c>
    </row>
    <row r="6760" spans="1:7" hidden="1" x14ac:dyDescent="0.25">
      <c r="A6760" s="21">
        <v>6759</v>
      </c>
      <c r="B6760" s="7" t="s">
        <v>14274</v>
      </c>
      <c r="C6760" s="7" t="s">
        <v>14275</v>
      </c>
      <c r="G6760" s="8" t="s">
        <v>15</v>
      </c>
    </row>
    <row r="6761" spans="1:7" hidden="1" x14ac:dyDescent="0.25">
      <c r="A6761" s="21">
        <v>6760</v>
      </c>
      <c r="B6761" s="7" t="s">
        <v>14276</v>
      </c>
      <c r="C6761" s="7" t="s">
        <v>14277</v>
      </c>
      <c r="G6761" s="8" t="s">
        <v>15</v>
      </c>
    </row>
    <row r="6762" spans="1:7" hidden="1" x14ac:dyDescent="0.25">
      <c r="A6762" s="21">
        <v>6761</v>
      </c>
      <c r="B6762" s="7" t="s">
        <v>14278</v>
      </c>
      <c r="C6762" s="7" t="s">
        <v>14279</v>
      </c>
      <c r="G6762" s="8" t="s">
        <v>15</v>
      </c>
    </row>
    <row r="6763" spans="1:7" hidden="1" x14ac:dyDescent="0.25">
      <c r="A6763" s="21">
        <v>6762</v>
      </c>
      <c r="B6763" s="7" t="s">
        <v>14280</v>
      </c>
      <c r="C6763" s="7" t="s">
        <v>14281</v>
      </c>
      <c r="G6763" s="8" t="s">
        <v>15</v>
      </c>
    </row>
    <row r="6764" spans="1:7" hidden="1" x14ac:dyDescent="0.25">
      <c r="A6764" s="21">
        <v>6763</v>
      </c>
      <c r="B6764" s="7" t="s">
        <v>14282</v>
      </c>
      <c r="C6764" s="7" t="s">
        <v>14283</v>
      </c>
      <c r="G6764" s="8" t="s">
        <v>15</v>
      </c>
    </row>
    <row r="6765" spans="1:7" hidden="1" x14ac:dyDescent="0.25">
      <c r="A6765" s="21">
        <v>6764</v>
      </c>
      <c r="B6765" s="7" t="s">
        <v>14284</v>
      </c>
      <c r="C6765" s="7" t="s">
        <v>14285</v>
      </c>
      <c r="G6765" s="8" t="s">
        <v>15</v>
      </c>
    </row>
    <row r="6766" spans="1:7" hidden="1" x14ac:dyDescent="0.25">
      <c r="A6766" s="21">
        <v>6765</v>
      </c>
      <c r="B6766" s="7" t="s">
        <v>14286</v>
      </c>
      <c r="C6766" s="7" t="s">
        <v>14287</v>
      </c>
      <c r="G6766" s="8" t="s">
        <v>15</v>
      </c>
    </row>
    <row r="6767" spans="1:7" hidden="1" x14ac:dyDescent="0.25">
      <c r="A6767" s="21">
        <v>6766</v>
      </c>
      <c r="B6767" s="7" t="s">
        <v>14288</v>
      </c>
      <c r="C6767" s="7" t="s">
        <v>14289</v>
      </c>
      <c r="F6767" s="8" t="s">
        <v>1150</v>
      </c>
      <c r="G6767" s="8" t="s">
        <v>15</v>
      </c>
    </row>
    <row r="6768" spans="1:7" hidden="1" x14ac:dyDescent="0.25">
      <c r="A6768" s="21">
        <v>6767</v>
      </c>
      <c r="B6768" s="7" t="s">
        <v>14290</v>
      </c>
      <c r="C6768" s="7" t="s">
        <v>14291</v>
      </c>
      <c r="F6768" t="s">
        <v>19593</v>
      </c>
      <c r="G6768" s="8" t="s">
        <v>15</v>
      </c>
    </row>
    <row r="6769" spans="1:7" hidden="1" x14ac:dyDescent="0.25">
      <c r="A6769" s="21">
        <v>6768</v>
      </c>
      <c r="B6769" s="7" t="s">
        <v>14292</v>
      </c>
      <c r="C6769" s="7" t="s">
        <v>14293</v>
      </c>
      <c r="G6769" s="8" t="s">
        <v>15</v>
      </c>
    </row>
    <row r="6770" spans="1:7" hidden="1" x14ac:dyDescent="0.25">
      <c r="A6770" s="21">
        <v>6769</v>
      </c>
      <c r="B6770" s="7" t="s">
        <v>14294</v>
      </c>
      <c r="C6770" s="7" t="s">
        <v>14295</v>
      </c>
      <c r="G6770" s="8" t="s">
        <v>15</v>
      </c>
    </row>
    <row r="6771" spans="1:7" hidden="1" x14ac:dyDescent="0.25">
      <c r="A6771" s="21">
        <v>6770</v>
      </c>
      <c r="B6771" s="7" t="s">
        <v>14296</v>
      </c>
      <c r="C6771" s="7" t="s">
        <v>14297</v>
      </c>
      <c r="G6771" s="8" t="s">
        <v>15</v>
      </c>
    </row>
    <row r="6772" spans="1:7" hidden="1" x14ac:dyDescent="0.25">
      <c r="A6772" s="21">
        <v>6771</v>
      </c>
      <c r="B6772" s="7" t="s">
        <v>14298</v>
      </c>
      <c r="C6772" s="7" t="s">
        <v>14299</v>
      </c>
      <c r="G6772" s="8" t="s">
        <v>15</v>
      </c>
    </row>
    <row r="6773" spans="1:7" hidden="1" x14ac:dyDescent="0.25">
      <c r="A6773" s="21">
        <v>6772</v>
      </c>
      <c r="B6773" s="7" t="s">
        <v>14300</v>
      </c>
      <c r="C6773" s="7" t="s">
        <v>14301</v>
      </c>
      <c r="G6773" s="8" t="s">
        <v>15</v>
      </c>
    </row>
    <row r="6774" spans="1:7" hidden="1" x14ac:dyDescent="0.25">
      <c r="A6774" s="21">
        <v>6773</v>
      </c>
      <c r="B6774" s="7" t="s">
        <v>14302</v>
      </c>
      <c r="C6774" s="7" t="s">
        <v>14303</v>
      </c>
      <c r="G6774" s="8" t="s">
        <v>15</v>
      </c>
    </row>
    <row r="6775" spans="1:7" hidden="1" x14ac:dyDescent="0.25">
      <c r="A6775" s="21">
        <v>6774</v>
      </c>
      <c r="B6775" s="7" t="s">
        <v>14304</v>
      </c>
      <c r="C6775" s="7" t="s">
        <v>14305</v>
      </c>
      <c r="G6775" s="8" t="s">
        <v>15</v>
      </c>
    </row>
    <row r="6776" spans="1:7" hidden="1" x14ac:dyDescent="0.25">
      <c r="A6776" s="21">
        <v>6775</v>
      </c>
      <c r="B6776" s="7" t="s">
        <v>14306</v>
      </c>
      <c r="C6776" s="7" t="s">
        <v>14307</v>
      </c>
      <c r="G6776" s="8" t="s">
        <v>15</v>
      </c>
    </row>
    <row r="6777" spans="1:7" hidden="1" x14ac:dyDescent="0.25">
      <c r="A6777" s="21">
        <v>6776</v>
      </c>
      <c r="B6777" s="7" t="s">
        <v>14308</v>
      </c>
      <c r="C6777" s="7" t="s">
        <v>14309</v>
      </c>
      <c r="G6777" s="8" t="s">
        <v>15</v>
      </c>
    </row>
    <row r="6778" spans="1:7" hidden="1" x14ac:dyDescent="0.25">
      <c r="A6778" s="21">
        <v>6777</v>
      </c>
      <c r="B6778" s="7" t="s">
        <v>14310</v>
      </c>
      <c r="C6778" s="7" t="s">
        <v>14311</v>
      </c>
      <c r="G6778" s="8" t="s">
        <v>15</v>
      </c>
    </row>
    <row r="6779" spans="1:7" hidden="1" x14ac:dyDescent="0.25">
      <c r="A6779" s="21">
        <v>6778</v>
      </c>
      <c r="B6779" s="7" t="s">
        <v>14312</v>
      </c>
      <c r="C6779" s="7" t="s">
        <v>14313</v>
      </c>
      <c r="G6779" s="8" t="s">
        <v>15</v>
      </c>
    </row>
    <row r="6780" spans="1:7" hidden="1" x14ac:dyDescent="0.25">
      <c r="A6780" s="21">
        <v>6779</v>
      </c>
      <c r="B6780" s="7" t="s">
        <v>14314</v>
      </c>
      <c r="C6780" s="7" t="s">
        <v>14315</v>
      </c>
      <c r="G6780" s="8" t="s">
        <v>15</v>
      </c>
    </row>
    <row r="6781" spans="1:7" hidden="1" x14ac:dyDescent="0.25">
      <c r="A6781" s="21">
        <v>6780</v>
      </c>
      <c r="B6781" s="7" t="s">
        <v>14316</v>
      </c>
      <c r="C6781" s="7" t="s">
        <v>14317</v>
      </c>
      <c r="G6781" s="8" t="s">
        <v>15</v>
      </c>
    </row>
    <row r="6782" spans="1:7" hidden="1" x14ac:dyDescent="0.25">
      <c r="A6782" s="21">
        <v>6781</v>
      </c>
      <c r="B6782" s="7" t="s">
        <v>14318</v>
      </c>
      <c r="C6782" s="7" t="s">
        <v>14319</v>
      </c>
      <c r="G6782" s="8" t="s">
        <v>15</v>
      </c>
    </row>
    <row r="6783" spans="1:7" hidden="1" x14ac:dyDescent="0.25">
      <c r="A6783" s="21">
        <v>6782</v>
      </c>
      <c r="B6783" s="7" t="s">
        <v>14320</v>
      </c>
      <c r="C6783" s="7" t="s">
        <v>14321</v>
      </c>
      <c r="F6783" t="s">
        <v>922</v>
      </c>
      <c r="G6783" s="8" t="s">
        <v>15</v>
      </c>
    </row>
    <row r="6784" spans="1:7" hidden="1" x14ac:dyDescent="0.25">
      <c r="A6784" s="21">
        <v>6783</v>
      </c>
      <c r="B6784" s="7" t="s">
        <v>14322</v>
      </c>
      <c r="C6784" s="7" t="s">
        <v>14323</v>
      </c>
      <c r="G6784" s="8" t="s">
        <v>15</v>
      </c>
    </row>
    <row r="6785" spans="1:7" hidden="1" x14ac:dyDescent="0.25">
      <c r="A6785" s="21">
        <v>6784</v>
      </c>
      <c r="B6785" s="7" t="s">
        <v>14324</v>
      </c>
      <c r="C6785" s="7" t="s">
        <v>14325</v>
      </c>
      <c r="G6785" s="8" t="s">
        <v>15</v>
      </c>
    </row>
    <row r="6786" spans="1:7" hidden="1" x14ac:dyDescent="0.25">
      <c r="A6786" s="21">
        <v>6785</v>
      </c>
      <c r="B6786" s="7" t="s">
        <v>14326</v>
      </c>
      <c r="C6786" s="7" t="s">
        <v>14327</v>
      </c>
      <c r="G6786" s="8" t="s">
        <v>15</v>
      </c>
    </row>
    <row r="6787" spans="1:7" hidden="1" x14ac:dyDescent="0.25">
      <c r="A6787" s="21">
        <v>6786</v>
      </c>
      <c r="B6787" s="7" t="s">
        <v>14328</v>
      </c>
      <c r="C6787" s="7" t="s">
        <v>14329</v>
      </c>
      <c r="G6787" s="8" t="s">
        <v>15</v>
      </c>
    </row>
    <row r="6788" spans="1:7" hidden="1" x14ac:dyDescent="0.25">
      <c r="A6788" s="21">
        <v>6787</v>
      </c>
      <c r="B6788" s="7" t="s">
        <v>14330</v>
      </c>
      <c r="C6788" s="7" t="s">
        <v>14331</v>
      </c>
      <c r="G6788" s="8" t="s">
        <v>15</v>
      </c>
    </row>
    <row r="6789" spans="1:7" hidden="1" x14ac:dyDescent="0.25">
      <c r="A6789" s="21">
        <v>6788</v>
      </c>
      <c r="B6789" s="7" t="s">
        <v>14332</v>
      </c>
      <c r="C6789" s="7" t="s">
        <v>14333</v>
      </c>
      <c r="G6789" s="8" t="s">
        <v>15</v>
      </c>
    </row>
    <row r="6790" spans="1:7" hidden="1" x14ac:dyDescent="0.25">
      <c r="A6790" s="21">
        <v>6789</v>
      </c>
      <c r="B6790" s="7" t="s">
        <v>14334</v>
      </c>
      <c r="C6790" s="7" t="s">
        <v>14335</v>
      </c>
      <c r="G6790" s="8" t="s">
        <v>15</v>
      </c>
    </row>
    <row r="6791" spans="1:7" hidden="1" x14ac:dyDescent="0.25">
      <c r="A6791" s="21">
        <v>6790</v>
      </c>
      <c r="B6791" s="7" t="s">
        <v>14336</v>
      </c>
      <c r="C6791" s="7" t="s">
        <v>14337</v>
      </c>
      <c r="G6791" s="8" t="s">
        <v>15</v>
      </c>
    </row>
    <row r="6792" spans="1:7" hidden="1" x14ac:dyDescent="0.25">
      <c r="A6792" s="21">
        <v>6791</v>
      </c>
      <c r="B6792" s="7" t="s">
        <v>14338</v>
      </c>
      <c r="C6792" s="7" t="s">
        <v>14339</v>
      </c>
      <c r="G6792" s="8" t="s">
        <v>15</v>
      </c>
    </row>
    <row r="6793" spans="1:7" hidden="1" x14ac:dyDescent="0.25">
      <c r="A6793" s="21">
        <v>6792</v>
      </c>
      <c r="B6793" s="7" t="s">
        <v>14340</v>
      </c>
      <c r="C6793" s="7" t="s">
        <v>14341</v>
      </c>
      <c r="G6793" s="8" t="s">
        <v>15</v>
      </c>
    </row>
    <row r="6794" spans="1:7" hidden="1" x14ac:dyDescent="0.25">
      <c r="A6794" s="21">
        <v>6793</v>
      </c>
      <c r="B6794" s="7" t="s">
        <v>14342</v>
      </c>
      <c r="C6794" s="7" t="s">
        <v>14343</v>
      </c>
      <c r="G6794" s="8" t="s">
        <v>15</v>
      </c>
    </row>
    <row r="6795" spans="1:7" hidden="1" x14ac:dyDescent="0.25">
      <c r="A6795" s="21">
        <v>6794</v>
      </c>
      <c r="B6795" s="7" t="s">
        <v>14344</v>
      </c>
      <c r="C6795" s="7" t="s">
        <v>14345</v>
      </c>
      <c r="G6795" s="8" t="s">
        <v>15</v>
      </c>
    </row>
    <row r="6796" spans="1:7" hidden="1" x14ac:dyDescent="0.25">
      <c r="A6796" s="21">
        <v>6795</v>
      </c>
      <c r="B6796" s="7" t="s">
        <v>14346</v>
      </c>
      <c r="C6796" s="7" t="s">
        <v>14347</v>
      </c>
      <c r="G6796" s="8" t="s">
        <v>15</v>
      </c>
    </row>
    <row r="6797" spans="1:7" hidden="1" x14ac:dyDescent="0.25">
      <c r="A6797" s="21">
        <v>6796</v>
      </c>
      <c r="B6797" s="7" t="s">
        <v>14348</v>
      </c>
      <c r="C6797" s="7" t="s">
        <v>14349</v>
      </c>
      <c r="G6797" s="8" t="s">
        <v>15</v>
      </c>
    </row>
    <row r="6798" spans="1:7" hidden="1" x14ac:dyDescent="0.25">
      <c r="A6798" s="21">
        <v>6797</v>
      </c>
      <c r="B6798" s="7" t="s">
        <v>14350</v>
      </c>
      <c r="C6798" s="7" t="s">
        <v>14351</v>
      </c>
      <c r="G6798" s="8" t="s">
        <v>15</v>
      </c>
    </row>
    <row r="6799" spans="1:7" hidden="1" x14ac:dyDescent="0.25">
      <c r="A6799" s="21">
        <v>6798</v>
      </c>
      <c r="B6799" s="7" t="s">
        <v>14352</v>
      </c>
      <c r="C6799" s="7" t="s">
        <v>14353</v>
      </c>
      <c r="G6799" s="8" t="s">
        <v>15</v>
      </c>
    </row>
    <row r="6800" spans="1:7" hidden="1" x14ac:dyDescent="0.25">
      <c r="A6800" s="21">
        <v>6799</v>
      </c>
      <c r="B6800" s="7" t="s">
        <v>14354</v>
      </c>
      <c r="C6800" s="7" t="s">
        <v>14355</v>
      </c>
      <c r="G6800" s="8" t="s">
        <v>15</v>
      </c>
    </row>
    <row r="6801" spans="1:7" hidden="1" x14ac:dyDescent="0.25">
      <c r="A6801" s="21">
        <v>6800</v>
      </c>
      <c r="B6801" s="7" t="s">
        <v>14356</v>
      </c>
      <c r="C6801" s="7" t="s">
        <v>14357</v>
      </c>
      <c r="G6801" s="8" t="s">
        <v>15</v>
      </c>
    </row>
    <row r="6802" spans="1:7" hidden="1" x14ac:dyDescent="0.25">
      <c r="A6802" s="21">
        <v>6801</v>
      </c>
      <c r="B6802" s="7" t="s">
        <v>14358</v>
      </c>
      <c r="C6802" s="7" t="s">
        <v>14359</v>
      </c>
      <c r="G6802" s="8" t="s">
        <v>15</v>
      </c>
    </row>
    <row r="6803" spans="1:7" hidden="1" x14ac:dyDescent="0.25">
      <c r="A6803" s="21">
        <v>6802</v>
      </c>
      <c r="B6803" s="7" t="s">
        <v>14360</v>
      </c>
      <c r="C6803" s="7" t="s">
        <v>14361</v>
      </c>
      <c r="G6803" s="8" t="s">
        <v>15</v>
      </c>
    </row>
    <row r="6804" spans="1:7" hidden="1" x14ac:dyDescent="0.25">
      <c r="A6804" s="21">
        <v>6803</v>
      </c>
      <c r="B6804" s="7" t="s">
        <v>14362</v>
      </c>
      <c r="C6804" s="7" t="s">
        <v>14363</v>
      </c>
      <c r="G6804" s="8" t="s">
        <v>15</v>
      </c>
    </row>
    <row r="6805" spans="1:7" hidden="1" x14ac:dyDescent="0.25">
      <c r="A6805" s="21">
        <v>6804</v>
      </c>
      <c r="B6805" s="7" t="s">
        <v>14364</v>
      </c>
      <c r="C6805" s="7" t="s">
        <v>14365</v>
      </c>
      <c r="G6805" s="8" t="s">
        <v>15</v>
      </c>
    </row>
    <row r="6806" spans="1:7" hidden="1" x14ac:dyDescent="0.25">
      <c r="A6806" s="21">
        <v>6805</v>
      </c>
      <c r="B6806" s="7" t="s">
        <v>14366</v>
      </c>
      <c r="C6806" s="7" t="s">
        <v>14367</v>
      </c>
      <c r="G6806" s="8" t="s">
        <v>15</v>
      </c>
    </row>
    <row r="6807" spans="1:7" hidden="1" x14ac:dyDescent="0.25">
      <c r="A6807" s="21">
        <v>6806</v>
      </c>
      <c r="B6807" s="7" t="s">
        <v>14368</v>
      </c>
      <c r="C6807" s="7" t="s">
        <v>14369</v>
      </c>
      <c r="G6807" s="8" t="s">
        <v>15</v>
      </c>
    </row>
    <row r="6808" spans="1:7" hidden="1" x14ac:dyDescent="0.25">
      <c r="A6808" s="21">
        <v>6807</v>
      </c>
      <c r="B6808" s="7" t="s">
        <v>14370</v>
      </c>
      <c r="C6808" s="7" t="s">
        <v>14371</v>
      </c>
      <c r="G6808" s="8" t="s">
        <v>15</v>
      </c>
    </row>
    <row r="6809" spans="1:7" hidden="1" x14ac:dyDescent="0.25">
      <c r="A6809" s="21">
        <v>6808</v>
      </c>
      <c r="B6809" s="7" t="s">
        <v>14372</v>
      </c>
      <c r="C6809" s="7" t="s">
        <v>14373</v>
      </c>
      <c r="G6809" s="8" t="s">
        <v>15</v>
      </c>
    </row>
    <row r="6810" spans="1:7" hidden="1" x14ac:dyDescent="0.25">
      <c r="A6810" s="21">
        <v>6809</v>
      </c>
      <c r="B6810" s="7" t="s">
        <v>14374</v>
      </c>
      <c r="C6810" s="7" t="s">
        <v>14375</v>
      </c>
      <c r="G6810" s="8" t="s">
        <v>15</v>
      </c>
    </row>
    <row r="6811" spans="1:7" hidden="1" x14ac:dyDescent="0.25">
      <c r="A6811" s="21">
        <v>6810</v>
      </c>
      <c r="B6811" s="7" t="s">
        <v>14376</v>
      </c>
      <c r="C6811" s="7" t="s">
        <v>14377</v>
      </c>
      <c r="G6811" s="8" t="s">
        <v>15</v>
      </c>
    </row>
    <row r="6812" spans="1:7" hidden="1" x14ac:dyDescent="0.25">
      <c r="A6812" s="21">
        <v>6811</v>
      </c>
      <c r="B6812" s="7" t="s">
        <v>14378</v>
      </c>
      <c r="C6812" s="7" t="s">
        <v>14379</v>
      </c>
      <c r="G6812" s="8" t="s">
        <v>15</v>
      </c>
    </row>
    <row r="6813" spans="1:7" hidden="1" x14ac:dyDescent="0.25">
      <c r="A6813" s="21">
        <v>6812</v>
      </c>
      <c r="B6813" s="7" t="s">
        <v>14380</v>
      </c>
      <c r="C6813" s="7" t="s">
        <v>14381</v>
      </c>
      <c r="G6813" s="8" t="s">
        <v>15</v>
      </c>
    </row>
    <row r="6814" spans="1:7" hidden="1" x14ac:dyDescent="0.25">
      <c r="A6814" s="21">
        <v>6813</v>
      </c>
      <c r="B6814" s="7" t="s">
        <v>14382</v>
      </c>
      <c r="C6814" s="7" t="s">
        <v>14383</v>
      </c>
      <c r="G6814" s="8" t="s">
        <v>15</v>
      </c>
    </row>
    <row r="6815" spans="1:7" hidden="1" x14ac:dyDescent="0.25">
      <c r="A6815" s="21">
        <v>6814</v>
      </c>
      <c r="B6815" s="7" t="s">
        <v>14384</v>
      </c>
      <c r="C6815" s="7" t="s">
        <v>14385</v>
      </c>
      <c r="G6815" s="8" t="s">
        <v>15</v>
      </c>
    </row>
    <row r="6816" spans="1:7" hidden="1" x14ac:dyDescent="0.25">
      <c r="A6816" s="21">
        <v>6815</v>
      </c>
      <c r="B6816" s="7" t="s">
        <v>14386</v>
      </c>
      <c r="C6816" s="7" t="s">
        <v>14387</v>
      </c>
      <c r="G6816" s="8" t="s">
        <v>15</v>
      </c>
    </row>
    <row r="6817" spans="1:7" hidden="1" x14ac:dyDescent="0.25">
      <c r="A6817" s="21">
        <v>6816</v>
      </c>
      <c r="B6817" s="7" t="s">
        <v>14388</v>
      </c>
      <c r="C6817" s="7" t="s">
        <v>14389</v>
      </c>
      <c r="G6817" s="8" t="s">
        <v>15</v>
      </c>
    </row>
    <row r="6818" spans="1:7" hidden="1" x14ac:dyDescent="0.25">
      <c r="A6818" s="21">
        <v>6817</v>
      </c>
      <c r="B6818" s="7" t="s">
        <v>14390</v>
      </c>
      <c r="C6818" s="7" t="s">
        <v>14391</v>
      </c>
      <c r="G6818" s="8" t="s">
        <v>15</v>
      </c>
    </row>
    <row r="6819" spans="1:7" hidden="1" x14ac:dyDescent="0.25">
      <c r="A6819" s="21">
        <v>6818</v>
      </c>
      <c r="B6819" s="7" t="s">
        <v>14392</v>
      </c>
      <c r="C6819" s="7" t="s">
        <v>14393</v>
      </c>
      <c r="G6819" s="8" t="s">
        <v>15</v>
      </c>
    </row>
    <row r="6820" spans="1:7" hidden="1" x14ac:dyDescent="0.25">
      <c r="A6820" s="21">
        <v>6819</v>
      </c>
      <c r="B6820" s="7" t="s">
        <v>14394</v>
      </c>
      <c r="C6820" s="7" t="s">
        <v>14395</v>
      </c>
      <c r="G6820" s="8" t="s">
        <v>15</v>
      </c>
    </row>
    <row r="6821" spans="1:7" hidden="1" x14ac:dyDescent="0.25">
      <c r="A6821" s="21">
        <v>6820</v>
      </c>
      <c r="B6821" s="7" t="s">
        <v>14396</v>
      </c>
      <c r="C6821" s="7" t="s">
        <v>14397</v>
      </c>
      <c r="G6821" s="8" t="s">
        <v>15</v>
      </c>
    </row>
    <row r="6822" spans="1:7" hidden="1" x14ac:dyDescent="0.25">
      <c r="A6822" s="21">
        <v>6821</v>
      </c>
      <c r="B6822" s="7" t="s">
        <v>14398</v>
      </c>
      <c r="C6822" s="7" t="s">
        <v>14399</v>
      </c>
      <c r="G6822" s="8" t="s">
        <v>15</v>
      </c>
    </row>
    <row r="6823" spans="1:7" hidden="1" x14ac:dyDescent="0.25">
      <c r="A6823" s="21">
        <v>6822</v>
      </c>
      <c r="B6823" s="7" t="s">
        <v>14400</v>
      </c>
      <c r="C6823" s="7" t="s">
        <v>14401</v>
      </c>
      <c r="G6823" s="8" t="s">
        <v>15</v>
      </c>
    </row>
    <row r="6824" spans="1:7" hidden="1" x14ac:dyDescent="0.25">
      <c r="A6824" s="21">
        <v>6823</v>
      </c>
      <c r="B6824" s="7" t="s">
        <v>14402</v>
      </c>
      <c r="C6824" s="7" t="s">
        <v>14403</v>
      </c>
      <c r="G6824" s="8" t="s">
        <v>15</v>
      </c>
    </row>
    <row r="6825" spans="1:7" hidden="1" x14ac:dyDescent="0.25">
      <c r="A6825" s="21">
        <v>6824</v>
      </c>
      <c r="B6825" s="7" t="s">
        <v>14404</v>
      </c>
      <c r="C6825" s="7" t="s">
        <v>14405</v>
      </c>
      <c r="G6825" s="8" t="s">
        <v>15</v>
      </c>
    </row>
    <row r="6826" spans="1:7" hidden="1" x14ac:dyDescent="0.25">
      <c r="A6826" s="21">
        <v>6825</v>
      </c>
      <c r="B6826" s="7" t="s">
        <v>14406</v>
      </c>
      <c r="C6826" s="7" t="s">
        <v>14407</v>
      </c>
      <c r="G6826" s="8" t="s">
        <v>15</v>
      </c>
    </row>
    <row r="6827" spans="1:7" hidden="1" x14ac:dyDescent="0.25">
      <c r="A6827" s="21">
        <v>6826</v>
      </c>
      <c r="B6827" s="7" t="s">
        <v>14408</v>
      </c>
      <c r="C6827" s="7" t="s">
        <v>14409</v>
      </c>
      <c r="G6827" s="8" t="s">
        <v>15</v>
      </c>
    </row>
    <row r="6828" spans="1:7" hidden="1" x14ac:dyDescent="0.25">
      <c r="A6828" s="21">
        <v>6827</v>
      </c>
      <c r="B6828" s="7" t="s">
        <v>14410</v>
      </c>
      <c r="C6828" s="7" t="s">
        <v>14411</v>
      </c>
      <c r="G6828" s="8" t="s">
        <v>15</v>
      </c>
    </row>
    <row r="6829" spans="1:7" hidden="1" x14ac:dyDescent="0.25">
      <c r="A6829" s="21">
        <v>6828</v>
      </c>
      <c r="B6829" s="7" t="s">
        <v>14412</v>
      </c>
      <c r="C6829" s="7" t="s">
        <v>14413</v>
      </c>
      <c r="G6829" s="8" t="s">
        <v>15</v>
      </c>
    </row>
    <row r="6830" spans="1:7" hidden="1" x14ac:dyDescent="0.25">
      <c r="A6830" s="21">
        <v>6829</v>
      </c>
      <c r="B6830" s="7" t="s">
        <v>14414</v>
      </c>
      <c r="C6830" s="7" t="s">
        <v>14415</v>
      </c>
      <c r="G6830" s="8" t="s">
        <v>15</v>
      </c>
    </row>
    <row r="6831" spans="1:7" hidden="1" x14ac:dyDescent="0.25">
      <c r="A6831" s="21">
        <v>6830</v>
      </c>
      <c r="B6831" s="7" t="s">
        <v>14416</v>
      </c>
      <c r="C6831" s="7" t="s">
        <v>14417</v>
      </c>
      <c r="G6831" s="8" t="s">
        <v>15</v>
      </c>
    </row>
    <row r="6832" spans="1:7" hidden="1" x14ac:dyDescent="0.25">
      <c r="A6832" s="21">
        <v>6831</v>
      </c>
      <c r="B6832" s="7" t="s">
        <v>14418</v>
      </c>
      <c r="C6832" s="7" t="s">
        <v>14419</v>
      </c>
      <c r="G6832" s="8" t="s">
        <v>15</v>
      </c>
    </row>
    <row r="6833" spans="1:7" hidden="1" x14ac:dyDescent="0.25">
      <c r="A6833" s="21">
        <v>6832</v>
      </c>
      <c r="B6833" s="7" t="s">
        <v>14420</v>
      </c>
      <c r="C6833" s="7" t="s">
        <v>14421</v>
      </c>
      <c r="G6833" s="8" t="s">
        <v>15</v>
      </c>
    </row>
    <row r="6834" spans="1:7" hidden="1" x14ac:dyDescent="0.25">
      <c r="A6834" s="21">
        <v>6833</v>
      </c>
      <c r="B6834" s="7" t="s">
        <v>14422</v>
      </c>
      <c r="C6834" s="7" t="s">
        <v>14423</v>
      </c>
      <c r="G6834" s="8" t="s">
        <v>15</v>
      </c>
    </row>
    <row r="6835" spans="1:7" hidden="1" x14ac:dyDescent="0.25">
      <c r="A6835" s="21">
        <v>6834</v>
      </c>
      <c r="B6835" s="7" t="s">
        <v>14424</v>
      </c>
      <c r="C6835" s="7" t="s">
        <v>14425</v>
      </c>
      <c r="G6835" s="8" t="s">
        <v>15</v>
      </c>
    </row>
    <row r="6836" spans="1:7" hidden="1" x14ac:dyDescent="0.25">
      <c r="A6836" s="21">
        <v>6835</v>
      </c>
      <c r="B6836" s="7" t="s">
        <v>14426</v>
      </c>
      <c r="C6836" s="7" t="s">
        <v>14427</v>
      </c>
      <c r="G6836" s="8" t="s">
        <v>15</v>
      </c>
    </row>
    <row r="6837" spans="1:7" hidden="1" x14ac:dyDescent="0.25">
      <c r="A6837" s="21">
        <v>6836</v>
      </c>
      <c r="B6837" s="7" t="s">
        <v>14428</v>
      </c>
      <c r="C6837" s="7" t="s">
        <v>14429</v>
      </c>
      <c r="G6837" s="8" t="s">
        <v>15</v>
      </c>
    </row>
    <row r="6838" spans="1:7" hidden="1" x14ac:dyDescent="0.25">
      <c r="A6838" s="21">
        <v>6837</v>
      </c>
      <c r="B6838" s="7" t="s">
        <v>14430</v>
      </c>
      <c r="C6838" s="7" t="s">
        <v>14431</v>
      </c>
      <c r="G6838" s="8" t="s">
        <v>15</v>
      </c>
    </row>
    <row r="6839" spans="1:7" hidden="1" x14ac:dyDescent="0.25">
      <c r="A6839" s="21">
        <v>6838</v>
      </c>
      <c r="B6839" s="7" t="s">
        <v>14432</v>
      </c>
      <c r="C6839" s="7" t="s">
        <v>14433</v>
      </c>
      <c r="G6839" s="8" t="s">
        <v>15</v>
      </c>
    </row>
    <row r="6840" spans="1:7" hidden="1" x14ac:dyDescent="0.25">
      <c r="A6840" s="21">
        <v>6839</v>
      </c>
      <c r="B6840" s="7" t="s">
        <v>14434</v>
      </c>
      <c r="C6840" s="7" t="s">
        <v>14435</v>
      </c>
      <c r="G6840" s="8" t="s">
        <v>15</v>
      </c>
    </row>
    <row r="6841" spans="1:7" hidden="1" x14ac:dyDescent="0.25">
      <c r="A6841" s="21">
        <v>6840</v>
      </c>
      <c r="B6841" s="7" t="s">
        <v>14436</v>
      </c>
      <c r="C6841" s="7" t="s">
        <v>14437</v>
      </c>
      <c r="G6841" s="8" t="s">
        <v>15</v>
      </c>
    </row>
    <row r="6842" spans="1:7" hidden="1" x14ac:dyDescent="0.25">
      <c r="A6842" s="21">
        <v>6841</v>
      </c>
      <c r="B6842" s="7" t="s">
        <v>14438</v>
      </c>
      <c r="C6842" s="7" t="s">
        <v>14439</v>
      </c>
      <c r="G6842" s="8" t="s">
        <v>15</v>
      </c>
    </row>
    <row r="6843" spans="1:7" hidden="1" x14ac:dyDescent="0.25">
      <c r="A6843" s="21">
        <v>6842</v>
      </c>
      <c r="B6843" s="7" t="s">
        <v>14440</v>
      </c>
      <c r="C6843" s="7" t="s">
        <v>14441</v>
      </c>
      <c r="G6843" s="8" t="s">
        <v>15</v>
      </c>
    </row>
    <row r="6844" spans="1:7" hidden="1" x14ac:dyDescent="0.25">
      <c r="A6844" s="21">
        <v>6843</v>
      </c>
      <c r="B6844" s="7" t="s">
        <v>14442</v>
      </c>
      <c r="C6844" s="7" t="s">
        <v>14443</v>
      </c>
      <c r="G6844" s="8" t="s">
        <v>15</v>
      </c>
    </row>
    <row r="6845" spans="1:7" hidden="1" x14ac:dyDescent="0.25">
      <c r="A6845" s="21">
        <v>6844</v>
      </c>
      <c r="B6845" s="7" t="s">
        <v>14444</v>
      </c>
      <c r="C6845" s="7" t="s">
        <v>14445</v>
      </c>
      <c r="G6845" s="8" t="s">
        <v>15</v>
      </c>
    </row>
    <row r="6846" spans="1:7" hidden="1" x14ac:dyDescent="0.25">
      <c r="A6846" s="21">
        <v>6845</v>
      </c>
      <c r="B6846" s="7" t="s">
        <v>14446</v>
      </c>
      <c r="C6846" s="7" t="s">
        <v>14447</v>
      </c>
      <c r="G6846" s="8" t="s">
        <v>15</v>
      </c>
    </row>
    <row r="6847" spans="1:7" hidden="1" x14ac:dyDescent="0.25">
      <c r="A6847" s="21">
        <v>6846</v>
      </c>
      <c r="B6847" s="7" t="s">
        <v>14448</v>
      </c>
      <c r="C6847" s="7" t="s">
        <v>14449</v>
      </c>
      <c r="G6847" s="8" t="s">
        <v>15</v>
      </c>
    </row>
    <row r="6848" spans="1:7" hidden="1" x14ac:dyDescent="0.25">
      <c r="A6848" s="21">
        <v>6847</v>
      </c>
      <c r="B6848" s="7" t="s">
        <v>14450</v>
      </c>
      <c r="C6848" s="7" t="s">
        <v>14451</v>
      </c>
      <c r="G6848" s="8" t="s">
        <v>15</v>
      </c>
    </row>
    <row r="6849" spans="1:7" hidden="1" x14ac:dyDescent="0.25">
      <c r="A6849" s="21">
        <v>6848</v>
      </c>
      <c r="B6849" s="7" t="s">
        <v>14452</v>
      </c>
      <c r="C6849" s="7" t="s">
        <v>14453</v>
      </c>
      <c r="G6849" s="8" t="s">
        <v>15</v>
      </c>
    </row>
    <row r="6850" spans="1:7" hidden="1" x14ac:dyDescent="0.25">
      <c r="A6850" s="21">
        <v>6849</v>
      </c>
      <c r="B6850" s="7" t="s">
        <v>14454</v>
      </c>
      <c r="C6850" s="7" t="s">
        <v>14455</v>
      </c>
      <c r="G6850" s="8" t="s">
        <v>15</v>
      </c>
    </row>
    <row r="6851" spans="1:7" hidden="1" x14ac:dyDescent="0.25">
      <c r="A6851" s="21">
        <v>6850</v>
      </c>
      <c r="B6851" s="7" t="s">
        <v>14456</v>
      </c>
      <c r="C6851" s="7" t="s">
        <v>14457</v>
      </c>
      <c r="G6851" s="8" t="s">
        <v>15</v>
      </c>
    </row>
    <row r="6852" spans="1:7" hidden="1" x14ac:dyDescent="0.25">
      <c r="A6852" s="21">
        <v>6851</v>
      </c>
      <c r="B6852" s="7" t="s">
        <v>14458</v>
      </c>
      <c r="C6852" s="7" t="s">
        <v>14459</v>
      </c>
      <c r="G6852" s="8" t="s">
        <v>15</v>
      </c>
    </row>
    <row r="6853" spans="1:7" hidden="1" x14ac:dyDescent="0.25">
      <c r="A6853" s="21">
        <v>6852</v>
      </c>
      <c r="B6853" s="7" t="s">
        <v>14460</v>
      </c>
      <c r="C6853" s="7" t="s">
        <v>14461</v>
      </c>
      <c r="G6853" s="8" t="s">
        <v>15</v>
      </c>
    </row>
    <row r="6854" spans="1:7" hidden="1" x14ac:dyDescent="0.25">
      <c r="A6854" s="21">
        <v>6853</v>
      </c>
      <c r="B6854" s="7" t="s">
        <v>14462</v>
      </c>
      <c r="C6854" s="7" t="s">
        <v>14463</v>
      </c>
      <c r="G6854" s="8" t="s">
        <v>15</v>
      </c>
    </row>
    <row r="6855" spans="1:7" hidden="1" x14ac:dyDescent="0.25">
      <c r="A6855" s="21">
        <v>6854</v>
      </c>
      <c r="B6855" s="7" t="s">
        <v>14464</v>
      </c>
      <c r="C6855" s="7" t="s">
        <v>14465</v>
      </c>
      <c r="G6855" s="8" t="s">
        <v>15</v>
      </c>
    </row>
    <row r="6856" spans="1:7" hidden="1" x14ac:dyDescent="0.25">
      <c r="A6856" s="21">
        <v>6855</v>
      </c>
      <c r="B6856" s="7" t="s">
        <v>14466</v>
      </c>
      <c r="C6856" s="7" t="s">
        <v>14467</v>
      </c>
      <c r="G6856" s="8" t="s">
        <v>15</v>
      </c>
    </row>
    <row r="6857" spans="1:7" hidden="1" x14ac:dyDescent="0.25">
      <c r="A6857" s="21">
        <v>6856</v>
      </c>
      <c r="B6857" s="7" t="s">
        <v>14468</v>
      </c>
      <c r="C6857" s="7" t="s">
        <v>14469</v>
      </c>
      <c r="G6857" s="8" t="s">
        <v>15</v>
      </c>
    </row>
    <row r="6858" spans="1:7" hidden="1" x14ac:dyDescent="0.25">
      <c r="A6858" s="21">
        <v>6857</v>
      </c>
      <c r="B6858" s="7" t="s">
        <v>14470</v>
      </c>
      <c r="C6858" s="7" t="s">
        <v>14471</v>
      </c>
      <c r="G6858" s="8" t="s">
        <v>15</v>
      </c>
    </row>
    <row r="6859" spans="1:7" hidden="1" x14ac:dyDescent="0.25">
      <c r="A6859" s="21">
        <v>6858</v>
      </c>
      <c r="B6859" s="7" t="s">
        <v>14472</v>
      </c>
      <c r="C6859" s="7" t="s">
        <v>14473</v>
      </c>
      <c r="G6859" s="8" t="s">
        <v>15</v>
      </c>
    </row>
    <row r="6860" spans="1:7" hidden="1" x14ac:dyDescent="0.25">
      <c r="A6860" s="21">
        <v>6859</v>
      </c>
      <c r="B6860" s="7" t="s">
        <v>14474</v>
      </c>
      <c r="C6860" s="7" t="s">
        <v>14475</v>
      </c>
      <c r="G6860" s="8" t="s">
        <v>15</v>
      </c>
    </row>
    <row r="6861" spans="1:7" hidden="1" x14ac:dyDescent="0.25">
      <c r="A6861" s="21">
        <v>6860</v>
      </c>
      <c r="B6861" s="7" t="s">
        <v>14476</v>
      </c>
      <c r="C6861" s="7" t="s">
        <v>14477</v>
      </c>
      <c r="G6861" s="8" t="s">
        <v>15</v>
      </c>
    </row>
    <row r="6862" spans="1:7" hidden="1" x14ac:dyDescent="0.25">
      <c r="A6862" s="21">
        <v>6861</v>
      </c>
      <c r="B6862" s="7" t="s">
        <v>14478</v>
      </c>
      <c r="C6862" s="7" t="s">
        <v>14479</v>
      </c>
      <c r="G6862" s="8" t="s">
        <v>15</v>
      </c>
    </row>
    <row r="6863" spans="1:7" hidden="1" x14ac:dyDescent="0.25">
      <c r="A6863" s="21">
        <v>6862</v>
      </c>
      <c r="B6863" s="7" t="s">
        <v>14480</v>
      </c>
      <c r="C6863" s="7" t="s">
        <v>14481</v>
      </c>
      <c r="G6863" s="8" t="s">
        <v>15</v>
      </c>
    </row>
    <row r="6864" spans="1:7" hidden="1" x14ac:dyDescent="0.25">
      <c r="A6864" s="21">
        <v>6863</v>
      </c>
      <c r="B6864" s="7" t="s">
        <v>14482</v>
      </c>
      <c r="C6864" s="7" t="s">
        <v>14483</v>
      </c>
      <c r="G6864" s="8" t="s">
        <v>15</v>
      </c>
    </row>
    <row r="6865" spans="1:7" hidden="1" x14ac:dyDescent="0.25">
      <c r="A6865" s="21">
        <v>6864</v>
      </c>
      <c r="B6865" s="7" t="s">
        <v>14484</v>
      </c>
      <c r="C6865" s="7" t="s">
        <v>14485</v>
      </c>
      <c r="G6865" s="8" t="s">
        <v>15</v>
      </c>
    </row>
    <row r="6866" spans="1:7" hidden="1" x14ac:dyDescent="0.25">
      <c r="A6866" s="21">
        <v>6865</v>
      </c>
      <c r="B6866" s="7" t="s">
        <v>14486</v>
      </c>
      <c r="C6866" s="7" t="s">
        <v>14487</v>
      </c>
      <c r="G6866" s="8" t="s">
        <v>15</v>
      </c>
    </row>
    <row r="6867" spans="1:7" hidden="1" x14ac:dyDescent="0.25">
      <c r="A6867" s="21">
        <v>6866</v>
      </c>
      <c r="B6867" s="7" t="s">
        <v>14488</v>
      </c>
      <c r="C6867" s="7" t="s">
        <v>14489</v>
      </c>
      <c r="G6867" s="8" t="s">
        <v>15</v>
      </c>
    </row>
    <row r="6868" spans="1:7" hidden="1" x14ac:dyDescent="0.25">
      <c r="A6868" s="21">
        <v>6867</v>
      </c>
      <c r="B6868" s="7" t="s">
        <v>14490</v>
      </c>
      <c r="C6868" s="7" t="s">
        <v>14491</v>
      </c>
      <c r="G6868" s="8" t="s">
        <v>15</v>
      </c>
    </row>
    <row r="6869" spans="1:7" hidden="1" x14ac:dyDescent="0.25">
      <c r="A6869" s="21">
        <v>6868</v>
      </c>
      <c r="B6869" s="7" t="s">
        <v>14492</v>
      </c>
      <c r="C6869" s="7" t="s">
        <v>14493</v>
      </c>
      <c r="G6869" s="8" t="s">
        <v>15</v>
      </c>
    </row>
    <row r="6870" spans="1:7" hidden="1" x14ac:dyDescent="0.25">
      <c r="A6870" s="21">
        <v>6869</v>
      </c>
      <c r="B6870" s="7" t="s">
        <v>14494</v>
      </c>
      <c r="C6870" s="7" t="s">
        <v>14495</v>
      </c>
      <c r="G6870" s="8" t="s">
        <v>15</v>
      </c>
    </row>
    <row r="6871" spans="1:7" hidden="1" x14ac:dyDescent="0.25">
      <c r="A6871" s="21">
        <v>6870</v>
      </c>
      <c r="B6871" s="7" t="s">
        <v>14496</v>
      </c>
      <c r="C6871" s="7" t="s">
        <v>14497</v>
      </c>
      <c r="G6871" s="8" t="s">
        <v>15</v>
      </c>
    </row>
    <row r="6872" spans="1:7" hidden="1" x14ac:dyDescent="0.25">
      <c r="A6872" s="21">
        <v>6871</v>
      </c>
      <c r="B6872" s="7" t="s">
        <v>14498</v>
      </c>
      <c r="C6872" s="7" t="s">
        <v>14499</v>
      </c>
      <c r="G6872" s="8" t="s">
        <v>15</v>
      </c>
    </row>
    <row r="6873" spans="1:7" hidden="1" x14ac:dyDescent="0.25">
      <c r="A6873" s="21">
        <v>6872</v>
      </c>
      <c r="B6873" s="7" t="s">
        <v>14500</v>
      </c>
      <c r="C6873" s="7" t="s">
        <v>14501</v>
      </c>
      <c r="F6873" t="s">
        <v>3306</v>
      </c>
      <c r="G6873" s="8" t="s">
        <v>15</v>
      </c>
    </row>
    <row r="6874" spans="1:7" hidden="1" x14ac:dyDescent="0.25">
      <c r="A6874" s="21">
        <v>6873</v>
      </c>
      <c r="B6874" s="7" t="s">
        <v>14502</v>
      </c>
      <c r="C6874" s="7" t="s">
        <v>14503</v>
      </c>
      <c r="G6874" s="8" t="s">
        <v>15</v>
      </c>
    </row>
    <row r="6875" spans="1:7" hidden="1" x14ac:dyDescent="0.25">
      <c r="A6875" s="21">
        <v>6874</v>
      </c>
      <c r="B6875" s="7" t="s">
        <v>14504</v>
      </c>
      <c r="C6875" s="7" t="s">
        <v>14505</v>
      </c>
      <c r="G6875" s="8" t="s">
        <v>15</v>
      </c>
    </row>
    <row r="6876" spans="1:7" hidden="1" x14ac:dyDescent="0.25">
      <c r="A6876" s="21">
        <v>6875</v>
      </c>
      <c r="B6876" s="7" t="s">
        <v>14506</v>
      </c>
      <c r="C6876" s="7" t="s">
        <v>14507</v>
      </c>
      <c r="G6876" s="8" t="s">
        <v>15</v>
      </c>
    </row>
    <row r="6877" spans="1:7" hidden="1" x14ac:dyDescent="0.25">
      <c r="A6877" s="21">
        <v>6876</v>
      </c>
      <c r="B6877" s="7" t="s">
        <v>14508</v>
      </c>
      <c r="C6877" s="7" t="s">
        <v>14509</v>
      </c>
      <c r="G6877" s="8" t="s">
        <v>15</v>
      </c>
    </row>
    <row r="6878" spans="1:7" hidden="1" x14ac:dyDescent="0.25">
      <c r="A6878" s="21">
        <v>6877</v>
      </c>
      <c r="B6878" s="7" t="s">
        <v>14510</v>
      </c>
      <c r="C6878" s="7" t="s">
        <v>14511</v>
      </c>
      <c r="G6878" s="8" t="s">
        <v>15</v>
      </c>
    </row>
    <row r="6879" spans="1:7" hidden="1" x14ac:dyDescent="0.25">
      <c r="A6879" s="21">
        <v>6878</v>
      </c>
      <c r="B6879" s="7" t="s">
        <v>14512</v>
      </c>
      <c r="C6879" s="7" t="s">
        <v>14513</v>
      </c>
      <c r="G6879" s="8" t="s">
        <v>15</v>
      </c>
    </row>
    <row r="6880" spans="1:7" hidden="1" x14ac:dyDescent="0.25">
      <c r="A6880" s="21">
        <v>6879</v>
      </c>
      <c r="B6880" s="7" t="s">
        <v>14514</v>
      </c>
      <c r="C6880" s="7" t="s">
        <v>14515</v>
      </c>
      <c r="G6880" s="8" t="s">
        <v>15</v>
      </c>
    </row>
    <row r="6881" spans="1:7" hidden="1" x14ac:dyDescent="0.25">
      <c r="A6881" s="21">
        <v>6880</v>
      </c>
      <c r="B6881" s="7" t="s">
        <v>14516</v>
      </c>
      <c r="C6881" s="7" t="s">
        <v>14517</v>
      </c>
      <c r="G6881" s="8" t="s">
        <v>15</v>
      </c>
    </row>
    <row r="6882" spans="1:7" hidden="1" x14ac:dyDescent="0.25">
      <c r="A6882" s="21">
        <v>6881</v>
      </c>
      <c r="B6882" s="7" t="s">
        <v>14518</v>
      </c>
      <c r="C6882" s="7" t="s">
        <v>14519</v>
      </c>
      <c r="G6882" s="8" t="s">
        <v>15</v>
      </c>
    </row>
    <row r="6883" spans="1:7" hidden="1" x14ac:dyDescent="0.25">
      <c r="A6883" s="21">
        <v>6882</v>
      </c>
      <c r="B6883" s="7" t="s">
        <v>14520</v>
      </c>
      <c r="C6883" s="7" t="s">
        <v>14521</v>
      </c>
      <c r="G6883" s="8" t="s">
        <v>15</v>
      </c>
    </row>
    <row r="6884" spans="1:7" hidden="1" x14ac:dyDescent="0.25">
      <c r="A6884" s="21">
        <v>6883</v>
      </c>
      <c r="B6884" s="7" t="s">
        <v>14522</v>
      </c>
      <c r="C6884" s="7" t="s">
        <v>14523</v>
      </c>
      <c r="G6884" s="8" t="s">
        <v>15</v>
      </c>
    </row>
    <row r="6885" spans="1:7" hidden="1" x14ac:dyDescent="0.25">
      <c r="A6885" s="21">
        <v>6884</v>
      </c>
      <c r="B6885" s="7" t="s">
        <v>14524</v>
      </c>
      <c r="C6885" s="7" t="s">
        <v>14525</v>
      </c>
      <c r="G6885" s="8" t="s">
        <v>15</v>
      </c>
    </row>
    <row r="6886" spans="1:7" hidden="1" x14ac:dyDescent="0.25">
      <c r="A6886" s="21">
        <v>6885</v>
      </c>
      <c r="B6886" s="7" t="s">
        <v>14526</v>
      </c>
      <c r="C6886" s="7" t="s">
        <v>14527</v>
      </c>
      <c r="G6886" s="8" t="s">
        <v>15</v>
      </c>
    </row>
    <row r="6887" spans="1:7" hidden="1" x14ac:dyDescent="0.25">
      <c r="A6887" s="21">
        <v>6886</v>
      </c>
      <c r="B6887" s="7" t="s">
        <v>14528</v>
      </c>
      <c r="C6887" s="7" t="s">
        <v>14529</v>
      </c>
      <c r="G6887" s="8" t="s">
        <v>15</v>
      </c>
    </row>
    <row r="6888" spans="1:7" hidden="1" x14ac:dyDescent="0.25">
      <c r="A6888" s="21">
        <v>6887</v>
      </c>
      <c r="B6888" s="7" t="s">
        <v>14530</v>
      </c>
      <c r="C6888" s="7" t="s">
        <v>14531</v>
      </c>
      <c r="G6888" s="8" t="s">
        <v>15</v>
      </c>
    </row>
    <row r="6889" spans="1:7" hidden="1" x14ac:dyDescent="0.25">
      <c r="A6889" s="21">
        <v>6888</v>
      </c>
      <c r="B6889" s="7" t="s">
        <v>14532</v>
      </c>
      <c r="C6889" s="7" t="s">
        <v>14533</v>
      </c>
      <c r="G6889" s="8" t="s">
        <v>15</v>
      </c>
    </row>
    <row r="6890" spans="1:7" hidden="1" x14ac:dyDescent="0.25">
      <c r="A6890" s="21">
        <v>6889</v>
      </c>
      <c r="B6890" s="7" t="s">
        <v>14534</v>
      </c>
      <c r="C6890" s="7" t="s">
        <v>14535</v>
      </c>
      <c r="G6890" s="8" t="s">
        <v>15</v>
      </c>
    </row>
    <row r="6891" spans="1:7" hidden="1" x14ac:dyDescent="0.25">
      <c r="A6891" s="21">
        <v>6890</v>
      </c>
      <c r="B6891" s="7" t="s">
        <v>14536</v>
      </c>
      <c r="C6891" s="7" t="s">
        <v>14537</v>
      </c>
      <c r="G6891" s="8" t="s">
        <v>15</v>
      </c>
    </row>
    <row r="6892" spans="1:7" hidden="1" x14ac:dyDescent="0.25">
      <c r="A6892" s="21">
        <v>6891</v>
      </c>
      <c r="B6892" s="7" t="s">
        <v>14538</v>
      </c>
      <c r="C6892" s="7" t="s">
        <v>14539</v>
      </c>
      <c r="G6892" s="8" t="s">
        <v>15</v>
      </c>
    </row>
    <row r="6893" spans="1:7" hidden="1" x14ac:dyDescent="0.25">
      <c r="A6893" s="21">
        <v>6892</v>
      </c>
      <c r="B6893" s="7" t="s">
        <v>14540</v>
      </c>
      <c r="C6893" s="7" t="s">
        <v>14541</v>
      </c>
      <c r="G6893" s="8" t="s">
        <v>15</v>
      </c>
    </row>
    <row r="6894" spans="1:7" hidden="1" x14ac:dyDescent="0.25">
      <c r="A6894" s="21">
        <v>6893</v>
      </c>
      <c r="B6894" s="7" t="s">
        <v>14542</v>
      </c>
      <c r="C6894" s="7" t="s">
        <v>14543</v>
      </c>
      <c r="G6894" s="8" t="s">
        <v>15</v>
      </c>
    </row>
    <row r="6895" spans="1:7" hidden="1" x14ac:dyDescent="0.25">
      <c r="A6895" s="21">
        <v>6894</v>
      </c>
      <c r="B6895" s="7" t="s">
        <v>14544</v>
      </c>
      <c r="C6895" s="7" t="s">
        <v>14545</v>
      </c>
      <c r="G6895" s="8" t="s">
        <v>15</v>
      </c>
    </row>
    <row r="6896" spans="1:7" hidden="1" x14ac:dyDescent="0.25">
      <c r="A6896" s="21">
        <v>6895</v>
      </c>
      <c r="B6896" s="7" t="s">
        <v>14546</v>
      </c>
      <c r="C6896" s="7" t="s">
        <v>14547</v>
      </c>
      <c r="G6896" s="8" t="s">
        <v>15</v>
      </c>
    </row>
    <row r="6897" spans="1:7" hidden="1" x14ac:dyDescent="0.25">
      <c r="A6897" s="21">
        <v>6896</v>
      </c>
      <c r="B6897" s="7" t="s">
        <v>14548</v>
      </c>
      <c r="C6897" s="7" t="s">
        <v>14549</v>
      </c>
      <c r="G6897" s="8" t="s">
        <v>15</v>
      </c>
    </row>
    <row r="6898" spans="1:7" hidden="1" x14ac:dyDescent="0.25">
      <c r="A6898" s="21">
        <v>6897</v>
      </c>
      <c r="B6898" s="7" t="s">
        <v>14550</v>
      </c>
      <c r="C6898" s="7" t="s">
        <v>14551</v>
      </c>
      <c r="G6898" s="8" t="s">
        <v>15</v>
      </c>
    </row>
    <row r="6899" spans="1:7" hidden="1" x14ac:dyDescent="0.25">
      <c r="A6899" s="21">
        <v>6898</v>
      </c>
      <c r="B6899" s="7" t="s">
        <v>14552</v>
      </c>
      <c r="C6899" s="7" t="s">
        <v>14553</v>
      </c>
      <c r="G6899" s="8" t="s">
        <v>15</v>
      </c>
    </row>
    <row r="6900" spans="1:7" hidden="1" x14ac:dyDescent="0.25">
      <c r="A6900" s="21">
        <v>6899</v>
      </c>
      <c r="B6900" s="7" t="s">
        <v>14554</v>
      </c>
      <c r="C6900" s="7" t="s">
        <v>14555</v>
      </c>
      <c r="G6900" s="8" t="s">
        <v>15</v>
      </c>
    </row>
    <row r="6901" spans="1:7" hidden="1" x14ac:dyDescent="0.25">
      <c r="A6901" s="21">
        <v>6900</v>
      </c>
      <c r="B6901" s="7" t="s">
        <v>14556</v>
      </c>
      <c r="C6901" s="7" t="s">
        <v>14557</v>
      </c>
      <c r="G6901" s="8" t="s">
        <v>15</v>
      </c>
    </row>
    <row r="6902" spans="1:7" hidden="1" x14ac:dyDescent="0.25">
      <c r="A6902" s="21">
        <v>6901</v>
      </c>
      <c r="B6902" s="7" t="s">
        <v>14558</v>
      </c>
      <c r="C6902" s="7" t="s">
        <v>14559</v>
      </c>
      <c r="G6902" s="8" t="s">
        <v>15</v>
      </c>
    </row>
    <row r="6903" spans="1:7" hidden="1" x14ac:dyDescent="0.25">
      <c r="A6903" s="21">
        <v>6902</v>
      </c>
      <c r="B6903" s="7" t="s">
        <v>14560</v>
      </c>
      <c r="C6903" s="7" t="s">
        <v>14561</v>
      </c>
      <c r="G6903" s="8" t="s">
        <v>15</v>
      </c>
    </row>
    <row r="6904" spans="1:7" hidden="1" x14ac:dyDescent="0.25">
      <c r="A6904" s="21">
        <v>6903</v>
      </c>
      <c r="B6904" s="7" t="s">
        <v>14562</v>
      </c>
      <c r="C6904" s="7" t="s">
        <v>14563</v>
      </c>
      <c r="G6904" s="8" t="s">
        <v>15</v>
      </c>
    </row>
    <row r="6905" spans="1:7" hidden="1" x14ac:dyDescent="0.25">
      <c r="A6905" s="21">
        <v>6904</v>
      </c>
      <c r="B6905" s="7" t="s">
        <v>14564</v>
      </c>
      <c r="C6905" s="7" t="s">
        <v>14565</v>
      </c>
      <c r="G6905" s="8" t="s">
        <v>15</v>
      </c>
    </row>
    <row r="6906" spans="1:7" hidden="1" x14ac:dyDescent="0.25">
      <c r="A6906" s="21">
        <v>6905</v>
      </c>
      <c r="B6906" s="7" t="s">
        <v>14566</v>
      </c>
      <c r="C6906" s="7" t="s">
        <v>14567</v>
      </c>
      <c r="G6906" s="8" t="s">
        <v>15</v>
      </c>
    </row>
    <row r="6907" spans="1:7" hidden="1" x14ac:dyDescent="0.25">
      <c r="A6907" s="21">
        <v>6906</v>
      </c>
      <c r="B6907" s="7" t="s">
        <v>14568</v>
      </c>
      <c r="C6907" s="7" t="s">
        <v>14569</v>
      </c>
      <c r="G6907" s="8" t="s">
        <v>15</v>
      </c>
    </row>
    <row r="6908" spans="1:7" hidden="1" x14ac:dyDescent="0.25">
      <c r="A6908" s="21">
        <v>6907</v>
      </c>
      <c r="B6908" s="7" t="s">
        <v>14570</v>
      </c>
      <c r="C6908" s="7" t="s">
        <v>14571</v>
      </c>
      <c r="G6908" s="8" t="s">
        <v>15</v>
      </c>
    </row>
    <row r="6909" spans="1:7" hidden="1" x14ac:dyDescent="0.25">
      <c r="A6909" s="21">
        <v>6908</v>
      </c>
      <c r="B6909" s="7" t="s">
        <v>14572</v>
      </c>
      <c r="C6909" s="7" t="s">
        <v>14573</v>
      </c>
      <c r="G6909" s="8" t="s">
        <v>15</v>
      </c>
    </row>
    <row r="6910" spans="1:7" hidden="1" x14ac:dyDescent="0.25">
      <c r="A6910" s="21">
        <v>6909</v>
      </c>
      <c r="B6910" s="7" t="s">
        <v>14574</v>
      </c>
      <c r="C6910" s="7" t="s">
        <v>14575</v>
      </c>
      <c r="G6910" s="8" t="s">
        <v>15</v>
      </c>
    </row>
    <row r="6911" spans="1:7" hidden="1" x14ac:dyDescent="0.25">
      <c r="A6911" s="21">
        <v>6910</v>
      </c>
      <c r="B6911" s="7" t="s">
        <v>14576</v>
      </c>
      <c r="C6911" s="7" t="s">
        <v>14577</v>
      </c>
      <c r="G6911" s="8" t="s">
        <v>15</v>
      </c>
    </row>
    <row r="6912" spans="1:7" hidden="1" x14ac:dyDescent="0.25">
      <c r="A6912" s="21">
        <v>6911</v>
      </c>
      <c r="B6912" s="7" t="s">
        <v>14578</v>
      </c>
      <c r="C6912" s="7" t="s">
        <v>14579</v>
      </c>
      <c r="G6912" s="8" t="s">
        <v>15</v>
      </c>
    </row>
    <row r="6913" spans="1:7" hidden="1" x14ac:dyDescent="0.25">
      <c r="A6913" s="21">
        <v>6912</v>
      </c>
      <c r="B6913" s="7" t="s">
        <v>14580</v>
      </c>
      <c r="C6913" s="7" t="s">
        <v>14581</v>
      </c>
      <c r="G6913" s="8" t="s">
        <v>15</v>
      </c>
    </row>
    <row r="6914" spans="1:7" hidden="1" x14ac:dyDescent="0.25">
      <c r="A6914" s="21">
        <v>6913</v>
      </c>
      <c r="B6914" s="7" t="s">
        <v>14582</v>
      </c>
      <c r="C6914" s="7" t="s">
        <v>14583</v>
      </c>
      <c r="G6914" s="8" t="s">
        <v>15</v>
      </c>
    </row>
    <row r="6915" spans="1:7" hidden="1" x14ac:dyDescent="0.25">
      <c r="A6915" s="21">
        <v>6914</v>
      </c>
      <c r="B6915" s="7" t="s">
        <v>14584</v>
      </c>
      <c r="C6915" s="7" t="s">
        <v>14585</v>
      </c>
      <c r="G6915" s="8" t="s">
        <v>15</v>
      </c>
    </row>
    <row r="6916" spans="1:7" hidden="1" x14ac:dyDescent="0.25">
      <c r="A6916" s="21">
        <v>6915</v>
      </c>
      <c r="B6916" s="7" t="s">
        <v>14586</v>
      </c>
      <c r="C6916" s="7" t="s">
        <v>14587</v>
      </c>
      <c r="G6916" s="8" t="s">
        <v>15</v>
      </c>
    </row>
    <row r="6917" spans="1:7" hidden="1" x14ac:dyDescent="0.25">
      <c r="A6917" s="21">
        <v>6916</v>
      </c>
      <c r="B6917" s="7" t="s">
        <v>14588</v>
      </c>
      <c r="C6917" s="7" t="s">
        <v>14589</v>
      </c>
      <c r="G6917" s="8" t="s">
        <v>15</v>
      </c>
    </row>
    <row r="6918" spans="1:7" hidden="1" x14ac:dyDescent="0.25">
      <c r="A6918" s="21">
        <v>6917</v>
      </c>
      <c r="B6918" s="7" t="s">
        <v>14590</v>
      </c>
      <c r="C6918" s="7" t="s">
        <v>14591</v>
      </c>
      <c r="G6918" s="8" t="s">
        <v>15</v>
      </c>
    </row>
    <row r="6919" spans="1:7" hidden="1" x14ac:dyDescent="0.25">
      <c r="A6919" s="21">
        <v>6918</v>
      </c>
      <c r="B6919" s="7" t="s">
        <v>14592</v>
      </c>
      <c r="C6919" s="7" t="s">
        <v>14593</v>
      </c>
      <c r="G6919" s="8" t="s">
        <v>15</v>
      </c>
    </row>
    <row r="6920" spans="1:7" hidden="1" x14ac:dyDescent="0.25">
      <c r="A6920" s="21">
        <v>6919</v>
      </c>
      <c r="B6920" s="7" t="s">
        <v>14594</v>
      </c>
      <c r="C6920" s="7" t="s">
        <v>14595</v>
      </c>
      <c r="G6920" s="8" t="s">
        <v>15</v>
      </c>
    </row>
    <row r="6921" spans="1:7" hidden="1" x14ac:dyDescent="0.25">
      <c r="A6921" s="21">
        <v>6920</v>
      </c>
      <c r="B6921" s="7" t="s">
        <v>14596</v>
      </c>
      <c r="C6921" s="7" t="s">
        <v>14597</v>
      </c>
      <c r="G6921" s="8" t="s">
        <v>15</v>
      </c>
    </row>
    <row r="6922" spans="1:7" hidden="1" x14ac:dyDescent="0.25">
      <c r="A6922" s="21">
        <v>6921</v>
      </c>
      <c r="B6922" s="7" t="s">
        <v>14598</v>
      </c>
      <c r="C6922" s="7" t="s">
        <v>14599</v>
      </c>
      <c r="G6922" s="8" t="s">
        <v>15</v>
      </c>
    </row>
    <row r="6923" spans="1:7" hidden="1" x14ac:dyDescent="0.25">
      <c r="A6923" s="21">
        <v>6922</v>
      </c>
      <c r="B6923" s="7" t="s">
        <v>14600</v>
      </c>
      <c r="C6923" s="7" t="s">
        <v>14601</v>
      </c>
      <c r="G6923" s="8" t="s">
        <v>15</v>
      </c>
    </row>
    <row r="6924" spans="1:7" hidden="1" x14ac:dyDescent="0.25">
      <c r="A6924" s="21">
        <v>6923</v>
      </c>
      <c r="B6924" s="7" t="s">
        <v>14602</v>
      </c>
      <c r="C6924" s="7" t="s">
        <v>14603</v>
      </c>
      <c r="G6924" s="8" t="s">
        <v>15</v>
      </c>
    </row>
    <row r="6925" spans="1:7" hidden="1" x14ac:dyDescent="0.25">
      <c r="A6925" s="21">
        <v>6924</v>
      </c>
      <c r="B6925" s="7" t="s">
        <v>14604</v>
      </c>
      <c r="C6925" s="7" t="s">
        <v>14605</v>
      </c>
      <c r="G6925" s="8" t="s">
        <v>15</v>
      </c>
    </row>
    <row r="6926" spans="1:7" hidden="1" x14ac:dyDescent="0.25">
      <c r="A6926" s="21">
        <v>6925</v>
      </c>
      <c r="B6926" s="7" t="s">
        <v>14606</v>
      </c>
      <c r="C6926" s="7" t="s">
        <v>14607</v>
      </c>
      <c r="G6926" s="8" t="s">
        <v>15</v>
      </c>
    </row>
    <row r="6927" spans="1:7" hidden="1" x14ac:dyDescent="0.25">
      <c r="A6927" s="21">
        <v>6926</v>
      </c>
      <c r="B6927" s="7" t="s">
        <v>14608</v>
      </c>
      <c r="C6927" s="7" t="s">
        <v>14609</v>
      </c>
      <c r="G6927" s="8" t="s">
        <v>15</v>
      </c>
    </row>
    <row r="6928" spans="1:7" hidden="1" x14ac:dyDescent="0.25">
      <c r="A6928" s="21">
        <v>6927</v>
      </c>
      <c r="B6928" s="7" t="s">
        <v>14610</v>
      </c>
      <c r="C6928" s="7" t="s">
        <v>14611</v>
      </c>
      <c r="G6928" s="8" t="s">
        <v>15</v>
      </c>
    </row>
    <row r="6929" spans="1:7" hidden="1" x14ac:dyDescent="0.25">
      <c r="A6929" s="21">
        <v>6928</v>
      </c>
      <c r="B6929" s="7" t="s">
        <v>14612</v>
      </c>
      <c r="C6929" s="7" t="s">
        <v>14613</v>
      </c>
      <c r="G6929" s="8" t="s">
        <v>15</v>
      </c>
    </row>
    <row r="6930" spans="1:7" hidden="1" x14ac:dyDescent="0.25">
      <c r="A6930" s="21">
        <v>6929</v>
      </c>
      <c r="B6930" s="7" t="s">
        <v>14614</v>
      </c>
      <c r="C6930" s="7" t="s">
        <v>14615</v>
      </c>
      <c r="G6930" s="8" t="s">
        <v>15</v>
      </c>
    </row>
    <row r="6931" spans="1:7" hidden="1" x14ac:dyDescent="0.25">
      <c r="A6931" s="21">
        <v>6930</v>
      </c>
      <c r="B6931" s="7" t="s">
        <v>14616</v>
      </c>
      <c r="C6931" s="7" t="s">
        <v>14617</v>
      </c>
      <c r="G6931" s="8" t="s">
        <v>15</v>
      </c>
    </row>
    <row r="6932" spans="1:7" hidden="1" x14ac:dyDescent="0.25">
      <c r="A6932" s="21">
        <v>6931</v>
      </c>
      <c r="B6932" s="7" t="s">
        <v>14618</v>
      </c>
      <c r="C6932" s="7" t="s">
        <v>14619</v>
      </c>
      <c r="G6932" s="8" t="s">
        <v>15</v>
      </c>
    </row>
    <row r="6933" spans="1:7" hidden="1" x14ac:dyDescent="0.25">
      <c r="A6933" s="21">
        <v>6932</v>
      </c>
      <c r="B6933" s="7" t="s">
        <v>14620</v>
      </c>
      <c r="C6933" s="7" t="s">
        <v>14621</v>
      </c>
      <c r="G6933" s="8" t="s">
        <v>15</v>
      </c>
    </row>
    <row r="6934" spans="1:7" hidden="1" x14ac:dyDescent="0.25">
      <c r="A6934" s="21">
        <v>6933</v>
      </c>
      <c r="B6934" s="7" t="s">
        <v>14622</v>
      </c>
      <c r="C6934" s="7" t="s">
        <v>14623</v>
      </c>
      <c r="G6934" s="8" t="s">
        <v>15</v>
      </c>
    </row>
    <row r="6935" spans="1:7" hidden="1" x14ac:dyDescent="0.25">
      <c r="A6935" s="21">
        <v>6934</v>
      </c>
      <c r="B6935" s="7" t="s">
        <v>14624</v>
      </c>
      <c r="C6935" s="7" t="s">
        <v>14625</v>
      </c>
      <c r="G6935" s="8" t="s">
        <v>15</v>
      </c>
    </row>
    <row r="6936" spans="1:7" hidden="1" x14ac:dyDescent="0.25">
      <c r="A6936" s="21">
        <v>6935</v>
      </c>
      <c r="B6936" s="7" t="s">
        <v>14626</v>
      </c>
      <c r="C6936" s="7" t="s">
        <v>14627</v>
      </c>
      <c r="G6936" s="8" t="s">
        <v>15</v>
      </c>
    </row>
    <row r="6937" spans="1:7" hidden="1" x14ac:dyDescent="0.25">
      <c r="A6937" s="21">
        <v>6936</v>
      </c>
      <c r="B6937" s="7" t="s">
        <v>14628</v>
      </c>
      <c r="C6937" s="7" t="s">
        <v>14629</v>
      </c>
      <c r="G6937" s="8" t="s">
        <v>15</v>
      </c>
    </row>
    <row r="6938" spans="1:7" hidden="1" x14ac:dyDescent="0.25">
      <c r="A6938" s="21">
        <v>6937</v>
      </c>
      <c r="B6938" s="7" t="s">
        <v>14630</v>
      </c>
      <c r="C6938" s="7" t="s">
        <v>14631</v>
      </c>
      <c r="G6938" s="8" t="s">
        <v>15</v>
      </c>
    </row>
    <row r="6939" spans="1:7" hidden="1" x14ac:dyDescent="0.25">
      <c r="A6939" s="21">
        <v>6938</v>
      </c>
      <c r="B6939" s="7" t="s">
        <v>14632</v>
      </c>
      <c r="C6939" s="7" t="s">
        <v>14633</v>
      </c>
      <c r="G6939" s="8" t="s">
        <v>15</v>
      </c>
    </row>
    <row r="6940" spans="1:7" hidden="1" x14ac:dyDescent="0.25">
      <c r="A6940" s="21">
        <v>6939</v>
      </c>
      <c r="B6940" s="7" t="s">
        <v>14634</v>
      </c>
      <c r="C6940" s="7" t="s">
        <v>14635</v>
      </c>
      <c r="G6940" s="8" t="s">
        <v>15</v>
      </c>
    </row>
    <row r="6941" spans="1:7" hidden="1" x14ac:dyDescent="0.25">
      <c r="A6941" s="21">
        <v>6940</v>
      </c>
      <c r="B6941" s="7" t="s">
        <v>14636</v>
      </c>
      <c r="C6941" s="7" t="s">
        <v>14637</v>
      </c>
      <c r="G6941" s="8" t="s">
        <v>15</v>
      </c>
    </row>
    <row r="6942" spans="1:7" hidden="1" x14ac:dyDescent="0.25">
      <c r="A6942" s="21">
        <v>6941</v>
      </c>
      <c r="B6942" s="7" t="s">
        <v>14638</v>
      </c>
      <c r="C6942" s="7" t="s">
        <v>14639</v>
      </c>
      <c r="G6942" s="8" t="s">
        <v>15</v>
      </c>
    </row>
    <row r="6943" spans="1:7" hidden="1" x14ac:dyDescent="0.25">
      <c r="A6943" s="21">
        <v>6942</v>
      </c>
      <c r="B6943" s="7" t="s">
        <v>14640</v>
      </c>
      <c r="C6943" s="7" t="s">
        <v>14641</v>
      </c>
      <c r="G6943" s="8" t="s">
        <v>15</v>
      </c>
    </row>
    <row r="6944" spans="1:7" hidden="1" x14ac:dyDescent="0.25">
      <c r="A6944" s="21">
        <v>6943</v>
      </c>
      <c r="B6944" s="7" t="s">
        <v>14642</v>
      </c>
      <c r="C6944" s="7" t="s">
        <v>14643</v>
      </c>
      <c r="G6944" s="8" t="s">
        <v>15</v>
      </c>
    </row>
    <row r="6945" spans="1:7" hidden="1" x14ac:dyDescent="0.25">
      <c r="A6945" s="21">
        <v>6944</v>
      </c>
      <c r="B6945" s="7" t="s">
        <v>14644</v>
      </c>
      <c r="C6945" s="7" t="s">
        <v>14645</v>
      </c>
      <c r="G6945" s="8" t="s">
        <v>15</v>
      </c>
    </row>
    <row r="6946" spans="1:7" hidden="1" x14ac:dyDescent="0.25">
      <c r="A6946" s="21">
        <v>6945</v>
      </c>
      <c r="B6946" s="7" t="s">
        <v>14646</v>
      </c>
      <c r="C6946" s="7" t="s">
        <v>14647</v>
      </c>
      <c r="G6946" s="8" t="s">
        <v>15</v>
      </c>
    </row>
    <row r="6947" spans="1:7" hidden="1" x14ac:dyDescent="0.25">
      <c r="A6947" s="21">
        <v>6946</v>
      </c>
      <c r="B6947" s="7" t="s">
        <v>14648</v>
      </c>
      <c r="C6947" s="7" t="s">
        <v>14649</v>
      </c>
      <c r="G6947" s="8" t="s">
        <v>15</v>
      </c>
    </row>
    <row r="6948" spans="1:7" hidden="1" x14ac:dyDescent="0.25">
      <c r="A6948" s="21">
        <v>6947</v>
      </c>
      <c r="B6948" s="7" t="s">
        <v>14650</v>
      </c>
      <c r="C6948" s="7" t="s">
        <v>14651</v>
      </c>
      <c r="G6948" s="8" t="s">
        <v>15</v>
      </c>
    </row>
    <row r="6949" spans="1:7" hidden="1" x14ac:dyDescent="0.25">
      <c r="A6949" s="21">
        <v>6948</v>
      </c>
      <c r="B6949" s="7" t="s">
        <v>14652</v>
      </c>
      <c r="C6949" s="7" t="s">
        <v>14653</v>
      </c>
      <c r="G6949" s="8" t="s">
        <v>15</v>
      </c>
    </row>
    <row r="6950" spans="1:7" hidden="1" x14ac:dyDescent="0.25">
      <c r="A6950" s="21">
        <v>6949</v>
      </c>
      <c r="B6950" s="7" t="s">
        <v>14654</v>
      </c>
      <c r="C6950" s="7" t="s">
        <v>14655</v>
      </c>
      <c r="G6950" s="8" t="s">
        <v>15</v>
      </c>
    </row>
    <row r="6951" spans="1:7" hidden="1" x14ac:dyDescent="0.25">
      <c r="A6951" s="21">
        <v>6950</v>
      </c>
      <c r="B6951" s="7" t="s">
        <v>14656</v>
      </c>
      <c r="C6951" s="7" t="s">
        <v>14657</v>
      </c>
      <c r="G6951" s="8" t="s">
        <v>15</v>
      </c>
    </row>
    <row r="6952" spans="1:7" hidden="1" x14ac:dyDescent="0.25">
      <c r="A6952" s="21">
        <v>6951</v>
      </c>
      <c r="B6952" s="7" t="s">
        <v>14658</v>
      </c>
      <c r="C6952" s="7" t="s">
        <v>14659</v>
      </c>
      <c r="G6952" s="8" t="s">
        <v>15</v>
      </c>
    </row>
    <row r="6953" spans="1:7" hidden="1" x14ac:dyDescent="0.25">
      <c r="A6953" s="21">
        <v>6952</v>
      </c>
      <c r="B6953" s="7" t="s">
        <v>14660</v>
      </c>
      <c r="C6953" s="7" t="s">
        <v>14661</v>
      </c>
      <c r="G6953" s="8" t="s">
        <v>15</v>
      </c>
    </row>
    <row r="6954" spans="1:7" hidden="1" x14ac:dyDescent="0.25">
      <c r="A6954" s="21">
        <v>6953</v>
      </c>
      <c r="B6954" s="7" t="s">
        <v>14662</v>
      </c>
      <c r="C6954" s="7" t="s">
        <v>14663</v>
      </c>
      <c r="G6954" s="8" t="s">
        <v>15</v>
      </c>
    </row>
    <row r="6955" spans="1:7" hidden="1" x14ac:dyDescent="0.25">
      <c r="A6955" s="21">
        <v>6954</v>
      </c>
      <c r="B6955" s="7" t="s">
        <v>14664</v>
      </c>
      <c r="C6955" s="7" t="s">
        <v>14665</v>
      </c>
      <c r="G6955" s="8" t="s">
        <v>15</v>
      </c>
    </row>
    <row r="6956" spans="1:7" hidden="1" x14ac:dyDescent="0.25">
      <c r="A6956" s="21">
        <v>6955</v>
      </c>
      <c r="B6956" s="7" t="s">
        <v>14666</v>
      </c>
      <c r="C6956" s="7" t="s">
        <v>14667</v>
      </c>
      <c r="G6956" s="8" t="s">
        <v>15</v>
      </c>
    </row>
    <row r="6957" spans="1:7" hidden="1" x14ac:dyDescent="0.25">
      <c r="A6957" s="21">
        <v>6956</v>
      </c>
      <c r="B6957" s="7" t="s">
        <v>14668</v>
      </c>
      <c r="C6957" s="7" t="s">
        <v>14669</v>
      </c>
      <c r="G6957" s="8" t="s">
        <v>15</v>
      </c>
    </row>
    <row r="6958" spans="1:7" hidden="1" x14ac:dyDescent="0.25">
      <c r="A6958" s="21">
        <v>6957</v>
      </c>
      <c r="B6958" s="7" t="s">
        <v>14670</v>
      </c>
      <c r="C6958" s="7" t="s">
        <v>14671</v>
      </c>
      <c r="G6958" s="8" t="s">
        <v>15</v>
      </c>
    </row>
    <row r="6959" spans="1:7" hidden="1" x14ac:dyDescent="0.25">
      <c r="A6959" s="21">
        <v>6958</v>
      </c>
      <c r="B6959" s="7" t="s">
        <v>14672</v>
      </c>
      <c r="C6959" s="7" t="s">
        <v>14673</v>
      </c>
      <c r="G6959" s="8" t="s">
        <v>15</v>
      </c>
    </row>
    <row r="6960" spans="1:7" hidden="1" x14ac:dyDescent="0.25">
      <c r="A6960" s="21">
        <v>6959</v>
      </c>
      <c r="B6960" s="7" t="s">
        <v>14674</v>
      </c>
      <c r="C6960" s="7" t="s">
        <v>14675</v>
      </c>
      <c r="G6960" s="8" t="s">
        <v>15</v>
      </c>
    </row>
    <row r="6961" spans="1:7" hidden="1" x14ac:dyDescent="0.25">
      <c r="A6961" s="21">
        <v>6960</v>
      </c>
      <c r="B6961" s="7" t="s">
        <v>14676</v>
      </c>
      <c r="C6961" s="7" t="s">
        <v>14677</v>
      </c>
      <c r="G6961" s="8" t="s">
        <v>15</v>
      </c>
    </row>
    <row r="6962" spans="1:7" hidden="1" x14ac:dyDescent="0.25">
      <c r="A6962" s="21">
        <v>6961</v>
      </c>
      <c r="B6962" s="7" t="s">
        <v>14678</v>
      </c>
      <c r="C6962" s="7" t="s">
        <v>14679</v>
      </c>
      <c r="F6962" t="s">
        <v>1409</v>
      </c>
      <c r="G6962" s="8" t="s">
        <v>15</v>
      </c>
    </row>
    <row r="6963" spans="1:7" hidden="1" x14ac:dyDescent="0.25">
      <c r="A6963" s="21">
        <v>6962</v>
      </c>
      <c r="B6963" s="7" t="s">
        <v>14680</v>
      </c>
      <c r="C6963" s="7" t="s">
        <v>14681</v>
      </c>
      <c r="G6963" s="8" t="s">
        <v>15</v>
      </c>
    </row>
    <row r="6964" spans="1:7" hidden="1" x14ac:dyDescent="0.25">
      <c r="A6964" s="21">
        <v>6963</v>
      </c>
      <c r="B6964" s="7" t="s">
        <v>14682</v>
      </c>
      <c r="C6964" s="7" t="s">
        <v>14683</v>
      </c>
      <c r="G6964" s="8" t="s">
        <v>15</v>
      </c>
    </row>
    <row r="6965" spans="1:7" hidden="1" x14ac:dyDescent="0.25">
      <c r="A6965" s="21">
        <v>6964</v>
      </c>
      <c r="B6965" s="7" t="s">
        <v>14684</v>
      </c>
      <c r="C6965" s="7" t="s">
        <v>14685</v>
      </c>
      <c r="G6965" s="8" t="s">
        <v>15</v>
      </c>
    </row>
    <row r="6966" spans="1:7" hidden="1" x14ac:dyDescent="0.25">
      <c r="A6966" s="21">
        <v>6965</v>
      </c>
      <c r="B6966" s="7" t="s">
        <v>14686</v>
      </c>
      <c r="C6966" s="7" t="s">
        <v>14687</v>
      </c>
      <c r="G6966" s="8" t="s">
        <v>15</v>
      </c>
    </row>
    <row r="6967" spans="1:7" hidden="1" x14ac:dyDescent="0.25">
      <c r="A6967" s="21">
        <v>6966</v>
      </c>
      <c r="B6967" s="7" t="s">
        <v>14688</v>
      </c>
      <c r="C6967" s="7" t="s">
        <v>14689</v>
      </c>
      <c r="G6967" s="8" t="s">
        <v>15</v>
      </c>
    </row>
    <row r="6968" spans="1:7" hidden="1" x14ac:dyDescent="0.25">
      <c r="A6968" s="21">
        <v>6967</v>
      </c>
      <c r="B6968" s="7" t="s">
        <v>14690</v>
      </c>
      <c r="C6968" s="7" t="s">
        <v>14691</v>
      </c>
      <c r="G6968" s="8" t="s">
        <v>15</v>
      </c>
    </row>
    <row r="6969" spans="1:7" hidden="1" x14ac:dyDescent="0.25">
      <c r="A6969" s="21">
        <v>6968</v>
      </c>
      <c r="B6969" s="7" t="s">
        <v>14692</v>
      </c>
      <c r="C6969" s="7" t="s">
        <v>14693</v>
      </c>
      <c r="G6969" s="8" t="s">
        <v>15</v>
      </c>
    </row>
    <row r="6970" spans="1:7" hidden="1" x14ac:dyDescent="0.25">
      <c r="A6970" s="21">
        <v>6969</v>
      </c>
      <c r="B6970" s="7" t="s">
        <v>14694</v>
      </c>
      <c r="C6970" s="7" t="s">
        <v>14695</v>
      </c>
      <c r="G6970" s="8" t="s">
        <v>15</v>
      </c>
    </row>
    <row r="6971" spans="1:7" hidden="1" x14ac:dyDescent="0.25">
      <c r="A6971" s="21">
        <v>6970</v>
      </c>
      <c r="B6971" s="7" t="s">
        <v>14696</v>
      </c>
      <c r="C6971" s="7" t="s">
        <v>14697</v>
      </c>
      <c r="G6971" s="8" t="s">
        <v>15</v>
      </c>
    </row>
    <row r="6972" spans="1:7" hidden="1" x14ac:dyDescent="0.25">
      <c r="A6972" s="21">
        <v>6971</v>
      </c>
      <c r="B6972" s="7" t="s">
        <v>14698</v>
      </c>
      <c r="C6972" s="7" t="s">
        <v>14699</v>
      </c>
      <c r="G6972" s="8" t="s">
        <v>15</v>
      </c>
    </row>
    <row r="6973" spans="1:7" hidden="1" x14ac:dyDescent="0.25">
      <c r="A6973" s="21">
        <v>6972</v>
      </c>
      <c r="B6973" s="7" t="s">
        <v>14700</v>
      </c>
      <c r="C6973" s="7" t="s">
        <v>14701</v>
      </c>
      <c r="G6973" s="8" t="s">
        <v>15</v>
      </c>
    </row>
    <row r="6974" spans="1:7" hidden="1" x14ac:dyDescent="0.25">
      <c r="A6974" s="21">
        <v>6973</v>
      </c>
      <c r="B6974" s="7" t="s">
        <v>14702</v>
      </c>
      <c r="C6974" s="7" t="s">
        <v>14703</v>
      </c>
      <c r="G6974" s="8" t="s">
        <v>15</v>
      </c>
    </row>
    <row r="6975" spans="1:7" hidden="1" x14ac:dyDescent="0.25">
      <c r="A6975" s="21">
        <v>6974</v>
      </c>
      <c r="B6975" s="7" t="s">
        <v>14704</v>
      </c>
      <c r="C6975" s="7" t="s">
        <v>14705</v>
      </c>
      <c r="G6975" s="8" t="s">
        <v>15</v>
      </c>
    </row>
    <row r="6976" spans="1:7" hidden="1" x14ac:dyDescent="0.25">
      <c r="A6976" s="21">
        <v>6975</v>
      </c>
      <c r="B6976" s="7" t="s">
        <v>14706</v>
      </c>
      <c r="C6976" s="7" t="s">
        <v>14707</v>
      </c>
      <c r="G6976" s="8" t="s">
        <v>15</v>
      </c>
    </row>
    <row r="6977" spans="1:7" hidden="1" x14ac:dyDescent="0.25">
      <c r="A6977" s="21">
        <v>6976</v>
      </c>
      <c r="B6977" s="7" t="s">
        <v>14708</v>
      </c>
      <c r="C6977" s="7" t="s">
        <v>14709</v>
      </c>
      <c r="G6977" s="8" t="s">
        <v>15</v>
      </c>
    </row>
    <row r="6978" spans="1:7" hidden="1" x14ac:dyDescent="0.25">
      <c r="A6978" s="21">
        <v>6977</v>
      </c>
      <c r="B6978" s="7" t="s">
        <v>14710</v>
      </c>
      <c r="C6978" s="7" t="s">
        <v>14711</v>
      </c>
      <c r="G6978" s="8" t="s">
        <v>15</v>
      </c>
    </row>
    <row r="6979" spans="1:7" hidden="1" x14ac:dyDescent="0.25">
      <c r="A6979" s="21">
        <v>6978</v>
      </c>
      <c r="B6979" s="7" t="s">
        <v>14712</v>
      </c>
      <c r="C6979" s="7" t="s">
        <v>14713</v>
      </c>
      <c r="G6979" s="8" t="s">
        <v>15</v>
      </c>
    </row>
    <row r="6980" spans="1:7" hidden="1" x14ac:dyDescent="0.25">
      <c r="A6980" s="21">
        <v>6979</v>
      </c>
      <c r="B6980" s="7" t="s">
        <v>14714</v>
      </c>
      <c r="C6980" s="7" t="s">
        <v>14715</v>
      </c>
      <c r="G6980" s="8" t="s">
        <v>15</v>
      </c>
    </row>
    <row r="6981" spans="1:7" hidden="1" x14ac:dyDescent="0.25">
      <c r="A6981" s="21">
        <v>6980</v>
      </c>
      <c r="B6981" s="7" t="s">
        <v>14716</v>
      </c>
      <c r="C6981" s="7" t="s">
        <v>14717</v>
      </c>
      <c r="G6981" s="8" t="s">
        <v>15</v>
      </c>
    </row>
    <row r="6982" spans="1:7" hidden="1" x14ac:dyDescent="0.25">
      <c r="A6982" s="21">
        <v>6981</v>
      </c>
      <c r="B6982" s="7" t="s">
        <v>14718</v>
      </c>
      <c r="C6982" s="7" t="s">
        <v>14719</v>
      </c>
      <c r="G6982" s="8" t="s">
        <v>15</v>
      </c>
    </row>
    <row r="6983" spans="1:7" hidden="1" x14ac:dyDescent="0.25">
      <c r="A6983" s="21">
        <v>6982</v>
      </c>
      <c r="B6983" s="7" t="s">
        <v>14720</v>
      </c>
      <c r="C6983" s="7" t="s">
        <v>14721</v>
      </c>
      <c r="G6983" s="8" t="s">
        <v>15</v>
      </c>
    </row>
    <row r="6984" spans="1:7" hidden="1" x14ac:dyDescent="0.25">
      <c r="A6984" s="21">
        <v>6983</v>
      </c>
      <c r="B6984" s="7" t="s">
        <v>14722</v>
      </c>
      <c r="C6984" s="7" t="s">
        <v>14723</v>
      </c>
      <c r="G6984" s="8" t="s">
        <v>15</v>
      </c>
    </row>
    <row r="6985" spans="1:7" hidden="1" x14ac:dyDescent="0.25">
      <c r="A6985" s="21">
        <v>6984</v>
      </c>
      <c r="B6985" s="7" t="s">
        <v>14724</v>
      </c>
      <c r="C6985" s="7" t="s">
        <v>14725</v>
      </c>
      <c r="G6985" s="8" t="s">
        <v>15</v>
      </c>
    </row>
    <row r="6986" spans="1:7" hidden="1" x14ac:dyDescent="0.25">
      <c r="A6986" s="21">
        <v>6985</v>
      </c>
      <c r="B6986" s="7" t="s">
        <v>14726</v>
      </c>
      <c r="C6986" s="7" t="s">
        <v>14727</v>
      </c>
      <c r="G6986" s="8" t="s">
        <v>15</v>
      </c>
    </row>
    <row r="6987" spans="1:7" hidden="1" x14ac:dyDescent="0.25">
      <c r="A6987" s="21">
        <v>6986</v>
      </c>
      <c r="B6987" s="7" t="s">
        <v>14728</v>
      </c>
      <c r="C6987" s="7" t="s">
        <v>14729</v>
      </c>
      <c r="G6987" s="8" t="s">
        <v>15</v>
      </c>
    </row>
    <row r="6988" spans="1:7" hidden="1" x14ac:dyDescent="0.25">
      <c r="A6988" s="21">
        <v>6987</v>
      </c>
      <c r="B6988" s="7" t="s">
        <v>14730</v>
      </c>
      <c r="C6988" s="7" t="s">
        <v>14731</v>
      </c>
      <c r="G6988" s="8" t="s">
        <v>15</v>
      </c>
    </row>
    <row r="6989" spans="1:7" hidden="1" x14ac:dyDescent="0.25">
      <c r="A6989" s="21">
        <v>6988</v>
      </c>
      <c r="B6989" s="7" t="s">
        <v>14732</v>
      </c>
      <c r="C6989" s="7" t="s">
        <v>14733</v>
      </c>
      <c r="G6989" s="8" t="s">
        <v>15</v>
      </c>
    </row>
    <row r="6990" spans="1:7" hidden="1" x14ac:dyDescent="0.25">
      <c r="A6990" s="21">
        <v>6989</v>
      </c>
      <c r="B6990" s="7" t="s">
        <v>14734</v>
      </c>
      <c r="C6990" s="7" t="s">
        <v>14735</v>
      </c>
      <c r="G6990" s="8" t="s">
        <v>15</v>
      </c>
    </row>
    <row r="6991" spans="1:7" hidden="1" x14ac:dyDescent="0.25">
      <c r="A6991" s="21">
        <v>6990</v>
      </c>
      <c r="B6991" s="7" t="s">
        <v>14736</v>
      </c>
      <c r="C6991" s="7" t="s">
        <v>14737</v>
      </c>
      <c r="G6991" s="8" t="s">
        <v>15</v>
      </c>
    </row>
    <row r="6992" spans="1:7" hidden="1" x14ac:dyDescent="0.25">
      <c r="A6992" s="21">
        <v>6991</v>
      </c>
      <c r="B6992" s="7" t="s">
        <v>14738</v>
      </c>
      <c r="C6992" s="7" t="s">
        <v>14739</v>
      </c>
      <c r="G6992" s="8" t="s">
        <v>15</v>
      </c>
    </row>
    <row r="6993" spans="1:7" hidden="1" x14ac:dyDescent="0.25">
      <c r="A6993" s="21">
        <v>6992</v>
      </c>
      <c r="B6993" s="7" t="s">
        <v>14740</v>
      </c>
      <c r="C6993" s="7" t="s">
        <v>14741</v>
      </c>
      <c r="G6993" s="8" t="s">
        <v>15</v>
      </c>
    </row>
    <row r="6994" spans="1:7" hidden="1" x14ac:dyDescent="0.25">
      <c r="A6994" s="21">
        <v>6993</v>
      </c>
      <c r="B6994" s="7" t="s">
        <v>14742</v>
      </c>
      <c r="C6994" s="7" t="s">
        <v>14743</v>
      </c>
      <c r="G6994" s="8" t="s">
        <v>15</v>
      </c>
    </row>
    <row r="6995" spans="1:7" hidden="1" x14ac:dyDescent="0.25">
      <c r="A6995" s="21">
        <v>6994</v>
      </c>
      <c r="B6995" s="7" t="s">
        <v>14744</v>
      </c>
      <c r="C6995" s="7" t="s">
        <v>14745</v>
      </c>
      <c r="G6995" s="8" t="s">
        <v>15</v>
      </c>
    </row>
    <row r="6996" spans="1:7" hidden="1" x14ac:dyDescent="0.25">
      <c r="A6996" s="21">
        <v>6995</v>
      </c>
      <c r="B6996" s="7" t="s">
        <v>14746</v>
      </c>
      <c r="C6996" s="7" t="s">
        <v>14747</v>
      </c>
      <c r="G6996" s="8" t="s">
        <v>15</v>
      </c>
    </row>
    <row r="6997" spans="1:7" hidden="1" x14ac:dyDescent="0.25">
      <c r="A6997" s="21">
        <v>6996</v>
      </c>
      <c r="B6997" s="7" t="s">
        <v>14748</v>
      </c>
      <c r="C6997" s="7" t="s">
        <v>14749</v>
      </c>
      <c r="G6997" s="8" t="s">
        <v>15</v>
      </c>
    </row>
    <row r="6998" spans="1:7" hidden="1" x14ac:dyDescent="0.25">
      <c r="A6998" s="21">
        <v>6997</v>
      </c>
      <c r="B6998" s="7" t="s">
        <v>14750</v>
      </c>
      <c r="C6998" s="7" t="s">
        <v>14751</v>
      </c>
      <c r="G6998" s="8" t="s">
        <v>15</v>
      </c>
    </row>
    <row r="6999" spans="1:7" hidden="1" x14ac:dyDescent="0.25">
      <c r="A6999" s="21">
        <v>6998</v>
      </c>
      <c r="B6999" s="7" t="s">
        <v>14752</v>
      </c>
      <c r="C6999" s="7" t="s">
        <v>14753</v>
      </c>
      <c r="G6999" s="8" t="s">
        <v>15</v>
      </c>
    </row>
    <row r="7000" spans="1:7" hidden="1" x14ac:dyDescent="0.25">
      <c r="A7000" s="21">
        <v>6999</v>
      </c>
      <c r="B7000" s="7" t="s">
        <v>14754</v>
      </c>
      <c r="C7000" s="7" t="s">
        <v>14755</v>
      </c>
      <c r="G7000" s="8" t="s">
        <v>15</v>
      </c>
    </row>
    <row r="7001" spans="1:7" hidden="1" x14ac:dyDescent="0.25">
      <c r="A7001" s="21">
        <v>7000</v>
      </c>
      <c r="B7001" s="7" t="s">
        <v>14756</v>
      </c>
      <c r="C7001" s="7" t="s">
        <v>14757</v>
      </c>
      <c r="G7001" s="8" t="s">
        <v>15</v>
      </c>
    </row>
    <row r="7002" spans="1:7" hidden="1" x14ac:dyDescent="0.25">
      <c r="A7002" s="21">
        <v>7001</v>
      </c>
      <c r="B7002" s="7" t="s">
        <v>14758</v>
      </c>
      <c r="C7002" s="7" t="s">
        <v>14759</v>
      </c>
      <c r="G7002" s="8" t="s">
        <v>15</v>
      </c>
    </row>
    <row r="7003" spans="1:7" hidden="1" x14ac:dyDescent="0.25">
      <c r="A7003" s="21">
        <v>7002</v>
      </c>
      <c r="B7003" s="7" t="s">
        <v>14760</v>
      </c>
      <c r="C7003" s="7" t="s">
        <v>14761</v>
      </c>
      <c r="G7003" s="8" t="s">
        <v>15</v>
      </c>
    </row>
    <row r="7004" spans="1:7" hidden="1" x14ac:dyDescent="0.25">
      <c r="A7004" s="21">
        <v>7003</v>
      </c>
      <c r="B7004" s="7" t="s">
        <v>14762</v>
      </c>
      <c r="C7004" s="7" t="s">
        <v>14763</v>
      </c>
      <c r="G7004" s="8" t="s">
        <v>15</v>
      </c>
    </row>
    <row r="7005" spans="1:7" hidden="1" x14ac:dyDescent="0.25">
      <c r="A7005" s="21">
        <v>7004</v>
      </c>
      <c r="B7005" s="7" t="s">
        <v>14764</v>
      </c>
      <c r="C7005" s="7" t="s">
        <v>14765</v>
      </c>
      <c r="G7005" s="8" t="s">
        <v>15</v>
      </c>
    </row>
    <row r="7006" spans="1:7" hidden="1" x14ac:dyDescent="0.25">
      <c r="A7006" s="21">
        <v>7005</v>
      </c>
      <c r="B7006" s="7" t="s">
        <v>14766</v>
      </c>
      <c r="C7006" s="7" t="s">
        <v>14767</v>
      </c>
      <c r="G7006" s="8" t="s">
        <v>15</v>
      </c>
    </row>
    <row r="7007" spans="1:7" hidden="1" x14ac:dyDescent="0.25">
      <c r="A7007" s="21">
        <v>7006</v>
      </c>
      <c r="B7007" s="7" t="s">
        <v>14768</v>
      </c>
      <c r="C7007" s="7" t="s">
        <v>14769</v>
      </c>
      <c r="G7007" s="8" t="s">
        <v>15</v>
      </c>
    </row>
    <row r="7008" spans="1:7" hidden="1" x14ac:dyDescent="0.25">
      <c r="A7008" s="21">
        <v>7007</v>
      </c>
      <c r="B7008" s="7" t="s">
        <v>14770</v>
      </c>
      <c r="C7008" s="7" t="s">
        <v>14771</v>
      </c>
      <c r="G7008" s="8" t="s">
        <v>15</v>
      </c>
    </row>
    <row r="7009" spans="1:7" hidden="1" x14ac:dyDescent="0.25">
      <c r="A7009" s="21">
        <v>7008</v>
      </c>
      <c r="B7009" s="7" t="s">
        <v>14772</v>
      </c>
      <c r="C7009" s="7" t="s">
        <v>14773</v>
      </c>
      <c r="G7009" s="8" t="s">
        <v>15</v>
      </c>
    </row>
    <row r="7010" spans="1:7" hidden="1" x14ac:dyDescent="0.25">
      <c r="A7010" s="21">
        <v>7009</v>
      </c>
      <c r="B7010" s="7" t="s">
        <v>14774</v>
      </c>
      <c r="C7010" s="7" t="s">
        <v>14775</v>
      </c>
      <c r="F7010" t="s">
        <v>1603</v>
      </c>
      <c r="G7010" s="8" t="s">
        <v>15</v>
      </c>
    </row>
    <row r="7011" spans="1:7" hidden="1" x14ac:dyDescent="0.25">
      <c r="A7011" s="21">
        <v>7010</v>
      </c>
      <c r="B7011" s="7" t="s">
        <v>14776</v>
      </c>
      <c r="C7011" s="7" t="s">
        <v>14777</v>
      </c>
      <c r="F7011" t="s">
        <v>1603</v>
      </c>
      <c r="G7011" s="8" t="s">
        <v>15</v>
      </c>
    </row>
    <row r="7012" spans="1:7" hidden="1" x14ac:dyDescent="0.25">
      <c r="A7012" s="21">
        <v>7011</v>
      </c>
      <c r="B7012" s="7" t="s">
        <v>14778</v>
      </c>
      <c r="C7012" s="7" t="s">
        <v>14779</v>
      </c>
      <c r="G7012" s="8" t="s">
        <v>15</v>
      </c>
    </row>
    <row r="7013" spans="1:7" hidden="1" x14ac:dyDescent="0.25">
      <c r="A7013" s="21">
        <v>7012</v>
      </c>
      <c r="B7013" s="7" t="s">
        <v>14780</v>
      </c>
      <c r="C7013" s="7" t="s">
        <v>14781</v>
      </c>
      <c r="G7013" s="8" t="s">
        <v>15</v>
      </c>
    </row>
    <row r="7014" spans="1:7" hidden="1" x14ac:dyDescent="0.25">
      <c r="A7014" s="21">
        <v>7013</v>
      </c>
      <c r="B7014" s="7" t="s">
        <v>14782</v>
      </c>
      <c r="C7014" s="7" t="s">
        <v>14783</v>
      </c>
      <c r="G7014" s="8" t="s">
        <v>15</v>
      </c>
    </row>
    <row r="7015" spans="1:7" hidden="1" x14ac:dyDescent="0.25">
      <c r="A7015" s="21">
        <v>7014</v>
      </c>
      <c r="B7015" s="7" t="s">
        <v>14784</v>
      </c>
      <c r="C7015" s="7" t="s">
        <v>14785</v>
      </c>
      <c r="G7015" s="8" t="s">
        <v>15</v>
      </c>
    </row>
    <row r="7016" spans="1:7" hidden="1" x14ac:dyDescent="0.25">
      <c r="A7016" s="21">
        <v>7015</v>
      </c>
      <c r="B7016" s="7" t="s">
        <v>14786</v>
      </c>
      <c r="C7016" s="7" t="s">
        <v>14787</v>
      </c>
      <c r="G7016" s="8" t="s">
        <v>15</v>
      </c>
    </row>
    <row r="7017" spans="1:7" hidden="1" x14ac:dyDescent="0.25">
      <c r="A7017" s="21">
        <v>7016</v>
      </c>
      <c r="B7017" s="7" t="s">
        <v>14788</v>
      </c>
      <c r="C7017" s="7" t="s">
        <v>14789</v>
      </c>
      <c r="G7017" s="8" t="s">
        <v>15</v>
      </c>
    </row>
    <row r="7018" spans="1:7" hidden="1" x14ac:dyDescent="0.25">
      <c r="A7018" s="21">
        <v>7017</v>
      </c>
      <c r="B7018" s="7" t="s">
        <v>14790</v>
      </c>
      <c r="C7018" s="7" t="s">
        <v>14791</v>
      </c>
      <c r="G7018" s="8" t="s">
        <v>15</v>
      </c>
    </row>
    <row r="7019" spans="1:7" hidden="1" x14ac:dyDescent="0.25">
      <c r="A7019" s="21">
        <v>7018</v>
      </c>
      <c r="B7019" s="7" t="s">
        <v>14792</v>
      </c>
      <c r="C7019" s="7" t="s">
        <v>14793</v>
      </c>
      <c r="G7019" s="8" t="s">
        <v>15</v>
      </c>
    </row>
    <row r="7020" spans="1:7" hidden="1" x14ac:dyDescent="0.25">
      <c r="A7020" s="21">
        <v>7019</v>
      </c>
      <c r="B7020" s="7" t="s">
        <v>14794</v>
      </c>
      <c r="C7020" s="7" t="s">
        <v>14795</v>
      </c>
      <c r="G7020" s="8" t="s">
        <v>15</v>
      </c>
    </row>
    <row r="7021" spans="1:7" hidden="1" x14ac:dyDescent="0.25">
      <c r="A7021" s="21">
        <v>7020</v>
      </c>
      <c r="B7021" s="7" t="s">
        <v>14796</v>
      </c>
      <c r="C7021" s="7" t="s">
        <v>14797</v>
      </c>
      <c r="G7021" s="8" t="s">
        <v>15</v>
      </c>
    </row>
    <row r="7022" spans="1:7" hidden="1" x14ac:dyDescent="0.25">
      <c r="A7022" s="21">
        <v>7021</v>
      </c>
      <c r="B7022" s="7" t="s">
        <v>14798</v>
      </c>
      <c r="C7022" s="7" t="s">
        <v>14799</v>
      </c>
      <c r="G7022" s="8" t="s">
        <v>15</v>
      </c>
    </row>
    <row r="7023" spans="1:7" hidden="1" x14ac:dyDescent="0.25">
      <c r="A7023" s="21">
        <v>7022</v>
      </c>
      <c r="B7023" s="7" t="s">
        <v>14800</v>
      </c>
      <c r="C7023" s="7" t="s">
        <v>14801</v>
      </c>
      <c r="G7023" s="8" t="s">
        <v>15</v>
      </c>
    </row>
    <row r="7024" spans="1:7" hidden="1" x14ac:dyDescent="0.25">
      <c r="A7024" s="21">
        <v>7023</v>
      </c>
      <c r="B7024" s="7" t="s">
        <v>14802</v>
      </c>
      <c r="C7024" s="7" t="s">
        <v>14803</v>
      </c>
      <c r="G7024" s="8" t="s">
        <v>15</v>
      </c>
    </row>
    <row r="7025" spans="1:7" hidden="1" x14ac:dyDescent="0.25">
      <c r="A7025" s="21">
        <v>7024</v>
      </c>
      <c r="B7025" s="7" t="s">
        <v>14804</v>
      </c>
      <c r="C7025" s="7" t="s">
        <v>14805</v>
      </c>
      <c r="G7025" s="8" t="s">
        <v>15</v>
      </c>
    </row>
    <row r="7026" spans="1:7" hidden="1" x14ac:dyDescent="0.25">
      <c r="A7026" s="21">
        <v>7025</v>
      </c>
      <c r="B7026" s="7" t="s">
        <v>14806</v>
      </c>
      <c r="C7026" s="7" t="s">
        <v>14807</v>
      </c>
      <c r="G7026" s="8" t="s">
        <v>15</v>
      </c>
    </row>
    <row r="7027" spans="1:7" hidden="1" x14ac:dyDescent="0.25">
      <c r="A7027" s="21">
        <v>7026</v>
      </c>
      <c r="B7027" s="7" t="s">
        <v>14808</v>
      </c>
      <c r="C7027" s="7" t="s">
        <v>14809</v>
      </c>
      <c r="G7027" s="8" t="s">
        <v>15</v>
      </c>
    </row>
    <row r="7028" spans="1:7" hidden="1" x14ac:dyDescent="0.25">
      <c r="A7028" s="21">
        <v>7027</v>
      </c>
      <c r="B7028" s="7" t="s">
        <v>14810</v>
      </c>
      <c r="C7028" s="7" t="s">
        <v>14811</v>
      </c>
      <c r="G7028" s="8" t="s">
        <v>15</v>
      </c>
    </row>
    <row r="7029" spans="1:7" hidden="1" x14ac:dyDescent="0.25">
      <c r="A7029" s="21">
        <v>7028</v>
      </c>
      <c r="B7029" s="7" t="s">
        <v>14812</v>
      </c>
      <c r="C7029" s="7" t="s">
        <v>14813</v>
      </c>
      <c r="G7029" s="8" t="s">
        <v>15</v>
      </c>
    </row>
    <row r="7030" spans="1:7" hidden="1" x14ac:dyDescent="0.25">
      <c r="A7030" s="21">
        <v>7029</v>
      </c>
      <c r="B7030" s="7" t="s">
        <v>14814</v>
      </c>
      <c r="C7030" s="7" t="s">
        <v>14815</v>
      </c>
      <c r="G7030" s="8" t="s">
        <v>15</v>
      </c>
    </row>
    <row r="7031" spans="1:7" hidden="1" x14ac:dyDescent="0.25">
      <c r="A7031" s="21">
        <v>7030</v>
      </c>
      <c r="B7031" s="7" t="s">
        <v>14816</v>
      </c>
      <c r="C7031" s="7" t="s">
        <v>14817</v>
      </c>
      <c r="G7031" s="8" t="s">
        <v>15</v>
      </c>
    </row>
    <row r="7032" spans="1:7" hidden="1" x14ac:dyDescent="0.25">
      <c r="A7032" s="21">
        <v>7031</v>
      </c>
      <c r="B7032" s="7" t="s">
        <v>14818</v>
      </c>
      <c r="C7032" s="7" t="s">
        <v>14819</v>
      </c>
      <c r="G7032" s="8" t="s">
        <v>15</v>
      </c>
    </row>
    <row r="7033" spans="1:7" hidden="1" x14ac:dyDescent="0.25">
      <c r="A7033" s="21">
        <v>7032</v>
      </c>
      <c r="B7033" s="7" t="s">
        <v>14820</v>
      </c>
      <c r="C7033" s="7" t="s">
        <v>14821</v>
      </c>
      <c r="G7033" s="8" t="s">
        <v>15</v>
      </c>
    </row>
    <row r="7034" spans="1:7" hidden="1" x14ac:dyDescent="0.25">
      <c r="A7034" s="21">
        <v>7033</v>
      </c>
      <c r="B7034" s="7" t="s">
        <v>14822</v>
      </c>
      <c r="C7034" s="7" t="s">
        <v>14823</v>
      </c>
      <c r="G7034" s="8" t="s">
        <v>15</v>
      </c>
    </row>
    <row r="7035" spans="1:7" hidden="1" x14ac:dyDescent="0.25">
      <c r="A7035" s="21">
        <v>7034</v>
      </c>
      <c r="B7035" s="7" t="s">
        <v>14824</v>
      </c>
      <c r="C7035" s="7" t="s">
        <v>14825</v>
      </c>
      <c r="G7035" s="8" t="s">
        <v>15</v>
      </c>
    </row>
    <row r="7036" spans="1:7" hidden="1" x14ac:dyDescent="0.25">
      <c r="A7036" s="21">
        <v>7035</v>
      </c>
      <c r="B7036" s="7" t="s">
        <v>14826</v>
      </c>
      <c r="C7036" s="7" t="s">
        <v>14827</v>
      </c>
      <c r="G7036" s="8" t="s">
        <v>15</v>
      </c>
    </row>
    <row r="7037" spans="1:7" hidden="1" x14ac:dyDescent="0.25">
      <c r="A7037" s="21">
        <v>7036</v>
      </c>
      <c r="B7037" s="7" t="s">
        <v>14828</v>
      </c>
      <c r="C7037" s="7" t="s">
        <v>14829</v>
      </c>
      <c r="G7037" s="8" t="s">
        <v>15</v>
      </c>
    </row>
    <row r="7038" spans="1:7" hidden="1" x14ac:dyDescent="0.25">
      <c r="A7038" s="21">
        <v>7037</v>
      </c>
      <c r="B7038" s="7" t="s">
        <v>14830</v>
      </c>
      <c r="C7038" s="7" t="s">
        <v>14831</v>
      </c>
      <c r="G7038" s="8" t="s">
        <v>15</v>
      </c>
    </row>
    <row r="7039" spans="1:7" hidden="1" x14ac:dyDescent="0.25">
      <c r="A7039" s="21">
        <v>7038</v>
      </c>
      <c r="B7039" s="7" t="s">
        <v>14832</v>
      </c>
      <c r="C7039" s="7" t="s">
        <v>14833</v>
      </c>
      <c r="G7039" s="8" t="s">
        <v>15</v>
      </c>
    </row>
    <row r="7040" spans="1:7" hidden="1" x14ac:dyDescent="0.25">
      <c r="A7040" s="21">
        <v>7039</v>
      </c>
      <c r="B7040" s="7" t="s">
        <v>14834</v>
      </c>
      <c r="C7040" s="7" t="s">
        <v>14835</v>
      </c>
      <c r="G7040" s="8" t="s">
        <v>15</v>
      </c>
    </row>
    <row r="7041" spans="1:7" hidden="1" x14ac:dyDescent="0.25">
      <c r="A7041" s="21">
        <v>7040</v>
      </c>
      <c r="B7041" s="7" t="s">
        <v>14836</v>
      </c>
      <c r="C7041" s="7" t="s">
        <v>14837</v>
      </c>
      <c r="G7041" s="8" t="s">
        <v>15</v>
      </c>
    </row>
    <row r="7042" spans="1:7" hidden="1" x14ac:dyDescent="0.25">
      <c r="A7042" s="21">
        <v>7041</v>
      </c>
      <c r="B7042" s="7" t="s">
        <v>14838</v>
      </c>
      <c r="C7042" s="7" t="s">
        <v>14839</v>
      </c>
      <c r="G7042" s="8" t="s">
        <v>15</v>
      </c>
    </row>
    <row r="7043" spans="1:7" hidden="1" x14ac:dyDescent="0.25">
      <c r="A7043" s="21">
        <v>7042</v>
      </c>
      <c r="B7043" s="7" t="s">
        <v>14840</v>
      </c>
      <c r="C7043" s="7" t="s">
        <v>14841</v>
      </c>
      <c r="G7043" s="8" t="s">
        <v>15</v>
      </c>
    </row>
    <row r="7044" spans="1:7" hidden="1" x14ac:dyDescent="0.25">
      <c r="A7044" s="21">
        <v>7043</v>
      </c>
      <c r="B7044" s="7" t="s">
        <v>14842</v>
      </c>
      <c r="C7044" s="7" t="s">
        <v>14843</v>
      </c>
      <c r="G7044" s="8" t="s">
        <v>15</v>
      </c>
    </row>
    <row r="7045" spans="1:7" hidden="1" x14ac:dyDescent="0.25">
      <c r="A7045" s="21">
        <v>7044</v>
      </c>
      <c r="B7045" s="7" t="s">
        <v>14844</v>
      </c>
      <c r="C7045" s="7" t="s">
        <v>14845</v>
      </c>
      <c r="G7045" s="8" t="s">
        <v>15</v>
      </c>
    </row>
    <row r="7046" spans="1:7" hidden="1" x14ac:dyDescent="0.25">
      <c r="A7046" s="21">
        <v>7045</v>
      </c>
      <c r="B7046" s="7" t="s">
        <v>14846</v>
      </c>
      <c r="C7046" s="7" t="s">
        <v>14847</v>
      </c>
      <c r="G7046" s="8" t="s">
        <v>15</v>
      </c>
    </row>
    <row r="7047" spans="1:7" hidden="1" x14ac:dyDescent="0.25">
      <c r="A7047" s="21">
        <v>7046</v>
      </c>
      <c r="B7047" s="7" t="s">
        <v>14848</v>
      </c>
      <c r="C7047" s="7" t="s">
        <v>14849</v>
      </c>
      <c r="G7047" s="8" t="s">
        <v>15</v>
      </c>
    </row>
    <row r="7048" spans="1:7" hidden="1" x14ac:dyDescent="0.25">
      <c r="A7048" s="21">
        <v>7047</v>
      </c>
      <c r="B7048" s="7" t="s">
        <v>14850</v>
      </c>
      <c r="C7048" s="7" t="s">
        <v>14851</v>
      </c>
      <c r="G7048" s="8" t="s">
        <v>15</v>
      </c>
    </row>
    <row r="7049" spans="1:7" hidden="1" x14ac:dyDescent="0.25">
      <c r="A7049" s="21">
        <v>7048</v>
      </c>
      <c r="B7049" s="7" t="s">
        <v>14852</v>
      </c>
      <c r="C7049" s="7" t="s">
        <v>14853</v>
      </c>
      <c r="G7049" s="8" t="s">
        <v>15</v>
      </c>
    </row>
    <row r="7050" spans="1:7" hidden="1" x14ac:dyDescent="0.25">
      <c r="A7050" s="21">
        <v>7049</v>
      </c>
      <c r="B7050" s="7" t="s">
        <v>14854</v>
      </c>
      <c r="C7050" s="7" t="s">
        <v>14855</v>
      </c>
      <c r="G7050" s="8" t="s">
        <v>15</v>
      </c>
    </row>
    <row r="7051" spans="1:7" hidden="1" x14ac:dyDescent="0.25">
      <c r="A7051" s="21">
        <v>7050</v>
      </c>
      <c r="B7051" s="7" t="s">
        <v>14856</v>
      </c>
      <c r="C7051" s="7" t="s">
        <v>14857</v>
      </c>
      <c r="G7051" s="8" t="s">
        <v>15</v>
      </c>
    </row>
    <row r="7052" spans="1:7" hidden="1" x14ac:dyDescent="0.25">
      <c r="A7052" s="21">
        <v>7051</v>
      </c>
      <c r="B7052" s="7" t="s">
        <v>14858</v>
      </c>
      <c r="C7052" s="7" t="s">
        <v>14859</v>
      </c>
      <c r="G7052" s="8" t="s">
        <v>15</v>
      </c>
    </row>
    <row r="7053" spans="1:7" hidden="1" x14ac:dyDescent="0.25">
      <c r="A7053" s="21">
        <v>7052</v>
      </c>
      <c r="B7053" s="7" t="s">
        <v>14860</v>
      </c>
      <c r="C7053" s="7" t="s">
        <v>14861</v>
      </c>
      <c r="G7053" s="8" t="s">
        <v>15</v>
      </c>
    </row>
    <row r="7054" spans="1:7" hidden="1" x14ac:dyDescent="0.25">
      <c r="A7054" s="21">
        <v>7053</v>
      </c>
      <c r="B7054" s="7" t="s">
        <v>14862</v>
      </c>
      <c r="C7054" s="7" t="s">
        <v>14863</v>
      </c>
      <c r="G7054" s="8" t="s">
        <v>15</v>
      </c>
    </row>
    <row r="7055" spans="1:7" hidden="1" x14ac:dyDescent="0.25">
      <c r="A7055" s="21">
        <v>7054</v>
      </c>
      <c r="B7055" s="7" t="s">
        <v>14864</v>
      </c>
      <c r="C7055" s="7" t="s">
        <v>14865</v>
      </c>
      <c r="G7055" s="8" t="s">
        <v>15</v>
      </c>
    </row>
    <row r="7056" spans="1:7" hidden="1" x14ac:dyDescent="0.25">
      <c r="A7056" s="21">
        <v>7055</v>
      </c>
      <c r="B7056" s="7" t="s">
        <v>14866</v>
      </c>
      <c r="C7056" s="7" t="s">
        <v>14867</v>
      </c>
      <c r="G7056" s="8" t="s">
        <v>15</v>
      </c>
    </row>
    <row r="7057" spans="1:7" hidden="1" x14ac:dyDescent="0.25">
      <c r="A7057" s="21">
        <v>7056</v>
      </c>
      <c r="B7057" s="7" t="s">
        <v>14868</v>
      </c>
      <c r="C7057" s="7" t="s">
        <v>14869</v>
      </c>
      <c r="G7057" s="8" t="s">
        <v>15</v>
      </c>
    </row>
    <row r="7058" spans="1:7" hidden="1" x14ac:dyDescent="0.25">
      <c r="A7058" s="21">
        <v>7057</v>
      </c>
      <c r="B7058" s="7" t="s">
        <v>14870</v>
      </c>
      <c r="C7058" s="7" t="s">
        <v>14871</v>
      </c>
      <c r="G7058" s="8" t="s">
        <v>15</v>
      </c>
    </row>
    <row r="7059" spans="1:7" hidden="1" x14ac:dyDescent="0.25">
      <c r="A7059" s="21">
        <v>7058</v>
      </c>
      <c r="B7059" s="7" t="s">
        <v>14872</v>
      </c>
      <c r="C7059" s="7" t="s">
        <v>14873</v>
      </c>
      <c r="G7059" s="8" t="s">
        <v>15</v>
      </c>
    </row>
    <row r="7060" spans="1:7" hidden="1" x14ac:dyDescent="0.25">
      <c r="A7060" s="21">
        <v>7059</v>
      </c>
      <c r="B7060" s="7" t="s">
        <v>14874</v>
      </c>
      <c r="C7060" s="7" t="s">
        <v>14875</v>
      </c>
      <c r="F7060" t="s">
        <v>59</v>
      </c>
      <c r="G7060" s="8" t="s">
        <v>15</v>
      </c>
    </row>
    <row r="7061" spans="1:7" hidden="1" x14ac:dyDescent="0.25">
      <c r="A7061" s="21">
        <v>7060</v>
      </c>
      <c r="B7061" s="7" t="s">
        <v>14876</v>
      </c>
      <c r="C7061" s="7" t="s">
        <v>14877</v>
      </c>
      <c r="G7061" s="8" t="s">
        <v>15</v>
      </c>
    </row>
    <row r="7062" spans="1:7" hidden="1" x14ac:dyDescent="0.25">
      <c r="A7062" s="21">
        <v>7061</v>
      </c>
      <c r="B7062" s="7" t="s">
        <v>14878</v>
      </c>
      <c r="C7062" s="7" t="s">
        <v>14879</v>
      </c>
      <c r="G7062" s="8" t="s">
        <v>15</v>
      </c>
    </row>
    <row r="7063" spans="1:7" hidden="1" x14ac:dyDescent="0.25">
      <c r="A7063" s="21">
        <v>7062</v>
      </c>
      <c r="B7063" s="7" t="s">
        <v>14880</v>
      </c>
      <c r="C7063" s="7" t="s">
        <v>14881</v>
      </c>
      <c r="G7063" s="8" t="s">
        <v>15</v>
      </c>
    </row>
    <row r="7064" spans="1:7" hidden="1" x14ac:dyDescent="0.25">
      <c r="A7064" s="21">
        <v>7063</v>
      </c>
      <c r="B7064" s="7" t="s">
        <v>14882</v>
      </c>
      <c r="C7064" s="7" t="s">
        <v>14883</v>
      </c>
      <c r="G7064" s="8" t="s">
        <v>15</v>
      </c>
    </row>
    <row r="7065" spans="1:7" hidden="1" x14ac:dyDescent="0.25">
      <c r="A7065" s="21">
        <v>7064</v>
      </c>
      <c r="B7065" s="7" t="s">
        <v>14884</v>
      </c>
      <c r="C7065" s="7" t="s">
        <v>14885</v>
      </c>
      <c r="F7065" s="8" t="s">
        <v>253</v>
      </c>
      <c r="G7065" s="8" t="s">
        <v>15</v>
      </c>
    </row>
    <row r="7066" spans="1:7" hidden="1" x14ac:dyDescent="0.25">
      <c r="A7066" s="21">
        <v>7065</v>
      </c>
      <c r="B7066" s="7" t="s">
        <v>14886</v>
      </c>
      <c r="C7066" s="7" t="s">
        <v>14887</v>
      </c>
      <c r="G7066" s="8" t="s">
        <v>15</v>
      </c>
    </row>
    <row r="7067" spans="1:7" hidden="1" x14ac:dyDescent="0.25">
      <c r="A7067" s="21">
        <v>7066</v>
      </c>
      <c r="B7067" s="7" t="s">
        <v>14888</v>
      </c>
      <c r="C7067" s="7" t="s">
        <v>14889</v>
      </c>
      <c r="G7067" s="8" t="s">
        <v>15</v>
      </c>
    </row>
    <row r="7068" spans="1:7" hidden="1" x14ac:dyDescent="0.25">
      <c r="A7068" s="21">
        <v>7067</v>
      </c>
      <c r="B7068" s="7" t="s">
        <v>14890</v>
      </c>
      <c r="C7068" s="7" t="s">
        <v>14891</v>
      </c>
      <c r="G7068" s="8" t="s">
        <v>15</v>
      </c>
    </row>
    <row r="7069" spans="1:7" hidden="1" x14ac:dyDescent="0.25">
      <c r="A7069" s="21">
        <v>7068</v>
      </c>
      <c r="B7069" s="7" t="s">
        <v>14892</v>
      </c>
      <c r="C7069" s="7" t="s">
        <v>14893</v>
      </c>
      <c r="G7069" s="8" t="s">
        <v>15</v>
      </c>
    </row>
    <row r="7070" spans="1:7" hidden="1" x14ac:dyDescent="0.25">
      <c r="A7070" s="21">
        <v>7069</v>
      </c>
      <c r="B7070" s="7" t="s">
        <v>14894</v>
      </c>
      <c r="C7070" s="7" t="s">
        <v>14895</v>
      </c>
      <c r="G7070" s="8" t="s">
        <v>15</v>
      </c>
    </row>
    <row r="7071" spans="1:7" hidden="1" x14ac:dyDescent="0.25">
      <c r="A7071" s="21">
        <v>7070</v>
      </c>
      <c r="B7071" s="7" t="s">
        <v>14896</v>
      </c>
      <c r="C7071" s="7" t="s">
        <v>14897</v>
      </c>
      <c r="G7071" s="8" t="s">
        <v>15</v>
      </c>
    </row>
    <row r="7072" spans="1:7" hidden="1" x14ac:dyDescent="0.25">
      <c r="A7072" s="21">
        <v>7071</v>
      </c>
      <c r="B7072" s="7" t="s">
        <v>14898</v>
      </c>
      <c r="C7072" s="7" t="s">
        <v>14899</v>
      </c>
      <c r="G7072" s="8" t="s">
        <v>15</v>
      </c>
    </row>
    <row r="7073" spans="1:7" hidden="1" x14ac:dyDescent="0.25">
      <c r="A7073" s="21">
        <v>7072</v>
      </c>
      <c r="B7073" s="7" t="s">
        <v>14900</v>
      </c>
      <c r="C7073" s="7" t="s">
        <v>14901</v>
      </c>
      <c r="G7073" s="8" t="s">
        <v>15</v>
      </c>
    </row>
    <row r="7074" spans="1:7" hidden="1" x14ac:dyDescent="0.25">
      <c r="A7074" s="21">
        <v>7073</v>
      </c>
      <c r="B7074" s="7" t="s">
        <v>14902</v>
      </c>
      <c r="C7074" s="7" t="s">
        <v>14903</v>
      </c>
      <c r="G7074" s="8" t="s">
        <v>15</v>
      </c>
    </row>
    <row r="7075" spans="1:7" hidden="1" x14ac:dyDescent="0.25">
      <c r="A7075" s="21">
        <v>7074</v>
      </c>
      <c r="B7075" s="7" t="s">
        <v>14904</v>
      </c>
      <c r="C7075" s="7" t="s">
        <v>14905</v>
      </c>
      <c r="G7075" s="8" t="s">
        <v>15</v>
      </c>
    </row>
    <row r="7076" spans="1:7" hidden="1" x14ac:dyDescent="0.25">
      <c r="A7076" s="21">
        <v>7075</v>
      </c>
      <c r="B7076" s="7" t="s">
        <v>14906</v>
      </c>
      <c r="C7076" s="7" t="s">
        <v>14907</v>
      </c>
      <c r="G7076" s="8" t="s">
        <v>15</v>
      </c>
    </row>
    <row r="7077" spans="1:7" hidden="1" x14ac:dyDescent="0.25">
      <c r="A7077" s="21">
        <v>7076</v>
      </c>
      <c r="B7077" s="7" t="s">
        <v>14908</v>
      </c>
      <c r="C7077" s="7" t="s">
        <v>14909</v>
      </c>
      <c r="G7077" s="8" t="s">
        <v>15</v>
      </c>
    </row>
    <row r="7078" spans="1:7" hidden="1" x14ac:dyDescent="0.25">
      <c r="A7078" s="21">
        <v>7077</v>
      </c>
      <c r="B7078" s="7" t="s">
        <v>14910</v>
      </c>
      <c r="C7078" s="7" t="s">
        <v>14911</v>
      </c>
      <c r="G7078" s="8" t="s">
        <v>15</v>
      </c>
    </row>
    <row r="7079" spans="1:7" hidden="1" x14ac:dyDescent="0.25">
      <c r="A7079" s="21">
        <v>7078</v>
      </c>
      <c r="B7079" s="7" t="s">
        <v>14912</v>
      </c>
      <c r="C7079" s="7" t="s">
        <v>14913</v>
      </c>
      <c r="G7079" s="8" t="s">
        <v>15</v>
      </c>
    </row>
    <row r="7080" spans="1:7" hidden="1" x14ac:dyDescent="0.25">
      <c r="A7080" s="21">
        <v>7079</v>
      </c>
      <c r="B7080" s="7" t="s">
        <v>14914</v>
      </c>
      <c r="C7080" s="7" t="s">
        <v>14915</v>
      </c>
      <c r="G7080" s="8" t="s">
        <v>15</v>
      </c>
    </row>
    <row r="7081" spans="1:7" hidden="1" x14ac:dyDescent="0.25">
      <c r="A7081" s="21">
        <v>7080</v>
      </c>
      <c r="B7081" s="7" t="s">
        <v>14916</v>
      </c>
      <c r="C7081" s="7" t="s">
        <v>14917</v>
      </c>
      <c r="G7081" s="8" t="s">
        <v>15</v>
      </c>
    </row>
    <row r="7082" spans="1:7" hidden="1" x14ac:dyDescent="0.25">
      <c r="A7082" s="21">
        <v>7081</v>
      </c>
      <c r="B7082" s="7" t="s">
        <v>14918</v>
      </c>
      <c r="C7082" s="7" t="s">
        <v>14919</v>
      </c>
      <c r="G7082" s="8" t="s">
        <v>15</v>
      </c>
    </row>
    <row r="7083" spans="1:7" hidden="1" x14ac:dyDescent="0.25">
      <c r="A7083" s="21">
        <v>7082</v>
      </c>
      <c r="B7083" s="7" t="s">
        <v>14920</v>
      </c>
      <c r="C7083" s="7" t="s">
        <v>14921</v>
      </c>
      <c r="G7083" s="8" t="s">
        <v>15</v>
      </c>
    </row>
    <row r="7084" spans="1:7" hidden="1" x14ac:dyDescent="0.25">
      <c r="A7084" s="21">
        <v>7083</v>
      </c>
      <c r="B7084" s="7" t="s">
        <v>14922</v>
      </c>
      <c r="C7084" s="7" t="s">
        <v>14923</v>
      </c>
      <c r="F7084" s="8" t="s">
        <v>886</v>
      </c>
      <c r="G7084" s="8" t="s">
        <v>15</v>
      </c>
    </row>
    <row r="7085" spans="1:7" hidden="1" x14ac:dyDescent="0.25">
      <c r="A7085" s="21">
        <v>7084</v>
      </c>
      <c r="B7085" s="7" t="s">
        <v>14924</v>
      </c>
      <c r="C7085" s="7" t="s">
        <v>14925</v>
      </c>
      <c r="G7085" s="8" t="s">
        <v>15</v>
      </c>
    </row>
    <row r="7086" spans="1:7" hidden="1" x14ac:dyDescent="0.25">
      <c r="A7086" s="21">
        <v>7085</v>
      </c>
      <c r="B7086" s="7" t="s">
        <v>14926</v>
      </c>
      <c r="C7086" s="7" t="s">
        <v>14927</v>
      </c>
      <c r="G7086" s="8" t="s">
        <v>15</v>
      </c>
    </row>
    <row r="7087" spans="1:7" hidden="1" x14ac:dyDescent="0.25">
      <c r="A7087" s="21">
        <v>7086</v>
      </c>
      <c r="B7087" s="7" t="s">
        <v>14928</v>
      </c>
      <c r="C7087" s="7" t="s">
        <v>14929</v>
      </c>
      <c r="G7087" s="8" t="s">
        <v>15</v>
      </c>
    </row>
    <row r="7088" spans="1:7" hidden="1" x14ac:dyDescent="0.25">
      <c r="A7088" s="21">
        <v>7087</v>
      </c>
      <c r="B7088" s="7" t="s">
        <v>14930</v>
      </c>
      <c r="C7088" s="7" t="s">
        <v>14931</v>
      </c>
      <c r="G7088" s="8" t="s">
        <v>15</v>
      </c>
    </row>
    <row r="7089" spans="1:7" hidden="1" x14ac:dyDescent="0.25">
      <c r="A7089" s="21">
        <v>7088</v>
      </c>
      <c r="B7089" s="7" t="s">
        <v>14932</v>
      </c>
      <c r="C7089" s="7" t="s">
        <v>14933</v>
      </c>
      <c r="G7089" s="8" t="s">
        <v>15</v>
      </c>
    </row>
    <row r="7090" spans="1:7" hidden="1" x14ac:dyDescent="0.25">
      <c r="A7090" s="21">
        <v>7089</v>
      </c>
      <c r="B7090" s="7" t="s">
        <v>14934</v>
      </c>
      <c r="C7090" s="7" t="s">
        <v>14935</v>
      </c>
      <c r="G7090" s="8" t="s">
        <v>15</v>
      </c>
    </row>
    <row r="7091" spans="1:7" hidden="1" x14ac:dyDescent="0.25">
      <c r="A7091" s="21">
        <v>7090</v>
      </c>
      <c r="B7091" s="7" t="s">
        <v>14936</v>
      </c>
      <c r="C7091" s="7" t="s">
        <v>14937</v>
      </c>
      <c r="G7091" s="8" t="s">
        <v>15</v>
      </c>
    </row>
    <row r="7092" spans="1:7" hidden="1" x14ac:dyDescent="0.25">
      <c r="A7092" s="21">
        <v>7091</v>
      </c>
      <c r="B7092" s="7" t="s">
        <v>14938</v>
      </c>
      <c r="C7092" s="7" t="s">
        <v>14939</v>
      </c>
      <c r="G7092" s="8" t="s">
        <v>15</v>
      </c>
    </row>
    <row r="7093" spans="1:7" x14ac:dyDescent="0.25">
      <c r="A7093" s="21">
        <v>7092</v>
      </c>
      <c r="B7093" s="7" t="s">
        <v>14940</v>
      </c>
      <c r="C7093" s="7" t="s">
        <v>14941</v>
      </c>
      <c r="G7093" s="8" t="s">
        <v>15</v>
      </c>
    </row>
    <row r="7094" spans="1:7" hidden="1" x14ac:dyDescent="0.25">
      <c r="A7094" s="21">
        <v>7093</v>
      </c>
      <c r="B7094" s="7" t="s">
        <v>14942</v>
      </c>
      <c r="C7094" s="7" t="s">
        <v>14943</v>
      </c>
      <c r="G7094" s="8" t="s">
        <v>15</v>
      </c>
    </row>
    <row r="7095" spans="1:7" hidden="1" x14ac:dyDescent="0.25">
      <c r="A7095" s="21">
        <v>7094</v>
      </c>
      <c r="B7095" s="7" t="s">
        <v>14944</v>
      </c>
      <c r="C7095" s="7" t="s">
        <v>14945</v>
      </c>
      <c r="G7095" s="8" t="s">
        <v>15</v>
      </c>
    </row>
    <row r="7096" spans="1:7" hidden="1" x14ac:dyDescent="0.25">
      <c r="A7096" s="21">
        <v>7095</v>
      </c>
      <c r="B7096" s="7" t="s">
        <v>14946</v>
      </c>
      <c r="C7096" s="7" t="s">
        <v>14947</v>
      </c>
      <c r="G7096" s="8" t="s">
        <v>15</v>
      </c>
    </row>
    <row r="7097" spans="1:7" hidden="1" x14ac:dyDescent="0.25">
      <c r="A7097" s="21">
        <v>7096</v>
      </c>
      <c r="B7097" s="7" t="s">
        <v>14948</v>
      </c>
      <c r="C7097" s="7" t="s">
        <v>14949</v>
      </c>
      <c r="G7097" s="8" t="s">
        <v>15</v>
      </c>
    </row>
    <row r="7098" spans="1:7" hidden="1" x14ac:dyDescent="0.25">
      <c r="A7098" s="21">
        <v>7097</v>
      </c>
      <c r="B7098" s="7" t="s">
        <v>14950</v>
      </c>
      <c r="C7098" s="7" t="s">
        <v>14951</v>
      </c>
      <c r="G7098" s="8" t="s">
        <v>15</v>
      </c>
    </row>
    <row r="7099" spans="1:7" hidden="1" x14ac:dyDescent="0.25">
      <c r="A7099" s="21">
        <v>7098</v>
      </c>
      <c r="B7099" s="7" t="s">
        <v>14952</v>
      </c>
      <c r="C7099" s="7" t="s">
        <v>14953</v>
      </c>
      <c r="G7099" s="8" t="s">
        <v>15</v>
      </c>
    </row>
    <row r="7100" spans="1:7" hidden="1" x14ac:dyDescent="0.25">
      <c r="A7100" s="21">
        <v>7099</v>
      </c>
      <c r="B7100" s="7" t="s">
        <v>14954</v>
      </c>
      <c r="C7100" s="7" t="s">
        <v>14955</v>
      </c>
      <c r="G7100" s="8" t="s">
        <v>15</v>
      </c>
    </row>
    <row r="7101" spans="1:7" hidden="1" x14ac:dyDescent="0.25">
      <c r="A7101" s="21">
        <v>7100</v>
      </c>
      <c r="B7101" s="7" t="s">
        <v>14956</v>
      </c>
      <c r="C7101" s="7" t="s">
        <v>14957</v>
      </c>
      <c r="G7101" s="8" t="s">
        <v>15</v>
      </c>
    </row>
    <row r="7102" spans="1:7" hidden="1" x14ac:dyDescent="0.25">
      <c r="A7102" s="21">
        <v>7101</v>
      </c>
      <c r="B7102" s="7" t="s">
        <v>14958</v>
      </c>
      <c r="C7102" s="7" t="s">
        <v>14959</v>
      </c>
      <c r="G7102" s="8" t="s">
        <v>15</v>
      </c>
    </row>
    <row r="7103" spans="1:7" hidden="1" x14ac:dyDescent="0.25">
      <c r="A7103" s="21">
        <v>7102</v>
      </c>
      <c r="B7103" s="7" t="s">
        <v>14960</v>
      </c>
      <c r="C7103" s="7" t="s">
        <v>14961</v>
      </c>
      <c r="G7103" s="8" t="s">
        <v>15</v>
      </c>
    </row>
    <row r="7104" spans="1:7" hidden="1" x14ac:dyDescent="0.25">
      <c r="A7104" s="21">
        <v>7103</v>
      </c>
      <c r="B7104" s="7" t="s">
        <v>14962</v>
      </c>
      <c r="C7104" s="7" t="s">
        <v>14963</v>
      </c>
      <c r="G7104" s="8" t="s">
        <v>15</v>
      </c>
    </row>
    <row r="7105" spans="1:7" hidden="1" x14ac:dyDescent="0.25">
      <c r="A7105" s="21">
        <v>7104</v>
      </c>
      <c r="B7105" s="7" t="s">
        <v>14964</v>
      </c>
      <c r="C7105" s="7" t="s">
        <v>14965</v>
      </c>
      <c r="G7105" s="8" t="s">
        <v>15</v>
      </c>
    </row>
    <row r="7106" spans="1:7" hidden="1" x14ac:dyDescent="0.25">
      <c r="A7106" s="21">
        <v>7105</v>
      </c>
      <c r="B7106" s="7" t="s">
        <v>14966</v>
      </c>
      <c r="C7106" s="7" t="s">
        <v>14967</v>
      </c>
      <c r="G7106" s="8" t="s">
        <v>15</v>
      </c>
    </row>
    <row r="7107" spans="1:7" hidden="1" x14ac:dyDescent="0.25">
      <c r="A7107" s="21">
        <v>7106</v>
      </c>
      <c r="B7107" s="7" t="s">
        <v>14968</v>
      </c>
      <c r="C7107" s="7" t="s">
        <v>14969</v>
      </c>
      <c r="G7107" s="8" t="s">
        <v>15</v>
      </c>
    </row>
    <row r="7108" spans="1:7" hidden="1" x14ac:dyDescent="0.25">
      <c r="A7108" s="21">
        <v>7107</v>
      </c>
      <c r="B7108" s="7" t="s">
        <v>14970</v>
      </c>
      <c r="C7108" s="7" t="s">
        <v>14971</v>
      </c>
      <c r="G7108" s="8" t="s">
        <v>15</v>
      </c>
    </row>
    <row r="7109" spans="1:7" hidden="1" x14ac:dyDescent="0.25">
      <c r="A7109" s="21">
        <v>7108</v>
      </c>
      <c r="B7109" s="7" t="s">
        <v>14972</v>
      </c>
      <c r="C7109" s="7" t="s">
        <v>14973</v>
      </c>
      <c r="G7109" s="8" t="s">
        <v>15</v>
      </c>
    </row>
    <row r="7110" spans="1:7" hidden="1" x14ac:dyDescent="0.25">
      <c r="A7110" s="21">
        <v>7109</v>
      </c>
      <c r="B7110" s="7" t="s">
        <v>14974</v>
      </c>
      <c r="C7110" s="7" t="s">
        <v>14975</v>
      </c>
      <c r="G7110" s="8" t="s">
        <v>15</v>
      </c>
    </row>
    <row r="7111" spans="1:7" hidden="1" x14ac:dyDescent="0.25">
      <c r="A7111" s="21">
        <v>7110</v>
      </c>
      <c r="B7111" s="7" t="s">
        <v>14976</v>
      </c>
      <c r="C7111" s="7" t="s">
        <v>14977</v>
      </c>
      <c r="G7111" s="8" t="s">
        <v>15</v>
      </c>
    </row>
    <row r="7112" spans="1:7" hidden="1" x14ac:dyDescent="0.25">
      <c r="A7112" s="21">
        <v>7111</v>
      </c>
      <c r="B7112" s="7" t="s">
        <v>14978</v>
      </c>
      <c r="C7112" s="7" t="s">
        <v>14979</v>
      </c>
      <c r="G7112" s="8" t="s">
        <v>15</v>
      </c>
    </row>
    <row r="7113" spans="1:7" hidden="1" x14ac:dyDescent="0.25">
      <c r="A7113" s="21">
        <v>7112</v>
      </c>
      <c r="B7113" s="7" t="s">
        <v>14980</v>
      </c>
      <c r="C7113" s="7" t="s">
        <v>14981</v>
      </c>
      <c r="G7113" s="8" t="s">
        <v>15</v>
      </c>
    </row>
    <row r="7114" spans="1:7" hidden="1" x14ac:dyDescent="0.25">
      <c r="A7114" s="21">
        <v>7113</v>
      </c>
      <c r="B7114" s="7" t="s">
        <v>14982</v>
      </c>
      <c r="C7114" s="7" t="s">
        <v>14983</v>
      </c>
      <c r="G7114" s="8" t="s">
        <v>15</v>
      </c>
    </row>
    <row r="7115" spans="1:7" hidden="1" x14ac:dyDescent="0.25">
      <c r="A7115" s="21">
        <v>7114</v>
      </c>
      <c r="B7115" s="7" t="s">
        <v>14984</v>
      </c>
      <c r="C7115" s="7" t="s">
        <v>14985</v>
      </c>
      <c r="G7115" s="8" t="s">
        <v>15</v>
      </c>
    </row>
    <row r="7116" spans="1:7" hidden="1" x14ac:dyDescent="0.25">
      <c r="A7116" s="21">
        <v>7115</v>
      </c>
      <c r="B7116" s="7" t="s">
        <v>14986</v>
      </c>
      <c r="C7116" s="7" t="s">
        <v>14987</v>
      </c>
      <c r="G7116" s="8" t="s">
        <v>15</v>
      </c>
    </row>
    <row r="7117" spans="1:7" hidden="1" x14ac:dyDescent="0.25">
      <c r="A7117" s="21">
        <v>7116</v>
      </c>
      <c r="B7117" s="7" t="s">
        <v>14988</v>
      </c>
      <c r="C7117" s="7" t="s">
        <v>14989</v>
      </c>
      <c r="G7117" s="8" t="s">
        <v>15</v>
      </c>
    </row>
    <row r="7118" spans="1:7" hidden="1" x14ac:dyDescent="0.25">
      <c r="A7118" s="21">
        <v>7117</v>
      </c>
      <c r="B7118" s="7" t="s">
        <v>14990</v>
      </c>
      <c r="C7118" s="7" t="s">
        <v>14991</v>
      </c>
      <c r="G7118" s="8" t="s">
        <v>15</v>
      </c>
    </row>
    <row r="7119" spans="1:7" hidden="1" x14ac:dyDescent="0.25">
      <c r="A7119" s="21">
        <v>7118</v>
      </c>
      <c r="B7119" s="7" t="s">
        <v>14992</v>
      </c>
      <c r="C7119" s="7" t="s">
        <v>14993</v>
      </c>
      <c r="G7119" s="8" t="s">
        <v>15</v>
      </c>
    </row>
    <row r="7120" spans="1:7" hidden="1" x14ac:dyDescent="0.25">
      <c r="A7120" s="21">
        <v>7119</v>
      </c>
      <c r="B7120" s="7" t="s">
        <v>14994</v>
      </c>
      <c r="C7120" s="7" t="s">
        <v>14995</v>
      </c>
      <c r="G7120" s="8" t="s">
        <v>15</v>
      </c>
    </row>
    <row r="7121" spans="1:7" hidden="1" x14ac:dyDescent="0.25">
      <c r="A7121" s="21">
        <v>7120</v>
      </c>
      <c r="B7121" s="7" t="s">
        <v>14996</v>
      </c>
      <c r="C7121" s="7" t="s">
        <v>14997</v>
      </c>
      <c r="G7121" s="8" t="s">
        <v>15</v>
      </c>
    </row>
    <row r="7122" spans="1:7" hidden="1" x14ac:dyDescent="0.25">
      <c r="A7122" s="21">
        <v>7121</v>
      </c>
      <c r="B7122" s="7" t="s">
        <v>14998</v>
      </c>
      <c r="C7122" s="7" t="s">
        <v>14999</v>
      </c>
      <c r="G7122" s="8" t="s">
        <v>15</v>
      </c>
    </row>
    <row r="7123" spans="1:7" hidden="1" x14ac:dyDescent="0.25">
      <c r="A7123" s="21">
        <v>7122</v>
      </c>
      <c r="B7123" s="7" t="s">
        <v>15000</v>
      </c>
      <c r="C7123" s="7" t="s">
        <v>15001</v>
      </c>
      <c r="G7123" s="8" t="s">
        <v>15</v>
      </c>
    </row>
    <row r="7124" spans="1:7" hidden="1" x14ac:dyDescent="0.25">
      <c r="A7124" s="21">
        <v>7123</v>
      </c>
      <c r="B7124" s="7" t="s">
        <v>15002</v>
      </c>
      <c r="C7124" s="7" t="s">
        <v>15003</v>
      </c>
      <c r="G7124" s="8" t="s">
        <v>15</v>
      </c>
    </row>
    <row r="7125" spans="1:7" hidden="1" x14ac:dyDescent="0.25">
      <c r="A7125" s="21">
        <v>7124</v>
      </c>
      <c r="B7125" s="7" t="s">
        <v>15004</v>
      </c>
      <c r="C7125" s="7" t="s">
        <v>15005</v>
      </c>
      <c r="G7125" s="8" t="s">
        <v>15</v>
      </c>
    </row>
    <row r="7126" spans="1:7" hidden="1" x14ac:dyDescent="0.25">
      <c r="A7126" s="21">
        <v>7125</v>
      </c>
      <c r="B7126" s="7" t="s">
        <v>15006</v>
      </c>
      <c r="C7126" s="7" t="s">
        <v>15007</v>
      </c>
      <c r="G7126" s="8" t="s">
        <v>15</v>
      </c>
    </row>
    <row r="7127" spans="1:7" hidden="1" x14ac:dyDescent="0.25">
      <c r="A7127" s="21">
        <v>7126</v>
      </c>
      <c r="B7127" s="7" t="s">
        <v>15008</v>
      </c>
      <c r="C7127" s="7" t="s">
        <v>15009</v>
      </c>
      <c r="G7127" s="8" t="s">
        <v>15</v>
      </c>
    </row>
    <row r="7128" spans="1:7" hidden="1" x14ac:dyDescent="0.25">
      <c r="A7128" s="21">
        <v>7127</v>
      </c>
      <c r="B7128" s="7" t="s">
        <v>15010</v>
      </c>
      <c r="C7128" s="7" t="s">
        <v>15011</v>
      </c>
      <c r="G7128" s="8" t="s">
        <v>15</v>
      </c>
    </row>
    <row r="7129" spans="1:7" hidden="1" x14ac:dyDescent="0.25">
      <c r="A7129" s="21">
        <v>7128</v>
      </c>
      <c r="B7129" s="7" t="s">
        <v>15012</v>
      </c>
      <c r="C7129" s="7" t="s">
        <v>15013</v>
      </c>
      <c r="G7129" s="8" t="s">
        <v>15</v>
      </c>
    </row>
    <row r="7130" spans="1:7" hidden="1" x14ac:dyDescent="0.25">
      <c r="A7130" s="21">
        <v>7129</v>
      </c>
      <c r="B7130" s="7" t="s">
        <v>15014</v>
      </c>
      <c r="C7130" s="7" t="s">
        <v>15015</v>
      </c>
      <c r="G7130" s="8" t="s">
        <v>15</v>
      </c>
    </row>
    <row r="7131" spans="1:7" hidden="1" x14ac:dyDescent="0.25">
      <c r="A7131" s="21">
        <v>7130</v>
      </c>
      <c r="B7131" s="7" t="s">
        <v>15016</v>
      </c>
      <c r="C7131" s="7" t="s">
        <v>15017</v>
      </c>
      <c r="G7131" s="8" t="s">
        <v>15</v>
      </c>
    </row>
    <row r="7132" spans="1:7" hidden="1" x14ac:dyDescent="0.25">
      <c r="A7132" s="21">
        <v>7131</v>
      </c>
      <c r="B7132" s="7" t="s">
        <v>15018</v>
      </c>
      <c r="C7132" s="7" t="s">
        <v>15019</v>
      </c>
      <c r="G7132" s="8" t="s">
        <v>15</v>
      </c>
    </row>
    <row r="7133" spans="1:7" hidden="1" x14ac:dyDescent="0.25">
      <c r="A7133" s="21">
        <v>7132</v>
      </c>
      <c r="B7133" s="7" t="s">
        <v>15020</v>
      </c>
      <c r="C7133" s="7" t="s">
        <v>15021</v>
      </c>
      <c r="G7133" s="8" t="s">
        <v>15</v>
      </c>
    </row>
    <row r="7134" spans="1:7" hidden="1" x14ac:dyDescent="0.25">
      <c r="A7134" s="21">
        <v>7133</v>
      </c>
      <c r="B7134" s="7" t="s">
        <v>15022</v>
      </c>
      <c r="C7134" s="7" t="s">
        <v>15023</v>
      </c>
      <c r="G7134" s="8" t="s">
        <v>15</v>
      </c>
    </row>
    <row r="7135" spans="1:7" hidden="1" x14ac:dyDescent="0.25">
      <c r="A7135" s="21">
        <v>7134</v>
      </c>
      <c r="B7135" s="7" t="s">
        <v>15024</v>
      </c>
      <c r="C7135" s="7" t="s">
        <v>15025</v>
      </c>
      <c r="G7135" s="8" t="s">
        <v>15</v>
      </c>
    </row>
    <row r="7136" spans="1:7" hidden="1" x14ac:dyDescent="0.25">
      <c r="A7136" s="21">
        <v>7135</v>
      </c>
      <c r="B7136" s="7" t="s">
        <v>15026</v>
      </c>
      <c r="C7136" s="7" t="s">
        <v>15027</v>
      </c>
      <c r="G7136" s="8" t="s">
        <v>15</v>
      </c>
    </row>
    <row r="7137" spans="1:7" hidden="1" x14ac:dyDescent="0.25">
      <c r="A7137" s="21">
        <v>7136</v>
      </c>
      <c r="B7137" s="7" t="s">
        <v>15028</v>
      </c>
      <c r="C7137" s="7" t="s">
        <v>15029</v>
      </c>
      <c r="G7137" s="8" t="s">
        <v>15</v>
      </c>
    </row>
    <row r="7138" spans="1:7" hidden="1" x14ac:dyDescent="0.25">
      <c r="A7138" s="21">
        <v>7137</v>
      </c>
      <c r="B7138" s="7" t="s">
        <v>15030</v>
      </c>
      <c r="C7138" s="7" t="s">
        <v>15031</v>
      </c>
      <c r="G7138" s="8" t="s">
        <v>15</v>
      </c>
    </row>
    <row r="7139" spans="1:7" hidden="1" x14ac:dyDescent="0.25">
      <c r="A7139" s="21">
        <v>7138</v>
      </c>
      <c r="B7139" s="7" t="s">
        <v>15032</v>
      </c>
      <c r="C7139" s="7" t="s">
        <v>15033</v>
      </c>
      <c r="G7139" s="8" t="s">
        <v>15</v>
      </c>
    </row>
    <row r="7140" spans="1:7" hidden="1" x14ac:dyDescent="0.25">
      <c r="A7140" s="21">
        <v>7139</v>
      </c>
      <c r="B7140" s="7" t="s">
        <v>15034</v>
      </c>
      <c r="C7140" s="7" t="s">
        <v>15035</v>
      </c>
      <c r="G7140" s="8" t="s">
        <v>15</v>
      </c>
    </row>
    <row r="7141" spans="1:7" hidden="1" x14ac:dyDescent="0.25">
      <c r="A7141" s="21">
        <v>7140</v>
      </c>
      <c r="B7141" s="7" t="s">
        <v>15036</v>
      </c>
      <c r="C7141" s="7" t="s">
        <v>15037</v>
      </c>
      <c r="G7141" s="8" t="s">
        <v>15</v>
      </c>
    </row>
    <row r="7142" spans="1:7" hidden="1" x14ac:dyDescent="0.25">
      <c r="A7142" s="21">
        <v>7141</v>
      </c>
      <c r="B7142" s="7" t="s">
        <v>15038</v>
      </c>
      <c r="C7142" s="7" t="s">
        <v>15039</v>
      </c>
      <c r="G7142" s="8" t="s">
        <v>15</v>
      </c>
    </row>
    <row r="7143" spans="1:7" hidden="1" x14ac:dyDescent="0.25">
      <c r="A7143" s="21">
        <v>7142</v>
      </c>
      <c r="B7143" s="7" t="s">
        <v>15040</v>
      </c>
      <c r="C7143" s="7" t="s">
        <v>15041</v>
      </c>
      <c r="G7143" s="8" t="s">
        <v>15</v>
      </c>
    </row>
    <row r="7144" spans="1:7" hidden="1" x14ac:dyDescent="0.25">
      <c r="A7144" s="21">
        <v>7143</v>
      </c>
      <c r="B7144" s="7" t="s">
        <v>15042</v>
      </c>
      <c r="C7144" s="7" t="s">
        <v>15043</v>
      </c>
      <c r="G7144" s="8" t="s">
        <v>15</v>
      </c>
    </row>
    <row r="7145" spans="1:7" hidden="1" x14ac:dyDescent="0.25">
      <c r="A7145" s="21">
        <v>7144</v>
      </c>
      <c r="B7145" s="7" t="s">
        <v>15044</v>
      </c>
      <c r="C7145" s="7" t="s">
        <v>15045</v>
      </c>
      <c r="G7145" s="8" t="s">
        <v>15</v>
      </c>
    </row>
    <row r="7146" spans="1:7" hidden="1" x14ac:dyDescent="0.25">
      <c r="A7146" s="21">
        <v>7145</v>
      </c>
      <c r="B7146" s="7" t="s">
        <v>15046</v>
      </c>
      <c r="C7146" s="7" t="s">
        <v>15047</v>
      </c>
      <c r="G7146" s="8" t="s">
        <v>15</v>
      </c>
    </row>
    <row r="7147" spans="1:7" hidden="1" x14ac:dyDescent="0.25">
      <c r="A7147" s="21">
        <v>7146</v>
      </c>
      <c r="B7147" s="7" t="s">
        <v>15048</v>
      </c>
      <c r="C7147" s="7" t="s">
        <v>15049</v>
      </c>
      <c r="G7147" s="8" t="s">
        <v>15</v>
      </c>
    </row>
    <row r="7148" spans="1:7" hidden="1" x14ac:dyDescent="0.25">
      <c r="A7148" s="21">
        <v>7147</v>
      </c>
      <c r="B7148" s="7" t="s">
        <v>15050</v>
      </c>
      <c r="C7148" s="7" t="s">
        <v>15051</v>
      </c>
      <c r="F7148" t="s">
        <v>1522</v>
      </c>
      <c r="G7148" s="8" t="s">
        <v>15</v>
      </c>
    </row>
    <row r="7149" spans="1:7" hidden="1" x14ac:dyDescent="0.25">
      <c r="A7149" s="21">
        <v>7148</v>
      </c>
      <c r="B7149" s="7" t="s">
        <v>15052</v>
      </c>
      <c r="C7149" s="7" t="s">
        <v>15053</v>
      </c>
      <c r="G7149" s="8" t="s">
        <v>15</v>
      </c>
    </row>
    <row r="7150" spans="1:7" hidden="1" x14ac:dyDescent="0.25">
      <c r="A7150" s="21">
        <v>7149</v>
      </c>
      <c r="B7150" s="7" t="s">
        <v>15054</v>
      </c>
      <c r="C7150" s="7" t="s">
        <v>15055</v>
      </c>
      <c r="G7150" s="8" t="s">
        <v>15</v>
      </c>
    </row>
    <row r="7151" spans="1:7" hidden="1" x14ac:dyDescent="0.25">
      <c r="A7151" s="21">
        <v>7150</v>
      </c>
      <c r="B7151" s="7" t="s">
        <v>15056</v>
      </c>
      <c r="C7151" s="7" t="s">
        <v>15057</v>
      </c>
      <c r="G7151" s="8" t="s">
        <v>15</v>
      </c>
    </row>
    <row r="7152" spans="1:7" hidden="1" x14ac:dyDescent="0.25">
      <c r="A7152" s="21">
        <v>7151</v>
      </c>
      <c r="B7152" s="7" t="s">
        <v>15058</v>
      </c>
      <c r="C7152" s="7" t="s">
        <v>15059</v>
      </c>
      <c r="G7152" s="8" t="s">
        <v>15</v>
      </c>
    </row>
    <row r="7153" spans="1:7" hidden="1" x14ac:dyDescent="0.25">
      <c r="A7153" s="21">
        <v>7152</v>
      </c>
      <c r="B7153" s="7" t="s">
        <v>15060</v>
      </c>
      <c r="C7153" s="7" t="s">
        <v>15061</v>
      </c>
      <c r="G7153" s="8" t="s">
        <v>15</v>
      </c>
    </row>
    <row r="7154" spans="1:7" hidden="1" x14ac:dyDescent="0.25">
      <c r="A7154" s="21">
        <v>7153</v>
      </c>
      <c r="B7154" s="7" t="s">
        <v>15062</v>
      </c>
      <c r="C7154" s="7" t="s">
        <v>15063</v>
      </c>
      <c r="G7154" s="8" t="s">
        <v>15</v>
      </c>
    </row>
    <row r="7155" spans="1:7" hidden="1" x14ac:dyDescent="0.25">
      <c r="A7155" s="21">
        <v>7154</v>
      </c>
      <c r="B7155" s="7" t="s">
        <v>15064</v>
      </c>
      <c r="C7155" s="7" t="s">
        <v>15065</v>
      </c>
      <c r="G7155" s="8" t="s">
        <v>15</v>
      </c>
    </row>
    <row r="7156" spans="1:7" hidden="1" x14ac:dyDescent="0.25">
      <c r="A7156" s="21">
        <v>7155</v>
      </c>
      <c r="B7156" s="7" t="s">
        <v>15066</v>
      </c>
      <c r="C7156" s="7" t="s">
        <v>15067</v>
      </c>
      <c r="F7156" t="s">
        <v>2023</v>
      </c>
      <c r="G7156" s="8" t="s">
        <v>15</v>
      </c>
    </row>
    <row r="7157" spans="1:7" hidden="1" x14ac:dyDescent="0.25">
      <c r="A7157" s="21">
        <v>7156</v>
      </c>
      <c r="B7157" s="7" t="s">
        <v>15068</v>
      </c>
      <c r="C7157" s="7" t="s">
        <v>15069</v>
      </c>
      <c r="F7157" t="s">
        <v>2023</v>
      </c>
      <c r="G7157" s="8" t="s">
        <v>15</v>
      </c>
    </row>
    <row r="7158" spans="1:7" hidden="1" x14ac:dyDescent="0.25">
      <c r="A7158" s="21">
        <v>7157</v>
      </c>
      <c r="B7158" s="7" t="s">
        <v>15070</v>
      </c>
      <c r="C7158" s="7" t="s">
        <v>15071</v>
      </c>
      <c r="F7158" t="s">
        <v>2023</v>
      </c>
      <c r="G7158" s="8" t="s">
        <v>15</v>
      </c>
    </row>
    <row r="7159" spans="1:7" hidden="1" x14ac:dyDescent="0.25">
      <c r="A7159" s="21">
        <v>7158</v>
      </c>
      <c r="B7159" s="7" t="s">
        <v>15072</v>
      </c>
      <c r="C7159" s="7" t="s">
        <v>15073</v>
      </c>
      <c r="F7159" t="s">
        <v>2023</v>
      </c>
      <c r="G7159" s="8" t="s">
        <v>15</v>
      </c>
    </row>
    <row r="7160" spans="1:7" hidden="1" x14ac:dyDescent="0.25">
      <c r="A7160" s="21">
        <v>7159</v>
      </c>
      <c r="B7160" s="7" t="s">
        <v>15074</v>
      </c>
      <c r="C7160" s="7" t="s">
        <v>15075</v>
      </c>
      <c r="G7160" s="8" t="s">
        <v>15</v>
      </c>
    </row>
    <row r="7161" spans="1:7" hidden="1" x14ac:dyDescent="0.25">
      <c r="A7161" s="21">
        <v>7160</v>
      </c>
      <c r="B7161" s="7" t="s">
        <v>15076</v>
      </c>
      <c r="C7161" s="7" t="s">
        <v>15077</v>
      </c>
      <c r="G7161" s="8" t="s">
        <v>15</v>
      </c>
    </row>
    <row r="7162" spans="1:7" hidden="1" x14ac:dyDescent="0.25">
      <c r="A7162" s="21">
        <v>7161</v>
      </c>
      <c r="B7162" s="7" t="s">
        <v>15078</v>
      </c>
      <c r="C7162" s="7" t="s">
        <v>15079</v>
      </c>
      <c r="G7162" s="8" t="s">
        <v>15</v>
      </c>
    </row>
    <row r="7163" spans="1:7" hidden="1" x14ac:dyDescent="0.25">
      <c r="A7163" s="21">
        <v>7162</v>
      </c>
      <c r="B7163" s="7" t="s">
        <v>15080</v>
      </c>
      <c r="C7163" s="7" t="s">
        <v>15081</v>
      </c>
      <c r="G7163" s="8" t="s">
        <v>15</v>
      </c>
    </row>
    <row r="7164" spans="1:7" hidden="1" x14ac:dyDescent="0.25">
      <c r="A7164" s="21">
        <v>7163</v>
      </c>
      <c r="B7164" s="7" t="s">
        <v>15082</v>
      </c>
      <c r="C7164" s="7" t="s">
        <v>15083</v>
      </c>
      <c r="G7164" s="8" t="s">
        <v>15</v>
      </c>
    </row>
    <row r="7165" spans="1:7" hidden="1" x14ac:dyDescent="0.25">
      <c r="A7165" s="21">
        <v>7164</v>
      </c>
      <c r="B7165" s="7" t="s">
        <v>15084</v>
      </c>
      <c r="C7165" s="7" t="s">
        <v>15085</v>
      </c>
      <c r="G7165" s="8" t="s">
        <v>15</v>
      </c>
    </row>
    <row r="7166" spans="1:7" hidden="1" x14ac:dyDescent="0.25">
      <c r="A7166" s="21">
        <v>7165</v>
      </c>
      <c r="B7166" s="7" t="s">
        <v>15086</v>
      </c>
      <c r="C7166" s="7" t="s">
        <v>15087</v>
      </c>
      <c r="G7166" s="8" t="s">
        <v>15</v>
      </c>
    </row>
    <row r="7167" spans="1:7" hidden="1" x14ac:dyDescent="0.25">
      <c r="A7167" s="21">
        <v>7166</v>
      </c>
      <c r="B7167" s="7" t="s">
        <v>15088</v>
      </c>
      <c r="C7167" s="7" t="s">
        <v>15089</v>
      </c>
      <c r="G7167" s="8" t="s">
        <v>15</v>
      </c>
    </row>
    <row r="7168" spans="1:7" hidden="1" x14ac:dyDescent="0.25">
      <c r="A7168" s="21">
        <v>7167</v>
      </c>
      <c r="B7168" s="7" t="s">
        <v>15090</v>
      </c>
      <c r="C7168" s="7" t="s">
        <v>15091</v>
      </c>
      <c r="G7168" s="8" t="s">
        <v>15</v>
      </c>
    </row>
    <row r="7169" spans="1:7" hidden="1" x14ac:dyDescent="0.25">
      <c r="A7169" s="21">
        <v>7168</v>
      </c>
      <c r="B7169" s="7" t="s">
        <v>15092</v>
      </c>
      <c r="C7169" s="7" t="s">
        <v>15093</v>
      </c>
      <c r="G7169" s="8" t="s">
        <v>15</v>
      </c>
    </row>
    <row r="7170" spans="1:7" hidden="1" x14ac:dyDescent="0.25">
      <c r="A7170" s="21">
        <v>7169</v>
      </c>
      <c r="B7170" s="7" t="s">
        <v>15094</v>
      </c>
      <c r="C7170" s="7" t="s">
        <v>15095</v>
      </c>
      <c r="G7170" s="8" t="s">
        <v>15</v>
      </c>
    </row>
    <row r="7171" spans="1:7" hidden="1" x14ac:dyDescent="0.25">
      <c r="A7171" s="21">
        <v>7170</v>
      </c>
      <c r="B7171" s="7" t="s">
        <v>15096</v>
      </c>
      <c r="C7171" s="7" t="s">
        <v>15097</v>
      </c>
      <c r="G7171" s="8" t="s">
        <v>15</v>
      </c>
    </row>
    <row r="7172" spans="1:7" hidden="1" x14ac:dyDescent="0.25">
      <c r="A7172" s="21">
        <v>7171</v>
      </c>
      <c r="B7172" s="7" t="s">
        <v>15098</v>
      </c>
      <c r="C7172" s="7" t="s">
        <v>15099</v>
      </c>
      <c r="G7172" s="8" t="s">
        <v>15</v>
      </c>
    </row>
    <row r="7173" spans="1:7" hidden="1" x14ac:dyDescent="0.25">
      <c r="A7173" s="21">
        <v>7172</v>
      </c>
      <c r="B7173" s="7" t="s">
        <v>15100</v>
      </c>
      <c r="C7173" s="7" t="s">
        <v>15101</v>
      </c>
      <c r="G7173" s="8" t="s">
        <v>15</v>
      </c>
    </row>
    <row r="7174" spans="1:7" hidden="1" x14ac:dyDescent="0.25">
      <c r="A7174" s="21">
        <v>7173</v>
      </c>
      <c r="B7174" s="7" t="s">
        <v>15102</v>
      </c>
      <c r="C7174" s="7" t="s">
        <v>15103</v>
      </c>
      <c r="G7174" s="8" t="s">
        <v>15</v>
      </c>
    </row>
    <row r="7175" spans="1:7" hidden="1" x14ac:dyDescent="0.25">
      <c r="A7175" s="21">
        <v>7174</v>
      </c>
      <c r="B7175" s="7" t="s">
        <v>15104</v>
      </c>
      <c r="C7175" s="7" t="s">
        <v>15105</v>
      </c>
      <c r="G7175" s="8" t="s">
        <v>15</v>
      </c>
    </row>
    <row r="7176" spans="1:7" hidden="1" x14ac:dyDescent="0.25">
      <c r="A7176" s="21">
        <v>7175</v>
      </c>
      <c r="B7176" s="7" t="s">
        <v>15106</v>
      </c>
      <c r="C7176" s="7" t="s">
        <v>15107</v>
      </c>
      <c r="G7176" s="8" t="s">
        <v>15</v>
      </c>
    </row>
    <row r="7177" spans="1:7" hidden="1" x14ac:dyDescent="0.25">
      <c r="A7177" s="21">
        <v>7176</v>
      </c>
      <c r="B7177" s="7" t="s">
        <v>15108</v>
      </c>
      <c r="C7177" s="7" t="s">
        <v>15109</v>
      </c>
      <c r="G7177" s="8" t="s">
        <v>15</v>
      </c>
    </row>
    <row r="7178" spans="1:7" hidden="1" x14ac:dyDescent="0.25">
      <c r="A7178" s="21">
        <v>7177</v>
      </c>
      <c r="B7178" s="7" t="s">
        <v>15110</v>
      </c>
      <c r="C7178" s="7" t="s">
        <v>15111</v>
      </c>
      <c r="G7178" s="8" t="s">
        <v>15</v>
      </c>
    </row>
    <row r="7179" spans="1:7" hidden="1" x14ac:dyDescent="0.25">
      <c r="A7179" s="21">
        <v>7178</v>
      </c>
      <c r="B7179" s="7" t="s">
        <v>15112</v>
      </c>
      <c r="C7179" s="7" t="s">
        <v>15113</v>
      </c>
      <c r="G7179" s="8" t="s">
        <v>15</v>
      </c>
    </row>
    <row r="7180" spans="1:7" hidden="1" x14ac:dyDescent="0.25">
      <c r="A7180" s="21">
        <v>7179</v>
      </c>
      <c r="B7180" s="7" t="s">
        <v>15114</v>
      </c>
      <c r="C7180" s="7" t="s">
        <v>15115</v>
      </c>
      <c r="G7180" s="8" t="s">
        <v>15</v>
      </c>
    </row>
    <row r="7181" spans="1:7" hidden="1" x14ac:dyDescent="0.25">
      <c r="A7181" s="21">
        <v>7180</v>
      </c>
      <c r="B7181" s="7" t="s">
        <v>15116</v>
      </c>
      <c r="C7181" s="7" t="s">
        <v>15117</v>
      </c>
      <c r="G7181" s="8" t="s">
        <v>15</v>
      </c>
    </row>
    <row r="7182" spans="1:7" hidden="1" x14ac:dyDescent="0.25">
      <c r="A7182" s="21">
        <v>7181</v>
      </c>
      <c r="B7182" s="7" t="s">
        <v>15118</v>
      </c>
      <c r="C7182" s="7" t="s">
        <v>15119</v>
      </c>
      <c r="G7182" s="8" t="s">
        <v>15</v>
      </c>
    </row>
    <row r="7183" spans="1:7" hidden="1" x14ac:dyDescent="0.25">
      <c r="A7183" s="21">
        <v>7182</v>
      </c>
      <c r="B7183" s="7" t="s">
        <v>15120</v>
      </c>
      <c r="C7183" s="7" t="s">
        <v>15121</v>
      </c>
      <c r="G7183" s="8" t="s">
        <v>15</v>
      </c>
    </row>
    <row r="7184" spans="1:7" hidden="1" x14ac:dyDescent="0.25">
      <c r="A7184" s="21">
        <v>7183</v>
      </c>
      <c r="B7184" s="7" t="s">
        <v>15122</v>
      </c>
      <c r="C7184" s="7" t="s">
        <v>15123</v>
      </c>
      <c r="G7184" s="8" t="s">
        <v>15</v>
      </c>
    </row>
    <row r="7185" spans="1:7" hidden="1" x14ac:dyDescent="0.25">
      <c r="A7185" s="21">
        <v>7184</v>
      </c>
      <c r="B7185" s="7" t="s">
        <v>15124</v>
      </c>
      <c r="C7185" s="7" t="s">
        <v>15125</v>
      </c>
      <c r="G7185" s="8" t="s">
        <v>15</v>
      </c>
    </row>
    <row r="7186" spans="1:7" hidden="1" x14ac:dyDescent="0.25">
      <c r="A7186" s="21">
        <v>7185</v>
      </c>
      <c r="B7186" s="7" t="s">
        <v>15126</v>
      </c>
      <c r="C7186" s="7" t="s">
        <v>15127</v>
      </c>
      <c r="G7186" s="8" t="s">
        <v>15</v>
      </c>
    </row>
    <row r="7187" spans="1:7" hidden="1" x14ac:dyDescent="0.25">
      <c r="A7187" s="21">
        <v>7186</v>
      </c>
      <c r="B7187" s="7" t="s">
        <v>15128</v>
      </c>
      <c r="C7187" s="7" t="s">
        <v>15129</v>
      </c>
      <c r="G7187" s="8" t="s">
        <v>15</v>
      </c>
    </row>
    <row r="7188" spans="1:7" hidden="1" x14ac:dyDescent="0.25">
      <c r="A7188" s="21">
        <v>7187</v>
      </c>
      <c r="B7188" s="7" t="s">
        <v>15130</v>
      </c>
      <c r="C7188" s="7" t="s">
        <v>15131</v>
      </c>
      <c r="G7188" s="8" t="s">
        <v>15</v>
      </c>
    </row>
    <row r="7189" spans="1:7" hidden="1" x14ac:dyDescent="0.25">
      <c r="A7189" s="21">
        <v>7188</v>
      </c>
      <c r="B7189" s="7" t="s">
        <v>15132</v>
      </c>
      <c r="C7189" s="7" t="s">
        <v>15133</v>
      </c>
      <c r="G7189" s="8" t="s">
        <v>15</v>
      </c>
    </row>
    <row r="7190" spans="1:7" hidden="1" x14ac:dyDescent="0.25">
      <c r="A7190" s="21">
        <v>7189</v>
      </c>
      <c r="B7190" s="7" t="s">
        <v>15134</v>
      </c>
      <c r="C7190" s="7" t="s">
        <v>15135</v>
      </c>
      <c r="G7190" s="8" t="s">
        <v>15</v>
      </c>
    </row>
    <row r="7191" spans="1:7" hidden="1" x14ac:dyDescent="0.25">
      <c r="A7191" s="21">
        <v>7190</v>
      </c>
      <c r="B7191" s="7" t="s">
        <v>15136</v>
      </c>
      <c r="C7191" s="7" t="s">
        <v>15137</v>
      </c>
      <c r="G7191" s="8" t="s">
        <v>15</v>
      </c>
    </row>
    <row r="7192" spans="1:7" hidden="1" x14ac:dyDescent="0.25">
      <c r="A7192" s="21">
        <v>7191</v>
      </c>
      <c r="B7192" s="7" t="s">
        <v>15138</v>
      </c>
      <c r="C7192" s="7" t="s">
        <v>15139</v>
      </c>
      <c r="G7192" s="8" t="s">
        <v>15</v>
      </c>
    </row>
    <row r="7193" spans="1:7" hidden="1" x14ac:dyDescent="0.25">
      <c r="A7193" s="21">
        <v>7192</v>
      </c>
      <c r="B7193" s="7" t="s">
        <v>15140</v>
      </c>
      <c r="C7193" s="7" t="s">
        <v>15141</v>
      </c>
      <c r="G7193" s="8" t="s">
        <v>15</v>
      </c>
    </row>
    <row r="7194" spans="1:7" hidden="1" x14ac:dyDescent="0.25">
      <c r="A7194" s="21">
        <v>7193</v>
      </c>
      <c r="B7194" s="7" t="s">
        <v>15142</v>
      </c>
      <c r="C7194" s="7" t="s">
        <v>15143</v>
      </c>
      <c r="G7194" s="8" t="s">
        <v>15</v>
      </c>
    </row>
    <row r="7195" spans="1:7" hidden="1" x14ac:dyDescent="0.25">
      <c r="A7195" s="21">
        <v>7194</v>
      </c>
      <c r="B7195" s="7" t="s">
        <v>15144</v>
      </c>
      <c r="C7195" s="7" t="s">
        <v>15145</v>
      </c>
      <c r="G7195" s="8" t="s">
        <v>15</v>
      </c>
    </row>
    <row r="7196" spans="1:7" hidden="1" x14ac:dyDescent="0.25">
      <c r="A7196" s="21">
        <v>7195</v>
      </c>
      <c r="B7196" s="7" t="s">
        <v>15146</v>
      </c>
      <c r="C7196" s="7" t="s">
        <v>15147</v>
      </c>
      <c r="G7196" s="8" t="s">
        <v>15</v>
      </c>
    </row>
    <row r="7197" spans="1:7" hidden="1" x14ac:dyDescent="0.25">
      <c r="A7197" s="21">
        <v>7196</v>
      </c>
      <c r="B7197" s="7" t="s">
        <v>15148</v>
      </c>
      <c r="C7197" s="7" t="s">
        <v>15149</v>
      </c>
      <c r="G7197" s="8" t="s">
        <v>15</v>
      </c>
    </row>
    <row r="7198" spans="1:7" hidden="1" x14ac:dyDescent="0.25">
      <c r="A7198" s="21">
        <v>7197</v>
      </c>
      <c r="B7198" s="7" t="s">
        <v>15150</v>
      </c>
      <c r="C7198" s="7" t="s">
        <v>15151</v>
      </c>
      <c r="G7198" s="8" t="s">
        <v>15</v>
      </c>
    </row>
    <row r="7199" spans="1:7" hidden="1" x14ac:dyDescent="0.25">
      <c r="A7199" s="21">
        <v>7198</v>
      </c>
      <c r="B7199" s="7" t="s">
        <v>15152</v>
      </c>
      <c r="C7199" s="7" t="s">
        <v>15153</v>
      </c>
      <c r="G7199" s="8" t="s">
        <v>15</v>
      </c>
    </row>
    <row r="7200" spans="1:7" hidden="1" x14ac:dyDescent="0.25">
      <c r="A7200" s="21">
        <v>7199</v>
      </c>
      <c r="B7200" s="7" t="s">
        <v>15154</v>
      </c>
      <c r="C7200" s="7" t="s">
        <v>15155</v>
      </c>
      <c r="G7200" s="8" t="s">
        <v>15</v>
      </c>
    </row>
    <row r="7201" spans="1:7" hidden="1" x14ac:dyDescent="0.25">
      <c r="A7201" s="21">
        <v>7200</v>
      </c>
      <c r="B7201" s="7" t="s">
        <v>15156</v>
      </c>
      <c r="C7201" s="7" t="s">
        <v>15157</v>
      </c>
      <c r="G7201" s="8" t="s">
        <v>15</v>
      </c>
    </row>
    <row r="7202" spans="1:7" hidden="1" x14ac:dyDescent="0.25">
      <c r="A7202" s="21">
        <v>7201</v>
      </c>
      <c r="B7202" s="7" t="s">
        <v>15158</v>
      </c>
      <c r="C7202" s="7" t="s">
        <v>15159</v>
      </c>
      <c r="G7202" s="8" t="s">
        <v>15</v>
      </c>
    </row>
    <row r="7203" spans="1:7" hidden="1" x14ac:dyDescent="0.25">
      <c r="A7203" s="21">
        <v>7202</v>
      </c>
      <c r="B7203" s="7" t="s">
        <v>15160</v>
      </c>
      <c r="C7203" s="7" t="s">
        <v>15161</v>
      </c>
      <c r="G7203" s="8" t="s">
        <v>15</v>
      </c>
    </row>
    <row r="7204" spans="1:7" hidden="1" x14ac:dyDescent="0.25">
      <c r="A7204" s="21">
        <v>7203</v>
      </c>
      <c r="B7204" s="7" t="s">
        <v>15162</v>
      </c>
      <c r="C7204" s="7" t="s">
        <v>15163</v>
      </c>
      <c r="G7204" s="8" t="s">
        <v>15</v>
      </c>
    </row>
    <row r="7205" spans="1:7" hidden="1" x14ac:dyDescent="0.25">
      <c r="A7205" s="21">
        <v>7204</v>
      </c>
      <c r="B7205" s="7" t="s">
        <v>15164</v>
      </c>
      <c r="C7205" s="7" t="s">
        <v>15165</v>
      </c>
      <c r="G7205" s="8" t="s">
        <v>15</v>
      </c>
    </row>
    <row r="7206" spans="1:7" hidden="1" x14ac:dyDescent="0.25">
      <c r="A7206" s="21">
        <v>7205</v>
      </c>
      <c r="B7206" s="7" t="s">
        <v>15166</v>
      </c>
      <c r="C7206" s="7" t="s">
        <v>15167</v>
      </c>
      <c r="F7206" s="8" t="s">
        <v>3303</v>
      </c>
      <c r="G7206" s="8" t="s">
        <v>15</v>
      </c>
    </row>
    <row r="7207" spans="1:7" hidden="1" x14ac:dyDescent="0.25">
      <c r="A7207" s="21">
        <v>7206</v>
      </c>
      <c r="B7207" s="7" t="s">
        <v>15168</v>
      </c>
      <c r="C7207" s="7" t="s">
        <v>15169</v>
      </c>
      <c r="G7207" s="8" t="s">
        <v>15</v>
      </c>
    </row>
    <row r="7208" spans="1:7" hidden="1" x14ac:dyDescent="0.25">
      <c r="A7208" s="21">
        <v>7207</v>
      </c>
      <c r="B7208" s="7" t="s">
        <v>15170</v>
      </c>
      <c r="C7208" s="7" t="s">
        <v>15171</v>
      </c>
      <c r="G7208" s="8" t="s">
        <v>15</v>
      </c>
    </row>
    <row r="7209" spans="1:7" hidden="1" x14ac:dyDescent="0.25">
      <c r="A7209" s="21">
        <v>7208</v>
      </c>
      <c r="B7209" s="7" t="s">
        <v>15172</v>
      </c>
      <c r="C7209" s="7" t="s">
        <v>15173</v>
      </c>
      <c r="G7209" s="8" t="s">
        <v>15</v>
      </c>
    </row>
    <row r="7210" spans="1:7" hidden="1" x14ac:dyDescent="0.25">
      <c r="A7210" s="21">
        <v>7209</v>
      </c>
      <c r="B7210" s="7" t="s">
        <v>15174</v>
      </c>
      <c r="C7210" s="7" t="s">
        <v>15175</v>
      </c>
      <c r="F7210" t="s">
        <v>448</v>
      </c>
      <c r="G7210" s="8" t="s">
        <v>15</v>
      </c>
    </row>
    <row r="7211" spans="1:7" hidden="1" x14ac:dyDescent="0.25">
      <c r="A7211" s="21">
        <v>7210</v>
      </c>
      <c r="B7211" s="7" t="s">
        <v>15176</v>
      </c>
      <c r="C7211" s="7" t="s">
        <v>15177</v>
      </c>
      <c r="G7211" s="8" t="s">
        <v>15</v>
      </c>
    </row>
    <row r="7212" spans="1:7" hidden="1" x14ac:dyDescent="0.25">
      <c r="A7212" s="21">
        <v>7211</v>
      </c>
      <c r="B7212" s="7" t="s">
        <v>15178</v>
      </c>
      <c r="C7212" s="7" t="s">
        <v>15179</v>
      </c>
      <c r="F7212" s="8" t="s">
        <v>605</v>
      </c>
      <c r="G7212" s="8" t="s">
        <v>15</v>
      </c>
    </row>
    <row r="7213" spans="1:7" hidden="1" x14ac:dyDescent="0.25">
      <c r="A7213" s="21">
        <v>7212</v>
      </c>
      <c r="B7213" s="7" t="s">
        <v>15180</v>
      </c>
      <c r="C7213" s="7" t="s">
        <v>15181</v>
      </c>
      <c r="G7213" s="8" t="s">
        <v>15</v>
      </c>
    </row>
    <row r="7214" spans="1:7" hidden="1" x14ac:dyDescent="0.25">
      <c r="A7214" s="21">
        <v>7213</v>
      </c>
      <c r="B7214" s="7" t="s">
        <v>15182</v>
      </c>
      <c r="C7214" s="7" t="s">
        <v>15183</v>
      </c>
      <c r="G7214" s="8" t="s">
        <v>15</v>
      </c>
    </row>
    <row r="7215" spans="1:7" hidden="1" x14ac:dyDescent="0.25">
      <c r="A7215" s="21">
        <v>7214</v>
      </c>
      <c r="B7215" s="7" t="s">
        <v>15184</v>
      </c>
      <c r="C7215" s="7" t="s">
        <v>15185</v>
      </c>
      <c r="G7215" s="8" t="s">
        <v>15</v>
      </c>
    </row>
    <row r="7216" spans="1:7" hidden="1" x14ac:dyDescent="0.25">
      <c r="A7216" s="21">
        <v>7215</v>
      </c>
      <c r="B7216" s="7" t="s">
        <v>15186</v>
      </c>
      <c r="C7216" s="7" t="s">
        <v>15187</v>
      </c>
      <c r="G7216" s="8" t="s">
        <v>15</v>
      </c>
    </row>
    <row r="7217" spans="1:7" hidden="1" x14ac:dyDescent="0.25">
      <c r="A7217" s="21">
        <v>7216</v>
      </c>
      <c r="B7217" s="7" t="s">
        <v>15188</v>
      </c>
      <c r="C7217" s="7" t="s">
        <v>15189</v>
      </c>
      <c r="G7217" s="8" t="s">
        <v>15</v>
      </c>
    </row>
    <row r="7218" spans="1:7" hidden="1" x14ac:dyDescent="0.25">
      <c r="A7218" s="21">
        <v>7217</v>
      </c>
      <c r="B7218" s="7" t="s">
        <v>15190</v>
      </c>
      <c r="C7218" s="7" t="s">
        <v>15191</v>
      </c>
      <c r="G7218" s="8" t="s">
        <v>15</v>
      </c>
    </row>
    <row r="7219" spans="1:7" hidden="1" x14ac:dyDescent="0.25">
      <c r="A7219" s="21">
        <v>7218</v>
      </c>
      <c r="B7219" s="7" t="s">
        <v>15192</v>
      </c>
      <c r="C7219" s="7" t="s">
        <v>15193</v>
      </c>
      <c r="G7219" s="8" t="s">
        <v>15</v>
      </c>
    </row>
    <row r="7220" spans="1:7" hidden="1" x14ac:dyDescent="0.25">
      <c r="A7220" s="21">
        <v>7219</v>
      </c>
      <c r="B7220" s="7" t="s">
        <v>15194</v>
      </c>
      <c r="C7220" s="7" t="s">
        <v>15195</v>
      </c>
      <c r="G7220" s="8" t="s">
        <v>15</v>
      </c>
    </row>
    <row r="7221" spans="1:7" hidden="1" x14ac:dyDescent="0.25">
      <c r="A7221" s="21">
        <v>7220</v>
      </c>
      <c r="B7221" s="7" t="s">
        <v>15196</v>
      </c>
      <c r="C7221" s="7" t="s">
        <v>15197</v>
      </c>
      <c r="G7221" s="8" t="s">
        <v>15</v>
      </c>
    </row>
    <row r="7222" spans="1:7" hidden="1" x14ac:dyDescent="0.25">
      <c r="A7222" s="21">
        <v>7221</v>
      </c>
      <c r="B7222" s="7" t="s">
        <v>15198</v>
      </c>
      <c r="C7222" s="7" t="s">
        <v>15199</v>
      </c>
      <c r="G7222" s="8" t="s">
        <v>15</v>
      </c>
    </row>
    <row r="7223" spans="1:7" hidden="1" x14ac:dyDescent="0.25">
      <c r="A7223" s="21">
        <v>7222</v>
      </c>
      <c r="B7223" s="7" t="s">
        <v>15200</v>
      </c>
      <c r="C7223" s="7" t="s">
        <v>15201</v>
      </c>
      <c r="G7223" s="8" t="s">
        <v>15</v>
      </c>
    </row>
    <row r="7224" spans="1:7" hidden="1" x14ac:dyDescent="0.25">
      <c r="A7224" s="21">
        <v>7223</v>
      </c>
      <c r="B7224" s="7" t="s">
        <v>15202</v>
      </c>
      <c r="C7224" s="7" t="s">
        <v>15203</v>
      </c>
      <c r="G7224" s="8" t="s">
        <v>15</v>
      </c>
    </row>
    <row r="7225" spans="1:7" hidden="1" x14ac:dyDescent="0.25">
      <c r="A7225" s="21">
        <v>7224</v>
      </c>
      <c r="B7225" s="7" t="s">
        <v>15204</v>
      </c>
      <c r="C7225" s="7" t="s">
        <v>15205</v>
      </c>
      <c r="G7225" s="8" t="s">
        <v>15</v>
      </c>
    </row>
    <row r="7226" spans="1:7" hidden="1" x14ac:dyDescent="0.25">
      <c r="A7226" s="21">
        <v>7225</v>
      </c>
      <c r="B7226" s="7" t="s">
        <v>15206</v>
      </c>
      <c r="C7226" s="7" t="s">
        <v>15207</v>
      </c>
      <c r="G7226" s="8" t="s">
        <v>15</v>
      </c>
    </row>
    <row r="7227" spans="1:7" hidden="1" x14ac:dyDescent="0.25">
      <c r="A7227" s="21">
        <v>7226</v>
      </c>
      <c r="B7227" s="7" t="s">
        <v>15208</v>
      </c>
      <c r="C7227" s="7" t="s">
        <v>15209</v>
      </c>
      <c r="G7227" s="8" t="s">
        <v>15</v>
      </c>
    </row>
    <row r="7228" spans="1:7" hidden="1" x14ac:dyDescent="0.25">
      <c r="A7228" s="21">
        <v>7227</v>
      </c>
      <c r="B7228" s="7" t="s">
        <v>15210</v>
      </c>
      <c r="C7228" s="7" t="s">
        <v>15211</v>
      </c>
      <c r="G7228" s="8" t="s">
        <v>15</v>
      </c>
    </row>
    <row r="7229" spans="1:7" hidden="1" x14ac:dyDescent="0.25">
      <c r="A7229" s="21">
        <v>7228</v>
      </c>
      <c r="B7229" s="7" t="s">
        <v>15212</v>
      </c>
      <c r="C7229" s="7" t="s">
        <v>15213</v>
      </c>
      <c r="G7229" s="8" t="s">
        <v>15</v>
      </c>
    </row>
    <row r="7230" spans="1:7" hidden="1" x14ac:dyDescent="0.25">
      <c r="A7230" s="21">
        <v>7229</v>
      </c>
      <c r="B7230" s="7" t="s">
        <v>15214</v>
      </c>
      <c r="C7230" s="7" t="s">
        <v>15215</v>
      </c>
      <c r="G7230" s="8" t="s">
        <v>15</v>
      </c>
    </row>
    <row r="7231" spans="1:7" hidden="1" x14ac:dyDescent="0.25">
      <c r="A7231" s="21">
        <v>7230</v>
      </c>
      <c r="B7231" s="7" t="s">
        <v>15216</v>
      </c>
      <c r="C7231" s="7" t="s">
        <v>15217</v>
      </c>
      <c r="G7231" s="8" t="s">
        <v>15</v>
      </c>
    </row>
    <row r="7232" spans="1:7" hidden="1" x14ac:dyDescent="0.25">
      <c r="A7232" s="21">
        <v>7231</v>
      </c>
      <c r="B7232" s="7" t="s">
        <v>15218</v>
      </c>
      <c r="C7232" s="7" t="s">
        <v>15219</v>
      </c>
      <c r="G7232" s="8" t="s">
        <v>15</v>
      </c>
    </row>
    <row r="7233" spans="1:7" hidden="1" x14ac:dyDescent="0.25">
      <c r="A7233" s="21">
        <v>7232</v>
      </c>
      <c r="B7233" s="7" t="s">
        <v>15220</v>
      </c>
      <c r="C7233" s="7" t="s">
        <v>15221</v>
      </c>
      <c r="G7233" s="8" t="s">
        <v>15</v>
      </c>
    </row>
    <row r="7234" spans="1:7" hidden="1" x14ac:dyDescent="0.25">
      <c r="A7234" s="21">
        <v>7233</v>
      </c>
      <c r="B7234" s="7" t="s">
        <v>15222</v>
      </c>
      <c r="C7234" s="7" t="s">
        <v>15223</v>
      </c>
      <c r="G7234" s="8" t="s">
        <v>15</v>
      </c>
    </row>
    <row r="7235" spans="1:7" hidden="1" x14ac:dyDescent="0.25">
      <c r="A7235" s="21">
        <v>7234</v>
      </c>
      <c r="B7235" s="7" t="s">
        <v>15224</v>
      </c>
      <c r="C7235" s="7" t="s">
        <v>15225</v>
      </c>
      <c r="G7235" s="8" t="s">
        <v>15</v>
      </c>
    </row>
    <row r="7236" spans="1:7" hidden="1" x14ac:dyDescent="0.25">
      <c r="A7236" s="21">
        <v>7235</v>
      </c>
      <c r="B7236" s="7" t="s">
        <v>15226</v>
      </c>
      <c r="C7236" s="7" t="s">
        <v>15227</v>
      </c>
      <c r="F7236" t="s">
        <v>1603</v>
      </c>
      <c r="G7236" s="8" t="s">
        <v>15</v>
      </c>
    </row>
    <row r="7237" spans="1:7" hidden="1" x14ac:dyDescent="0.25">
      <c r="A7237" s="21">
        <v>7236</v>
      </c>
      <c r="B7237" s="7" t="s">
        <v>15228</v>
      </c>
      <c r="C7237" s="7" t="s">
        <v>15229</v>
      </c>
      <c r="F7237" t="s">
        <v>1603</v>
      </c>
      <c r="G7237" s="8" t="s">
        <v>15</v>
      </c>
    </row>
    <row r="7238" spans="1:7" hidden="1" x14ac:dyDescent="0.25">
      <c r="A7238" s="21">
        <v>7237</v>
      </c>
      <c r="B7238" s="7" t="s">
        <v>15230</v>
      </c>
      <c r="C7238" s="7" t="s">
        <v>15231</v>
      </c>
      <c r="F7238" t="s">
        <v>1603</v>
      </c>
      <c r="G7238" s="8" t="s">
        <v>15</v>
      </c>
    </row>
    <row r="7239" spans="1:7" hidden="1" x14ac:dyDescent="0.25">
      <c r="A7239" s="21">
        <v>7238</v>
      </c>
      <c r="B7239" s="7" t="s">
        <v>15232</v>
      </c>
      <c r="C7239" s="7" t="s">
        <v>15233</v>
      </c>
      <c r="F7239" t="s">
        <v>1603</v>
      </c>
      <c r="G7239" s="8" t="s">
        <v>15</v>
      </c>
    </row>
    <row r="7240" spans="1:7" hidden="1" x14ac:dyDescent="0.25">
      <c r="A7240" s="21">
        <v>7239</v>
      </c>
      <c r="B7240" s="7" t="s">
        <v>15234</v>
      </c>
      <c r="C7240" s="7" t="s">
        <v>15235</v>
      </c>
      <c r="F7240" t="s">
        <v>1603</v>
      </c>
      <c r="G7240" s="8" t="s">
        <v>15</v>
      </c>
    </row>
    <row r="7241" spans="1:7" hidden="1" x14ac:dyDescent="0.25">
      <c r="A7241" s="21">
        <v>7240</v>
      </c>
      <c r="B7241" s="7" t="s">
        <v>15236</v>
      </c>
      <c r="C7241" s="7" t="s">
        <v>15237</v>
      </c>
      <c r="F7241" t="s">
        <v>1603</v>
      </c>
      <c r="G7241" s="8" t="s">
        <v>15</v>
      </c>
    </row>
    <row r="7242" spans="1:7" hidden="1" x14ac:dyDescent="0.25">
      <c r="A7242" s="21">
        <v>7241</v>
      </c>
      <c r="B7242" s="7" t="s">
        <v>15238</v>
      </c>
      <c r="C7242" s="7" t="s">
        <v>15239</v>
      </c>
      <c r="F7242" t="s">
        <v>1603</v>
      </c>
      <c r="G7242" s="8" t="s">
        <v>15</v>
      </c>
    </row>
    <row r="7243" spans="1:7" hidden="1" x14ac:dyDescent="0.25">
      <c r="A7243" s="21">
        <v>7242</v>
      </c>
      <c r="B7243" s="7" t="s">
        <v>15240</v>
      </c>
      <c r="C7243" s="7" t="s">
        <v>15241</v>
      </c>
      <c r="F7243" t="s">
        <v>1603</v>
      </c>
      <c r="G7243" s="8" t="s">
        <v>15</v>
      </c>
    </row>
    <row r="7244" spans="1:7" hidden="1" x14ac:dyDescent="0.25">
      <c r="A7244" s="21">
        <v>7243</v>
      </c>
      <c r="B7244" s="7" t="s">
        <v>15242</v>
      </c>
      <c r="C7244" s="7" t="s">
        <v>15243</v>
      </c>
      <c r="F7244" t="s">
        <v>1603</v>
      </c>
      <c r="G7244" s="8" t="s">
        <v>15</v>
      </c>
    </row>
    <row r="7245" spans="1:7" hidden="1" x14ac:dyDescent="0.25">
      <c r="A7245" s="21">
        <v>7244</v>
      </c>
      <c r="B7245" s="7" t="s">
        <v>15244</v>
      </c>
      <c r="C7245" s="7" t="s">
        <v>15245</v>
      </c>
      <c r="F7245" t="s">
        <v>1603</v>
      </c>
      <c r="G7245" s="8" t="s">
        <v>15</v>
      </c>
    </row>
    <row r="7246" spans="1:7" hidden="1" x14ac:dyDescent="0.25">
      <c r="A7246" s="21">
        <v>7245</v>
      </c>
      <c r="B7246" s="7" t="s">
        <v>15246</v>
      </c>
      <c r="C7246" s="7" t="s">
        <v>15247</v>
      </c>
      <c r="F7246" t="s">
        <v>1603</v>
      </c>
      <c r="G7246" s="8" t="s">
        <v>15</v>
      </c>
    </row>
    <row r="7247" spans="1:7" hidden="1" x14ac:dyDescent="0.25">
      <c r="A7247" s="21">
        <v>7246</v>
      </c>
      <c r="B7247" s="7" t="s">
        <v>15248</v>
      </c>
      <c r="C7247" s="7" t="s">
        <v>15249</v>
      </c>
      <c r="F7247" t="s">
        <v>1603</v>
      </c>
      <c r="G7247" s="8" t="s">
        <v>15</v>
      </c>
    </row>
    <row r="7248" spans="1:7" hidden="1" x14ac:dyDescent="0.25">
      <c r="A7248" s="21">
        <v>7247</v>
      </c>
      <c r="B7248" s="7" t="s">
        <v>15250</v>
      </c>
      <c r="C7248" s="7" t="s">
        <v>15251</v>
      </c>
      <c r="F7248" t="s">
        <v>1603</v>
      </c>
      <c r="G7248" s="8" t="s">
        <v>15</v>
      </c>
    </row>
    <row r="7249" spans="1:7" hidden="1" x14ac:dyDescent="0.25">
      <c r="A7249" s="21">
        <v>7248</v>
      </c>
      <c r="B7249" s="7" t="s">
        <v>15252</v>
      </c>
      <c r="C7249" s="7" t="s">
        <v>15253</v>
      </c>
      <c r="F7249" t="s">
        <v>1603</v>
      </c>
      <c r="G7249" s="8" t="s">
        <v>15</v>
      </c>
    </row>
    <row r="7250" spans="1:7" hidden="1" x14ac:dyDescent="0.25">
      <c r="A7250" s="21">
        <v>7249</v>
      </c>
      <c r="B7250" s="7" t="s">
        <v>15254</v>
      </c>
      <c r="C7250" s="7" t="s">
        <v>15255</v>
      </c>
      <c r="F7250" t="s">
        <v>1603</v>
      </c>
      <c r="G7250" s="8" t="s">
        <v>15</v>
      </c>
    </row>
    <row r="7251" spans="1:7" hidden="1" x14ac:dyDescent="0.25">
      <c r="A7251" s="21">
        <v>7250</v>
      </c>
      <c r="B7251" s="7" t="s">
        <v>15256</v>
      </c>
      <c r="C7251" s="7" t="s">
        <v>15257</v>
      </c>
      <c r="F7251" t="s">
        <v>1603</v>
      </c>
      <c r="G7251" s="8" t="s">
        <v>15</v>
      </c>
    </row>
    <row r="7252" spans="1:7" hidden="1" x14ac:dyDescent="0.25">
      <c r="A7252" s="21">
        <v>7251</v>
      </c>
      <c r="B7252" s="7" t="s">
        <v>15258</v>
      </c>
      <c r="C7252" s="7" t="s">
        <v>15259</v>
      </c>
      <c r="F7252" t="s">
        <v>1603</v>
      </c>
      <c r="G7252" s="8" t="s">
        <v>15</v>
      </c>
    </row>
    <row r="7253" spans="1:7" hidden="1" x14ac:dyDescent="0.25">
      <c r="A7253" s="21">
        <v>7252</v>
      </c>
      <c r="B7253" s="7" t="s">
        <v>15260</v>
      </c>
      <c r="C7253" s="7" t="s">
        <v>15261</v>
      </c>
      <c r="G7253" s="8" t="s">
        <v>15</v>
      </c>
    </row>
    <row r="7254" spans="1:7" hidden="1" x14ac:dyDescent="0.25">
      <c r="A7254" s="21">
        <v>7253</v>
      </c>
      <c r="B7254" s="7" t="s">
        <v>15262</v>
      </c>
      <c r="C7254" s="7" t="s">
        <v>15263</v>
      </c>
      <c r="G7254" s="8" t="s">
        <v>15</v>
      </c>
    </row>
    <row r="7255" spans="1:7" hidden="1" x14ac:dyDescent="0.25">
      <c r="A7255" s="21">
        <v>7254</v>
      </c>
      <c r="B7255" s="7" t="s">
        <v>15264</v>
      </c>
      <c r="C7255" s="7" t="s">
        <v>15265</v>
      </c>
      <c r="G7255" s="8" t="s">
        <v>15</v>
      </c>
    </row>
    <row r="7256" spans="1:7" hidden="1" x14ac:dyDescent="0.25">
      <c r="A7256" s="21">
        <v>7255</v>
      </c>
      <c r="B7256" s="7" t="s">
        <v>15266</v>
      </c>
      <c r="C7256" s="7" t="s">
        <v>15267</v>
      </c>
      <c r="G7256" s="8" t="s">
        <v>15</v>
      </c>
    </row>
    <row r="7257" spans="1:7" hidden="1" x14ac:dyDescent="0.25">
      <c r="A7257" s="21">
        <v>7256</v>
      </c>
      <c r="B7257" s="7" t="s">
        <v>15268</v>
      </c>
      <c r="C7257" s="7" t="s">
        <v>15269</v>
      </c>
      <c r="G7257" s="8" t="s">
        <v>15</v>
      </c>
    </row>
    <row r="7258" spans="1:7" hidden="1" x14ac:dyDescent="0.25">
      <c r="A7258" s="21">
        <v>7257</v>
      </c>
      <c r="B7258" s="7" t="s">
        <v>15270</v>
      </c>
      <c r="C7258" s="7" t="s">
        <v>15271</v>
      </c>
      <c r="G7258" s="8" t="s">
        <v>15</v>
      </c>
    </row>
    <row r="7259" spans="1:7" hidden="1" x14ac:dyDescent="0.25">
      <c r="A7259" s="21">
        <v>7258</v>
      </c>
      <c r="B7259" s="7" t="s">
        <v>15272</v>
      </c>
      <c r="C7259" s="7" t="s">
        <v>15273</v>
      </c>
      <c r="G7259" s="8" t="s">
        <v>15</v>
      </c>
    </row>
    <row r="7260" spans="1:7" hidden="1" x14ac:dyDescent="0.25">
      <c r="A7260" s="21">
        <v>7259</v>
      </c>
      <c r="B7260" s="7" t="s">
        <v>15274</v>
      </c>
      <c r="C7260" s="7" t="s">
        <v>15275</v>
      </c>
      <c r="G7260" s="8" t="s">
        <v>15</v>
      </c>
    </row>
    <row r="7261" spans="1:7" hidden="1" x14ac:dyDescent="0.25">
      <c r="A7261" s="21">
        <v>7260</v>
      </c>
      <c r="B7261" s="7" t="s">
        <v>15276</v>
      </c>
      <c r="C7261" s="7" t="s">
        <v>15277</v>
      </c>
      <c r="G7261" s="8" t="s">
        <v>15</v>
      </c>
    </row>
    <row r="7262" spans="1:7" hidden="1" x14ac:dyDescent="0.25">
      <c r="A7262" s="21">
        <v>7261</v>
      </c>
      <c r="B7262" s="7" t="s">
        <v>15278</v>
      </c>
      <c r="C7262" s="7" t="s">
        <v>15279</v>
      </c>
      <c r="G7262" s="8" t="s">
        <v>15</v>
      </c>
    </row>
    <row r="7263" spans="1:7" hidden="1" x14ac:dyDescent="0.25">
      <c r="A7263" s="21">
        <v>7262</v>
      </c>
      <c r="B7263" s="7" t="s">
        <v>15280</v>
      </c>
      <c r="C7263" s="7" t="s">
        <v>15281</v>
      </c>
      <c r="G7263" s="8" t="s">
        <v>15</v>
      </c>
    </row>
    <row r="7264" spans="1:7" hidden="1" x14ac:dyDescent="0.25">
      <c r="A7264" s="21">
        <v>7263</v>
      </c>
      <c r="B7264" s="7" t="s">
        <v>15282</v>
      </c>
      <c r="C7264" s="7" t="s">
        <v>15283</v>
      </c>
      <c r="G7264" s="8" t="s">
        <v>15</v>
      </c>
    </row>
    <row r="7265" spans="1:7" hidden="1" x14ac:dyDescent="0.25">
      <c r="A7265" s="21">
        <v>7264</v>
      </c>
      <c r="B7265" s="7" t="s">
        <v>15284</v>
      </c>
      <c r="C7265" s="7" t="s">
        <v>15285</v>
      </c>
      <c r="G7265" s="8" t="s">
        <v>15</v>
      </c>
    </row>
    <row r="7266" spans="1:7" hidden="1" x14ac:dyDescent="0.25">
      <c r="A7266" s="21">
        <v>7265</v>
      </c>
      <c r="B7266" s="7" t="s">
        <v>15286</v>
      </c>
      <c r="C7266" s="7" t="s">
        <v>15287</v>
      </c>
      <c r="G7266" s="8" t="s">
        <v>15</v>
      </c>
    </row>
    <row r="7267" spans="1:7" hidden="1" x14ac:dyDescent="0.25">
      <c r="A7267" s="21">
        <v>7266</v>
      </c>
      <c r="B7267" s="7" t="s">
        <v>15288</v>
      </c>
      <c r="C7267" s="7" t="s">
        <v>15289</v>
      </c>
      <c r="G7267" s="8" t="s">
        <v>15</v>
      </c>
    </row>
    <row r="7268" spans="1:7" hidden="1" x14ac:dyDescent="0.25">
      <c r="A7268" s="21">
        <v>7267</v>
      </c>
      <c r="B7268" s="7" t="s">
        <v>15290</v>
      </c>
      <c r="C7268" s="7" t="s">
        <v>15291</v>
      </c>
      <c r="G7268" s="8" t="s">
        <v>15</v>
      </c>
    </row>
    <row r="7269" spans="1:7" hidden="1" x14ac:dyDescent="0.25">
      <c r="A7269" s="21">
        <v>7268</v>
      </c>
      <c r="B7269" s="7" t="s">
        <v>15292</v>
      </c>
      <c r="C7269" s="7" t="s">
        <v>15293</v>
      </c>
      <c r="G7269" s="8" t="s">
        <v>15</v>
      </c>
    </row>
    <row r="7270" spans="1:7" hidden="1" x14ac:dyDescent="0.25">
      <c r="A7270" s="21">
        <v>7269</v>
      </c>
      <c r="B7270" s="7" t="s">
        <v>15294</v>
      </c>
      <c r="C7270" s="7" t="s">
        <v>15295</v>
      </c>
      <c r="G7270" s="8" t="s">
        <v>15</v>
      </c>
    </row>
    <row r="7271" spans="1:7" hidden="1" x14ac:dyDescent="0.25">
      <c r="A7271" s="21">
        <v>7270</v>
      </c>
      <c r="B7271" s="7" t="s">
        <v>15296</v>
      </c>
      <c r="C7271" s="7" t="s">
        <v>15297</v>
      </c>
      <c r="G7271" s="8" t="s">
        <v>15</v>
      </c>
    </row>
    <row r="7272" spans="1:7" hidden="1" x14ac:dyDescent="0.25">
      <c r="A7272" s="21">
        <v>7271</v>
      </c>
      <c r="B7272" s="7" t="s">
        <v>15298</v>
      </c>
      <c r="C7272" s="7" t="s">
        <v>15299</v>
      </c>
      <c r="G7272" s="8" t="s">
        <v>15</v>
      </c>
    </row>
    <row r="7273" spans="1:7" hidden="1" x14ac:dyDescent="0.25">
      <c r="A7273" s="21">
        <v>7272</v>
      </c>
      <c r="B7273" s="7" t="s">
        <v>15300</v>
      </c>
      <c r="C7273" s="7" t="s">
        <v>15301</v>
      </c>
      <c r="G7273" s="8" t="s">
        <v>15</v>
      </c>
    </row>
    <row r="7274" spans="1:7" hidden="1" x14ac:dyDescent="0.25">
      <c r="A7274" s="21">
        <v>7273</v>
      </c>
      <c r="B7274" s="7" t="s">
        <v>15302</v>
      </c>
      <c r="C7274" s="7" t="s">
        <v>15303</v>
      </c>
      <c r="G7274" s="8" t="s">
        <v>15</v>
      </c>
    </row>
    <row r="7275" spans="1:7" hidden="1" x14ac:dyDescent="0.25">
      <c r="A7275" s="21">
        <v>7274</v>
      </c>
      <c r="B7275" s="7" t="s">
        <v>15304</v>
      </c>
      <c r="C7275" s="7" t="s">
        <v>15305</v>
      </c>
      <c r="G7275" s="8" t="s">
        <v>15</v>
      </c>
    </row>
    <row r="7276" spans="1:7" hidden="1" x14ac:dyDescent="0.25">
      <c r="A7276" s="21">
        <v>7275</v>
      </c>
      <c r="B7276" s="7" t="s">
        <v>15306</v>
      </c>
      <c r="C7276" s="7" t="s">
        <v>15307</v>
      </c>
      <c r="G7276" s="8" t="s">
        <v>15</v>
      </c>
    </row>
    <row r="7277" spans="1:7" hidden="1" x14ac:dyDescent="0.25">
      <c r="A7277" s="21">
        <v>7276</v>
      </c>
      <c r="B7277" s="7" t="s">
        <v>15308</v>
      </c>
      <c r="C7277" s="7" t="s">
        <v>15309</v>
      </c>
      <c r="G7277" s="8" t="s">
        <v>15</v>
      </c>
    </row>
    <row r="7278" spans="1:7" hidden="1" x14ac:dyDescent="0.25">
      <c r="A7278" s="21">
        <v>7277</v>
      </c>
      <c r="B7278" s="7" t="s">
        <v>15310</v>
      </c>
      <c r="C7278" s="7" t="s">
        <v>15311</v>
      </c>
      <c r="G7278" s="8" t="s">
        <v>15</v>
      </c>
    </row>
    <row r="7279" spans="1:7" hidden="1" x14ac:dyDescent="0.25">
      <c r="A7279" s="21">
        <v>7278</v>
      </c>
      <c r="B7279" s="7" t="s">
        <v>15312</v>
      </c>
      <c r="C7279" s="7" t="s">
        <v>15313</v>
      </c>
      <c r="G7279" s="8" t="s">
        <v>15</v>
      </c>
    </row>
    <row r="7280" spans="1:7" hidden="1" x14ac:dyDescent="0.25">
      <c r="A7280" s="21">
        <v>7279</v>
      </c>
      <c r="B7280" s="7" t="s">
        <v>15314</v>
      </c>
      <c r="C7280" s="7" t="s">
        <v>15315</v>
      </c>
      <c r="G7280" s="8" t="s">
        <v>15</v>
      </c>
    </row>
    <row r="7281" spans="1:7" hidden="1" x14ac:dyDescent="0.25">
      <c r="A7281" s="21">
        <v>7280</v>
      </c>
      <c r="B7281" s="7" t="s">
        <v>15316</v>
      </c>
      <c r="C7281" s="7" t="s">
        <v>15317</v>
      </c>
      <c r="G7281" s="8" t="s">
        <v>15</v>
      </c>
    </row>
    <row r="7282" spans="1:7" hidden="1" x14ac:dyDescent="0.25">
      <c r="A7282" s="21">
        <v>7281</v>
      </c>
      <c r="B7282" s="7" t="s">
        <v>15318</v>
      </c>
      <c r="C7282" s="7" t="s">
        <v>15319</v>
      </c>
      <c r="G7282" s="8" t="s">
        <v>15</v>
      </c>
    </row>
    <row r="7283" spans="1:7" hidden="1" x14ac:dyDescent="0.25">
      <c r="A7283" s="21">
        <v>7282</v>
      </c>
      <c r="B7283" s="7" t="s">
        <v>15320</v>
      </c>
      <c r="C7283" s="7" t="s">
        <v>15321</v>
      </c>
      <c r="G7283" s="8" t="s">
        <v>15</v>
      </c>
    </row>
    <row r="7284" spans="1:7" hidden="1" x14ac:dyDescent="0.25">
      <c r="A7284" s="21">
        <v>7283</v>
      </c>
      <c r="B7284" s="7" t="s">
        <v>15322</v>
      </c>
      <c r="C7284" s="7" t="s">
        <v>15323</v>
      </c>
      <c r="G7284" s="8" t="s">
        <v>15</v>
      </c>
    </row>
    <row r="7285" spans="1:7" hidden="1" x14ac:dyDescent="0.25">
      <c r="A7285" s="21">
        <v>7284</v>
      </c>
      <c r="B7285" s="7" t="s">
        <v>15324</v>
      </c>
      <c r="C7285" s="7" t="s">
        <v>15325</v>
      </c>
      <c r="G7285" s="8" t="s">
        <v>15</v>
      </c>
    </row>
    <row r="7286" spans="1:7" hidden="1" x14ac:dyDescent="0.25">
      <c r="A7286" s="21">
        <v>7285</v>
      </c>
      <c r="B7286" s="7" t="s">
        <v>15326</v>
      </c>
      <c r="C7286" s="7" t="s">
        <v>15327</v>
      </c>
      <c r="G7286" s="8" t="s">
        <v>15</v>
      </c>
    </row>
    <row r="7287" spans="1:7" hidden="1" x14ac:dyDescent="0.25">
      <c r="A7287" s="21">
        <v>7286</v>
      </c>
      <c r="B7287" s="7" t="s">
        <v>15328</v>
      </c>
      <c r="C7287" s="7" t="s">
        <v>15329</v>
      </c>
      <c r="G7287" s="8" t="s">
        <v>15</v>
      </c>
    </row>
    <row r="7288" spans="1:7" hidden="1" x14ac:dyDescent="0.25">
      <c r="A7288" s="21">
        <v>7287</v>
      </c>
      <c r="B7288" s="7" t="s">
        <v>15330</v>
      </c>
      <c r="C7288" s="7" t="s">
        <v>15331</v>
      </c>
      <c r="G7288" s="8" t="s">
        <v>15</v>
      </c>
    </row>
    <row r="7289" spans="1:7" hidden="1" x14ac:dyDescent="0.25">
      <c r="A7289" s="21">
        <v>7288</v>
      </c>
      <c r="B7289" s="7" t="s">
        <v>15332</v>
      </c>
      <c r="C7289" s="7" t="s">
        <v>15333</v>
      </c>
      <c r="G7289" s="8" t="s">
        <v>15</v>
      </c>
    </row>
    <row r="7290" spans="1:7" hidden="1" x14ac:dyDescent="0.25">
      <c r="A7290" s="21">
        <v>7289</v>
      </c>
      <c r="B7290" s="7" t="s">
        <v>15334</v>
      </c>
      <c r="C7290" s="7" t="s">
        <v>15335</v>
      </c>
      <c r="G7290" s="8" t="s">
        <v>15</v>
      </c>
    </row>
    <row r="7291" spans="1:7" hidden="1" x14ac:dyDescent="0.25">
      <c r="A7291" s="21">
        <v>7290</v>
      </c>
      <c r="B7291" s="7" t="s">
        <v>15336</v>
      </c>
      <c r="C7291" s="7" t="s">
        <v>15337</v>
      </c>
      <c r="G7291" s="8" t="s">
        <v>15</v>
      </c>
    </row>
    <row r="7292" spans="1:7" hidden="1" x14ac:dyDescent="0.25">
      <c r="A7292" s="21">
        <v>7291</v>
      </c>
      <c r="B7292" s="7" t="s">
        <v>15338</v>
      </c>
      <c r="C7292" s="7" t="s">
        <v>15339</v>
      </c>
      <c r="G7292" s="8" t="s">
        <v>15</v>
      </c>
    </row>
    <row r="7293" spans="1:7" hidden="1" x14ac:dyDescent="0.25">
      <c r="A7293" s="21">
        <v>7292</v>
      </c>
      <c r="B7293" s="7" t="s">
        <v>15340</v>
      </c>
      <c r="C7293" s="7" t="s">
        <v>15341</v>
      </c>
      <c r="G7293" s="8" t="s">
        <v>15</v>
      </c>
    </row>
    <row r="7294" spans="1:7" hidden="1" x14ac:dyDescent="0.25">
      <c r="A7294" s="21">
        <v>7293</v>
      </c>
      <c r="B7294" s="7" t="s">
        <v>15342</v>
      </c>
      <c r="C7294" s="7" t="s">
        <v>15343</v>
      </c>
      <c r="G7294" s="8" t="s">
        <v>15</v>
      </c>
    </row>
    <row r="7295" spans="1:7" hidden="1" x14ac:dyDescent="0.25">
      <c r="A7295" s="21">
        <v>7294</v>
      </c>
      <c r="B7295" s="7" t="s">
        <v>15344</v>
      </c>
      <c r="C7295" s="7" t="s">
        <v>15345</v>
      </c>
      <c r="G7295" s="8" t="s">
        <v>15</v>
      </c>
    </row>
    <row r="7296" spans="1:7" hidden="1" x14ac:dyDescent="0.25">
      <c r="A7296" s="21">
        <v>7295</v>
      </c>
      <c r="B7296" s="7" t="s">
        <v>15346</v>
      </c>
      <c r="C7296" s="7" t="s">
        <v>15347</v>
      </c>
      <c r="G7296" s="8" t="s">
        <v>15</v>
      </c>
    </row>
    <row r="7297" spans="1:7" hidden="1" x14ac:dyDescent="0.25">
      <c r="A7297" s="21">
        <v>7296</v>
      </c>
      <c r="B7297" s="7" t="s">
        <v>15348</v>
      </c>
      <c r="C7297" s="7" t="s">
        <v>15349</v>
      </c>
      <c r="G7297" s="8" t="s">
        <v>15</v>
      </c>
    </row>
    <row r="7298" spans="1:7" hidden="1" x14ac:dyDescent="0.25">
      <c r="A7298" s="21">
        <v>7297</v>
      </c>
      <c r="B7298" s="7" t="s">
        <v>15350</v>
      </c>
      <c r="C7298" s="7" t="s">
        <v>15351</v>
      </c>
      <c r="G7298" s="8" t="s">
        <v>15</v>
      </c>
    </row>
    <row r="7299" spans="1:7" hidden="1" x14ac:dyDescent="0.25">
      <c r="A7299" s="21">
        <v>7298</v>
      </c>
      <c r="B7299" s="7" t="s">
        <v>15352</v>
      </c>
      <c r="C7299" s="7" t="s">
        <v>15353</v>
      </c>
      <c r="G7299" s="8" t="s">
        <v>15</v>
      </c>
    </row>
    <row r="7300" spans="1:7" hidden="1" x14ac:dyDescent="0.25">
      <c r="A7300" s="21">
        <v>7299</v>
      </c>
      <c r="B7300" s="7" t="s">
        <v>15354</v>
      </c>
      <c r="C7300" s="7" t="s">
        <v>15355</v>
      </c>
      <c r="G7300" s="8" t="s">
        <v>15</v>
      </c>
    </row>
    <row r="7301" spans="1:7" hidden="1" x14ac:dyDescent="0.25">
      <c r="A7301" s="21">
        <v>7300</v>
      </c>
      <c r="B7301" s="7" t="s">
        <v>15356</v>
      </c>
      <c r="C7301" s="7" t="s">
        <v>15357</v>
      </c>
      <c r="G7301" s="8" t="s">
        <v>15</v>
      </c>
    </row>
    <row r="7302" spans="1:7" hidden="1" x14ac:dyDescent="0.25">
      <c r="A7302" s="21">
        <v>7301</v>
      </c>
      <c r="B7302" s="7" t="s">
        <v>15358</v>
      </c>
      <c r="C7302" s="7" t="s">
        <v>15359</v>
      </c>
      <c r="G7302" s="8" t="s">
        <v>15</v>
      </c>
    </row>
    <row r="7303" spans="1:7" hidden="1" x14ac:dyDescent="0.25">
      <c r="A7303" s="21">
        <v>7302</v>
      </c>
      <c r="B7303" s="7" t="s">
        <v>15360</v>
      </c>
      <c r="C7303" s="7" t="s">
        <v>15361</v>
      </c>
      <c r="G7303" s="8" t="s">
        <v>15</v>
      </c>
    </row>
    <row r="7304" spans="1:7" hidden="1" x14ac:dyDescent="0.25">
      <c r="A7304" s="21">
        <v>7303</v>
      </c>
      <c r="B7304" s="7" t="s">
        <v>15362</v>
      </c>
      <c r="C7304" s="7" t="s">
        <v>15363</v>
      </c>
      <c r="G7304" s="8" t="s">
        <v>15</v>
      </c>
    </row>
    <row r="7305" spans="1:7" hidden="1" x14ac:dyDescent="0.25">
      <c r="A7305" s="21">
        <v>7304</v>
      </c>
      <c r="B7305" s="7" t="s">
        <v>15364</v>
      </c>
      <c r="C7305" s="7" t="s">
        <v>15365</v>
      </c>
      <c r="G7305" s="8" t="s">
        <v>15</v>
      </c>
    </row>
    <row r="7306" spans="1:7" hidden="1" x14ac:dyDescent="0.25">
      <c r="A7306" s="21">
        <v>7305</v>
      </c>
      <c r="B7306" s="7" t="s">
        <v>15366</v>
      </c>
      <c r="C7306" s="7" t="s">
        <v>15367</v>
      </c>
      <c r="G7306" s="8" t="s">
        <v>15</v>
      </c>
    </row>
    <row r="7307" spans="1:7" hidden="1" x14ac:dyDescent="0.25">
      <c r="A7307" s="21">
        <v>7306</v>
      </c>
      <c r="B7307" s="7" t="s">
        <v>15368</v>
      </c>
      <c r="C7307" s="7" t="s">
        <v>15369</v>
      </c>
      <c r="G7307" s="8" t="s">
        <v>15</v>
      </c>
    </row>
    <row r="7308" spans="1:7" hidden="1" x14ac:dyDescent="0.25">
      <c r="A7308" s="21">
        <v>7307</v>
      </c>
      <c r="B7308" s="7" t="s">
        <v>15370</v>
      </c>
      <c r="C7308" s="7" t="s">
        <v>15371</v>
      </c>
      <c r="G7308" s="8" t="s">
        <v>15</v>
      </c>
    </row>
    <row r="7309" spans="1:7" hidden="1" x14ac:dyDescent="0.25">
      <c r="A7309" s="21">
        <v>7308</v>
      </c>
      <c r="B7309" s="7" t="s">
        <v>15372</v>
      </c>
      <c r="C7309" s="7" t="s">
        <v>15373</v>
      </c>
      <c r="G7309" s="8" t="s">
        <v>15</v>
      </c>
    </row>
    <row r="7310" spans="1:7" hidden="1" x14ac:dyDescent="0.25">
      <c r="A7310" s="21">
        <v>7309</v>
      </c>
      <c r="B7310" s="7" t="s">
        <v>15374</v>
      </c>
      <c r="C7310" s="7" t="s">
        <v>15375</v>
      </c>
      <c r="G7310" s="8" t="s">
        <v>15</v>
      </c>
    </row>
    <row r="7311" spans="1:7" hidden="1" x14ac:dyDescent="0.25">
      <c r="A7311" s="21">
        <v>7310</v>
      </c>
      <c r="B7311" s="7" t="s">
        <v>15376</v>
      </c>
      <c r="C7311" s="7" t="s">
        <v>15377</v>
      </c>
      <c r="G7311" s="8" t="s">
        <v>15</v>
      </c>
    </row>
    <row r="7312" spans="1:7" hidden="1" x14ac:dyDescent="0.25">
      <c r="A7312" s="21">
        <v>7311</v>
      </c>
      <c r="B7312" s="7" t="s">
        <v>15378</v>
      </c>
      <c r="C7312" s="7" t="s">
        <v>15379</v>
      </c>
      <c r="G7312" s="8" t="s">
        <v>15</v>
      </c>
    </row>
    <row r="7313" spans="1:7" hidden="1" x14ac:dyDescent="0.25">
      <c r="A7313" s="21">
        <v>7312</v>
      </c>
      <c r="B7313" s="7" t="s">
        <v>15380</v>
      </c>
      <c r="C7313" s="7" t="s">
        <v>15381</v>
      </c>
      <c r="G7313" s="8" t="s">
        <v>15</v>
      </c>
    </row>
    <row r="7314" spans="1:7" hidden="1" x14ac:dyDescent="0.25">
      <c r="A7314" s="21">
        <v>7313</v>
      </c>
      <c r="B7314" s="7" t="s">
        <v>15382</v>
      </c>
      <c r="C7314" s="7" t="s">
        <v>15383</v>
      </c>
      <c r="G7314" s="8" t="s">
        <v>15</v>
      </c>
    </row>
    <row r="7315" spans="1:7" hidden="1" x14ac:dyDescent="0.25">
      <c r="A7315" s="21">
        <v>7314</v>
      </c>
      <c r="B7315" s="7" t="s">
        <v>15384</v>
      </c>
      <c r="C7315" s="7" t="s">
        <v>15385</v>
      </c>
      <c r="G7315" s="8" t="s">
        <v>15</v>
      </c>
    </row>
    <row r="7316" spans="1:7" hidden="1" x14ac:dyDescent="0.25">
      <c r="A7316" s="21">
        <v>7315</v>
      </c>
      <c r="B7316" s="7" t="s">
        <v>15386</v>
      </c>
      <c r="C7316" s="7" t="s">
        <v>15387</v>
      </c>
      <c r="G7316" s="8" t="s">
        <v>15</v>
      </c>
    </row>
    <row r="7317" spans="1:7" hidden="1" x14ac:dyDescent="0.25">
      <c r="A7317" s="21">
        <v>7316</v>
      </c>
      <c r="B7317" s="7" t="s">
        <v>15388</v>
      </c>
      <c r="C7317" s="7" t="s">
        <v>15389</v>
      </c>
      <c r="G7317" s="8" t="s">
        <v>15</v>
      </c>
    </row>
    <row r="7318" spans="1:7" hidden="1" x14ac:dyDescent="0.25">
      <c r="A7318" s="21">
        <v>7317</v>
      </c>
      <c r="B7318" s="7" t="s">
        <v>15390</v>
      </c>
      <c r="C7318" s="7" t="s">
        <v>15391</v>
      </c>
      <c r="G7318" s="8" t="s">
        <v>15</v>
      </c>
    </row>
    <row r="7319" spans="1:7" hidden="1" x14ac:dyDescent="0.25">
      <c r="A7319" s="21">
        <v>7318</v>
      </c>
      <c r="B7319" s="7" t="s">
        <v>15392</v>
      </c>
      <c r="C7319" s="7" t="s">
        <v>15393</v>
      </c>
      <c r="G7319" s="8" t="s">
        <v>15</v>
      </c>
    </row>
    <row r="7320" spans="1:7" hidden="1" x14ac:dyDescent="0.25">
      <c r="A7320" s="21">
        <v>7319</v>
      </c>
      <c r="B7320" s="7" t="s">
        <v>15394</v>
      </c>
      <c r="C7320" s="7" t="s">
        <v>15395</v>
      </c>
      <c r="G7320" s="8" t="s">
        <v>15</v>
      </c>
    </row>
    <row r="7321" spans="1:7" hidden="1" x14ac:dyDescent="0.25">
      <c r="A7321" s="21">
        <v>7320</v>
      </c>
      <c r="B7321" s="7" t="s">
        <v>15396</v>
      </c>
      <c r="C7321" s="7" t="s">
        <v>15397</v>
      </c>
      <c r="G7321" s="8" t="s">
        <v>15</v>
      </c>
    </row>
    <row r="7322" spans="1:7" hidden="1" x14ac:dyDescent="0.25">
      <c r="A7322" s="21">
        <v>7321</v>
      </c>
      <c r="B7322" s="7" t="s">
        <v>15398</v>
      </c>
      <c r="C7322" s="7" t="s">
        <v>15399</v>
      </c>
      <c r="G7322" s="8" t="s">
        <v>15</v>
      </c>
    </row>
    <row r="7323" spans="1:7" hidden="1" x14ac:dyDescent="0.25">
      <c r="A7323" s="21">
        <v>7322</v>
      </c>
      <c r="B7323" s="7" t="s">
        <v>15400</v>
      </c>
      <c r="C7323" s="7" t="s">
        <v>15401</v>
      </c>
      <c r="G7323" s="8" t="s">
        <v>15</v>
      </c>
    </row>
    <row r="7324" spans="1:7" hidden="1" x14ac:dyDescent="0.25">
      <c r="A7324" s="21">
        <v>7323</v>
      </c>
      <c r="B7324" s="7" t="s">
        <v>15402</v>
      </c>
      <c r="C7324" s="7" t="s">
        <v>15403</v>
      </c>
      <c r="G7324" s="8" t="s">
        <v>15</v>
      </c>
    </row>
    <row r="7325" spans="1:7" hidden="1" x14ac:dyDescent="0.25">
      <c r="A7325" s="21">
        <v>7324</v>
      </c>
      <c r="B7325" s="7" t="s">
        <v>15404</v>
      </c>
      <c r="C7325" s="7" t="s">
        <v>15405</v>
      </c>
      <c r="G7325" s="8" t="s">
        <v>15</v>
      </c>
    </row>
    <row r="7326" spans="1:7" hidden="1" x14ac:dyDescent="0.25">
      <c r="A7326" s="21">
        <v>7325</v>
      </c>
      <c r="B7326" s="7" t="s">
        <v>15406</v>
      </c>
      <c r="C7326" s="7" t="s">
        <v>15407</v>
      </c>
      <c r="G7326" s="8" t="s">
        <v>15</v>
      </c>
    </row>
    <row r="7327" spans="1:7" hidden="1" x14ac:dyDescent="0.25">
      <c r="A7327" s="21">
        <v>7326</v>
      </c>
      <c r="B7327" s="7" t="s">
        <v>15408</v>
      </c>
      <c r="C7327" s="7" t="s">
        <v>15409</v>
      </c>
      <c r="G7327" s="8" t="s">
        <v>15</v>
      </c>
    </row>
    <row r="7328" spans="1:7" hidden="1" x14ac:dyDescent="0.25">
      <c r="A7328" s="21">
        <v>7327</v>
      </c>
      <c r="B7328" s="7" t="s">
        <v>15410</v>
      </c>
      <c r="C7328" s="7" t="s">
        <v>15411</v>
      </c>
      <c r="G7328" s="8" t="s">
        <v>15</v>
      </c>
    </row>
    <row r="7329" spans="1:7" hidden="1" x14ac:dyDescent="0.25">
      <c r="A7329" s="21">
        <v>7328</v>
      </c>
      <c r="B7329" s="7" t="s">
        <v>15412</v>
      </c>
      <c r="C7329" s="7" t="s">
        <v>15413</v>
      </c>
      <c r="G7329" s="8" t="s">
        <v>15</v>
      </c>
    </row>
    <row r="7330" spans="1:7" hidden="1" x14ac:dyDescent="0.25">
      <c r="A7330" s="21">
        <v>7329</v>
      </c>
      <c r="B7330" s="7" t="s">
        <v>15414</v>
      </c>
      <c r="C7330" s="7" t="s">
        <v>15415</v>
      </c>
      <c r="G7330" s="8" t="s">
        <v>15</v>
      </c>
    </row>
    <row r="7331" spans="1:7" hidden="1" x14ac:dyDescent="0.25">
      <c r="A7331" s="21">
        <v>7330</v>
      </c>
      <c r="B7331" s="7" t="s">
        <v>15416</v>
      </c>
      <c r="C7331" s="7" t="s">
        <v>15417</v>
      </c>
      <c r="G7331" s="8" t="s">
        <v>15</v>
      </c>
    </row>
    <row r="7332" spans="1:7" hidden="1" x14ac:dyDescent="0.25">
      <c r="A7332" s="21">
        <v>7331</v>
      </c>
      <c r="B7332" s="7" t="s">
        <v>15418</v>
      </c>
      <c r="C7332" s="7" t="s">
        <v>15419</v>
      </c>
      <c r="G7332" s="8" t="s">
        <v>15</v>
      </c>
    </row>
    <row r="7333" spans="1:7" hidden="1" x14ac:dyDescent="0.25">
      <c r="A7333" s="21">
        <v>7332</v>
      </c>
      <c r="B7333" s="7" t="s">
        <v>15420</v>
      </c>
      <c r="C7333" s="7" t="s">
        <v>15421</v>
      </c>
      <c r="G7333" s="8" t="s">
        <v>15</v>
      </c>
    </row>
    <row r="7334" spans="1:7" hidden="1" x14ac:dyDescent="0.25">
      <c r="A7334" s="21">
        <v>7333</v>
      </c>
      <c r="B7334" s="7" t="s">
        <v>15422</v>
      </c>
      <c r="C7334" s="7" t="s">
        <v>15423</v>
      </c>
      <c r="G7334" s="8" t="s">
        <v>15</v>
      </c>
    </row>
    <row r="7335" spans="1:7" hidden="1" x14ac:dyDescent="0.25">
      <c r="A7335" s="21">
        <v>7334</v>
      </c>
      <c r="B7335" s="7" t="s">
        <v>15424</v>
      </c>
      <c r="C7335" s="7" t="s">
        <v>15425</v>
      </c>
      <c r="G7335" s="8" t="s">
        <v>15</v>
      </c>
    </row>
    <row r="7336" spans="1:7" hidden="1" x14ac:dyDescent="0.25">
      <c r="A7336" s="21">
        <v>7335</v>
      </c>
      <c r="B7336" s="7" t="s">
        <v>15426</v>
      </c>
      <c r="C7336" s="7" t="s">
        <v>15427</v>
      </c>
      <c r="G7336" s="8" t="s">
        <v>15</v>
      </c>
    </row>
    <row r="7337" spans="1:7" hidden="1" x14ac:dyDescent="0.25">
      <c r="A7337" s="21">
        <v>7336</v>
      </c>
      <c r="B7337" s="7" t="s">
        <v>15428</v>
      </c>
      <c r="C7337" s="7" t="s">
        <v>15429</v>
      </c>
      <c r="G7337" s="8" t="s">
        <v>15</v>
      </c>
    </row>
    <row r="7338" spans="1:7" hidden="1" x14ac:dyDescent="0.25">
      <c r="A7338" s="21">
        <v>7337</v>
      </c>
      <c r="B7338" s="7" t="s">
        <v>15430</v>
      </c>
      <c r="C7338" s="7" t="s">
        <v>15431</v>
      </c>
      <c r="G7338" s="8" t="s">
        <v>15</v>
      </c>
    </row>
    <row r="7339" spans="1:7" hidden="1" x14ac:dyDescent="0.25">
      <c r="A7339" s="21">
        <v>7338</v>
      </c>
      <c r="B7339" s="7" t="s">
        <v>15432</v>
      </c>
      <c r="C7339" s="7" t="s">
        <v>15433</v>
      </c>
      <c r="G7339" s="8" t="s">
        <v>15</v>
      </c>
    </row>
    <row r="7340" spans="1:7" hidden="1" x14ac:dyDescent="0.25">
      <c r="A7340" s="21">
        <v>7339</v>
      </c>
      <c r="B7340" s="7" t="s">
        <v>15434</v>
      </c>
      <c r="C7340" s="7" t="s">
        <v>15435</v>
      </c>
      <c r="G7340" s="8" t="s">
        <v>15</v>
      </c>
    </row>
    <row r="7341" spans="1:7" hidden="1" x14ac:dyDescent="0.25">
      <c r="A7341" s="21">
        <v>7340</v>
      </c>
      <c r="B7341" s="7" t="s">
        <v>15436</v>
      </c>
      <c r="C7341" s="7" t="s">
        <v>15437</v>
      </c>
      <c r="G7341" s="8" t="s">
        <v>15</v>
      </c>
    </row>
    <row r="7342" spans="1:7" hidden="1" x14ac:dyDescent="0.25">
      <c r="A7342" s="21">
        <v>7341</v>
      </c>
      <c r="B7342" s="7" t="s">
        <v>15438</v>
      </c>
      <c r="C7342" s="7" t="s">
        <v>15439</v>
      </c>
      <c r="G7342" s="8" t="s">
        <v>15</v>
      </c>
    </row>
    <row r="7343" spans="1:7" hidden="1" x14ac:dyDescent="0.25">
      <c r="A7343" s="21">
        <v>7342</v>
      </c>
      <c r="B7343" s="7" t="s">
        <v>15440</v>
      </c>
      <c r="C7343" s="7" t="s">
        <v>15441</v>
      </c>
      <c r="G7343" s="8" t="s">
        <v>15</v>
      </c>
    </row>
    <row r="7344" spans="1:7" hidden="1" x14ac:dyDescent="0.25">
      <c r="A7344" s="21">
        <v>7343</v>
      </c>
      <c r="B7344" s="7" t="s">
        <v>15442</v>
      </c>
      <c r="C7344" s="7" t="s">
        <v>15443</v>
      </c>
      <c r="G7344" s="8" t="s">
        <v>15</v>
      </c>
    </row>
    <row r="7345" spans="1:7" hidden="1" x14ac:dyDescent="0.25">
      <c r="A7345" s="21">
        <v>7344</v>
      </c>
      <c r="B7345" s="7" t="s">
        <v>15444</v>
      </c>
      <c r="C7345" s="7" t="s">
        <v>15445</v>
      </c>
      <c r="G7345" s="8" t="s">
        <v>15</v>
      </c>
    </row>
    <row r="7346" spans="1:7" hidden="1" x14ac:dyDescent="0.25">
      <c r="A7346" s="21">
        <v>7345</v>
      </c>
      <c r="B7346" s="7" t="s">
        <v>15446</v>
      </c>
      <c r="C7346" s="7" t="s">
        <v>15447</v>
      </c>
      <c r="G7346" s="8" t="s">
        <v>15</v>
      </c>
    </row>
    <row r="7347" spans="1:7" hidden="1" x14ac:dyDescent="0.25">
      <c r="A7347" s="21">
        <v>7346</v>
      </c>
      <c r="B7347" s="7" t="s">
        <v>15448</v>
      </c>
      <c r="C7347" s="7" t="s">
        <v>15449</v>
      </c>
      <c r="G7347" s="8" t="s">
        <v>15</v>
      </c>
    </row>
    <row r="7348" spans="1:7" hidden="1" x14ac:dyDescent="0.25">
      <c r="A7348" s="21">
        <v>7347</v>
      </c>
      <c r="B7348" s="7" t="s">
        <v>15450</v>
      </c>
      <c r="C7348" s="7" t="s">
        <v>15451</v>
      </c>
      <c r="G7348" s="8" t="s">
        <v>15</v>
      </c>
    </row>
    <row r="7349" spans="1:7" hidden="1" x14ac:dyDescent="0.25">
      <c r="A7349" s="21">
        <v>7348</v>
      </c>
      <c r="B7349" s="7" t="s">
        <v>15452</v>
      </c>
      <c r="C7349" s="7" t="s">
        <v>15453</v>
      </c>
      <c r="G7349" s="8" t="s">
        <v>15</v>
      </c>
    </row>
    <row r="7350" spans="1:7" hidden="1" x14ac:dyDescent="0.25">
      <c r="A7350" s="21">
        <v>7349</v>
      </c>
      <c r="B7350" s="7" t="s">
        <v>15454</v>
      </c>
      <c r="C7350" s="7" t="s">
        <v>15455</v>
      </c>
      <c r="G7350" s="8" t="s">
        <v>15</v>
      </c>
    </row>
    <row r="7351" spans="1:7" hidden="1" x14ac:dyDescent="0.25">
      <c r="A7351" s="21">
        <v>7350</v>
      </c>
      <c r="B7351" s="7" t="s">
        <v>15456</v>
      </c>
      <c r="C7351" s="7" t="s">
        <v>15457</v>
      </c>
      <c r="G7351" s="8" t="s">
        <v>15</v>
      </c>
    </row>
    <row r="7352" spans="1:7" hidden="1" x14ac:dyDescent="0.25">
      <c r="A7352" s="21">
        <v>7351</v>
      </c>
      <c r="B7352" s="7" t="s">
        <v>15458</v>
      </c>
      <c r="C7352" s="7" t="s">
        <v>15459</v>
      </c>
      <c r="G7352" s="8" t="s">
        <v>15</v>
      </c>
    </row>
    <row r="7353" spans="1:7" hidden="1" x14ac:dyDescent="0.25">
      <c r="A7353" s="21">
        <v>7352</v>
      </c>
      <c r="B7353" s="7" t="s">
        <v>15460</v>
      </c>
      <c r="C7353" s="7" t="s">
        <v>15461</v>
      </c>
      <c r="G7353" s="8" t="s">
        <v>15</v>
      </c>
    </row>
    <row r="7354" spans="1:7" hidden="1" x14ac:dyDescent="0.25">
      <c r="A7354" s="21">
        <v>7353</v>
      </c>
      <c r="B7354" s="7" t="s">
        <v>15462</v>
      </c>
      <c r="C7354" s="7" t="s">
        <v>15463</v>
      </c>
      <c r="F7354" t="s">
        <v>19593</v>
      </c>
      <c r="G7354" s="8" t="s">
        <v>15</v>
      </c>
    </row>
    <row r="7355" spans="1:7" hidden="1" x14ac:dyDescent="0.25">
      <c r="A7355" s="21">
        <v>7354</v>
      </c>
      <c r="B7355" s="7" t="s">
        <v>15464</v>
      </c>
      <c r="C7355" s="7" t="s">
        <v>15465</v>
      </c>
      <c r="F7355" t="s">
        <v>19593</v>
      </c>
      <c r="G7355" s="8" t="s">
        <v>15</v>
      </c>
    </row>
    <row r="7356" spans="1:7" hidden="1" x14ac:dyDescent="0.25">
      <c r="A7356" s="21">
        <v>7355</v>
      </c>
      <c r="B7356" s="7" t="s">
        <v>15466</v>
      </c>
      <c r="C7356" s="7" t="s">
        <v>15467</v>
      </c>
      <c r="F7356" t="s">
        <v>19593</v>
      </c>
      <c r="G7356" s="8" t="s">
        <v>15</v>
      </c>
    </row>
    <row r="7357" spans="1:7" hidden="1" x14ac:dyDescent="0.25">
      <c r="A7357" s="21">
        <v>7356</v>
      </c>
      <c r="B7357" s="7" t="s">
        <v>15468</v>
      </c>
      <c r="C7357" s="7" t="s">
        <v>15469</v>
      </c>
      <c r="G7357" s="8" t="s">
        <v>15</v>
      </c>
    </row>
    <row r="7358" spans="1:7" hidden="1" x14ac:dyDescent="0.25">
      <c r="A7358" s="21">
        <v>7357</v>
      </c>
      <c r="B7358" s="7" t="s">
        <v>15470</v>
      </c>
      <c r="C7358" s="7" t="s">
        <v>15471</v>
      </c>
      <c r="G7358" s="8" t="s">
        <v>15</v>
      </c>
    </row>
    <row r="7359" spans="1:7" hidden="1" x14ac:dyDescent="0.25">
      <c r="A7359" s="21">
        <v>7358</v>
      </c>
      <c r="B7359" s="7" t="s">
        <v>15472</v>
      </c>
      <c r="C7359" s="7" t="s">
        <v>15473</v>
      </c>
      <c r="G7359" s="8" t="s">
        <v>15</v>
      </c>
    </row>
    <row r="7360" spans="1:7" hidden="1" x14ac:dyDescent="0.25">
      <c r="A7360" s="21">
        <v>7359</v>
      </c>
      <c r="B7360" s="7" t="s">
        <v>15474</v>
      </c>
      <c r="C7360" s="7" t="s">
        <v>15475</v>
      </c>
      <c r="G7360" s="8" t="s">
        <v>15</v>
      </c>
    </row>
    <row r="7361" spans="1:7" hidden="1" x14ac:dyDescent="0.25">
      <c r="A7361" s="21">
        <v>7360</v>
      </c>
      <c r="B7361" s="7" t="s">
        <v>15476</v>
      </c>
      <c r="C7361" s="7" t="s">
        <v>15477</v>
      </c>
      <c r="G7361" s="8" t="s">
        <v>15</v>
      </c>
    </row>
    <row r="7362" spans="1:7" hidden="1" x14ac:dyDescent="0.25">
      <c r="A7362" s="21">
        <v>7361</v>
      </c>
      <c r="B7362" s="7" t="s">
        <v>15478</v>
      </c>
      <c r="C7362" s="7" t="s">
        <v>15479</v>
      </c>
      <c r="G7362" s="8" t="s">
        <v>15</v>
      </c>
    </row>
    <row r="7363" spans="1:7" hidden="1" x14ac:dyDescent="0.25">
      <c r="A7363" s="21">
        <v>7362</v>
      </c>
      <c r="B7363" s="7" t="s">
        <v>15480</v>
      </c>
      <c r="C7363" s="7" t="s">
        <v>15481</v>
      </c>
      <c r="G7363" s="8" t="s">
        <v>15</v>
      </c>
    </row>
    <row r="7364" spans="1:7" hidden="1" x14ac:dyDescent="0.25">
      <c r="A7364" s="21">
        <v>7363</v>
      </c>
      <c r="B7364" s="7" t="s">
        <v>15482</v>
      </c>
      <c r="C7364" s="7" t="s">
        <v>15483</v>
      </c>
      <c r="G7364" s="8" t="s">
        <v>15</v>
      </c>
    </row>
    <row r="7365" spans="1:7" hidden="1" x14ac:dyDescent="0.25">
      <c r="A7365" s="21">
        <v>7364</v>
      </c>
      <c r="B7365" s="7" t="s">
        <v>15484</v>
      </c>
      <c r="C7365" s="7" t="s">
        <v>15485</v>
      </c>
      <c r="G7365" s="8" t="s">
        <v>15</v>
      </c>
    </row>
    <row r="7366" spans="1:7" hidden="1" x14ac:dyDescent="0.25">
      <c r="A7366" s="21">
        <v>7365</v>
      </c>
      <c r="B7366" s="7" t="s">
        <v>15486</v>
      </c>
      <c r="C7366" s="7" t="s">
        <v>15487</v>
      </c>
      <c r="G7366" s="8" t="s">
        <v>15</v>
      </c>
    </row>
    <row r="7367" spans="1:7" hidden="1" x14ac:dyDescent="0.25">
      <c r="A7367" s="21">
        <v>7366</v>
      </c>
      <c r="B7367" s="7" t="s">
        <v>15488</v>
      </c>
      <c r="C7367" s="7" t="s">
        <v>15489</v>
      </c>
      <c r="G7367" s="8" t="s">
        <v>15</v>
      </c>
    </row>
    <row r="7368" spans="1:7" hidden="1" x14ac:dyDescent="0.25">
      <c r="A7368" s="21">
        <v>7367</v>
      </c>
      <c r="B7368" s="7" t="s">
        <v>15490</v>
      </c>
      <c r="C7368" s="7" t="s">
        <v>15491</v>
      </c>
      <c r="G7368" s="8" t="s">
        <v>15</v>
      </c>
    </row>
    <row r="7369" spans="1:7" hidden="1" x14ac:dyDescent="0.25">
      <c r="A7369" s="21">
        <v>7368</v>
      </c>
      <c r="B7369" s="7" t="s">
        <v>15492</v>
      </c>
      <c r="C7369" s="7" t="s">
        <v>15493</v>
      </c>
      <c r="G7369" s="8" t="s">
        <v>15</v>
      </c>
    </row>
    <row r="7370" spans="1:7" hidden="1" x14ac:dyDescent="0.25">
      <c r="A7370" s="21">
        <v>7369</v>
      </c>
      <c r="B7370" s="7" t="s">
        <v>15494</v>
      </c>
      <c r="C7370" s="7" t="s">
        <v>15495</v>
      </c>
      <c r="G7370" s="8" t="s">
        <v>15</v>
      </c>
    </row>
    <row r="7371" spans="1:7" hidden="1" x14ac:dyDescent="0.25">
      <c r="A7371" s="21">
        <v>7370</v>
      </c>
      <c r="B7371" s="7" t="s">
        <v>15496</v>
      </c>
      <c r="C7371" s="7" t="s">
        <v>15497</v>
      </c>
      <c r="G7371" s="8" t="s">
        <v>15</v>
      </c>
    </row>
    <row r="7372" spans="1:7" hidden="1" x14ac:dyDescent="0.25">
      <c r="A7372" s="21">
        <v>7371</v>
      </c>
      <c r="B7372" s="7" t="s">
        <v>15498</v>
      </c>
      <c r="C7372" s="7" t="s">
        <v>15499</v>
      </c>
      <c r="G7372" s="8" t="s">
        <v>15</v>
      </c>
    </row>
    <row r="7373" spans="1:7" hidden="1" x14ac:dyDescent="0.25">
      <c r="A7373" s="21">
        <v>7372</v>
      </c>
      <c r="B7373" s="7" t="s">
        <v>15500</v>
      </c>
      <c r="C7373" s="7" t="s">
        <v>15501</v>
      </c>
      <c r="G7373" s="8" t="s">
        <v>15</v>
      </c>
    </row>
    <row r="7374" spans="1:7" hidden="1" x14ac:dyDescent="0.25">
      <c r="A7374" s="21">
        <v>7373</v>
      </c>
      <c r="B7374" s="7" t="s">
        <v>15502</v>
      </c>
      <c r="C7374" s="7" t="s">
        <v>15503</v>
      </c>
      <c r="G7374" s="8" t="s">
        <v>15</v>
      </c>
    </row>
    <row r="7375" spans="1:7" hidden="1" x14ac:dyDescent="0.25">
      <c r="A7375" s="21">
        <v>7374</v>
      </c>
      <c r="B7375" s="7" t="s">
        <v>15504</v>
      </c>
      <c r="C7375" s="7" t="s">
        <v>15505</v>
      </c>
      <c r="G7375" s="8" t="s">
        <v>15</v>
      </c>
    </row>
    <row r="7376" spans="1:7" hidden="1" x14ac:dyDescent="0.25">
      <c r="A7376" s="21">
        <v>7375</v>
      </c>
      <c r="B7376" s="7" t="s">
        <v>15506</v>
      </c>
      <c r="C7376" s="7" t="s">
        <v>15507</v>
      </c>
      <c r="G7376" s="8" t="s">
        <v>15</v>
      </c>
    </row>
    <row r="7377" spans="1:7" hidden="1" x14ac:dyDescent="0.25">
      <c r="A7377" s="21">
        <v>7376</v>
      </c>
      <c r="B7377" s="7" t="s">
        <v>15508</v>
      </c>
      <c r="C7377" s="7" t="s">
        <v>15509</v>
      </c>
      <c r="G7377" s="8" t="s">
        <v>15</v>
      </c>
    </row>
    <row r="7378" spans="1:7" hidden="1" x14ac:dyDescent="0.25">
      <c r="A7378" s="21">
        <v>7377</v>
      </c>
      <c r="B7378" s="7" t="s">
        <v>15510</v>
      </c>
      <c r="C7378" s="7" t="s">
        <v>15511</v>
      </c>
      <c r="G7378" s="8" t="s">
        <v>15</v>
      </c>
    </row>
    <row r="7379" spans="1:7" hidden="1" x14ac:dyDescent="0.25">
      <c r="A7379" s="21">
        <v>7378</v>
      </c>
      <c r="B7379" s="7" t="s">
        <v>15512</v>
      </c>
      <c r="C7379" s="7" t="s">
        <v>15513</v>
      </c>
      <c r="G7379" s="8" t="s">
        <v>15</v>
      </c>
    </row>
    <row r="7380" spans="1:7" hidden="1" x14ac:dyDescent="0.25">
      <c r="A7380" s="21">
        <v>7379</v>
      </c>
      <c r="B7380" s="7" t="s">
        <v>15514</v>
      </c>
      <c r="C7380" s="7" t="s">
        <v>15515</v>
      </c>
      <c r="G7380" s="8" t="s">
        <v>15</v>
      </c>
    </row>
    <row r="7381" spans="1:7" hidden="1" x14ac:dyDescent="0.25">
      <c r="A7381" s="21">
        <v>7380</v>
      </c>
      <c r="B7381" s="7" t="s">
        <v>15516</v>
      </c>
      <c r="C7381" s="7" t="s">
        <v>15517</v>
      </c>
      <c r="G7381" s="8" t="s">
        <v>15</v>
      </c>
    </row>
    <row r="7382" spans="1:7" hidden="1" x14ac:dyDescent="0.25">
      <c r="A7382" s="21">
        <v>7381</v>
      </c>
      <c r="B7382" s="7" t="s">
        <v>15518</v>
      </c>
      <c r="C7382" s="7" t="s">
        <v>15519</v>
      </c>
      <c r="G7382" s="8" t="s">
        <v>15</v>
      </c>
    </row>
    <row r="7383" spans="1:7" hidden="1" x14ac:dyDescent="0.25">
      <c r="A7383" s="21">
        <v>7382</v>
      </c>
      <c r="B7383" s="7" t="s">
        <v>15520</v>
      </c>
      <c r="C7383" s="7" t="s">
        <v>15521</v>
      </c>
      <c r="G7383" s="8" t="s">
        <v>15</v>
      </c>
    </row>
    <row r="7384" spans="1:7" hidden="1" x14ac:dyDescent="0.25">
      <c r="A7384" s="21">
        <v>7383</v>
      </c>
      <c r="B7384" s="7" t="s">
        <v>15522</v>
      </c>
      <c r="C7384" s="7" t="s">
        <v>15523</v>
      </c>
      <c r="G7384" s="8" t="s">
        <v>15</v>
      </c>
    </row>
    <row r="7385" spans="1:7" hidden="1" x14ac:dyDescent="0.25">
      <c r="A7385" s="21">
        <v>7384</v>
      </c>
      <c r="B7385" s="7" t="s">
        <v>15524</v>
      </c>
      <c r="C7385" s="7" t="s">
        <v>15525</v>
      </c>
      <c r="G7385" s="8" t="s">
        <v>15</v>
      </c>
    </row>
    <row r="7386" spans="1:7" hidden="1" x14ac:dyDescent="0.25">
      <c r="A7386" s="21">
        <v>7385</v>
      </c>
      <c r="B7386" s="7" t="s">
        <v>15526</v>
      </c>
      <c r="C7386" s="7" t="s">
        <v>15527</v>
      </c>
      <c r="G7386" s="8" t="s">
        <v>15</v>
      </c>
    </row>
    <row r="7387" spans="1:7" hidden="1" x14ac:dyDescent="0.25">
      <c r="A7387" s="21">
        <v>7386</v>
      </c>
      <c r="B7387" s="7" t="s">
        <v>15528</v>
      </c>
      <c r="C7387" s="7" t="s">
        <v>15529</v>
      </c>
      <c r="G7387" s="8" t="s">
        <v>15</v>
      </c>
    </row>
    <row r="7388" spans="1:7" hidden="1" x14ac:dyDescent="0.25">
      <c r="A7388" s="21">
        <v>7387</v>
      </c>
      <c r="B7388" s="7" t="s">
        <v>15530</v>
      </c>
      <c r="C7388" s="7" t="s">
        <v>15531</v>
      </c>
      <c r="G7388" s="8" t="s">
        <v>15</v>
      </c>
    </row>
    <row r="7389" spans="1:7" hidden="1" x14ac:dyDescent="0.25">
      <c r="A7389" s="21">
        <v>7388</v>
      </c>
      <c r="B7389" s="7" t="s">
        <v>15532</v>
      </c>
      <c r="C7389" s="7" t="s">
        <v>15533</v>
      </c>
      <c r="G7389" s="8" t="s">
        <v>15</v>
      </c>
    </row>
    <row r="7390" spans="1:7" hidden="1" x14ac:dyDescent="0.25">
      <c r="A7390" s="21">
        <v>7389</v>
      </c>
      <c r="B7390" s="7" t="s">
        <v>15534</v>
      </c>
      <c r="C7390" s="7" t="s">
        <v>15535</v>
      </c>
      <c r="G7390" s="8" t="s">
        <v>15</v>
      </c>
    </row>
    <row r="7391" spans="1:7" hidden="1" x14ac:dyDescent="0.25">
      <c r="A7391" s="21">
        <v>7390</v>
      </c>
      <c r="B7391" s="7" t="s">
        <v>15536</v>
      </c>
      <c r="C7391" s="7" t="s">
        <v>15537</v>
      </c>
      <c r="G7391" s="8" t="s">
        <v>15</v>
      </c>
    </row>
    <row r="7392" spans="1:7" hidden="1" x14ac:dyDescent="0.25">
      <c r="A7392" s="21">
        <v>7391</v>
      </c>
      <c r="B7392" s="7" t="s">
        <v>15538</v>
      </c>
      <c r="C7392" s="7" t="s">
        <v>15539</v>
      </c>
      <c r="G7392" s="8" t="s">
        <v>15</v>
      </c>
    </row>
    <row r="7393" spans="1:7" hidden="1" x14ac:dyDescent="0.25">
      <c r="A7393" s="21">
        <v>7392</v>
      </c>
      <c r="B7393" s="7" t="s">
        <v>15540</v>
      </c>
      <c r="C7393" s="7" t="s">
        <v>15541</v>
      </c>
      <c r="G7393" s="8" t="s">
        <v>15</v>
      </c>
    </row>
    <row r="7394" spans="1:7" hidden="1" x14ac:dyDescent="0.25">
      <c r="A7394" s="21">
        <v>7393</v>
      </c>
      <c r="B7394" s="7" t="s">
        <v>15542</v>
      </c>
      <c r="C7394" s="7" t="s">
        <v>15543</v>
      </c>
      <c r="G7394" s="8" t="s">
        <v>15</v>
      </c>
    </row>
    <row r="7395" spans="1:7" hidden="1" x14ac:dyDescent="0.25">
      <c r="A7395" s="21">
        <v>7394</v>
      </c>
      <c r="B7395" s="7" t="s">
        <v>15544</v>
      </c>
      <c r="C7395" s="7" t="s">
        <v>15545</v>
      </c>
      <c r="G7395" s="8" t="s">
        <v>15</v>
      </c>
    </row>
    <row r="7396" spans="1:7" hidden="1" x14ac:dyDescent="0.25">
      <c r="A7396" s="21">
        <v>7395</v>
      </c>
      <c r="B7396" s="7" t="s">
        <v>15546</v>
      </c>
      <c r="C7396" s="7" t="s">
        <v>15547</v>
      </c>
      <c r="G7396" s="8" t="s">
        <v>15</v>
      </c>
    </row>
    <row r="7397" spans="1:7" hidden="1" x14ac:dyDescent="0.25">
      <c r="A7397" s="21">
        <v>7396</v>
      </c>
      <c r="B7397" s="7" t="s">
        <v>15548</v>
      </c>
      <c r="C7397" s="7" t="s">
        <v>15549</v>
      </c>
      <c r="G7397" s="8" t="s">
        <v>15</v>
      </c>
    </row>
    <row r="7398" spans="1:7" hidden="1" x14ac:dyDescent="0.25">
      <c r="A7398" s="21">
        <v>7397</v>
      </c>
      <c r="B7398" s="7" t="s">
        <v>15550</v>
      </c>
      <c r="C7398" s="7" t="s">
        <v>15551</v>
      </c>
      <c r="G7398" s="8" t="s">
        <v>15</v>
      </c>
    </row>
    <row r="7399" spans="1:7" hidden="1" x14ac:dyDescent="0.25">
      <c r="A7399" s="21">
        <v>7398</v>
      </c>
      <c r="B7399" s="7" t="s">
        <v>15552</v>
      </c>
      <c r="C7399" s="7" t="s">
        <v>15553</v>
      </c>
      <c r="G7399" s="8" t="s">
        <v>15</v>
      </c>
    </row>
    <row r="7400" spans="1:7" hidden="1" x14ac:dyDescent="0.25">
      <c r="A7400" s="21">
        <v>7399</v>
      </c>
      <c r="B7400" s="7" t="s">
        <v>15554</v>
      </c>
      <c r="C7400" s="7" t="s">
        <v>15555</v>
      </c>
      <c r="G7400" s="8" t="s">
        <v>15</v>
      </c>
    </row>
    <row r="7401" spans="1:7" hidden="1" x14ac:dyDescent="0.25">
      <c r="A7401" s="21">
        <v>7400</v>
      </c>
      <c r="B7401" s="7" t="s">
        <v>15556</v>
      </c>
      <c r="C7401" s="7" t="s">
        <v>15557</v>
      </c>
      <c r="G7401" s="8" t="s">
        <v>15</v>
      </c>
    </row>
    <row r="7402" spans="1:7" hidden="1" x14ac:dyDescent="0.25">
      <c r="A7402" s="21">
        <v>7401</v>
      </c>
      <c r="B7402" s="7" t="s">
        <v>15558</v>
      </c>
      <c r="C7402" s="7" t="s">
        <v>15559</v>
      </c>
      <c r="G7402" s="8" t="s">
        <v>15</v>
      </c>
    </row>
    <row r="7403" spans="1:7" hidden="1" x14ac:dyDescent="0.25">
      <c r="A7403" s="21">
        <v>7402</v>
      </c>
      <c r="B7403" s="7" t="s">
        <v>15560</v>
      </c>
      <c r="C7403" s="7" t="s">
        <v>15561</v>
      </c>
      <c r="G7403" s="8" t="s">
        <v>15</v>
      </c>
    </row>
    <row r="7404" spans="1:7" hidden="1" x14ac:dyDescent="0.25">
      <c r="A7404" s="21">
        <v>7403</v>
      </c>
      <c r="B7404" s="7" t="s">
        <v>15562</v>
      </c>
      <c r="C7404" s="7" t="s">
        <v>15563</v>
      </c>
      <c r="G7404" s="8" t="s">
        <v>15</v>
      </c>
    </row>
    <row r="7405" spans="1:7" hidden="1" x14ac:dyDescent="0.25">
      <c r="A7405" s="21">
        <v>7404</v>
      </c>
      <c r="B7405" s="7" t="s">
        <v>15564</v>
      </c>
      <c r="C7405" s="7" t="s">
        <v>15565</v>
      </c>
      <c r="G7405" s="8" t="s">
        <v>15</v>
      </c>
    </row>
    <row r="7406" spans="1:7" hidden="1" x14ac:dyDescent="0.25">
      <c r="A7406" s="21">
        <v>7405</v>
      </c>
      <c r="B7406" s="7" t="s">
        <v>15566</v>
      </c>
      <c r="C7406" s="7" t="s">
        <v>15567</v>
      </c>
      <c r="G7406" s="8" t="s">
        <v>15</v>
      </c>
    </row>
    <row r="7407" spans="1:7" hidden="1" x14ac:dyDescent="0.25">
      <c r="A7407" s="21">
        <v>7406</v>
      </c>
      <c r="B7407" s="7" t="s">
        <v>15568</v>
      </c>
      <c r="C7407" s="7" t="s">
        <v>15569</v>
      </c>
      <c r="G7407" s="8" t="s">
        <v>15</v>
      </c>
    </row>
    <row r="7408" spans="1:7" hidden="1" x14ac:dyDescent="0.25">
      <c r="A7408" s="21">
        <v>7407</v>
      </c>
      <c r="B7408" s="7" t="s">
        <v>15570</v>
      </c>
      <c r="C7408" s="7" t="s">
        <v>15571</v>
      </c>
      <c r="G7408" s="8" t="s">
        <v>15</v>
      </c>
    </row>
    <row r="7409" spans="1:7" hidden="1" x14ac:dyDescent="0.25">
      <c r="A7409" s="21">
        <v>7408</v>
      </c>
      <c r="B7409" s="7" t="s">
        <v>15572</v>
      </c>
      <c r="C7409" s="7" t="s">
        <v>15573</v>
      </c>
      <c r="G7409" s="8" t="s">
        <v>15</v>
      </c>
    </row>
    <row r="7410" spans="1:7" hidden="1" x14ac:dyDescent="0.25">
      <c r="A7410" s="21">
        <v>7409</v>
      </c>
      <c r="B7410" s="7" t="s">
        <v>15574</v>
      </c>
      <c r="C7410" s="7" t="s">
        <v>15575</v>
      </c>
      <c r="G7410" s="8" t="s">
        <v>15</v>
      </c>
    </row>
    <row r="7411" spans="1:7" hidden="1" x14ac:dyDescent="0.25">
      <c r="A7411" s="21">
        <v>7410</v>
      </c>
      <c r="B7411" s="7" t="s">
        <v>15576</v>
      </c>
      <c r="C7411" s="7" t="s">
        <v>15577</v>
      </c>
      <c r="G7411" s="8" t="s">
        <v>15</v>
      </c>
    </row>
    <row r="7412" spans="1:7" hidden="1" x14ac:dyDescent="0.25">
      <c r="A7412" s="21">
        <v>7411</v>
      </c>
      <c r="B7412" s="7" t="s">
        <v>15578</v>
      </c>
      <c r="C7412" s="7" t="s">
        <v>15579</v>
      </c>
      <c r="F7412" s="8" t="s">
        <v>500</v>
      </c>
      <c r="G7412" s="8" t="s">
        <v>15</v>
      </c>
    </row>
    <row r="7413" spans="1:7" hidden="1" x14ac:dyDescent="0.25">
      <c r="A7413" s="21">
        <v>7412</v>
      </c>
      <c r="B7413" s="7" t="s">
        <v>15580</v>
      </c>
      <c r="C7413" s="7" t="s">
        <v>15581</v>
      </c>
      <c r="G7413" s="8" t="s">
        <v>15</v>
      </c>
    </row>
    <row r="7414" spans="1:7" hidden="1" x14ac:dyDescent="0.25">
      <c r="A7414" s="21">
        <v>7413</v>
      </c>
      <c r="B7414" s="7" t="s">
        <v>15582</v>
      </c>
      <c r="C7414" s="7" t="s">
        <v>15583</v>
      </c>
      <c r="G7414" s="8" t="s">
        <v>15</v>
      </c>
    </row>
    <row r="7415" spans="1:7" hidden="1" x14ac:dyDescent="0.25">
      <c r="A7415" s="21">
        <v>7414</v>
      </c>
      <c r="B7415" s="7" t="s">
        <v>15584</v>
      </c>
      <c r="C7415" s="7" t="s">
        <v>15585</v>
      </c>
      <c r="G7415" s="8" t="s">
        <v>15</v>
      </c>
    </row>
    <row r="7416" spans="1:7" hidden="1" x14ac:dyDescent="0.25">
      <c r="A7416" s="21">
        <v>7415</v>
      </c>
      <c r="B7416" s="7" t="s">
        <v>15586</v>
      </c>
      <c r="C7416" s="7" t="s">
        <v>15587</v>
      </c>
      <c r="G7416" s="8" t="s">
        <v>15</v>
      </c>
    </row>
    <row r="7417" spans="1:7" hidden="1" x14ac:dyDescent="0.25">
      <c r="A7417" s="21">
        <v>7416</v>
      </c>
      <c r="B7417" s="7" t="s">
        <v>15588</v>
      </c>
      <c r="C7417" s="7" t="s">
        <v>15589</v>
      </c>
      <c r="G7417" s="8" t="s">
        <v>15</v>
      </c>
    </row>
    <row r="7418" spans="1:7" hidden="1" x14ac:dyDescent="0.25">
      <c r="A7418" s="21">
        <v>7417</v>
      </c>
      <c r="B7418" s="7" t="s">
        <v>15590</v>
      </c>
      <c r="C7418" s="7" t="s">
        <v>15591</v>
      </c>
      <c r="G7418" s="8" t="s">
        <v>15</v>
      </c>
    </row>
    <row r="7419" spans="1:7" hidden="1" x14ac:dyDescent="0.25">
      <c r="A7419" s="21">
        <v>7418</v>
      </c>
      <c r="B7419" s="7" t="s">
        <v>15592</v>
      </c>
      <c r="C7419" s="7" t="s">
        <v>15593</v>
      </c>
      <c r="G7419" s="8" t="s">
        <v>15</v>
      </c>
    </row>
    <row r="7420" spans="1:7" hidden="1" x14ac:dyDescent="0.25">
      <c r="A7420" s="21">
        <v>7419</v>
      </c>
      <c r="B7420" s="7" t="s">
        <v>15594</v>
      </c>
      <c r="C7420" s="7" t="s">
        <v>15595</v>
      </c>
      <c r="G7420" s="8" t="s">
        <v>15</v>
      </c>
    </row>
    <row r="7421" spans="1:7" hidden="1" x14ac:dyDescent="0.25">
      <c r="A7421" s="21">
        <v>7420</v>
      </c>
      <c r="B7421" s="7" t="s">
        <v>15596</v>
      </c>
      <c r="C7421" s="7" t="s">
        <v>15597</v>
      </c>
      <c r="G7421" s="8" t="s">
        <v>15</v>
      </c>
    </row>
    <row r="7422" spans="1:7" hidden="1" x14ac:dyDescent="0.25">
      <c r="A7422" s="21">
        <v>7421</v>
      </c>
      <c r="B7422" s="7" t="s">
        <v>15598</v>
      </c>
      <c r="C7422" s="7" t="s">
        <v>15599</v>
      </c>
      <c r="G7422" s="8" t="s">
        <v>15</v>
      </c>
    </row>
    <row r="7423" spans="1:7" hidden="1" x14ac:dyDescent="0.25">
      <c r="A7423" s="21">
        <v>7422</v>
      </c>
      <c r="B7423" s="7" t="s">
        <v>15600</v>
      </c>
      <c r="C7423" s="7" t="s">
        <v>15601</v>
      </c>
      <c r="G7423" s="8" t="s">
        <v>15</v>
      </c>
    </row>
    <row r="7424" spans="1:7" hidden="1" x14ac:dyDescent="0.25">
      <c r="A7424" s="21">
        <v>7423</v>
      </c>
      <c r="B7424" s="7" t="s">
        <v>15602</v>
      </c>
      <c r="C7424" s="7" t="s">
        <v>15603</v>
      </c>
      <c r="G7424" s="8" t="s">
        <v>15</v>
      </c>
    </row>
    <row r="7425" spans="1:7" hidden="1" x14ac:dyDescent="0.25">
      <c r="A7425" s="21">
        <v>7424</v>
      </c>
      <c r="B7425" s="7" t="s">
        <v>15604</v>
      </c>
      <c r="C7425" s="7" t="s">
        <v>15605</v>
      </c>
      <c r="G7425" s="8" t="s">
        <v>15</v>
      </c>
    </row>
    <row r="7426" spans="1:7" hidden="1" x14ac:dyDescent="0.25">
      <c r="A7426" s="21">
        <v>7425</v>
      </c>
      <c r="B7426" s="7" t="s">
        <v>15606</v>
      </c>
      <c r="C7426" s="7" t="s">
        <v>15607</v>
      </c>
      <c r="G7426" s="8" t="s">
        <v>15</v>
      </c>
    </row>
    <row r="7427" spans="1:7" hidden="1" x14ac:dyDescent="0.25">
      <c r="A7427" s="21">
        <v>7426</v>
      </c>
      <c r="B7427" s="7" t="s">
        <v>15608</v>
      </c>
      <c r="C7427" s="7" t="s">
        <v>15609</v>
      </c>
      <c r="G7427" s="8" t="s">
        <v>15</v>
      </c>
    </row>
    <row r="7428" spans="1:7" hidden="1" x14ac:dyDescent="0.25">
      <c r="A7428" s="21">
        <v>7427</v>
      </c>
      <c r="B7428" s="7" t="s">
        <v>15610</v>
      </c>
      <c r="C7428" s="7" t="s">
        <v>15611</v>
      </c>
      <c r="G7428" s="8" t="s">
        <v>15</v>
      </c>
    </row>
    <row r="7429" spans="1:7" hidden="1" x14ac:dyDescent="0.25">
      <c r="A7429" s="21">
        <v>7428</v>
      </c>
      <c r="B7429" s="7" t="s">
        <v>15612</v>
      </c>
      <c r="C7429" s="7" t="s">
        <v>15613</v>
      </c>
      <c r="G7429" s="8" t="s">
        <v>15</v>
      </c>
    </row>
    <row r="7430" spans="1:7" hidden="1" x14ac:dyDescent="0.25">
      <c r="A7430" s="21">
        <v>7429</v>
      </c>
      <c r="B7430" s="7" t="s">
        <v>15614</v>
      </c>
      <c r="C7430" s="7" t="s">
        <v>15615</v>
      </c>
      <c r="G7430" s="8" t="s">
        <v>15</v>
      </c>
    </row>
    <row r="7431" spans="1:7" hidden="1" x14ac:dyDescent="0.25">
      <c r="A7431" s="21">
        <v>7430</v>
      </c>
      <c r="B7431" s="7" t="s">
        <v>15616</v>
      </c>
      <c r="C7431" s="7" t="s">
        <v>15617</v>
      </c>
      <c r="G7431" s="8" t="s">
        <v>15</v>
      </c>
    </row>
    <row r="7432" spans="1:7" hidden="1" x14ac:dyDescent="0.25">
      <c r="A7432" s="21">
        <v>7431</v>
      </c>
      <c r="B7432" s="7" t="s">
        <v>15618</v>
      </c>
      <c r="C7432" s="7" t="s">
        <v>15619</v>
      </c>
      <c r="G7432" s="8" t="s">
        <v>15</v>
      </c>
    </row>
    <row r="7433" spans="1:7" hidden="1" x14ac:dyDescent="0.25">
      <c r="A7433" s="21">
        <v>7432</v>
      </c>
      <c r="B7433" s="7" t="s">
        <v>15620</v>
      </c>
      <c r="C7433" s="7" t="s">
        <v>15621</v>
      </c>
      <c r="G7433" s="8" t="s">
        <v>15</v>
      </c>
    </row>
    <row r="7434" spans="1:7" hidden="1" x14ac:dyDescent="0.25">
      <c r="A7434" s="21">
        <v>7433</v>
      </c>
      <c r="B7434" s="7" t="s">
        <v>15622</v>
      </c>
      <c r="C7434" s="7" t="s">
        <v>15623</v>
      </c>
      <c r="G7434" s="8" t="s">
        <v>15</v>
      </c>
    </row>
    <row r="7435" spans="1:7" hidden="1" x14ac:dyDescent="0.25">
      <c r="A7435" s="21">
        <v>7434</v>
      </c>
      <c r="B7435" s="7" t="s">
        <v>15624</v>
      </c>
      <c r="C7435" s="7" t="s">
        <v>15625</v>
      </c>
      <c r="G7435" s="8" t="s">
        <v>15</v>
      </c>
    </row>
    <row r="7436" spans="1:7" hidden="1" x14ac:dyDescent="0.25">
      <c r="A7436" s="21">
        <v>7435</v>
      </c>
      <c r="B7436" s="7" t="s">
        <v>15626</v>
      </c>
      <c r="C7436" s="7" t="s">
        <v>15627</v>
      </c>
      <c r="G7436" s="8" t="s">
        <v>15</v>
      </c>
    </row>
    <row r="7437" spans="1:7" hidden="1" x14ac:dyDescent="0.25">
      <c r="A7437" s="21">
        <v>7436</v>
      </c>
      <c r="B7437" s="7" t="s">
        <v>15628</v>
      </c>
      <c r="C7437" s="7" t="s">
        <v>15629</v>
      </c>
      <c r="G7437" s="8" t="s">
        <v>15</v>
      </c>
    </row>
    <row r="7438" spans="1:7" hidden="1" x14ac:dyDescent="0.25">
      <c r="A7438" s="21">
        <v>7437</v>
      </c>
      <c r="B7438" s="7" t="s">
        <v>15630</v>
      </c>
      <c r="C7438" s="7" t="s">
        <v>15631</v>
      </c>
      <c r="G7438" s="8" t="s">
        <v>15</v>
      </c>
    </row>
    <row r="7439" spans="1:7" hidden="1" x14ac:dyDescent="0.25">
      <c r="A7439" s="21">
        <v>7438</v>
      </c>
      <c r="B7439" s="7" t="s">
        <v>15632</v>
      </c>
      <c r="C7439" s="7" t="s">
        <v>15633</v>
      </c>
      <c r="G7439" s="8" t="s">
        <v>15</v>
      </c>
    </row>
    <row r="7440" spans="1:7" hidden="1" x14ac:dyDescent="0.25">
      <c r="A7440" s="21">
        <v>7439</v>
      </c>
      <c r="B7440" s="7" t="s">
        <v>15634</v>
      </c>
      <c r="C7440" s="7" t="s">
        <v>15635</v>
      </c>
      <c r="G7440" s="8" t="s">
        <v>15</v>
      </c>
    </row>
    <row r="7441" spans="1:7" hidden="1" x14ac:dyDescent="0.25">
      <c r="A7441" s="21">
        <v>7440</v>
      </c>
      <c r="B7441" s="7" t="s">
        <v>15636</v>
      </c>
      <c r="C7441" s="7" t="s">
        <v>15637</v>
      </c>
      <c r="G7441" s="8" t="s">
        <v>15</v>
      </c>
    </row>
    <row r="7442" spans="1:7" hidden="1" x14ac:dyDescent="0.25">
      <c r="A7442" s="21">
        <v>7441</v>
      </c>
      <c r="B7442" s="7" t="s">
        <v>15638</v>
      </c>
      <c r="C7442" s="7" t="s">
        <v>15639</v>
      </c>
      <c r="G7442" s="8" t="s">
        <v>15</v>
      </c>
    </row>
    <row r="7443" spans="1:7" hidden="1" x14ac:dyDescent="0.25">
      <c r="A7443" s="21">
        <v>7442</v>
      </c>
      <c r="B7443" s="7" t="s">
        <v>15640</v>
      </c>
      <c r="C7443" s="7" t="s">
        <v>15641</v>
      </c>
      <c r="G7443" s="8" t="s">
        <v>15</v>
      </c>
    </row>
    <row r="7444" spans="1:7" hidden="1" x14ac:dyDescent="0.25">
      <c r="A7444" s="21">
        <v>7443</v>
      </c>
      <c r="B7444" s="7" t="s">
        <v>15642</v>
      </c>
      <c r="C7444" s="7" t="s">
        <v>15643</v>
      </c>
      <c r="G7444" s="8" t="s">
        <v>15</v>
      </c>
    </row>
    <row r="7445" spans="1:7" hidden="1" x14ac:dyDescent="0.25">
      <c r="A7445" s="21">
        <v>7444</v>
      </c>
      <c r="B7445" s="7" t="s">
        <v>15644</v>
      </c>
      <c r="C7445" s="7" t="s">
        <v>15645</v>
      </c>
      <c r="G7445" s="8" t="s">
        <v>15</v>
      </c>
    </row>
    <row r="7446" spans="1:7" hidden="1" x14ac:dyDescent="0.25">
      <c r="A7446" s="21">
        <v>7445</v>
      </c>
      <c r="B7446" s="7" t="s">
        <v>15646</v>
      </c>
      <c r="C7446" s="7" t="s">
        <v>15647</v>
      </c>
      <c r="G7446" s="8" t="s">
        <v>15</v>
      </c>
    </row>
    <row r="7447" spans="1:7" hidden="1" x14ac:dyDescent="0.25">
      <c r="A7447" s="21">
        <v>7446</v>
      </c>
      <c r="B7447" s="7" t="s">
        <v>15648</v>
      </c>
      <c r="C7447" s="7" t="s">
        <v>15649</v>
      </c>
      <c r="G7447" s="8" t="s">
        <v>15</v>
      </c>
    </row>
    <row r="7448" spans="1:7" hidden="1" x14ac:dyDescent="0.25">
      <c r="A7448" s="21">
        <v>7447</v>
      </c>
      <c r="B7448" s="7" t="s">
        <v>15650</v>
      </c>
      <c r="C7448" s="7" t="s">
        <v>15651</v>
      </c>
      <c r="G7448" s="8" t="s">
        <v>15</v>
      </c>
    </row>
    <row r="7449" spans="1:7" hidden="1" x14ac:dyDescent="0.25">
      <c r="A7449" s="21">
        <v>7448</v>
      </c>
      <c r="B7449" s="7" t="s">
        <v>15652</v>
      </c>
      <c r="C7449" s="7" t="s">
        <v>15653</v>
      </c>
      <c r="G7449" s="8" t="s">
        <v>15</v>
      </c>
    </row>
    <row r="7450" spans="1:7" hidden="1" x14ac:dyDescent="0.25">
      <c r="A7450" s="21">
        <v>7449</v>
      </c>
      <c r="B7450" s="7" t="s">
        <v>15654</v>
      </c>
      <c r="C7450" s="7" t="s">
        <v>15655</v>
      </c>
      <c r="G7450" s="8" t="s">
        <v>15</v>
      </c>
    </row>
    <row r="7451" spans="1:7" hidden="1" x14ac:dyDescent="0.25">
      <c r="A7451" s="21">
        <v>7450</v>
      </c>
      <c r="B7451" s="7" t="s">
        <v>15656</v>
      </c>
      <c r="C7451" s="7" t="s">
        <v>15657</v>
      </c>
      <c r="G7451" s="8" t="s">
        <v>15</v>
      </c>
    </row>
    <row r="7452" spans="1:7" hidden="1" x14ac:dyDescent="0.25">
      <c r="A7452" s="21">
        <v>7451</v>
      </c>
      <c r="B7452" s="7" t="s">
        <v>15658</v>
      </c>
      <c r="C7452" s="7" t="s">
        <v>15659</v>
      </c>
      <c r="G7452" s="8" t="s">
        <v>15</v>
      </c>
    </row>
    <row r="7453" spans="1:7" hidden="1" x14ac:dyDescent="0.25">
      <c r="A7453" s="21">
        <v>7452</v>
      </c>
      <c r="B7453" s="7" t="s">
        <v>15660</v>
      </c>
      <c r="C7453" s="7" t="s">
        <v>15661</v>
      </c>
      <c r="G7453" s="8" t="s">
        <v>15</v>
      </c>
    </row>
    <row r="7454" spans="1:7" hidden="1" x14ac:dyDescent="0.25">
      <c r="A7454" s="21">
        <v>7453</v>
      </c>
      <c r="B7454" s="7" t="s">
        <v>15662</v>
      </c>
      <c r="C7454" s="7" t="s">
        <v>15663</v>
      </c>
      <c r="G7454" s="8" t="s">
        <v>15</v>
      </c>
    </row>
    <row r="7455" spans="1:7" hidden="1" x14ac:dyDescent="0.25">
      <c r="A7455" s="21">
        <v>7454</v>
      </c>
      <c r="B7455" s="7" t="s">
        <v>15664</v>
      </c>
      <c r="C7455" s="7" t="s">
        <v>15665</v>
      </c>
      <c r="G7455" s="8" t="s">
        <v>15</v>
      </c>
    </row>
    <row r="7456" spans="1:7" hidden="1" x14ac:dyDescent="0.25">
      <c r="A7456" s="21">
        <v>7455</v>
      </c>
      <c r="B7456" s="7" t="s">
        <v>15666</v>
      </c>
      <c r="C7456" s="7" t="s">
        <v>15667</v>
      </c>
      <c r="G7456" s="8" t="s">
        <v>15</v>
      </c>
    </row>
    <row r="7457" spans="1:7" hidden="1" x14ac:dyDescent="0.25">
      <c r="A7457" s="21">
        <v>7456</v>
      </c>
      <c r="B7457" s="7" t="s">
        <v>15668</v>
      </c>
      <c r="C7457" s="7" t="s">
        <v>15669</v>
      </c>
      <c r="G7457" s="8" t="s">
        <v>15</v>
      </c>
    </row>
    <row r="7458" spans="1:7" hidden="1" x14ac:dyDescent="0.25">
      <c r="A7458" s="21">
        <v>7457</v>
      </c>
      <c r="B7458" s="7" t="s">
        <v>15670</v>
      </c>
      <c r="C7458" s="7" t="s">
        <v>15671</v>
      </c>
      <c r="G7458" s="8" t="s">
        <v>15</v>
      </c>
    </row>
    <row r="7459" spans="1:7" hidden="1" x14ac:dyDescent="0.25">
      <c r="A7459" s="21">
        <v>7458</v>
      </c>
      <c r="B7459" s="7" t="s">
        <v>15672</v>
      </c>
      <c r="C7459" s="7" t="s">
        <v>15673</v>
      </c>
      <c r="G7459" s="8" t="s">
        <v>15</v>
      </c>
    </row>
    <row r="7460" spans="1:7" hidden="1" x14ac:dyDescent="0.25">
      <c r="A7460" s="21">
        <v>7459</v>
      </c>
      <c r="B7460" s="7" t="s">
        <v>15674</v>
      </c>
      <c r="C7460" s="7" t="s">
        <v>15675</v>
      </c>
      <c r="G7460" s="8" t="s">
        <v>15</v>
      </c>
    </row>
    <row r="7461" spans="1:7" hidden="1" x14ac:dyDescent="0.25">
      <c r="A7461" s="21">
        <v>7460</v>
      </c>
      <c r="B7461" s="7" t="s">
        <v>15676</v>
      </c>
      <c r="C7461" s="7" t="s">
        <v>15677</v>
      </c>
      <c r="G7461" s="8" t="s">
        <v>15</v>
      </c>
    </row>
    <row r="7462" spans="1:7" hidden="1" x14ac:dyDescent="0.25">
      <c r="A7462" s="21">
        <v>7461</v>
      </c>
      <c r="B7462" s="7" t="s">
        <v>15678</v>
      </c>
      <c r="C7462" s="7" t="s">
        <v>15679</v>
      </c>
      <c r="G7462" s="8" t="s">
        <v>15</v>
      </c>
    </row>
    <row r="7463" spans="1:7" hidden="1" x14ac:dyDescent="0.25">
      <c r="A7463" s="21">
        <v>7462</v>
      </c>
      <c r="B7463" s="7" t="s">
        <v>15680</v>
      </c>
      <c r="C7463" s="7" t="s">
        <v>15681</v>
      </c>
      <c r="G7463" s="8" t="s">
        <v>15</v>
      </c>
    </row>
    <row r="7464" spans="1:7" hidden="1" x14ac:dyDescent="0.25">
      <c r="A7464" s="21">
        <v>7463</v>
      </c>
      <c r="B7464" s="7" t="s">
        <v>15682</v>
      </c>
      <c r="C7464" s="7" t="s">
        <v>15683</v>
      </c>
      <c r="G7464" s="8" t="s">
        <v>15</v>
      </c>
    </row>
    <row r="7465" spans="1:7" hidden="1" x14ac:dyDescent="0.25">
      <c r="A7465" s="21">
        <v>7464</v>
      </c>
      <c r="B7465" s="7" t="s">
        <v>15684</v>
      </c>
      <c r="C7465" s="7" t="s">
        <v>15685</v>
      </c>
      <c r="G7465" s="8" t="s">
        <v>15</v>
      </c>
    </row>
    <row r="7466" spans="1:7" hidden="1" x14ac:dyDescent="0.25">
      <c r="A7466" s="21">
        <v>7465</v>
      </c>
      <c r="B7466" s="7" t="s">
        <v>15686</v>
      </c>
      <c r="C7466" s="7" t="s">
        <v>15687</v>
      </c>
      <c r="G7466" s="8" t="s">
        <v>15</v>
      </c>
    </row>
    <row r="7467" spans="1:7" hidden="1" x14ac:dyDescent="0.25">
      <c r="A7467" s="21">
        <v>7466</v>
      </c>
      <c r="B7467" s="7" t="s">
        <v>15688</v>
      </c>
      <c r="C7467" s="7" t="s">
        <v>15689</v>
      </c>
      <c r="G7467" s="8" t="s">
        <v>15</v>
      </c>
    </row>
    <row r="7468" spans="1:7" hidden="1" x14ac:dyDescent="0.25">
      <c r="A7468" s="21">
        <v>7467</v>
      </c>
      <c r="B7468" s="7" t="s">
        <v>15690</v>
      </c>
      <c r="C7468" s="7" t="s">
        <v>15691</v>
      </c>
      <c r="G7468" s="8" t="s">
        <v>15</v>
      </c>
    </row>
    <row r="7469" spans="1:7" hidden="1" x14ac:dyDescent="0.25">
      <c r="A7469" s="21">
        <v>7468</v>
      </c>
      <c r="B7469" s="7" t="s">
        <v>15692</v>
      </c>
      <c r="C7469" s="7" t="s">
        <v>15693</v>
      </c>
      <c r="G7469" s="8" t="s">
        <v>15</v>
      </c>
    </row>
    <row r="7470" spans="1:7" hidden="1" x14ac:dyDescent="0.25">
      <c r="A7470" s="21">
        <v>7469</v>
      </c>
      <c r="B7470" s="7" t="s">
        <v>15694</v>
      </c>
      <c r="C7470" s="7" t="s">
        <v>15695</v>
      </c>
      <c r="G7470" s="8" t="s">
        <v>15</v>
      </c>
    </row>
    <row r="7471" spans="1:7" hidden="1" x14ac:dyDescent="0.25">
      <c r="A7471" s="21">
        <v>7470</v>
      </c>
      <c r="B7471" s="7" t="s">
        <v>15696</v>
      </c>
      <c r="C7471" s="7" t="s">
        <v>15697</v>
      </c>
      <c r="G7471" s="8" t="s">
        <v>15</v>
      </c>
    </row>
    <row r="7472" spans="1:7" hidden="1" x14ac:dyDescent="0.25">
      <c r="A7472" s="21">
        <v>7471</v>
      </c>
      <c r="B7472" s="7" t="s">
        <v>15698</v>
      </c>
      <c r="C7472" s="7" t="s">
        <v>15699</v>
      </c>
      <c r="G7472" s="8" t="s">
        <v>15</v>
      </c>
    </row>
    <row r="7473" spans="1:7" hidden="1" x14ac:dyDescent="0.25">
      <c r="A7473" s="21">
        <v>7472</v>
      </c>
      <c r="B7473" s="7" t="s">
        <v>15700</v>
      </c>
      <c r="C7473" s="7" t="s">
        <v>15701</v>
      </c>
      <c r="G7473" s="8" t="s">
        <v>15</v>
      </c>
    </row>
    <row r="7474" spans="1:7" hidden="1" x14ac:dyDescent="0.25">
      <c r="A7474" s="21">
        <v>7473</v>
      </c>
      <c r="B7474" s="7" t="s">
        <v>15702</v>
      </c>
      <c r="C7474" s="7" t="s">
        <v>15703</v>
      </c>
      <c r="G7474" s="8" t="s">
        <v>15</v>
      </c>
    </row>
    <row r="7475" spans="1:7" hidden="1" x14ac:dyDescent="0.25">
      <c r="A7475" s="21">
        <v>7474</v>
      </c>
      <c r="B7475" s="7" t="s">
        <v>15704</v>
      </c>
      <c r="C7475" s="7" t="s">
        <v>15705</v>
      </c>
      <c r="G7475" s="8" t="s">
        <v>15</v>
      </c>
    </row>
    <row r="7476" spans="1:7" hidden="1" x14ac:dyDescent="0.25">
      <c r="A7476" s="21">
        <v>7475</v>
      </c>
      <c r="B7476" s="7" t="s">
        <v>15706</v>
      </c>
      <c r="C7476" s="7" t="s">
        <v>15707</v>
      </c>
      <c r="G7476" s="8" t="s">
        <v>15</v>
      </c>
    </row>
    <row r="7477" spans="1:7" hidden="1" x14ac:dyDescent="0.25">
      <c r="A7477" s="21">
        <v>7476</v>
      </c>
      <c r="B7477" s="7" t="s">
        <v>15708</v>
      </c>
      <c r="C7477" s="7" t="s">
        <v>15709</v>
      </c>
      <c r="G7477" s="8" t="s">
        <v>15</v>
      </c>
    </row>
    <row r="7478" spans="1:7" hidden="1" x14ac:dyDescent="0.25">
      <c r="A7478" s="21">
        <v>7477</v>
      </c>
      <c r="B7478" s="7" t="s">
        <v>15710</v>
      </c>
      <c r="C7478" s="7" t="s">
        <v>15711</v>
      </c>
      <c r="G7478" s="8" t="s">
        <v>15</v>
      </c>
    </row>
    <row r="7479" spans="1:7" hidden="1" x14ac:dyDescent="0.25">
      <c r="A7479" s="21">
        <v>7478</v>
      </c>
      <c r="B7479" s="7" t="s">
        <v>15712</v>
      </c>
      <c r="C7479" s="7" t="s">
        <v>15713</v>
      </c>
      <c r="G7479" s="8" t="s">
        <v>15</v>
      </c>
    </row>
    <row r="7480" spans="1:7" hidden="1" x14ac:dyDescent="0.25">
      <c r="A7480" s="21">
        <v>7479</v>
      </c>
      <c r="B7480" s="7" t="s">
        <v>15714</v>
      </c>
      <c r="C7480" s="7" t="s">
        <v>15715</v>
      </c>
      <c r="G7480" s="8" t="s">
        <v>15</v>
      </c>
    </row>
    <row r="7481" spans="1:7" hidden="1" x14ac:dyDescent="0.25">
      <c r="A7481" s="21">
        <v>7480</v>
      </c>
      <c r="B7481" s="7" t="s">
        <v>15716</v>
      </c>
      <c r="C7481" s="7" t="s">
        <v>15717</v>
      </c>
      <c r="G7481" s="8" t="s">
        <v>15</v>
      </c>
    </row>
    <row r="7482" spans="1:7" hidden="1" x14ac:dyDescent="0.25">
      <c r="A7482" s="21">
        <v>7481</v>
      </c>
      <c r="B7482" s="7" t="s">
        <v>15718</v>
      </c>
      <c r="C7482" s="7" t="s">
        <v>15719</v>
      </c>
      <c r="G7482" s="8" t="s">
        <v>15</v>
      </c>
    </row>
    <row r="7483" spans="1:7" hidden="1" x14ac:dyDescent="0.25">
      <c r="A7483" s="21">
        <v>7482</v>
      </c>
      <c r="B7483" s="7" t="s">
        <v>15720</v>
      </c>
      <c r="C7483" s="7" t="s">
        <v>15721</v>
      </c>
      <c r="G7483" s="8" t="s">
        <v>15</v>
      </c>
    </row>
    <row r="7484" spans="1:7" hidden="1" x14ac:dyDescent="0.25">
      <c r="A7484" s="21">
        <v>7483</v>
      </c>
      <c r="B7484" s="7" t="s">
        <v>15722</v>
      </c>
      <c r="C7484" s="7" t="s">
        <v>15723</v>
      </c>
      <c r="G7484" s="8" t="s">
        <v>15</v>
      </c>
    </row>
    <row r="7485" spans="1:7" hidden="1" x14ac:dyDescent="0.25">
      <c r="A7485" s="21">
        <v>7484</v>
      </c>
      <c r="B7485" s="7" t="s">
        <v>15724</v>
      </c>
      <c r="C7485" s="7" t="s">
        <v>15725</v>
      </c>
      <c r="G7485" s="8" t="s">
        <v>15</v>
      </c>
    </row>
    <row r="7486" spans="1:7" hidden="1" x14ac:dyDescent="0.25">
      <c r="A7486" s="21">
        <v>7485</v>
      </c>
      <c r="B7486" s="7" t="s">
        <v>15726</v>
      </c>
      <c r="C7486" s="7" t="s">
        <v>15727</v>
      </c>
      <c r="G7486" s="8" t="s">
        <v>15</v>
      </c>
    </row>
    <row r="7487" spans="1:7" hidden="1" x14ac:dyDescent="0.25">
      <c r="A7487" s="21">
        <v>7486</v>
      </c>
      <c r="B7487" s="7" t="s">
        <v>15728</v>
      </c>
      <c r="C7487" s="7" t="s">
        <v>15729</v>
      </c>
      <c r="G7487" s="8" t="s">
        <v>15</v>
      </c>
    </row>
    <row r="7488" spans="1:7" hidden="1" x14ac:dyDescent="0.25">
      <c r="A7488" s="21">
        <v>7487</v>
      </c>
      <c r="B7488" s="7" t="s">
        <v>15730</v>
      </c>
      <c r="C7488" s="7" t="s">
        <v>15731</v>
      </c>
      <c r="G7488" s="8" t="s">
        <v>15</v>
      </c>
    </row>
    <row r="7489" spans="1:7" hidden="1" x14ac:dyDescent="0.25">
      <c r="A7489" s="21">
        <v>7488</v>
      </c>
      <c r="B7489" s="7" t="s">
        <v>15732</v>
      </c>
      <c r="C7489" s="7" t="s">
        <v>15733</v>
      </c>
      <c r="G7489" s="8" t="s">
        <v>15</v>
      </c>
    </row>
    <row r="7490" spans="1:7" hidden="1" x14ac:dyDescent="0.25">
      <c r="A7490" s="21">
        <v>7489</v>
      </c>
      <c r="B7490" s="7" t="s">
        <v>15734</v>
      </c>
      <c r="C7490" s="7" t="s">
        <v>15735</v>
      </c>
      <c r="G7490" s="8" t="s">
        <v>15</v>
      </c>
    </row>
    <row r="7491" spans="1:7" hidden="1" x14ac:dyDescent="0.25">
      <c r="A7491" s="21">
        <v>7490</v>
      </c>
      <c r="B7491" s="7" t="s">
        <v>15736</v>
      </c>
      <c r="C7491" s="7" t="s">
        <v>15737</v>
      </c>
      <c r="G7491" s="8" t="s">
        <v>15</v>
      </c>
    </row>
    <row r="7492" spans="1:7" hidden="1" x14ac:dyDescent="0.25">
      <c r="A7492" s="21">
        <v>7491</v>
      </c>
      <c r="B7492" s="7" t="s">
        <v>15738</v>
      </c>
      <c r="C7492" s="7" t="s">
        <v>15739</v>
      </c>
      <c r="G7492" s="8" t="s">
        <v>15</v>
      </c>
    </row>
    <row r="7493" spans="1:7" hidden="1" x14ac:dyDescent="0.25">
      <c r="A7493" s="21">
        <v>7492</v>
      </c>
      <c r="B7493" s="7" t="s">
        <v>15740</v>
      </c>
      <c r="C7493" s="7" t="s">
        <v>15741</v>
      </c>
      <c r="G7493" s="8" t="s">
        <v>15</v>
      </c>
    </row>
    <row r="7494" spans="1:7" hidden="1" x14ac:dyDescent="0.25">
      <c r="A7494" s="21">
        <v>7493</v>
      </c>
      <c r="B7494" s="7" t="s">
        <v>15742</v>
      </c>
      <c r="C7494" s="7" t="s">
        <v>15743</v>
      </c>
      <c r="G7494" s="8" t="s">
        <v>15</v>
      </c>
    </row>
    <row r="7495" spans="1:7" hidden="1" x14ac:dyDescent="0.25">
      <c r="A7495" s="21">
        <v>7494</v>
      </c>
      <c r="B7495" s="7" t="s">
        <v>15744</v>
      </c>
      <c r="C7495" s="7" t="s">
        <v>15745</v>
      </c>
      <c r="G7495" s="8" t="s">
        <v>15</v>
      </c>
    </row>
    <row r="7496" spans="1:7" hidden="1" x14ac:dyDescent="0.25">
      <c r="A7496" s="21">
        <v>7495</v>
      </c>
      <c r="B7496" s="7" t="s">
        <v>15746</v>
      </c>
      <c r="C7496" s="7" t="s">
        <v>15747</v>
      </c>
      <c r="G7496" s="8" t="s">
        <v>15</v>
      </c>
    </row>
    <row r="7497" spans="1:7" hidden="1" x14ac:dyDescent="0.25">
      <c r="A7497" s="21">
        <v>7496</v>
      </c>
      <c r="B7497" s="7" t="s">
        <v>15748</v>
      </c>
      <c r="C7497" s="7" t="s">
        <v>15749</v>
      </c>
      <c r="G7497" s="8" t="s">
        <v>15</v>
      </c>
    </row>
    <row r="7498" spans="1:7" hidden="1" x14ac:dyDescent="0.25">
      <c r="A7498" s="21">
        <v>7497</v>
      </c>
      <c r="B7498" s="7" t="s">
        <v>15750</v>
      </c>
      <c r="C7498" s="7" t="s">
        <v>15751</v>
      </c>
      <c r="G7498" s="8" t="s">
        <v>15</v>
      </c>
    </row>
    <row r="7499" spans="1:7" hidden="1" x14ac:dyDescent="0.25">
      <c r="A7499" s="21">
        <v>7498</v>
      </c>
      <c r="B7499" s="7" t="s">
        <v>15752</v>
      </c>
      <c r="C7499" s="7" t="s">
        <v>15753</v>
      </c>
      <c r="G7499" s="8" t="s">
        <v>15</v>
      </c>
    </row>
    <row r="7500" spans="1:7" hidden="1" x14ac:dyDescent="0.25">
      <c r="A7500" s="21">
        <v>7499</v>
      </c>
      <c r="B7500" s="7" t="s">
        <v>15754</v>
      </c>
      <c r="C7500" s="7" t="s">
        <v>15755</v>
      </c>
      <c r="G7500" s="8" t="s">
        <v>15</v>
      </c>
    </row>
    <row r="7501" spans="1:7" hidden="1" x14ac:dyDescent="0.25">
      <c r="A7501" s="21">
        <v>7500</v>
      </c>
      <c r="B7501" s="7" t="s">
        <v>15756</v>
      </c>
      <c r="C7501" s="7" t="s">
        <v>15757</v>
      </c>
      <c r="G7501" s="8" t="s">
        <v>15</v>
      </c>
    </row>
    <row r="7502" spans="1:7" hidden="1" x14ac:dyDescent="0.25">
      <c r="A7502" s="21">
        <v>7501</v>
      </c>
      <c r="B7502" s="7" t="s">
        <v>15758</v>
      </c>
      <c r="C7502" s="7" t="s">
        <v>15759</v>
      </c>
      <c r="G7502" s="8" t="s">
        <v>15</v>
      </c>
    </row>
    <row r="7503" spans="1:7" hidden="1" x14ac:dyDescent="0.25">
      <c r="A7503" s="21">
        <v>7502</v>
      </c>
      <c r="B7503" s="7" t="s">
        <v>15760</v>
      </c>
      <c r="C7503" s="7" t="s">
        <v>15761</v>
      </c>
      <c r="G7503" s="8" t="s">
        <v>15</v>
      </c>
    </row>
    <row r="7504" spans="1:7" hidden="1" x14ac:dyDescent="0.25">
      <c r="A7504" s="21">
        <v>7503</v>
      </c>
      <c r="B7504" s="7" t="s">
        <v>15762</v>
      </c>
      <c r="C7504" s="7" t="s">
        <v>15763</v>
      </c>
      <c r="G7504" s="8" t="s">
        <v>15</v>
      </c>
    </row>
    <row r="7505" spans="1:7" hidden="1" x14ac:dyDescent="0.25">
      <c r="A7505" s="21">
        <v>7504</v>
      </c>
      <c r="B7505" s="7" t="s">
        <v>15764</v>
      </c>
      <c r="C7505" s="7" t="s">
        <v>15765</v>
      </c>
      <c r="G7505" s="8" t="s">
        <v>15</v>
      </c>
    </row>
    <row r="7506" spans="1:7" hidden="1" x14ac:dyDescent="0.25">
      <c r="A7506" s="21">
        <v>7505</v>
      </c>
      <c r="B7506" s="7" t="s">
        <v>15766</v>
      </c>
      <c r="C7506" s="7" t="s">
        <v>15767</v>
      </c>
      <c r="G7506" s="8" t="s">
        <v>15</v>
      </c>
    </row>
    <row r="7507" spans="1:7" hidden="1" x14ac:dyDescent="0.25">
      <c r="A7507" s="21">
        <v>7506</v>
      </c>
      <c r="B7507" s="7" t="s">
        <v>15768</v>
      </c>
      <c r="C7507" s="7" t="s">
        <v>15769</v>
      </c>
      <c r="G7507" s="8" t="s">
        <v>15</v>
      </c>
    </row>
    <row r="7508" spans="1:7" hidden="1" x14ac:dyDescent="0.25">
      <c r="A7508" s="21">
        <v>7507</v>
      </c>
      <c r="B7508" s="7" t="s">
        <v>15770</v>
      </c>
      <c r="C7508" s="7" t="s">
        <v>15771</v>
      </c>
      <c r="G7508" s="8" t="s">
        <v>15</v>
      </c>
    </row>
    <row r="7509" spans="1:7" hidden="1" x14ac:dyDescent="0.25">
      <c r="A7509" s="21">
        <v>7508</v>
      </c>
      <c r="B7509" s="7" t="s">
        <v>15772</v>
      </c>
      <c r="C7509" s="7" t="s">
        <v>15773</v>
      </c>
      <c r="G7509" s="8" t="s">
        <v>15</v>
      </c>
    </row>
    <row r="7510" spans="1:7" hidden="1" x14ac:dyDescent="0.25">
      <c r="A7510" s="21">
        <v>7509</v>
      </c>
      <c r="B7510" s="7" t="s">
        <v>15774</v>
      </c>
      <c r="C7510" s="7" t="s">
        <v>15775</v>
      </c>
      <c r="G7510" s="8" t="s">
        <v>15</v>
      </c>
    </row>
    <row r="7511" spans="1:7" hidden="1" x14ac:dyDescent="0.25">
      <c r="A7511" s="21">
        <v>7510</v>
      </c>
      <c r="B7511" s="7" t="s">
        <v>15776</v>
      </c>
      <c r="C7511" s="7" t="s">
        <v>15777</v>
      </c>
      <c r="G7511" s="8" t="s">
        <v>15</v>
      </c>
    </row>
    <row r="7512" spans="1:7" hidden="1" x14ac:dyDescent="0.25">
      <c r="A7512" s="21">
        <v>7511</v>
      </c>
      <c r="B7512" s="7" t="s">
        <v>15778</v>
      </c>
      <c r="C7512" s="7" t="s">
        <v>15779</v>
      </c>
      <c r="G7512" s="8" t="s">
        <v>15</v>
      </c>
    </row>
    <row r="7513" spans="1:7" hidden="1" x14ac:dyDescent="0.25">
      <c r="A7513" s="21">
        <v>7512</v>
      </c>
      <c r="B7513" s="7" t="s">
        <v>15780</v>
      </c>
      <c r="C7513" s="7" t="s">
        <v>15781</v>
      </c>
      <c r="G7513" s="8" t="s">
        <v>15</v>
      </c>
    </row>
    <row r="7514" spans="1:7" hidden="1" x14ac:dyDescent="0.25">
      <c r="A7514" s="21">
        <v>7513</v>
      </c>
      <c r="B7514" s="7" t="s">
        <v>15782</v>
      </c>
      <c r="C7514" s="7" t="s">
        <v>15783</v>
      </c>
      <c r="G7514" s="8" t="s">
        <v>15</v>
      </c>
    </row>
    <row r="7515" spans="1:7" hidden="1" x14ac:dyDescent="0.25">
      <c r="A7515" s="21">
        <v>7514</v>
      </c>
      <c r="B7515" s="7" t="s">
        <v>15784</v>
      </c>
      <c r="C7515" s="7" t="s">
        <v>15785</v>
      </c>
      <c r="G7515" s="8" t="s">
        <v>15</v>
      </c>
    </row>
    <row r="7516" spans="1:7" hidden="1" x14ac:dyDescent="0.25">
      <c r="A7516" s="21">
        <v>7515</v>
      </c>
      <c r="B7516" s="7" t="s">
        <v>15786</v>
      </c>
      <c r="C7516" s="7" t="s">
        <v>15787</v>
      </c>
      <c r="G7516" s="8" t="s">
        <v>15</v>
      </c>
    </row>
    <row r="7517" spans="1:7" hidden="1" x14ac:dyDescent="0.25">
      <c r="A7517" s="21">
        <v>7516</v>
      </c>
      <c r="B7517" s="7" t="s">
        <v>15788</v>
      </c>
      <c r="C7517" s="7" t="s">
        <v>15789</v>
      </c>
      <c r="G7517" s="8" t="s">
        <v>15</v>
      </c>
    </row>
    <row r="7518" spans="1:7" hidden="1" x14ac:dyDescent="0.25">
      <c r="A7518" s="21">
        <v>7517</v>
      </c>
      <c r="B7518" s="7" t="s">
        <v>15790</v>
      </c>
      <c r="C7518" s="7" t="s">
        <v>15791</v>
      </c>
      <c r="G7518" s="8" t="s">
        <v>15</v>
      </c>
    </row>
    <row r="7519" spans="1:7" hidden="1" x14ac:dyDescent="0.25">
      <c r="A7519" s="21">
        <v>7518</v>
      </c>
      <c r="B7519" s="7" t="s">
        <v>15792</v>
      </c>
      <c r="C7519" s="7" t="s">
        <v>15793</v>
      </c>
      <c r="G7519" s="8" t="s">
        <v>15</v>
      </c>
    </row>
    <row r="7520" spans="1:7" hidden="1" x14ac:dyDescent="0.25">
      <c r="A7520" s="21">
        <v>7519</v>
      </c>
      <c r="B7520" s="7" t="s">
        <v>15794</v>
      </c>
      <c r="C7520" s="7" t="s">
        <v>15795</v>
      </c>
      <c r="G7520" s="8" t="s">
        <v>15</v>
      </c>
    </row>
    <row r="7521" spans="1:7" hidden="1" x14ac:dyDescent="0.25">
      <c r="A7521" s="21">
        <v>7520</v>
      </c>
      <c r="B7521" s="7" t="s">
        <v>15796</v>
      </c>
      <c r="C7521" s="7" t="s">
        <v>15797</v>
      </c>
      <c r="G7521" s="8" t="s">
        <v>15</v>
      </c>
    </row>
    <row r="7522" spans="1:7" hidden="1" x14ac:dyDescent="0.25">
      <c r="A7522" s="21">
        <v>7521</v>
      </c>
      <c r="B7522" s="7" t="s">
        <v>15798</v>
      </c>
      <c r="C7522" s="7" t="s">
        <v>15799</v>
      </c>
      <c r="G7522" s="8" t="s">
        <v>15</v>
      </c>
    </row>
    <row r="7523" spans="1:7" hidden="1" x14ac:dyDescent="0.25">
      <c r="A7523" s="21">
        <v>7522</v>
      </c>
      <c r="B7523" s="7" t="s">
        <v>15800</v>
      </c>
      <c r="C7523" s="7" t="s">
        <v>15801</v>
      </c>
      <c r="G7523" s="8" t="s">
        <v>15</v>
      </c>
    </row>
    <row r="7524" spans="1:7" hidden="1" x14ac:dyDescent="0.25">
      <c r="A7524" s="21">
        <v>7523</v>
      </c>
      <c r="B7524" s="7" t="s">
        <v>15802</v>
      </c>
      <c r="C7524" s="7" t="s">
        <v>15803</v>
      </c>
      <c r="G7524" s="8" t="s">
        <v>15</v>
      </c>
    </row>
    <row r="7525" spans="1:7" hidden="1" x14ac:dyDescent="0.25">
      <c r="A7525" s="21">
        <v>7524</v>
      </c>
      <c r="B7525" s="7" t="s">
        <v>15804</v>
      </c>
      <c r="C7525" s="7" t="s">
        <v>15805</v>
      </c>
      <c r="G7525" s="8" t="s">
        <v>15</v>
      </c>
    </row>
    <row r="7526" spans="1:7" hidden="1" x14ac:dyDescent="0.25">
      <c r="A7526" s="21">
        <v>7525</v>
      </c>
      <c r="B7526" s="7" t="s">
        <v>15806</v>
      </c>
      <c r="C7526" s="7" t="s">
        <v>15807</v>
      </c>
      <c r="G7526" s="8" t="s">
        <v>15</v>
      </c>
    </row>
    <row r="7527" spans="1:7" hidden="1" x14ac:dyDescent="0.25">
      <c r="A7527" s="21">
        <v>7526</v>
      </c>
      <c r="B7527" s="7" t="s">
        <v>15808</v>
      </c>
      <c r="C7527" s="7" t="s">
        <v>15809</v>
      </c>
      <c r="G7527" s="8" t="s">
        <v>15</v>
      </c>
    </row>
    <row r="7528" spans="1:7" hidden="1" x14ac:dyDescent="0.25">
      <c r="A7528" s="21">
        <v>7527</v>
      </c>
      <c r="B7528" s="7" t="s">
        <v>15810</v>
      </c>
      <c r="C7528" s="7" t="s">
        <v>15811</v>
      </c>
      <c r="G7528" s="8" t="s">
        <v>15</v>
      </c>
    </row>
    <row r="7529" spans="1:7" hidden="1" x14ac:dyDescent="0.25">
      <c r="A7529" s="21">
        <v>7528</v>
      </c>
      <c r="B7529" s="7" t="s">
        <v>15812</v>
      </c>
      <c r="C7529" s="7" t="s">
        <v>15813</v>
      </c>
      <c r="G7529" s="8" t="s">
        <v>15</v>
      </c>
    </row>
    <row r="7530" spans="1:7" hidden="1" x14ac:dyDescent="0.25">
      <c r="A7530" s="21">
        <v>7529</v>
      </c>
      <c r="B7530" s="7" t="s">
        <v>15814</v>
      </c>
      <c r="C7530" s="7" t="s">
        <v>15815</v>
      </c>
      <c r="G7530" s="8" t="s">
        <v>15</v>
      </c>
    </row>
    <row r="7531" spans="1:7" hidden="1" x14ac:dyDescent="0.25">
      <c r="A7531" s="21">
        <v>7530</v>
      </c>
      <c r="B7531" s="7" t="s">
        <v>15816</v>
      </c>
      <c r="C7531" s="7" t="s">
        <v>15817</v>
      </c>
      <c r="G7531" s="8" t="s">
        <v>15</v>
      </c>
    </row>
    <row r="7532" spans="1:7" hidden="1" x14ac:dyDescent="0.25">
      <c r="A7532" s="21">
        <v>7531</v>
      </c>
      <c r="B7532" s="7" t="s">
        <v>15818</v>
      </c>
      <c r="C7532" s="7" t="s">
        <v>15819</v>
      </c>
      <c r="G7532" s="8" t="s">
        <v>15</v>
      </c>
    </row>
    <row r="7533" spans="1:7" hidden="1" x14ac:dyDescent="0.25">
      <c r="A7533" s="21">
        <v>7532</v>
      </c>
      <c r="B7533" s="7" t="s">
        <v>15820</v>
      </c>
      <c r="C7533" s="7" t="s">
        <v>15821</v>
      </c>
      <c r="G7533" s="8" t="s">
        <v>15</v>
      </c>
    </row>
    <row r="7534" spans="1:7" hidden="1" x14ac:dyDescent="0.25">
      <c r="A7534" s="21">
        <v>7533</v>
      </c>
      <c r="B7534" s="7" t="s">
        <v>15822</v>
      </c>
      <c r="C7534" s="7" t="s">
        <v>15823</v>
      </c>
      <c r="G7534" s="8" t="s">
        <v>15</v>
      </c>
    </row>
    <row r="7535" spans="1:7" hidden="1" x14ac:dyDescent="0.25">
      <c r="A7535" s="21">
        <v>7534</v>
      </c>
      <c r="B7535" s="7" t="s">
        <v>15824</v>
      </c>
      <c r="C7535" s="7" t="s">
        <v>15825</v>
      </c>
      <c r="G7535" s="8" t="s">
        <v>15</v>
      </c>
    </row>
    <row r="7536" spans="1:7" hidden="1" x14ac:dyDescent="0.25">
      <c r="A7536" s="21">
        <v>7535</v>
      </c>
      <c r="B7536" s="7" t="s">
        <v>15826</v>
      </c>
      <c r="C7536" s="7" t="s">
        <v>15827</v>
      </c>
      <c r="G7536" s="8" t="s">
        <v>15</v>
      </c>
    </row>
    <row r="7537" spans="1:7" hidden="1" x14ac:dyDescent="0.25">
      <c r="A7537" s="21">
        <v>7536</v>
      </c>
      <c r="B7537" s="7" t="s">
        <v>15828</v>
      </c>
      <c r="C7537" s="7" t="s">
        <v>15829</v>
      </c>
      <c r="G7537" s="8" t="s">
        <v>15</v>
      </c>
    </row>
    <row r="7538" spans="1:7" hidden="1" x14ac:dyDescent="0.25">
      <c r="A7538" s="21">
        <v>7537</v>
      </c>
      <c r="B7538" s="7" t="s">
        <v>15830</v>
      </c>
      <c r="C7538" s="7" t="s">
        <v>15831</v>
      </c>
      <c r="G7538" s="8" t="s">
        <v>15</v>
      </c>
    </row>
    <row r="7539" spans="1:7" hidden="1" x14ac:dyDescent="0.25">
      <c r="A7539" s="21">
        <v>7538</v>
      </c>
      <c r="B7539" s="7" t="s">
        <v>15832</v>
      </c>
      <c r="C7539" s="7" t="s">
        <v>15833</v>
      </c>
      <c r="G7539" s="8" t="s">
        <v>15</v>
      </c>
    </row>
    <row r="7540" spans="1:7" hidden="1" x14ac:dyDescent="0.25">
      <c r="A7540" s="21">
        <v>7539</v>
      </c>
      <c r="B7540" s="7" t="s">
        <v>15834</v>
      </c>
      <c r="C7540" s="7" t="s">
        <v>15835</v>
      </c>
      <c r="G7540" s="8" t="s">
        <v>15</v>
      </c>
    </row>
    <row r="7541" spans="1:7" hidden="1" x14ac:dyDescent="0.25">
      <c r="A7541" s="21">
        <v>7540</v>
      </c>
      <c r="B7541" s="7" t="s">
        <v>15836</v>
      </c>
      <c r="C7541" s="7" t="s">
        <v>15837</v>
      </c>
      <c r="G7541" s="8" t="s">
        <v>15</v>
      </c>
    </row>
    <row r="7542" spans="1:7" hidden="1" x14ac:dyDescent="0.25">
      <c r="A7542" s="21">
        <v>7541</v>
      </c>
      <c r="B7542" s="7" t="s">
        <v>15838</v>
      </c>
      <c r="C7542" s="7" t="s">
        <v>15839</v>
      </c>
      <c r="G7542" s="8" t="s">
        <v>15</v>
      </c>
    </row>
    <row r="7543" spans="1:7" hidden="1" x14ac:dyDescent="0.25">
      <c r="A7543" s="21">
        <v>7542</v>
      </c>
      <c r="B7543" s="7" t="s">
        <v>15840</v>
      </c>
      <c r="C7543" s="7" t="s">
        <v>15841</v>
      </c>
      <c r="G7543" s="8" t="s">
        <v>15</v>
      </c>
    </row>
    <row r="7544" spans="1:7" hidden="1" x14ac:dyDescent="0.25">
      <c r="A7544" s="21">
        <v>7543</v>
      </c>
      <c r="B7544" s="7" t="s">
        <v>15842</v>
      </c>
      <c r="C7544" s="7" t="s">
        <v>15843</v>
      </c>
      <c r="G7544" s="8" t="s">
        <v>15</v>
      </c>
    </row>
    <row r="7545" spans="1:7" hidden="1" x14ac:dyDescent="0.25">
      <c r="A7545" s="21">
        <v>7544</v>
      </c>
      <c r="B7545" s="7" t="s">
        <v>15844</v>
      </c>
      <c r="C7545" s="7" t="s">
        <v>15845</v>
      </c>
      <c r="G7545" s="8" t="s">
        <v>15</v>
      </c>
    </row>
    <row r="7546" spans="1:7" hidden="1" x14ac:dyDescent="0.25">
      <c r="A7546" s="21">
        <v>7545</v>
      </c>
      <c r="B7546" s="7" t="s">
        <v>15846</v>
      </c>
      <c r="C7546" s="7" t="s">
        <v>15847</v>
      </c>
      <c r="G7546" s="8" t="s">
        <v>15</v>
      </c>
    </row>
    <row r="7547" spans="1:7" hidden="1" x14ac:dyDescent="0.25">
      <c r="A7547" s="21">
        <v>7546</v>
      </c>
      <c r="B7547" s="7" t="s">
        <v>15848</v>
      </c>
      <c r="C7547" s="7" t="s">
        <v>15849</v>
      </c>
      <c r="G7547" s="8" t="s">
        <v>15</v>
      </c>
    </row>
    <row r="7548" spans="1:7" hidden="1" x14ac:dyDescent="0.25">
      <c r="A7548" s="21">
        <v>7547</v>
      </c>
      <c r="B7548" s="7" t="s">
        <v>15850</v>
      </c>
      <c r="C7548" s="7" t="s">
        <v>15851</v>
      </c>
      <c r="G7548" s="8" t="s">
        <v>15</v>
      </c>
    </row>
    <row r="7549" spans="1:7" hidden="1" x14ac:dyDescent="0.25">
      <c r="A7549" s="21">
        <v>7548</v>
      </c>
      <c r="B7549" s="7" t="s">
        <v>15852</v>
      </c>
      <c r="C7549" s="7" t="s">
        <v>15853</v>
      </c>
      <c r="G7549" s="8" t="s">
        <v>15</v>
      </c>
    </row>
    <row r="7550" spans="1:7" hidden="1" x14ac:dyDescent="0.25">
      <c r="A7550" s="21">
        <v>7549</v>
      </c>
      <c r="B7550" s="7" t="s">
        <v>15854</v>
      </c>
      <c r="C7550" s="7" t="s">
        <v>15855</v>
      </c>
      <c r="G7550" s="8" t="s">
        <v>15</v>
      </c>
    </row>
    <row r="7551" spans="1:7" hidden="1" x14ac:dyDescent="0.25">
      <c r="A7551" s="21">
        <v>7550</v>
      </c>
      <c r="B7551" s="7" t="s">
        <v>15856</v>
      </c>
      <c r="C7551" s="7" t="s">
        <v>15857</v>
      </c>
      <c r="G7551" s="8" t="s">
        <v>15</v>
      </c>
    </row>
    <row r="7552" spans="1:7" hidden="1" x14ac:dyDescent="0.25">
      <c r="A7552" s="21">
        <v>7551</v>
      </c>
      <c r="B7552" s="7" t="s">
        <v>15858</v>
      </c>
      <c r="C7552" s="7" t="s">
        <v>15859</v>
      </c>
      <c r="G7552" s="8" t="s">
        <v>15</v>
      </c>
    </row>
    <row r="7553" spans="1:7" hidden="1" x14ac:dyDescent="0.25">
      <c r="A7553" s="21">
        <v>7552</v>
      </c>
      <c r="B7553" s="7" t="s">
        <v>15860</v>
      </c>
      <c r="C7553" s="7" t="s">
        <v>15861</v>
      </c>
      <c r="G7553" s="8" t="s">
        <v>15</v>
      </c>
    </row>
    <row r="7554" spans="1:7" hidden="1" x14ac:dyDescent="0.25">
      <c r="A7554" s="21">
        <v>7553</v>
      </c>
      <c r="B7554" s="7" t="s">
        <v>15862</v>
      </c>
      <c r="C7554" s="7" t="s">
        <v>15863</v>
      </c>
      <c r="G7554" s="8" t="s">
        <v>15</v>
      </c>
    </row>
    <row r="7555" spans="1:7" hidden="1" x14ac:dyDescent="0.25">
      <c r="A7555" s="21">
        <v>7554</v>
      </c>
      <c r="B7555" s="7" t="s">
        <v>15864</v>
      </c>
      <c r="C7555" s="7" t="s">
        <v>15865</v>
      </c>
      <c r="G7555" s="8" t="s">
        <v>15</v>
      </c>
    </row>
    <row r="7556" spans="1:7" hidden="1" x14ac:dyDescent="0.25">
      <c r="A7556" s="21">
        <v>7555</v>
      </c>
      <c r="B7556" s="7" t="s">
        <v>15866</v>
      </c>
      <c r="C7556" s="7" t="s">
        <v>15867</v>
      </c>
      <c r="G7556" s="8" t="s">
        <v>15</v>
      </c>
    </row>
    <row r="7557" spans="1:7" hidden="1" x14ac:dyDescent="0.25">
      <c r="A7557" s="21">
        <v>7556</v>
      </c>
      <c r="B7557" s="7" t="s">
        <v>15868</v>
      </c>
      <c r="C7557" s="7" t="s">
        <v>15869</v>
      </c>
      <c r="G7557" s="8" t="s">
        <v>15</v>
      </c>
    </row>
    <row r="7558" spans="1:7" hidden="1" x14ac:dyDescent="0.25">
      <c r="A7558" s="21">
        <v>7557</v>
      </c>
      <c r="B7558" s="7" t="s">
        <v>15870</v>
      </c>
      <c r="C7558" s="7" t="s">
        <v>15871</v>
      </c>
      <c r="G7558" s="8" t="s">
        <v>15</v>
      </c>
    </row>
    <row r="7559" spans="1:7" hidden="1" x14ac:dyDescent="0.25">
      <c r="A7559" s="21">
        <v>7558</v>
      </c>
      <c r="B7559" s="7" t="s">
        <v>15872</v>
      </c>
      <c r="C7559" s="7" t="s">
        <v>15873</v>
      </c>
      <c r="G7559" s="8" t="s">
        <v>15</v>
      </c>
    </row>
    <row r="7560" spans="1:7" hidden="1" x14ac:dyDescent="0.25">
      <c r="A7560" s="21">
        <v>7559</v>
      </c>
      <c r="B7560" s="7" t="s">
        <v>15874</v>
      </c>
      <c r="C7560" s="7" t="s">
        <v>15875</v>
      </c>
      <c r="G7560" s="8" t="s">
        <v>15</v>
      </c>
    </row>
    <row r="7561" spans="1:7" hidden="1" x14ac:dyDescent="0.25">
      <c r="A7561" s="21">
        <v>7560</v>
      </c>
      <c r="B7561" s="7" t="s">
        <v>15876</v>
      </c>
      <c r="C7561" s="7" t="s">
        <v>15877</v>
      </c>
      <c r="G7561" s="8" t="s">
        <v>15</v>
      </c>
    </row>
    <row r="7562" spans="1:7" hidden="1" x14ac:dyDescent="0.25">
      <c r="A7562" s="21">
        <v>7561</v>
      </c>
      <c r="B7562" s="7" t="s">
        <v>15878</v>
      </c>
      <c r="C7562" s="7" t="s">
        <v>15879</v>
      </c>
      <c r="G7562" s="8" t="s">
        <v>15</v>
      </c>
    </row>
    <row r="7563" spans="1:7" hidden="1" x14ac:dyDescent="0.25">
      <c r="A7563" s="21">
        <v>7562</v>
      </c>
      <c r="B7563" s="7" t="s">
        <v>15880</v>
      </c>
      <c r="C7563" s="7" t="s">
        <v>15881</v>
      </c>
      <c r="G7563" s="8" t="s">
        <v>15</v>
      </c>
    </row>
    <row r="7564" spans="1:7" hidden="1" x14ac:dyDescent="0.25">
      <c r="A7564" s="21">
        <v>7563</v>
      </c>
      <c r="B7564" s="7" t="s">
        <v>15882</v>
      </c>
      <c r="C7564" s="7" t="s">
        <v>15883</v>
      </c>
      <c r="G7564" s="8" t="s">
        <v>15</v>
      </c>
    </row>
    <row r="7565" spans="1:7" hidden="1" x14ac:dyDescent="0.25">
      <c r="A7565" s="21">
        <v>7564</v>
      </c>
      <c r="B7565" s="7" t="s">
        <v>15884</v>
      </c>
      <c r="C7565" s="7" t="s">
        <v>15885</v>
      </c>
      <c r="G7565" s="8" t="s">
        <v>15</v>
      </c>
    </row>
    <row r="7566" spans="1:7" hidden="1" x14ac:dyDescent="0.25">
      <c r="A7566" s="21">
        <v>7565</v>
      </c>
      <c r="B7566" s="7" t="s">
        <v>15886</v>
      </c>
      <c r="C7566" s="7" t="s">
        <v>15887</v>
      </c>
      <c r="G7566" s="8" t="s">
        <v>15</v>
      </c>
    </row>
    <row r="7567" spans="1:7" hidden="1" x14ac:dyDescent="0.25">
      <c r="A7567" s="21">
        <v>7566</v>
      </c>
      <c r="B7567" s="7" t="s">
        <v>15888</v>
      </c>
      <c r="C7567" s="7" t="s">
        <v>15889</v>
      </c>
      <c r="G7567" s="8" t="s">
        <v>15</v>
      </c>
    </row>
    <row r="7568" spans="1:7" hidden="1" x14ac:dyDescent="0.25">
      <c r="A7568" s="21">
        <v>7567</v>
      </c>
      <c r="B7568" s="7" t="s">
        <v>15890</v>
      </c>
      <c r="C7568" s="7" t="s">
        <v>15891</v>
      </c>
      <c r="G7568" s="8" t="s">
        <v>15</v>
      </c>
    </row>
    <row r="7569" spans="1:7" hidden="1" x14ac:dyDescent="0.25">
      <c r="A7569" s="21">
        <v>7568</v>
      </c>
      <c r="B7569" s="7" t="s">
        <v>15892</v>
      </c>
      <c r="C7569" s="7" t="s">
        <v>15893</v>
      </c>
      <c r="G7569" s="8" t="s">
        <v>15</v>
      </c>
    </row>
    <row r="7570" spans="1:7" hidden="1" x14ac:dyDescent="0.25">
      <c r="A7570" s="21">
        <v>7569</v>
      </c>
      <c r="B7570" s="7" t="s">
        <v>15894</v>
      </c>
      <c r="C7570" s="7" t="s">
        <v>15895</v>
      </c>
      <c r="G7570" s="8" t="s">
        <v>15</v>
      </c>
    </row>
    <row r="7571" spans="1:7" hidden="1" x14ac:dyDescent="0.25">
      <c r="A7571" s="21">
        <v>7570</v>
      </c>
      <c r="B7571" s="7" t="s">
        <v>15896</v>
      </c>
      <c r="C7571" s="7" t="s">
        <v>15897</v>
      </c>
      <c r="G7571" s="8" t="s">
        <v>15</v>
      </c>
    </row>
    <row r="7572" spans="1:7" hidden="1" x14ac:dyDescent="0.25">
      <c r="A7572" s="21">
        <v>7571</v>
      </c>
      <c r="B7572" s="7" t="s">
        <v>15898</v>
      </c>
      <c r="C7572" s="7" t="s">
        <v>15899</v>
      </c>
      <c r="G7572" s="8" t="s">
        <v>15</v>
      </c>
    </row>
    <row r="7573" spans="1:7" hidden="1" x14ac:dyDescent="0.25">
      <c r="A7573" s="21">
        <v>7572</v>
      </c>
      <c r="B7573" s="7" t="s">
        <v>15900</v>
      </c>
      <c r="C7573" s="7" t="s">
        <v>15901</v>
      </c>
      <c r="G7573" s="8" t="s">
        <v>15</v>
      </c>
    </row>
    <row r="7574" spans="1:7" hidden="1" x14ac:dyDescent="0.25">
      <c r="A7574" s="21">
        <v>7573</v>
      </c>
      <c r="B7574" s="7" t="s">
        <v>15902</v>
      </c>
      <c r="C7574" s="7" t="s">
        <v>15903</v>
      </c>
      <c r="G7574" s="8" t="s">
        <v>15</v>
      </c>
    </row>
    <row r="7575" spans="1:7" hidden="1" x14ac:dyDescent="0.25">
      <c r="A7575" s="21">
        <v>7574</v>
      </c>
      <c r="B7575" s="7" t="s">
        <v>15904</v>
      </c>
      <c r="C7575" s="7" t="s">
        <v>15905</v>
      </c>
      <c r="G7575" s="8" t="s">
        <v>15</v>
      </c>
    </row>
    <row r="7576" spans="1:7" hidden="1" x14ac:dyDescent="0.25">
      <c r="A7576" s="21">
        <v>7575</v>
      </c>
      <c r="B7576" s="7" t="s">
        <v>15906</v>
      </c>
      <c r="C7576" s="7" t="s">
        <v>15907</v>
      </c>
      <c r="G7576" s="8" t="s">
        <v>15</v>
      </c>
    </row>
    <row r="7577" spans="1:7" hidden="1" x14ac:dyDescent="0.25">
      <c r="A7577" s="21">
        <v>7576</v>
      </c>
      <c r="B7577" s="7" t="s">
        <v>15908</v>
      </c>
      <c r="C7577" s="7" t="s">
        <v>15909</v>
      </c>
      <c r="G7577" s="8" t="s">
        <v>15</v>
      </c>
    </row>
    <row r="7578" spans="1:7" hidden="1" x14ac:dyDescent="0.25">
      <c r="A7578" s="21">
        <v>7577</v>
      </c>
      <c r="B7578" s="7" t="s">
        <v>15910</v>
      </c>
      <c r="C7578" s="7" t="s">
        <v>15911</v>
      </c>
      <c r="G7578" s="8" t="s">
        <v>15</v>
      </c>
    </row>
    <row r="7579" spans="1:7" hidden="1" x14ac:dyDescent="0.25">
      <c r="A7579" s="21">
        <v>7578</v>
      </c>
      <c r="B7579" s="7" t="s">
        <v>15912</v>
      </c>
      <c r="C7579" s="7" t="s">
        <v>15913</v>
      </c>
      <c r="G7579" s="8" t="s">
        <v>15</v>
      </c>
    </row>
    <row r="7580" spans="1:7" hidden="1" x14ac:dyDescent="0.25">
      <c r="A7580" s="21">
        <v>7579</v>
      </c>
      <c r="B7580" s="7" t="s">
        <v>15914</v>
      </c>
      <c r="C7580" s="7" t="s">
        <v>15915</v>
      </c>
      <c r="G7580" s="8" t="s">
        <v>15</v>
      </c>
    </row>
    <row r="7581" spans="1:7" hidden="1" x14ac:dyDescent="0.25">
      <c r="A7581" s="21">
        <v>7580</v>
      </c>
      <c r="B7581" s="7" t="s">
        <v>15916</v>
      </c>
      <c r="C7581" s="7" t="s">
        <v>15917</v>
      </c>
      <c r="G7581" s="8" t="s">
        <v>15</v>
      </c>
    </row>
    <row r="7582" spans="1:7" hidden="1" x14ac:dyDescent="0.25">
      <c r="A7582" s="21">
        <v>7581</v>
      </c>
      <c r="B7582" s="7" t="s">
        <v>15918</v>
      </c>
      <c r="C7582" s="7" t="s">
        <v>15919</v>
      </c>
      <c r="G7582" s="8" t="s">
        <v>15</v>
      </c>
    </row>
    <row r="7583" spans="1:7" hidden="1" x14ac:dyDescent="0.25">
      <c r="A7583" s="21">
        <v>7582</v>
      </c>
      <c r="B7583" s="7" t="s">
        <v>15920</v>
      </c>
      <c r="C7583" s="7" t="s">
        <v>15921</v>
      </c>
      <c r="G7583" s="8" t="s">
        <v>15</v>
      </c>
    </row>
    <row r="7584" spans="1:7" hidden="1" x14ac:dyDescent="0.25">
      <c r="A7584" s="21">
        <v>7583</v>
      </c>
      <c r="B7584" s="7" t="s">
        <v>15922</v>
      </c>
      <c r="C7584" s="7" t="s">
        <v>15923</v>
      </c>
      <c r="G7584" s="8" t="s">
        <v>15</v>
      </c>
    </row>
    <row r="7585" spans="1:7" hidden="1" x14ac:dyDescent="0.25">
      <c r="A7585" s="21">
        <v>7584</v>
      </c>
      <c r="B7585" s="7" t="s">
        <v>15924</v>
      </c>
      <c r="C7585" s="7" t="s">
        <v>15925</v>
      </c>
      <c r="G7585" s="8" t="s">
        <v>15</v>
      </c>
    </row>
    <row r="7586" spans="1:7" hidden="1" x14ac:dyDescent="0.25">
      <c r="A7586" s="21">
        <v>7585</v>
      </c>
      <c r="B7586" s="7" t="s">
        <v>15926</v>
      </c>
      <c r="C7586" s="7" t="s">
        <v>15927</v>
      </c>
      <c r="G7586" s="8" t="s">
        <v>15</v>
      </c>
    </row>
    <row r="7587" spans="1:7" hidden="1" x14ac:dyDescent="0.25">
      <c r="A7587" s="21">
        <v>7586</v>
      </c>
      <c r="B7587" s="7" t="s">
        <v>15928</v>
      </c>
      <c r="C7587" s="7" t="s">
        <v>15929</v>
      </c>
      <c r="G7587" s="8" t="s">
        <v>15</v>
      </c>
    </row>
    <row r="7588" spans="1:7" hidden="1" x14ac:dyDescent="0.25">
      <c r="A7588" s="21">
        <v>7587</v>
      </c>
      <c r="B7588" s="7" t="s">
        <v>15930</v>
      </c>
      <c r="C7588" s="7" t="s">
        <v>15931</v>
      </c>
      <c r="G7588" s="8" t="s">
        <v>15</v>
      </c>
    </row>
    <row r="7589" spans="1:7" hidden="1" x14ac:dyDescent="0.25">
      <c r="A7589" s="21">
        <v>7588</v>
      </c>
      <c r="B7589" s="7" t="s">
        <v>15932</v>
      </c>
      <c r="C7589" s="7" t="s">
        <v>15933</v>
      </c>
      <c r="G7589" s="8" t="s">
        <v>15</v>
      </c>
    </row>
    <row r="7590" spans="1:7" hidden="1" x14ac:dyDescent="0.25">
      <c r="A7590" s="21">
        <v>7589</v>
      </c>
      <c r="B7590" s="7" t="s">
        <v>15934</v>
      </c>
      <c r="C7590" s="7" t="s">
        <v>15935</v>
      </c>
      <c r="G7590" s="8" t="s">
        <v>15</v>
      </c>
    </row>
    <row r="7591" spans="1:7" hidden="1" x14ac:dyDescent="0.25">
      <c r="A7591" s="21">
        <v>7590</v>
      </c>
      <c r="B7591" s="7" t="s">
        <v>15936</v>
      </c>
      <c r="C7591" s="7" t="s">
        <v>15937</v>
      </c>
      <c r="G7591" s="8" t="s">
        <v>15</v>
      </c>
    </row>
    <row r="7592" spans="1:7" hidden="1" x14ac:dyDescent="0.25">
      <c r="A7592" s="21">
        <v>7591</v>
      </c>
      <c r="B7592" s="7" t="s">
        <v>15938</v>
      </c>
      <c r="C7592" s="7" t="s">
        <v>15939</v>
      </c>
      <c r="G7592" s="8" t="s">
        <v>15</v>
      </c>
    </row>
    <row r="7593" spans="1:7" hidden="1" x14ac:dyDescent="0.25">
      <c r="A7593" s="21">
        <v>7592</v>
      </c>
      <c r="B7593" s="7" t="s">
        <v>15940</v>
      </c>
      <c r="C7593" s="7" t="s">
        <v>15941</v>
      </c>
      <c r="G7593" s="8" t="s">
        <v>15</v>
      </c>
    </row>
    <row r="7594" spans="1:7" hidden="1" x14ac:dyDescent="0.25">
      <c r="A7594" s="21">
        <v>7593</v>
      </c>
      <c r="B7594" s="7" t="s">
        <v>15942</v>
      </c>
      <c r="C7594" s="7" t="s">
        <v>15943</v>
      </c>
      <c r="G7594" s="8" t="s">
        <v>15</v>
      </c>
    </row>
    <row r="7595" spans="1:7" hidden="1" x14ac:dyDescent="0.25">
      <c r="A7595" s="21">
        <v>7594</v>
      </c>
      <c r="B7595" s="7" t="s">
        <v>15944</v>
      </c>
      <c r="C7595" s="7" t="s">
        <v>15945</v>
      </c>
      <c r="G7595" s="8" t="s">
        <v>15</v>
      </c>
    </row>
    <row r="7596" spans="1:7" hidden="1" x14ac:dyDescent="0.25">
      <c r="A7596" s="21">
        <v>7595</v>
      </c>
      <c r="B7596" s="7" t="s">
        <v>15946</v>
      </c>
      <c r="C7596" s="7" t="s">
        <v>15947</v>
      </c>
      <c r="G7596" s="8" t="s">
        <v>15</v>
      </c>
    </row>
    <row r="7597" spans="1:7" hidden="1" x14ac:dyDescent="0.25">
      <c r="A7597" s="21">
        <v>7596</v>
      </c>
      <c r="B7597" s="7" t="s">
        <v>15948</v>
      </c>
      <c r="C7597" s="7" t="s">
        <v>15949</v>
      </c>
      <c r="G7597" s="8" t="s">
        <v>15</v>
      </c>
    </row>
    <row r="7598" spans="1:7" hidden="1" x14ac:dyDescent="0.25">
      <c r="A7598" s="21">
        <v>7597</v>
      </c>
      <c r="B7598" s="7" t="s">
        <v>15950</v>
      </c>
      <c r="C7598" s="7" t="s">
        <v>15951</v>
      </c>
      <c r="G7598" s="8" t="s">
        <v>15</v>
      </c>
    </row>
    <row r="7599" spans="1:7" hidden="1" x14ac:dyDescent="0.25">
      <c r="A7599" s="21">
        <v>7598</v>
      </c>
      <c r="B7599" s="7" t="s">
        <v>15952</v>
      </c>
      <c r="C7599" s="7" t="s">
        <v>15953</v>
      </c>
      <c r="G7599" s="8" t="s">
        <v>15</v>
      </c>
    </row>
    <row r="7600" spans="1:7" hidden="1" x14ac:dyDescent="0.25">
      <c r="A7600" s="21">
        <v>7599</v>
      </c>
      <c r="B7600" s="7" t="s">
        <v>15954</v>
      </c>
      <c r="C7600" s="7" t="s">
        <v>15955</v>
      </c>
      <c r="G7600" s="8" t="s">
        <v>15</v>
      </c>
    </row>
    <row r="7601" spans="1:7" hidden="1" x14ac:dyDescent="0.25">
      <c r="A7601" s="21">
        <v>7600</v>
      </c>
      <c r="B7601" s="7" t="s">
        <v>15956</v>
      </c>
      <c r="C7601" s="7" t="s">
        <v>15957</v>
      </c>
      <c r="G7601" s="8" t="s">
        <v>15</v>
      </c>
    </row>
    <row r="7602" spans="1:7" hidden="1" x14ac:dyDescent="0.25">
      <c r="A7602" s="21">
        <v>7601</v>
      </c>
      <c r="B7602" s="7" t="s">
        <v>15958</v>
      </c>
      <c r="C7602" s="7" t="s">
        <v>15959</v>
      </c>
      <c r="G7602" s="8" t="s">
        <v>15</v>
      </c>
    </row>
    <row r="7603" spans="1:7" hidden="1" x14ac:dyDescent="0.25">
      <c r="A7603" s="21">
        <v>7602</v>
      </c>
      <c r="B7603" s="7" t="s">
        <v>15960</v>
      </c>
      <c r="C7603" s="7" t="s">
        <v>15961</v>
      </c>
      <c r="G7603" s="8" t="s">
        <v>15</v>
      </c>
    </row>
    <row r="7604" spans="1:7" hidden="1" x14ac:dyDescent="0.25">
      <c r="A7604" s="21">
        <v>7603</v>
      </c>
      <c r="B7604" s="7" t="s">
        <v>15962</v>
      </c>
      <c r="C7604" s="7" t="s">
        <v>15963</v>
      </c>
      <c r="G7604" s="8" t="s">
        <v>15</v>
      </c>
    </row>
    <row r="7605" spans="1:7" hidden="1" x14ac:dyDescent="0.25">
      <c r="A7605" s="21">
        <v>7604</v>
      </c>
      <c r="B7605" s="7" t="s">
        <v>15964</v>
      </c>
      <c r="C7605" s="7" t="s">
        <v>15965</v>
      </c>
      <c r="G7605" s="8" t="s">
        <v>15</v>
      </c>
    </row>
    <row r="7606" spans="1:7" hidden="1" x14ac:dyDescent="0.25">
      <c r="A7606" s="21">
        <v>7605</v>
      </c>
      <c r="B7606" s="7" t="s">
        <v>15966</v>
      </c>
      <c r="C7606" s="7" t="s">
        <v>15967</v>
      </c>
      <c r="G7606" s="8" t="s">
        <v>15</v>
      </c>
    </row>
    <row r="7607" spans="1:7" hidden="1" x14ac:dyDescent="0.25">
      <c r="A7607" s="21">
        <v>7606</v>
      </c>
      <c r="B7607" s="7" t="s">
        <v>15968</v>
      </c>
      <c r="C7607" s="7" t="s">
        <v>15969</v>
      </c>
      <c r="G7607" s="8" t="s">
        <v>15</v>
      </c>
    </row>
    <row r="7608" spans="1:7" hidden="1" x14ac:dyDescent="0.25">
      <c r="A7608" s="21">
        <v>7607</v>
      </c>
      <c r="B7608" s="7" t="s">
        <v>15970</v>
      </c>
      <c r="C7608" s="7" t="s">
        <v>15971</v>
      </c>
      <c r="G7608" s="8" t="s">
        <v>15</v>
      </c>
    </row>
    <row r="7609" spans="1:7" hidden="1" x14ac:dyDescent="0.25">
      <c r="A7609" s="21">
        <v>7608</v>
      </c>
      <c r="B7609" s="7" t="s">
        <v>15972</v>
      </c>
      <c r="C7609" s="7" t="s">
        <v>15973</v>
      </c>
      <c r="G7609" s="8" t="s">
        <v>15</v>
      </c>
    </row>
    <row r="7610" spans="1:7" hidden="1" x14ac:dyDescent="0.25">
      <c r="A7610" s="21">
        <v>7609</v>
      </c>
      <c r="B7610" s="7" t="s">
        <v>15974</v>
      </c>
      <c r="C7610" s="7" t="s">
        <v>15975</v>
      </c>
      <c r="G7610" s="8" t="s">
        <v>15</v>
      </c>
    </row>
    <row r="7611" spans="1:7" hidden="1" x14ac:dyDescent="0.25">
      <c r="A7611" s="21">
        <v>7610</v>
      </c>
      <c r="B7611" s="7" t="s">
        <v>15976</v>
      </c>
      <c r="C7611" s="7" t="s">
        <v>15977</v>
      </c>
      <c r="G7611" s="8" t="s">
        <v>15</v>
      </c>
    </row>
    <row r="7612" spans="1:7" hidden="1" x14ac:dyDescent="0.25">
      <c r="A7612" s="21">
        <v>7611</v>
      </c>
      <c r="B7612" s="7" t="s">
        <v>15978</v>
      </c>
      <c r="C7612" s="7" t="s">
        <v>15979</v>
      </c>
      <c r="G7612" s="8" t="s">
        <v>15</v>
      </c>
    </row>
    <row r="7613" spans="1:7" hidden="1" x14ac:dyDescent="0.25">
      <c r="A7613" s="21">
        <v>7612</v>
      </c>
      <c r="B7613" s="7" t="s">
        <v>15980</v>
      </c>
      <c r="C7613" s="7" t="s">
        <v>15981</v>
      </c>
      <c r="G7613" s="8" t="s">
        <v>15</v>
      </c>
    </row>
    <row r="7614" spans="1:7" hidden="1" x14ac:dyDescent="0.25">
      <c r="A7614" s="21">
        <v>7613</v>
      </c>
      <c r="B7614" s="7" t="s">
        <v>15982</v>
      </c>
      <c r="C7614" s="7" t="s">
        <v>15983</v>
      </c>
      <c r="G7614" s="8" t="s">
        <v>15</v>
      </c>
    </row>
    <row r="7615" spans="1:7" hidden="1" x14ac:dyDescent="0.25">
      <c r="A7615" s="21">
        <v>7614</v>
      </c>
      <c r="B7615" s="7" t="s">
        <v>15984</v>
      </c>
      <c r="C7615" s="7" t="s">
        <v>15985</v>
      </c>
      <c r="G7615" s="8" t="s">
        <v>15</v>
      </c>
    </row>
    <row r="7616" spans="1:7" hidden="1" x14ac:dyDescent="0.25">
      <c r="A7616" s="21">
        <v>7615</v>
      </c>
      <c r="B7616" s="7" t="s">
        <v>15986</v>
      </c>
      <c r="C7616" s="7" t="s">
        <v>15987</v>
      </c>
      <c r="G7616" s="8" t="s">
        <v>15</v>
      </c>
    </row>
    <row r="7617" spans="1:7" hidden="1" x14ac:dyDescent="0.25">
      <c r="A7617" s="21">
        <v>7616</v>
      </c>
      <c r="B7617" s="7" t="s">
        <v>15988</v>
      </c>
      <c r="C7617" s="7" t="s">
        <v>15989</v>
      </c>
      <c r="G7617" s="8" t="s">
        <v>15</v>
      </c>
    </row>
    <row r="7618" spans="1:7" hidden="1" x14ac:dyDescent="0.25">
      <c r="A7618" s="21">
        <v>7617</v>
      </c>
      <c r="B7618" s="7" t="s">
        <v>15990</v>
      </c>
      <c r="C7618" s="7" t="s">
        <v>15991</v>
      </c>
      <c r="G7618" s="8" t="s">
        <v>15</v>
      </c>
    </row>
    <row r="7619" spans="1:7" hidden="1" x14ac:dyDescent="0.25">
      <c r="A7619" s="21">
        <v>7618</v>
      </c>
      <c r="B7619" s="7" t="s">
        <v>15992</v>
      </c>
      <c r="C7619" s="7" t="s">
        <v>15993</v>
      </c>
      <c r="G7619" s="8" t="s">
        <v>15</v>
      </c>
    </row>
    <row r="7620" spans="1:7" hidden="1" x14ac:dyDescent="0.25">
      <c r="A7620" s="21">
        <v>7619</v>
      </c>
      <c r="B7620" s="7" t="s">
        <v>15994</v>
      </c>
      <c r="C7620" s="7" t="s">
        <v>15995</v>
      </c>
      <c r="G7620" s="8" t="s">
        <v>15</v>
      </c>
    </row>
    <row r="7621" spans="1:7" hidden="1" x14ac:dyDescent="0.25">
      <c r="A7621" s="21">
        <v>7620</v>
      </c>
      <c r="B7621" s="7" t="s">
        <v>15996</v>
      </c>
      <c r="C7621" s="7" t="s">
        <v>15997</v>
      </c>
      <c r="G7621" s="8" t="s">
        <v>15</v>
      </c>
    </row>
    <row r="7622" spans="1:7" hidden="1" x14ac:dyDescent="0.25">
      <c r="A7622" s="21">
        <v>7621</v>
      </c>
      <c r="B7622" s="7" t="s">
        <v>15998</v>
      </c>
      <c r="C7622" s="7" t="s">
        <v>15999</v>
      </c>
      <c r="G7622" s="8" t="s">
        <v>15</v>
      </c>
    </row>
    <row r="7623" spans="1:7" hidden="1" x14ac:dyDescent="0.25">
      <c r="A7623" s="21">
        <v>7622</v>
      </c>
      <c r="B7623" s="7" t="s">
        <v>16000</v>
      </c>
      <c r="C7623" s="7" t="s">
        <v>16001</v>
      </c>
      <c r="G7623" s="8" t="s">
        <v>15</v>
      </c>
    </row>
    <row r="7624" spans="1:7" hidden="1" x14ac:dyDescent="0.25">
      <c r="A7624" s="21">
        <v>7623</v>
      </c>
      <c r="B7624" s="7" t="s">
        <v>16002</v>
      </c>
      <c r="C7624" s="7" t="s">
        <v>16003</v>
      </c>
      <c r="G7624" s="8" t="s">
        <v>15</v>
      </c>
    </row>
    <row r="7625" spans="1:7" hidden="1" x14ac:dyDescent="0.25">
      <c r="A7625" s="21">
        <v>7624</v>
      </c>
      <c r="B7625" s="7" t="s">
        <v>16004</v>
      </c>
      <c r="C7625" s="7" t="s">
        <v>16005</v>
      </c>
      <c r="G7625" s="8" t="s">
        <v>15</v>
      </c>
    </row>
    <row r="7626" spans="1:7" hidden="1" x14ac:dyDescent="0.25">
      <c r="A7626" s="21">
        <v>7625</v>
      </c>
      <c r="B7626" s="7" t="s">
        <v>16006</v>
      </c>
      <c r="C7626" s="7" t="s">
        <v>16007</v>
      </c>
      <c r="G7626" s="8" t="s">
        <v>15</v>
      </c>
    </row>
    <row r="7627" spans="1:7" hidden="1" x14ac:dyDescent="0.25">
      <c r="A7627" s="21">
        <v>7626</v>
      </c>
      <c r="B7627" s="7" t="s">
        <v>16008</v>
      </c>
      <c r="C7627" s="7" t="s">
        <v>16009</v>
      </c>
      <c r="G7627" s="8" t="s">
        <v>15</v>
      </c>
    </row>
    <row r="7628" spans="1:7" hidden="1" x14ac:dyDescent="0.25">
      <c r="A7628" s="21">
        <v>7627</v>
      </c>
      <c r="B7628" s="7" t="s">
        <v>16010</v>
      </c>
      <c r="C7628" s="7" t="s">
        <v>16011</v>
      </c>
      <c r="G7628" s="8" t="s">
        <v>15</v>
      </c>
    </row>
    <row r="7629" spans="1:7" hidden="1" x14ac:dyDescent="0.25">
      <c r="A7629" s="21">
        <v>7628</v>
      </c>
      <c r="B7629" s="7" t="s">
        <v>16012</v>
      </c>
      <c r="C7629" s="7" t="s">
        <v>16013</v>
      </c>
      <c r="G7629" s="8" t="s">
        <v>15</v>
      </c>
    </row>
    <row r="7630" spans="1:7" hidden="1" x14ac:dyDescent="0.25">
      <c r="A7630" s="21">
        <v>7629</v>
      </c>
      <c r="B7630" s="7" t="s">
        <v>16014</v>
      </c>
      <c r="C7630" s="7" t="s">
        <v>16015</v>
      </c>
      <c r="G7630" s="8" t="s">
        <v>15</v>
      </c>
    </row>
    <row r="7631" spans="1:7" hidden="1" x14ac:dyDescent="0.25">
      <c r="A7631" s="21">
        <v>7630</v>
      </c>
      <c r="B7631" s="7" t="s">
        <v>16016</v>
      </c>
      <c r="C7631" s="7" t="s">
        <v>16017</v>
      </c>
      <c r="G7631" s="8" t="s">
        <v>15</v>
      </c>
    </row>
    <row r="7632" spans="1:7" hidden="1" x14ac:dyDescent="0.25">
      <c r="A7632" s="21">
        <v>7631</v>
      </c>
      <c r="B7632" s="7" t="s">
        <v>16018</v>
      </c>
      <c r="C7632" s="7" t="s">
        <v>16019</v>
      </c>
      <c r="G7632" s="8" t="s">
        <v>15</v>
      </c>
    </row>
    <row r="7633" spans="1:8" hidden="1" x14ac:dyDescent="0.25">
      <c r="A7633" s="21">
        <v>7632</v>
      </c>
      <c r="B7633" s="7" t="s">
        <v>16020</v>
      </c>
      <c r="C7633" s="7" t="s">
        <v>16021</v>
      </c>
      <c r="G7633" s="8" t="s">
        <v>15</v>
      </c>
    </row>
    <row r="7634" spans="1:8" hidden="1" x14ac:dyDescent="0.25">
      <c r="A7634" s="21">
        <v>7633</v>
      </c>
      <c r="B7634" s="7" t="s">
        <v>16022</v>
      </c>
      <c r="C7634" s="7" t="s">
        <v>16023</v>
      </c>
      <c r="G7634" s="8" t="s">
        <v>15</v>
      </c>
    </row>
    <row r="7635" spans="1:8" hidden="1" x14ac:dyDescent="0.25">
      <c r="A7635" s="21">
        <v>7634</v>
      </c>
      <c r="B7635" s="7" t="s">
        <v>16024</v>
      </c>
      <c r="C7635" s="7" t="s">
        <v>16025</v>
      </c>
      <c r="G7635" s="8" t="s">
        <v>15</v>
      </c>
    </row>
    <row r="7636" spans="1:8" hidden="1" x14ac:dyDescent="0.25">
      <c r="A7636" s="21">
        <v>7635</v>
      </c>
      <c r="B7636" s="7" t="s">
        <v>16026</v>
      </c>
      <c r="C7636" s="7" t="s">
        <v>16027</v>
      </c>
      <c r="G7636" s="8" t="s">
        <v>15</v>
      </c>
    </row>
    <row r="7637" spans="1:8" hidden="1" x14ac:dyDescent="0.25">
      <c r="A7637" s="21">
        <v>7636</v>
      </c>
      <c r="B7637" s="7" t="s">
        <v>16028</v>
      </c>
      <c r="C7637" s="7" t="s">
        <v>16029</v>
      </c>
      <c r="G7637" s="8" t="s">
        <v>15</v>
      </c>
    </row>
    <row r="7638" spans="1:8" hidden="1" x14ac:dyDescent="0.25">
      <c r="A7638" s="21">
        <v>7637</v>
      </c>
      <c r="B7638" s="7" t="s">
        <v>16030</v>
      </c>
      <c r="C7638" s="7" t="s">
        <v>16031</v>
      </c>
      <c r="G7638" s="8" t="s">
        <v>15</v>
      </c>
    </row>
    <row r="7639" spans="1:8" hidden="1" x14ac:dyDescent="0.25">
      <c r="A7639" s="21">
        <v>7638</v>
      </c>
      <c r="B7639" s="7" t="s">
        <v>16032</v>
      </c>
      <c r="C7639" s="7" t="s">
        <v>16033</v>
      </c>
      <c r="G7639" s="8" t="s">
        <v>15</v>
      </c>
    </row>
    <row r="7640" spans="1:8" hidden="1" x14ac:dyDescent="0.25">
      <c r="A7640" s="21">
        <v>7639</v>
      </c>
      <c r="B7640" s="7" t="s">
        <v>16034</v>
      </c>
      <c r="C7640" s="7" t="s">
        <v>16035</v>
      </c>
      <c r="G7640" s="8" t="s">
        <v>15</v>
      </c>
    </row>
    <row r="7641" spans="1:8" hidden="1" x14ac:dyDescent="0.25">
      <c r="A7641" s="21">
        <v>7640</v>
      </c>
      <c r="B7641" s="7" t="s">
        <v>16036</v>
      </c>
      <c r="C7641" s="7" t="s">
        <v>16037</v>
      </c>
      <c r="G7641" s="8" t="s">
        <v>15</v>
      </c>
    </row>
    <row r="7642" spans="1:8" hidden="1" x14ac:dyDescent="0.25">
      <c r="A7642" s="21">
        <v>7641</v>
      </c>
      <c r="B7642" s="7" t="s">
        <v>16038</v>
      </c>
      <c r="C7642" s="7" t="s">
        <v>16039</v>
      </c>
      <c r="G7642" s="8" t="s">
        <v>15</v>
      </c>
    </row>
    <row r="7643" spans="1:8" hidden="1" x14ac:dyDescent="0.25">
      <c r="A7643" s="21">
        <v>7642</v>
      </c>
      <c r="B7643" s="7" t="s">
        <v>16040</v>
      </c>
      <c r="C7643" s="7" t="s">
        <v>16041</v>
      </c>
      <c r="G7643" s="8" t="s">
        <v>15</v>
      </c>
    </row>
    <row r="7644" spans="1:8" hidden="1" x14ac:dyDescent="0.25">
      <c r="A7644" s="21">
        <v>7643</v>
      </c>
      <c r="B7644" s="7" t="s">
        <v>16042</v>
      </c>
      <c r="C7644" s="7" t="s">
        <v>16043</v>
      </c>
      <c r="G7644" s="8" t="s">
        <v>15</v>
      </c>
      <c r="H7644">
        <f>_xlfn.XLOOKUP(B7644,Data!T:T,Data!F:F)</f>
        <v>0</v>
      </c>
    </row>
    <row r="7645" spans="1:8" hidden="1" x14ac:dyDescent="0.25">
      <c r="A7645" s="21">
        <v>7644</v>
      </c>
      <c r="B7645" s="7" t="s">
        <v>16044</v>
      </c>
      <c r="C7645" s="7" t="s">
        <v>16045</v>
      </c>
      <c r="G7645" s="8" t="s">
        <v>15</v>
      </c>
    </row>
    <row r="7646" spans="1:8" hidden="1" x14ac:dyDescent="0.25">
      <c r="A7646" s="21">
        <v>7645</v>
      </c>
      <c r="B7646" s="7" t="s">
        <v>16046</v>
      </c>
      <c r="C7646" s="7" t="s">
        <v>16047</v>
      </c>
      <c r="G7646" s="8" t="s">
        <v>15</v>
      </c>
    </row>
    <row r="7647" spans="1:8" hidden="1" x14ac:dyDescent="0.25">
      <c r="A7647" s="21">
        <v>7646</v>
      </c>
      <c r="B7647" s="7" t="s">
        <v>16048</v>
      </c>
      <c r="C7647" s="7" t="s">
        <v>16049</v>
      </c>
      <c r="G7647" s="8" t="s">
        <v>15</v>
      </c>
    </row>
    <row r="7648" spans="1:8" hidden="1" x14ac:dyDescent="0.25">
      <c r="A7648" s="21">
        <v>7647</v>
      </c>
      <c r="B7648" s="7" t="s">
        <v>16050</v>
      </c>
      <c r="C7648" s="7" t="s">
        <v>16051</v>
      </c>
      <c r="G7648" s="8" t="s">
        <v>15</v>
      </c>
    </row>
    <row r="7649" spans="1:7" hidden="1" x14ac:dyDescent="0.25">
      <c r="A7649" s="21">
        <v>7648</v>
      </c>
      <c r="B7649" s="7" t="s">
        <v>16052</v>
      </c>
      <c r="C7649" s="7" t="s">
        <v>16053</v>
      </c>
      <c r="G7649" s="8" t="s">
        <v>15</v>
      </c>
    </row>
    <row r="7650" spans="1:7" hidden="1" x14ac:dyDescent="0.25">
      <c r="A7650" s="21">
        <v>7649</v>
      </c>
      <c r="B7650" s="7" t="s">
        <v>16054</v>
      </c>
      <c r="C7650" s="7" t="s">
        <v>16055</v>
      </c>
      <c r="G7650" s="8" t="s">
        <v>15</v>
      </c>
    </row>
    <row r="7651" spans="1:7" hidden="1" x14ac:dyDescent="0.25">
      <c r="A7651" s="21">
        <v>7650</v>
      </c>
      <c r="B7651" s="7" t="s">
        <v>16056</v>
      </c>
      <c r="C7651" s="7" t="s">
        <v>16057</v>
      </c>
      <c r="G7651" s="8" t="s">
        <v>15</v>
      </c>
    </row>
    <row r="7652" spans="1:7" hidden="1" x14ac:dyDescent="0.25">
      <c r="A7652" s="21">
        <v>7651</v>
      </c>
      <c r="B7652" s="7" t="s">
        <v>16058</v>
      </c>
      <c r="C7652" s="7" t="s">
        <v>16059</v>
      </c>
      <c r="G7652" s="8" t="s">
        <v>15</v>
      </c>
    </row>
    <row r="7653" spans="1:7" hidden="1" x14ac:dyDescent="0.25">
      <c r="A7653" s="21">
        <v>7652</v>
      </c>
      <c r="B7653" s="7" t="s">
        <v>16060</v>
      </c>
      <c r="C7653" s="7" t="s">
        <v>16061</v>
      </c>
      <c r="G7653" s="8" t="s">
        <v>15</v>
      </c>
    </row>
    <row r="7654" spans="1:7" hidden="1" x14ac:dyDescent="0.25">
      <c r="A7654" s="21">
        <v>7653</v>
      </c>
      <c r="B7654" s="7" t="s">
        <v>16062</v>
      </c>
      <c r="C7654" s="7" t="s">
        <v>16063</v>
      </c>
      <c r="G7654" s="8" t="s">
        <v>15</v>
      </c>
    </row>
    <row r="7655" spans="1:7" hidden="1" x14ac:dyDescent="0.25">
      <c r="A7655" s="21">
        <v>7654</v>
      </c>
      <c r="B7655" s="7" t="s">
        <v>16064</v>
      </c>
      <c r="C7655" s="7" t="s">
        <v>16065</v>
      </c>
      <c r="G7655" s="8" t="s">
        <v>15</v>
      </c>
    </row>
    <row r="7656" spans="1:7" hidden="1" x14ac:dyDescent="0.25">
      <c r="A7656" s="21">
        <v>7655</v>
      </c>
      <c r="B7656" s="7" t="s">
        <v>16066</v>
      </c>
      <c r="C7656" s="7" t="s">
        <v>16067</v>
      </c>
      <c r="G7656" s="8" t="s">
        <v>15</v>
      </c>
    </row>
    <row r="7657" spans="1:7" hidden="1" x14ac:dyDescent="0.25">
      <c r="A7657" s="21">
        <v>7656</v>
      </c>
      <c r="B7657" s="7" t="s">
        <v>16068</v>
      </c>
      <c r="C7657" s="7" t="s">
        <v>16069</v>
      </c>
      <c r="G7657" s="8" t="s">
        <v>15</v>
      </c>
    </row>
    <row r="7658" spans="1:7" hidden="1" x14ac:dyDescent="0.25">
      <c r="A7658" s="21">
        <v>7657</v>
      </c>
      <c r="B7658" s="7" t="s">
        <v>16070</v>
      </c>
      <c r="C7658" s="7" t="s">
        <v>16071</v>
      </c>
      <c r="G7658" s="8" t="s">
        <v>15</v>
      </c>
    </row>
    <row r="7659" spans="1:7" hidden="1" x14ac:dyDescent="0.25">
      <c r="A7659" s="21">
        <v>7658</v>
      </c>
      <c r="B7659" s="7" t="s">
        <v>16072</v>
      </c>
      <c r="C7659" s="7" t="s">
        <v>16073</v>
      </c>
      <c r="G7659" s="8" t="s">
        <v>15</v>
      </c>
    </row>
    <row r="7660" spans="1:7" hidden="1" x14ac:dyDescent="0.25">
      <c r="A7660" s="21">
        <v>7659</v>
      </c>
      <c r="B7660" s="7" t="s">
        <v>16074</v>
      </c>
      <c r="C7660" s="7" t="s">
        <v>16075</v>
      </c>
      <c r="G7660" s="8" t="s">
        <v>15</v>
      </c>
    </row>
    <row r="7661" spans="1:7" hidden="1" x14ac:dyDescent="0.25">
      <c r="A7661" s="21">
        <v>7660</v>
      </c>
      <c r="B7661" s="7" t="s">
        <v>16076</v>
      </c>
      <c r="C7661" s="7" t="s">
        <v>16077</v>
      </c>
      <c r="G7661" s="8" t="s">
        <v>15</v>
      </c>
    </row>
    <row r="7662" spans="1:7" hidden="1" x14ac:dyDescent="0.25">
      <c r="A7662" s="21">
        <v>7661</v>
      </c>
      <c r="B7662" s="7" t="s">
        <v>16078</v>
      </c>
      <c r="C7662" s="7" t="s">
        <v>16079</v>
      </c>
      <c r="G7662" s="8" t="s">
        <v>15</v>
      </c>
    </row>
    <row r="7663" spans="1:7" hidden="1" x14ac:dyDescent="0.25">
      <c r="A7663" s="21">
        <v>7662</v>
      </c>
      <c r="B7663" s="7" t="s">
        <v>16080</v>
      </c>
      <c r="C7663" s="7" t="s">
        <v>16081</v>
      </c>
      <c r="G7663" s="8" t="s">
        <v>15</v>
      </c>
    </row>
    <row r="7664" spans="1:7" hidden="1" x14ac:dyDescent="0.25">
      <c r="A7664" s="21">
        <v>7663</v>
      </c>
      <c r="B7664" s="7" t="s">
        <v>16082</v>
      </c>
      <c r="C7664" s="7" t="s">
        <v>16083</v>
      </c>
      <c r="G7664" s="8" t="s">
        <v>15</v>
      </c>
    </row>
    <row r="7665" spans="1:7" hidden="1" x14ac:dyDescent="0.25">
      <c r="A7665" s="21">
        <v>7664</v>
      </c>
      <c r="B7665" s="7" t="s">
        <v>16084</v>
      </c>
      <c r="C7665" s="7" t="s">
        <v>16085</v>
      </c>
      <c r="G7665" s="8" t="s">
        <v>15</v>
      </c>
    </row>
    <row r="7666" spans="1:7" hidden="1" x14ac:dyDescent="0.25">
      <c r="A7666" s="21">
        <v>7665</v>
      </c>
      <c r="B7666" s="7" t="s">
        <v>16086</v>
      </c>
      <c r="C7666" s="7" t="s">
        <v>16087</v>
      </c>
      <c r="G7666" s="8" t="s">
        <v>15</v>
      </c>
    </row>
    <row r="7667" spans="1:7" hidden="1" x14ac:dyDescent="0.25">
      <c r="A7667" s="21">
        <v>7666</v>
      </c>
      <c r="B7667" s="7" t="s">
        <v>16088</v>
      </c>
      <c r="C7667" s="7" t="s">
        <v>16089</v>
      </c>
      <c r="G7667" s="8" t="s">
        <v>15</v>
      </c>
    </row>
    <row r="7668" spans="1:7" hidden="1" x14ac:dyDescent="0.25">
      <c r="A7668" s="21">
        <v>7667</v>
      </c>
      <c r="B7668" s="7" t="s">
        <v>16090</v>
      </c>
      <c r="C7668" s="7" t="s">
        <v>16091</v>
      </c>
      <c r="G7668" s="8" t="s">
        <v>15</v>
      </c>
    </row>
    <row r="7669" spans="1:7" hidden="1" x14ac:dyDescent="0.25">
      <c r="A7669" s="21">
        <v>7668</v>
      </c>
      <c r="B7669" s="7" t="s">
        <v>16092</v>
      </c>
      <c r="C7669" s="7" t="s">
        <v>16093</v>
      </c>
      <c r="G7669" s="8" t="s">
        <v>15</v>
      </c>
    </row>
    <row r="7670" spans="1:7" hidden="1" x14ac:dyDescent="0.25">
      <c r="A7670" s="21">
        <v>7669</v>
      </c>
      <c r="B7670" s="7" t="s">
        <v>16094</v>
      </c>
      <c r="C7670" s="7" t="s">
        <v>16095</v>
      </c>
      <c r="G7670" s="8" t="s">
        <v>15</v>
      </c>
    </row>
    <row r="7671" spans="1:7" hidden="1" x14ac:dyDescent="0.25">
      <c r="A7671" s="21">
        <v>7670</v>
      </c>
      <c r="B7671" s="7" t="s">
        <v>16096</v>
      </c>
      <c r="C7671" s="7" t="s">
        <v>16097</v>
      </c>
      <c r="G7671" s="8" t="s">
        <v>15</v>
      </c>
    </row>
    <row r="7672" spans="1:7" hidden="1" x14ac:dyDescent="0.25">
      <c r="A7672" s="21">
        <v>7671</v>
      </c>
      <c r="B7672" s="7" t="s">
        <v>16098</v>
      </c>
      <c r="C7672" s="7" t="s">
        <v>16099</v>
      </c>
      <c r="G7672" s="8" t="s">
        <v>15</v>
      </c>
    </row>
    <row r="7673" spans="1:7" hidden="1" x14ac:dyDescent="0.25">
      <c r="A7673" s="21">
        <v>7672</v>
      </c>
      <c r="B7673" s="7" t="s">
        <v>16100</v>
      </c>
      <c r="C7673" s="7" t="s">
        <v>16101</v>
      </c>
      <c r="G7673" s="8" t="s">
        <v>15</v>
      </c>
    </row>
    <row r="7674" spans="1:7" hidden="1" x14ac:dyDescent="0.25">
      <c r="A7674" s="21">
        <v>7673</v>
      </c>
      <c r="B7674" s="7" t="s">
        <v>16102</v>
      </c>
      <c r="C7674" s="7" t="s">
        <v>16103</v>
      </c>
      <c r="G7674" s="8" t="s">
        <v>15</v>
      </c>
    </row>
    <row r="7675" spans="1:7" hidden="1" x14ac:dyDescent="0.25">
      <c r="A7675" s="21">
        <v>7674</v>
      </c>
      <c r="B7675" s="7" t="s">
        <v>16104</v>
      </c>
      <c r="C7675" s="7" t="s">
        <v>16105</v>
      </c>
      <c r="G7675" s="8" t="s">
        <v>15</v>
      </c>
    </row>
    <row r="7676" spans="1:7" hidden="1" x14ac:dyDescent="0.25">
      <c r="A7676" s="21">
        <v>7675</v>
      </c>
      <c r="B7676" s="7" t="s">
        <v>16106</v>
      </c>
      <c r="C7676" s="7" t="s">
        <v>16107</v>
      </c>
      <c r="G7676" s="8" t="s">
        <v>15</v>
      </c>
    </row>
    <row r="7677" spans="1:7" hidden="1" x14ac:dyDescent="0.25">
      <c r="A7677" s="21">
        <v>7676</v>
      </c>
      <c r="B7677" s="7" t="s">
        <v>16108</v>
      </c>
      <c r="C7677" s="7" t="s">
        <v>16109</v>
      </c>
      <c r="G7677" s="8" t="s">
        <v>15</v>
      </c>
    </row>
    <row r="7678" spans="1:7" hidden="1" x14ac:dyDescent="0.25">
      <c r="A7678" s="21">
        <v>7677</v>
      </c>
      <c r="B7678" s="7" t="s">
        <v>16110</v>
      </c>
      <c r="C7678" s="7" t="s">
        <v>16111</v>
      </c>
      <c r="G7678" s="8" t="s">
        <v>15</v>
      </c>
    </row>
    <row r="7679" spans="1:7" hidden="1" x14ac:dyDescent="0.25">
      <c r="A7679" s="21">
        <v>7678</v>
      </c>
      <c r="B7679" s="7" t="s">
        <v>16112</v>
      </c>
      <c r="C7679" s="7" t="s">
        <v>16113</v>
      </c>
      <c r="G7679" s="8" t="s">
        <v>15</v>
      </c>
    </row>
    <row r="7680" spans="1:7" hidden="1" x14ac:dyDescent="0.25">
      <c r="A7680" s="21">
        <v>7679</v>
      </c>
      <c r="B7680" s="7" t="s">
        <v>16114</v>
      </c>
      <c r="C7680" s="7" t="s">
        <v>16115</v>
      </c>
      <c r="G7680" s="8" t="s">
        <v>15</v>
      </c>
    </row>
    <row r="7681" spans="1:7" hidden="1" x14ac:dyDescent="0.25">
      <c r="A7681" s="21">
        <v>7680</v>
      </c>
      <c r="B7681" s="7" t="s">
        <v>16116</v>
      </c>
      <c r="C7681" s="7" t="s">
        <v>16117</v>
      </c>
      <c r="G7681" s="8" t="s">
        <v>15</v>
      </c>
    </row>
    <row r="7682" spans="1:7" hidden="1" x14ac:dyDescent="0.25">
      <c r="A7682" s="21">
        <v>7681</v>
      </c>
      <c r="B7682" s="7" t="s">
        <v>16118</v>
      </c>
      <c r="C7682" s="7" t="s">
        <v>16119</v>
      </c>
      <c r="G7682" s="8" t="s">
        <v>15</v>
      </c>
    </row>
    <row r="7683" spans="1:7" hidden="1" x14ac:dyDescent="0.25">
      <c r="A7683" s="21">
        <v>7682</v>
      </c>
      <c r="B7683" s="7" t="s">
        <v>16120</v>
      </c>
      <c r="C7683" s="7" t="s">
        <v>16121</v>
      </c>
      <c r="G7683" s="8" t="s">
        <v>15</v>
      </c>
    </row>
    <row r="7684" spans="1:7" hidden="1" x14ac:dyDescent="0.25">
      <c r="A7684" s="21">
        <v>7683</v>
      </c>
      <c r="B7684" s="7" t="s">
        <v>16122</v>
      </c>
      <c r="C7684" s="7" t="s">
        <v>16123</v>
      </c>
      <c r="G7684" s="8" t="s">
        <v>15</v>
      </c>
    </row>
    <row r="7685" spans="1:7" hidden="1" x14ac:dyDescent="0.25">
      <c r="A7685" s="21">
        <v>7684</v>
      </c>
      <c r="B7685" s="7" t="s">
        <v>16124</v>
      </c>
      <c r="C7685" s="7" t="s">
        <v>16125</v>
      </c>
      <c r="G7685" s="8" t="s">
        <v>15</v>
      </c>
    </row>
    <row r="7686" spans="1:7" hidden="1" x14ac:dyDescent="0.25">
      <c r="A7686" s="21">
        <v>7685</v>
      </c>
      <c r="B7686" s="7" t="s">
        <v>16126</v>
      </c>
      <c r="C7686" s="7" t="s">
        <v>16127</v>
      </c>
      <c r="G7686" s="8" t="s">
        <v>15</v>
      </c>
    </row>
    <row r="7687" spans="1:7" hidden="1" x14ac:dyDescent="0.25">
      <c r="A7687" s="21">
        <v>7686</v>
      </c>
      <c r="B7687" s="7" t="s">
        <v>16128</v>
      </c>
      <c r="C7687" s="7" t="s">
        <v>16129</v>
      </c>
      <c r="G7687" s="8" t="s">
        <v>15</v>
      </c>
    </row>
    <row r="7688" spans="1:7" hidden="1" x14ac:dyDescent="0.25">
      <c r="A7688" s="21">
        <v>7687</v>
      </c>
      <c r="B7688" s="7" t="s">
        <v>16130</v>
      </c>
      <c r="C7688" s="7" t="s">
        <v>16131</v>
      </c>
      <c r="G7688" s="8" t="s">
        <v>15</v>
      </c>
    </row>
    <row r="7689" spans="1:7" hidden="1" x14ac:dyDescent="0.25">
      <c r="A7689" s="21">
        <v>7688</v>
      </c>
      <c r="B7689" s="7" t="s">
        <v>16132</v>
      </c>
      <c r="C7689" s="7" t="s">
        <v>16133</v>
      </c>
      <c r="F7689" s="8" t="s">
        <v>605</v>
      </c>
      <c r="G7689" s="8" t="s">
        <v>15</v>
      </c>
    </row>
    <row r="7690" spans="1:7" hidden="1" x14ac:dyDescent="0.25">
      <c r="A7690" s="21">
        <v>7689</v>
      </c>
      <c r="B7690" s="7" t="s">
        <v>16134</v>
      </c>
      <c r="C7690" s="7" t="s">
        <v>16135</v>
      </c>
      <c r="F7690" s="8" t="s">
        <v>605</v>
      </c>
      <c r="G7690" s="8" t="s">
        <v>15</v>
      </c>
    </row>
    <row r="7691" spans="1:7" hidden="1" x14ac:dyDescent="0.25">
      <c r="A7691" s="21">
        <v>7690</v>
      </c>
      <c r="B7691" s="7" t="s">
        <v>16136</v>
      </c>
      <c r="C7691" s="7" t="s">
        <v>16137</v>
      </c>
      <c r="F7691" s="8" t="s">
        <v>605</v>
      </c>
      <c r="G7691" s="8" t="s">
        <v>15</v>
      </c>
    </row>
    <row r="7692" spans="1:7" hidden="1" x14ac:dyDescent="0.25">
      <c r="A7692" s="21">
        <v>7691</v>
      </c>
      <c r="B7692" s="7" t="s">
        <v>16138</v>
      </c>
      <c r="C7692" s="7" t="s">
        <v>16139</v>
      </c>
      <c r="G7692" s="8" t="s">
        <v>15</v>
      </c>
    </row>
    <row r="7693" spans="1:7" hidden="1" x14ac:dyDescent="0.25">
      <c r="A7693" s="21">
        <v>7692</v>
      </c>
      <c r="B7693" s="7" t="s">
        <v>16140</v>
      </c>
      <c r="C7693" s="7" t="s">
        <v>16141</v>
      </c>
      <c r="G7693" s="8" t="s">
        <v>15</v>
      </c>
    </row>
    <row r="7694" spans="1:7" hidden="1" x14ac:dyDescent="0.25">
      <c r="A7694" s="21">
        <v>7693</v>
      </c>
      <c r="B7694" s="7" t="s">
        <v>16142</v>
      </c>
      <c r="C7694" s="7" t="s">
        <v>16143</v>
      </c>
      <c r="G7694" s="8" t="s">
        <v>15</v>
      </c>
    </row>
    <row r="7695" spans="1:7" hidden="1" x14ac:dyDescent="0.25">
      <c r="A7695" s="21">
        <v>7694</v>
      </c>
      <c r="B7695" s="7" t="s">
        <v>16144</v>
      </c>
      <c r="C7695" s="7" t="s">
        <v>16145</v>
      </c>
      <c r="G7695" s="8" t="s">
        <v>15</v>
      </c>
    </row>
    <row r="7696" spans="1:7" hidden="1" x14ac:dyDescent="0.25">
      <c r="A7696" s="21">
        <v>7695</v>
      </c>
      <c r="B7696" s="7" t="s">
        <v>16146</v>
      </c>
      <c r="C7696" s="7" t="s">
        <v>16147</v>
      </c>
      <c r="G7696" s="8" t="s">
        <v>15</v>
      </c>
    </row>
    <row r="7697" spans="1:8" hidden="1" x14ac:dyDescent="0.25">
      <c r="A7697" s="21">
        <v>7696</v>
      </c>
      <c r="B7697" s="7" t="s">
        <v>16148</v>
      </c>
      <c r="C7697" s="7" t="s">
        <v>16149</v>
      </c>
      <c r="G7697" s="8" t="s">
        <v>15</v>
      </c>
    </row>
    <row r="7698" spans="1:8" hidden="1" x14ac:dyDescent="0.25">
      <c r="A7698" s="21">
        <v>7697</v>
      </c>
      <c r="B7698" s="7" t="s">
        <v>16150</v>
      </c>
      <c r="C7698" s="7" t="s">
        <v>16151</v>
      </c>
      <c r="G7698" s="8" t="s">
        <v>15</v>
      </c>
    </row>
    <row r="7699" spans="1:8" hidden="1" x14ac:dyDescent="0.25">
      <c r="A7699" s="21">
        <v>7698</v>
      </c>
      <c r="B7699" s="7" t="s">
        <v>16152</v>
      </c>
      <c r="C7699" s="7" t="s">
        <v>16153</v>
      </c>
      <c r="G7699" s="8" t="s">
        <v>15</v>
      </c>
    </row>
    <row r="7700" spans="1:8" hidden="1" x14ac:dyDescent="0.25">
      <c r="A7700" s="21">
        <v>7699</v>
      </c>
      <c r="B7700" s="7" t="s">
        <v>16154</v>
      </c>
      <c r="C7700" s="7" t="s">
        <v>16155</v>
      </c>
      <c r="G7700" s="8" t="s">
        <v>15</v>
      </c>
    </row>
    <row r="7701" spans="1:8" hidden="1" x14ac:dyDescent="0.25">
      <c r="A7701" s="21">
        <v>7700</v>
      </c>
      <c r="B7701" s="7" t="s">
        <v>16156</v>
      </c>
      <c r="C7701" s="7" t="s">
        <v>16157</v>
      </c>
      <c r="G7701" s="8" t="s">
        <v>15</v>
      </c>
    </row>
    <row r="7702" spans="1:8" hidden="1" x14ac:dyDescent="0.25">
      <c r="A7702" s="21">
        <v>7701</v>
      </c>
      <c r="B7702" s="7" t="s">
        <v>16158</v>
      </c>
      <c r="C7702" s="7" t="s">
        <v>16159</v>
      </c>
      <c r="G7702" s="8" t="s">
        <v>15</v>
      </c>
    </row>
    <row r="7703" spans="1:8" hidden="1" x14ac:dyDescent="0.25">
      <c r="A7703" s="21">
        <v>7702</v>
      </c>
      <c r="B7703" s="7" t="s">
        <v>16160</v>
      </c>
      <c r="C7703" s="7" t="s">
        <v>16161</v>
      </c>
      <c r="G7703" s="8" t="s">
        <v>15</v>
      </c>
      <c r="H7703" t="str">
        <f>_xlfn.XLOOKUP(B7703,Data!T:T,Data!F:F)</f>
        <v>10 ml</v>
      </c>
    </row>
    <row r="7704" spans="1:8" hidden="1" x14ac:dyDescent="0.25">
      <c r="A7704" s="21">
        <v>7703</v>
      </c>
      <c r="B7704" s="7" t="s">
        <v>16162</v>
      </c>
      <c r="C7704" s="7" t="s">
        <v>16163</v>
      </c>
      <c r="G7704" s="8" t="s">
        <v>15</v>
      </c>
    </row>
    <row r="7705" spans="1:8" hidden="1" x14ac:dyDescent="0.25">
      <c r="A7705" s="21">
        <v>7704</v>
      </c>
      <c r="B7705" s="7" t="s">
        <v>16164</v>
      </c>
      <c r="C7705" s="7" t="s">
        <v>16165</v>
      </c>
      <c r="G7705" s="8" t="s">
        <v>15</v>
      </c>
      <c r="H7705" t="str">
        <f>_xlfn.XLOOKUP(B7705,Data!T:T,Data!F:F)</f>
        <v>Per Vial</v>
      </c>
    </row>
    <row r="7706" spans="1:8" hidden="1" x14ac:dyDescent="0.25">
      <c r="A7706" s="21">
        <v>7705</v>
      </c>
      <c r="B7706" s="7" t="s">
        <v>16166</v>
      </c>
      <c r="C7706" s="7" t="s">
        <v>16167</v>
      </c>
      <c r="G7706" s="8" t="s">
        <v>15</v>
      </c>
      <c r="H7706" t="str">
        <f>_xlfn.XLOOKUP(B7706,Data!T:T,Data!F:F)</f>
        <v>Per Vial</v>
      </c>
    </row>
    <row r="7707" spans="1:8" hidden="1" x14ac:dyDescent="0.25">
      <c r="A7707" s="21">
        <v>7706</v>
      </c>
      <c r="B7707" s="7" t="s">
        <v>16168</v>
      </c>
      <c r="C7707" s="7" t="s">
        <v>16169</v>
      </c>
      <c r="F7707" t="s">
        <v>721</v>
      </c>
      <c r="G7707" s="8" t="s">
        <v>15</v>
      </c>
      <c r="H7707" t="str">
        <f>_xlfn.XLOOKUP(B7707,Data!T:T,Data!F:F)</f>
        <v>5 ml</v>
      </c>
    </row>
    <row r="7708" spans="1:8" hidden="1" x14ac:dyDescent="0.25">
      <c r="A7708" s="21">
        <v>7707</v>
      </c>
      <c r="B7708" s="7" t="s">
        <v>16170</v>
      </c>
      <c r="C7708" s="7" t="s">
        <v>16171</v>
      </c>
      <c r="G7708" s="8" t="s">
        <v>15</v>
      </c>
      <c r="H7708" t="str">
        <f>_xlfn.XLOOKUP(B7708,Data!T:T,Data!F:F)</f>
        <v>5 ml</v>
      </c>
    </row>
    <row r="7709" spans="1:8" hidden="1" x14ac:dyDescent="0.25">
      <c r="A7709" s="21">
        <v>7708</v>
      </c>
      <c r="B7709" s="7" t="s">
        <v>16172</v>
      </c>
      <c r="C7709" s="7" t="s">
        <v>16173</v>
      </c>
      <c r="G7709" s="8" t="s">
        <v>15</v>
      </c>
      <c r="H7709" t="str">
        <f>_xlfn.XLOOKUP(B7709,Data!T:T,Data!F:F)</f>
        <v>5 Ml</v>
      </c>
    </row>
    <row r="7710" spans="1:8" hidden="1" x14ac:dyDescent="0.25">
      <c r="A7710" s="21">
        <v>7709</v>
      </c>
      <c r="B7710" s="7" t="s">
        <v>16174</v>
      </c>
      <c r="C7710" s="7" t="s">
        <v>16175</v>
      </c>
      <c r="G7710" s="8" t="s">
        <v>15</v>
      </c>
      <c r="H7710" t="str">
        <f>_xlfn.XLOOKUP(B7710,Data!T:T,Data!F:F)</f>
        <v>1 Vial</v>
      </c>
    </row>
    <row r="7711" spans="1:8" hidden="1" x14ac:dyDescent="0.25">
      <c r="A7711" s="21">
        <v>7710</v>
      </c>
      <c r="B7711" s="7" t="s">
        <v>16176</v>
      </c>
      <c r="C7711" s="7" t="s">
        <v>16177</v>
      </c>
      <c r="F7711" t="s">
        <v>3633</v>
      </c>
      <c r="G7711" s="8" t="s">
        <v>15</v>
      </c>
      <c r="H7711" t="str">
        <f>_xlfn.XLOOKUP(B7711,Data!T:T,Data!F:F)</f>
        <v>5 ml</v>
      </c>
    </row>
    <row r="7712" spans="1:8" hidden="1" x14ac:dyDescent="0.25">
      <c r="A7712" s="21">
        <v>7711</v>
      </c>
      <c r="B7712" s="7" t="s">
        <v>16178</v>
      </c>
      <c r="C7712" s="7" t="s">
        <v>16179</v>
      </c>
      <c r="F7712" t="s">
        <v>19594</v>
      </c>
      <c r="G7712" s="8" t="s">
        <v>15</v>
      </c>
      <c r="H7712" t="str">
        <f>_xlfn.XLOOKUP(B7712,Data!T:T,Data!F:F)</f>
        <v>Per Vial</v>
      </c>
    </row>
    <row r="7713" spans="1:8" hidden="1" x14ac:dyDescent="0.25">
      <c r="A7713" s="21">
        <v>7712</v>
      </c>
      <c r="B7713" s="7" t="s">
        <v>16180</v>
      </c>
      <c r="C7713" s="7" t="s">
        <v>16181</v>
      </c>
      <c r="F7713" t="s">
        <v>19594</v>
      </c>
      <c r="G7713" s="8" t="s">
        <v>15</v>
      </c>
      <c r="H7713" t="str">
        <f>_xlfn.XLOOKUP(B7713,Data!T:T,Data!F:F)</f>
        <v>Per Vial</v>
      </c>
    </row>
    <row r="7714" spans="1:8" hidden="1" x14ac:dyDescent="0.25">
      <c r="A7714" s="21">
        <v>7713</v>
      </c>
      <c r="B7714" s="7" t="s">
        <v>16182</v>
      </c>
      <c r="C7714" s="7" t="s">
        <v>16183</v>
      </c>
      <c r="G7714" s="8" t="s">
        <v>15</v>
      </c>
    </row>
    <row r="7715" spans="1:8" hidden="1" x14ac:dyDescent="0.25">
      <c r="A7715" s="21">
        <v>7714</v>
      </c>
      <c r="B7715" s="7" t="s">
        <v>16184</v>
      </c>
      <c r="C7715" s="7" t="s">
        <v>16185</v>
      </c>
      <c r="G7715" s="8" t="s">
        <v>15</v>
      </c>
    </row>
    <row r="7716" spans="1:8" hidden="1" x14ac:dyDescent="0.25">
      <c r="A7716" s="21">
        <v>7715</v>
      </c>
      <c r="B7716" s="7" t="s">
        <v>16186</v>
      </c>
      <c r="C7716" s="7" t="s">
        <v>16187</v>
      </c>
      <c r="G7716" s="8" t="s">
        <v>15</v>
      </c>
    </row>
    <row r="7717" spans="1:8" hidden="1" x14ac:dyDescent="0.25">
      <c r="A7717" s="21">
        <v>7716</v>
      </c>
      <c r="B7717" s="7" t="s">
        <v>16188</v>
      </c>
      <c r="C7717" s="7" t="s">
        <v>16189</v>
      </c>
      <c r="G7717" s="8" t="s">
        <v>15</v>
      </c>
    </row>
    <row r="7718" spans="1:8" hidden="1" x14ac:dyDescent="0.25">
      <c r="A7718" s="21">
        <v>7717</v>
      </c>
      <c r="B7718" s="7" t="s">
        <v>16190</v>
      </c>
      <c r="C7718" s="7" t="s">
        <v>16191</v>
      </c>
      <c r="G7718" s="8" t="s">
        <v>15</v>
      </c>
    </row>
    <row r="7719" spans="1:8" hidden="1" x14ac:dyDescent="0.25">
      <c r="A7719" s="21">
        <v>7718</v>
      </c>
      <c r="B7719" s="7" t="s">
        <v>16192</v>
      </c>
      <c r="C7719" s="7" t="s">
        <v>16193</v>
      </c>
      <c r="G7719" s="8" t="s">
        <v>15</v>
      </c>
    </row>
    <row r="7720" spans="1:8" hidden="1" x14ac:dyDescent="0.25">
      <c r="A7720" s="21">
        <v>7719</v>
      </c>
      <c r="B7720" s="7" t="s">
        <v>16194</v>
      </c>
      <c r="C7720" s="7" t="s">
        <v>16195</v>
      </c>
      <c r="G7720" s="8" t="s">
        <v>15</v>
      </c>
    </row>
    <row r="7721" spans="1:8" hidden="1" x14ac:dyDescent="0.25">
      <c r="A7721" s="21">
        <v>7720</v>
      </c>
      <c r="B7721" s="7" t="s">
        <v>16196</v>
      </c>
      <c r="C7721" s="7" t="s">
        <v>16197</v>
      </c>
      <c r="G7721" s="8" t="s">
        <v>15</v>
      </c>
    </row>
    <row r="7722" spans="1:8" hidden="1" x14ac:dyDescent="0.25">
      <c r="A7722" s="21">
        <v>7721</v>
      </c>
      <c r="B7722" s="7" t="s">
        <v>16198</v>
      </c>
      <c r="C7722" s="7" t="s">
        <v>16199</v>
      </c>
      <c r="G7722" s="8" t="s">
        <v>15</v>
      </c>
    </row>
    <row r="7723" spans="1:8" hidden="1" x14ac:dyDescent="0.25">
      <c r="A7723" s="21">
        <v>7722</v>
      </c>
      <c r="B7723" s="7" t="s">
        <v>16200</v>
      </c>
      <c r="C7723" s="7" t="s">
        <v>16201</v>
      </c>
      <c r="G7723" s="8" t="s">
        <v>15</v>
      </c>
    </row>
    <row r="7724" spans="1:8" hidden="1" x14ac:dyDescent="0.25">
      <c r="A7724" s="21">
        <v>7723</v>
      </c>
      <c r="B7724" s="7" t="s">
        <v>16202</v>
      </c>
      <c r="C7724" s="7" t="s">
        <v>16203</v>
      </c>
      <c r="G7724" s="8" t="s">
        <v>15</v>
      </c>
    </row>
    <row r="7725" spans="1:8" hidden="1" x14ac:dyDescent="0.25">
      <c r="A7725" s="21">
        <v>7724</v>
      </c>
      <c r="B7725" s="7" t="s">
        <v>16204</v>
      </c>
      <c r="C7725" s="7" t="s">
        <v>16205</v>
      </c>
      <c r="G7725" s="8" t="s">
        <v>15</v>
      </c>
    </row>
    <row r="7726" spans="1:8" hidden="1" x14ac:dyDescent="0.25">
      <c r="A7726" s="21">
        <v>7725</v>
      </c>
      <c r="B7726" s="7" t="s">
        <v>16206</v>
      </c>
      <c r="C7726" s="7" t="s">
        <v>16207</v>
      </c>
      <c r="G7726" s="8" t="s">
        <v>15</v>
      </c>
    </row>
    <row r="7727" spans="1:8" hidden="1" x14ac:dyDescent="0.25">
      <c r="A7727" s="21">
        <v>7726</v>
      </c>
      <c r="B7727" s="7" t="s">
        <v>16208</v>
      </c>
      <c r="C7727" s="7" t="s">
        <v>16209</v>
      </c>
      <c r="G7727" s="8" t="s">
        <v>15</v>
      </c>
    </row>
    <row r="7728" spans="1:8" hidden="1" x14ac:dyDescent="0.25">
      <c r="A7728" s="21">
        <v>7727</v>
      </c>
      <c r="B7728" s="7" t="s">
        <v>16210</v>
      </c>
      <c r="C7728" s="7" t="s">
        <v>16211</v>
      </c>
      <c r="G7728" s="8" t="s">
        <v>15</v>
      </c>
    </row>
    <row r="7729" spans="1:7" hidden="1" x14ac:dyDescent="0.25">
      <c r="A7729" s="21">
        <v>7728</v>
      </c>
      <c r="B7729" s="7" t="s">
        <v>16212</v>
      </c>
      <c r="C7729" s="7" t="s">
        <v>16213</v>
      </c>
      <c r="G7729" s="8" t="s">
        <v>15</v>
      </c>
    </row>
    <row r="7730" spans="1:7" hidden="1" x14ac:dyDescent="0.25">
      <c r="A7730" s="21">
        <v>7729</v>
      </c>
      <c r="B7730" s="7" t="s">
        <v>16214</v>
      </c>
      <c r="C7730" s="7" t="s">
        <v>16215</v>
      </c>
      <c r="G7730" s="8" t="s">
        <v>15</v>
      </c>
    </row>
    <row r="7731" spans="1:7" hidden="1" x14ac:dyDescent="0.25">
      <c r="A7731" s="21">
        <v>7730</v>
      </c>
      <c r="B7731" s="7" t="s">
        <v>16216</v>
      </c>
      <c r="C7731" s="7" t="s">
        <v>16217</v>
      </c>
      <c r="G7731" s="8" t="s">
        <v>15</v>
      </c>
    </row>
    <row r="7732" spans="1:7" hidden="1" x14ac:dyDescent="0.25">
      <c r="A7732" s="21">
        <v>7731</v>
      </c>
      <c r="B7732" s="7" t="s">
        <v>16218</v>
      </c>
      <c r="C7732" s="7" t="s">
        <v>16219</v>
      </c>
      <c r="G7732" s="8" t="s">
        <v>15</v>
      </c>
    </row>
    <row r="7733" spans="1:7" hidden="1" x14ac:dyDescent="0.25">
      <c r="A7733" s="21">
        <v>7732</v>
      </c>
      <c r="B7733" s="7" t="s">
        <v>16220</v>
      </c>
      <c r="C7733" s="7" t="s">
        <v>16221</v>
      </c>
      <c r="G7733" s="8" t="s">
        <v>15</v>
      </c>
    </row>
    <row r="7734" spans="1:7" hidden="1" x14ac:dyDescent="0.25">
      <c r="A7734" s="21">
        <v>7733</v>
      </c>
      <c r="B7734" s="7" t="s">
        <v>16222</v>
      </c>
      <c r="C7734" s="7" t="s">
        <v>16223</v>
      </c>
      <c r="G7734" s="8" t="s">
        <v>15</v>
      </c>
    </row>
    <row r="7735" spans="1:7" hidden="1" x14ac:dyDescent="0.25">
      <c r="A7735" s="21">
        <v>7734</v>
      </c>
      <c r="B7735" s="7" t="s">
        <v>16224</v>
      </c>
      <c r="C7735" s="7" t="s">
        <v>16225</v>
      </c>
      <c r="G7735" s="8" t="s">
        <v>15</v>
      </c>
    </row>
    <row r="7736" spans="1:7" hidden="1" x14ac:dyDescent="0.25">
      <c r="A7736" s="21">
        <v>7735</v>
      </c>
      <c r="B7736" s="7" t="s">
        <v>16226</v>
      </c>
      <c r="C7736" s="7" t="s">
        <v>16227</v>
      </c>
      <c r="G7736" s="8" t="s">
        <v>15</v>
      </c>
    </row>
    <row r="7737" spans="1:7" hidden="1" x14ac:dyDescent="0.25">
      <c r="A7737" s="21">
        <v>7736</v>
      </c>
      <c r="B7737" s="7" t="s">
        <v>16228</v>
      </c>
      <c r="C7737" s="7" t="s">
        <v>16229</v>
      </c>
      <c r="G7737" s="8" t="s">
        <v>15</v>
      </c>
    </row>
    <row r="7738" spans="1:7" hidden="1" x14ac:dyDescent="0.25">
      <c r="A7738" s="21">
        <v>7737</v>
      </c>
      <c r="B7738" s="7" t="s">
        <v>16230</v>
      </c>
      <c r="C7738" s="7" t="s">
        <v>16231</v>
      </c>
      <c r="G7738" s="8" t="s">
        <v>15</v>
      </c>
    </row>
    <row r="7739" spans="1:7" hidden="1" x14ac:dyDescent="0.25">
      <c r="A7739" s="21">
        <v>7738</v>
      </c>
      <c r="B7739" s="7" t="s">
        <v>16232</v>
      </c>
      <c r="C7739" s="7" t="s">
        <v>16233</v>
      </c>
      <c r="G7739" s="8" t="s">
        <v>15</v>
      </c>
    </row>
    <row r="7740" spans="1:7" hidden="1" x14ac:dyDescent="0.25">
      <c r="A7740" s="21">
        <v>7739</v>
      </c>
      <c r="B7740" s="7" t="s">
        <v>16234</v>
      </c>
      <c r="C7740" s="7" t="s">
        <v>16235</v>
      </c>
      <c r="G7740" s="8" t="s">
        <v>15</v>
      </c>
    </row>
    <row r="7741" spans="1:7" hidden="1" x14ac:dyDescent="0.25">
      <c r="A7741" s="21">
        <v>7740</v>
      </c>
      <c r="B7741" s="7" t="s">
        <v>16236</v>
      </c>
      <c r="C7741" s="7" t="s">
        <v>16237</v>
      </c>
      <c r="G7741" s="8" t="s">
        <v>15</v>
      </c>
    </row>
    <row r="7742" spans="1:7" hidden="1" x14ac:dyDescent="0.25">
      <c r="A7742" s="21">
        <v>7741</v>
      </c>
      <c r="B7742" s="7" t="s">
        <v>16238</v>
      </c>
      <c r="C7742" s="7" t="s">
        <v>16239</v>
      </c>
      <c r="G7742" s="8" t="s">
        <v>15</v>
      </c>
    </row>
    <row r="7743" spans="1:7" hidden="1" x14ac:dyDescent="0.25">
      <c r="A7743" s="21">
        <v>7742</v>
      </c>
      <c r="B7743" s="7" t="s">
        <v>16240</v>
      </c>
      <c r="C7743" s="7" t="s">
        <v>16241</v>
      </c>
      <c r="G7743" s="8" t="s">
        <v>15</v>
      </c>
    </row>
    <row r="7744" spans="1:7" hidden="1" x14ac:dyDescent="0.25">
      <c r="A7744" s="21">
        <v>7743</v>
      </c>
      <c r="B7744" s="7" t="s">
        <v>16242</v>
      </c>
      <c r="C7744" s="7" t="s">
        <v>16243</v>
      </c>
      <c r="G7744" s="8" t="s">
        <v>15</v>
      </c>
    </row>
    <row r="7745" spans="1:7" hidden="1" x14ac:dyDescent="0.25">
      <c r="A7745" s="21">
        <v>7744</v>
      </c>
      <c r="B7745" s="7" t="s">
        <v>16244</v>
      </c>
      <c r="C7745" s="7" t="s">
        <v>16245</v>
      </c>
      <c r="G7745" s="8" t="s">
        <v>15</v>
      </c>
    </row>
    <row r="7746" spans="1:7" hidden="1" x14ac:dyDescent="0.25">
      <c r="A7746" s="21">
        <v>7745</v>
      </c>
      <c r="B7746" s="7" t="s">
        <v>16246</v>
      </c>
      <c r="C7746" s="7" t="s">
        <v>16247</v>
      </c>
      <c r="G7746" s="8" t="s">
        <v>15</v>
      </c>
    </row>
    <row r="7747" spans="1:7" hidden="1" x14ac:dyDescent="0.25">
      <c r="A7747" s="21">
        <v>7746</v>
      </c>
      <c r="B7747" s="7" t="s">
        <v>16248</v>
      </c>
      <c r="C7747" s="7" t="s">
        <v>16249</v>
      </c>
      <c r="F7747" t="s">
        <v>16250</v>
      </c>
      <c r="G7747" s="8" t="s">
        <v>15</v>
      </c>
    </row>
    <row r="7748" spans="1:7" hidden="1" x14ac:dyDescent="0.25">
      <c r="A7748" s="21">
        <v>7747</v>
      </c>
      <c r="B7748" s="7" t="s">
        <v>16251</v>
      </c>
      <c r="C7748" s="7" t="s">
        <v>16252</v>
      </c>
      <c r="F7748" t="s">
        <v>16250</v>
      </c>
      <c r="G7748" s="8" t="s">
        <v>15</v>
      </c>
    </row>
    <row r="7749" spans="1:7" hidden="1" x14ac:dyDescent="0.25">
      <c r="A7749" s="21">
        <v>7748</v>
      </c>
      <c r="B7749" s="7" t="s">
        <v>16253</v>
      </c>
      <c r="C7749" s="7" t="s">
        <v>16254</v>
      </c>
      <c r="G7749" s="8" t="s">
        <v>15</v>
      </c>
    </row>
    <row r="7750" spans="1:7" hidden="1" x14ac:dyDescent="0.25">
      <c r="A7750" s="21">
        <v>7749</v>
      </c>
      <c r="B7750" s="7" t="s">
        <v>16255</v>
      </c>
      <c r="C7750" s="7" t="s">
        <v>16256</v>
      </c>
      <c r="G7750" s="8" t="s">
        <v>15</v>
      </c>
    </row>
    <row r="7751" spans="1:7" hidden="1" x14ac:dyDescent="0.25">
      <c r="A7751" s="21">
        <v>7750</v>
      </c>
      <c r="B7751" s="7" t="s">
        <v>16257</v>
      </c>
      <c r="C7751" s="7" t="s">
        <v>16258</v>
      </c>
      <c r="G7751" s="8" t="s">
        <v>15</v>
      </c>
    </row>
    <row r="7752" spans="1:7" hidden="1" x14ac:dyDescent="0.25">
      <c r="A7752" s="21">
        <v>7751</v>
      </c>
      <c r="B7752" s="7" t="s">
        <v>16259</v>
      </c>
      <c r="C7752" s="7" t="s">
        <v>16260</v>
      </c>
      <c r="G7752" s="8" t="s">
        <v>15</v>
      </c>
    </row>
    <row r="7753" spans="1:7" hidden="1" x14ac:dyDescent="0.25">
      <c r="A7753" s="21">
        <v>7752</v>
      </c>
      <c r="B7753" s="7" t="s">
        <v>16261</v>
      </c>
      <c r="C7753" s="7" t="s">
        <v>16262</v>
      </c>
      <c r="G7753" s="8" t="s">
        <v>15</v>
      </c>
    </row>
    <row r="7754" spans="1:7" hidden="1" x14ac:dyDescent="0.25">
      <c r="A7754" s="21">
        <v>7753</v>
      </c>
      <c r="B7754" s="7" t="s">
        <v>16263</v>
      </c>
      <c r="C7754" s="7" t="s">
        <v>16264</v>
      </c>
      <c r="G7754" s="8" t="s">
        <v>15</v>
      </c>
    </row>
    <row r="7755" spans="1:7" hidden="1" x14ac:dyDescent="0.25">
      <c r="A7755" s="21">
        <v>7754</v>
      </c>
      <c r="B7755" s="7" t="s">
        <v>16265</v>
      </c>
      <c r="C7755" s="7" t="s">
        <v>16266</v>
      </c>
      <c r="G7755" s="8" t="s">
        <v>15</v>
      </c>
    </row>
    <row r="7756" spans="1:7" hidden="1" x14ac:dyDescent="0.25">
      <c r="A7756" s="21">
        <v>7755</v>
      </c>
      <c r="B7756" s="7" t="s">
        <v>16267</v>
      </c>
      <c r="C7756" s="7" t="s">
        <v>16268</v>
      </c>
      <c r="F7756" t="s">
        <v>16250</v>
      </c>
      <c r="G7756" s="8" t="s">
        <v>15</v>
      </c>
    </row>
    <row r="7757" spans="1:7" hidden="1" x14ac:dyDescent="0.25">
      <c r="A7757" s="21">
        <v>7756</v>
      </c>
      <c r="B7757" s="7" t="s">
        <v>16269</v>
      </c>
      <c r="C7757" s="7" t="s">
        <v>16270</v>
      </c>
      <c r="F7757" t="s">
        <v>16250</v>
      </c>
      <c r="G7757" s="8" t="s">
        <v>15</v>
      </c>
    </row>
    <row r="7758" spans="1:7" hidden="1" x14ac:dyDescent="0.25">
      <c r="A7758" s="21">
        <v>7757</v>
      </c>
      <c r="B7758" s="7" t="s">
        <v>16271</v>
      </c>
      <c r="C7758" s="7" t="s">
        <v>16272</v>
      </c>
      <c r="G7758" s="8" t="s">
        <v>15</v>
      </c>
    </row>
    <row r="7759" spans="1:7" hidden="1" x14ac:dyDescent="0.25">
      <c r="A7759" s="21">
        <v>7758</v>
      </c>
      <c r="B7759" s="7" t="s">
        <v>16273</v>
      </c>
      <c r="C7759" s="7" t="s">
        <v>16274</v>
      </c>
      <c r="G7759" s="8" t="s">
        <v>15</v>
      </c>
    </row>
    <row r="7760" spans="1:7" hidden="1" x14ac:dyDescent="0.25">
      <c r="A7760" s="21">
        <v>7759</v>
      </c>
      <c r="B7760" s="7" t="s">
        <v>16275</v>
      </c>
      <c r="C7760" s="7" t="s">
        <v>16276</v>
      </c>
      <c r="G7760" s="8" t="s">
        <v>15</v>
      </c>
    </row>
    <row r="7761" spans="1:7" hidden="1" x14ac:dyDescent="0.25">
      <c r="A7761" s="21">
        <v>7760</v>
      </c>
      <c r="B7761" s="7" t="s">
        <v>16277</v>
      </c>
      <c r="C7761" s="7" t="s">
        <v>16278</v>
      </c>
      <c r="G7761" s="8" t="s">
        <v>15</v>
      </c>
    </row>
    <row r="7762" spans="1:7" hidden="1" x14ac:dyDescent="0.25">
      <c r="A7762" s="21">
        <v>7761</v>
      </c>
      <c r="B7762" s="7" t="s">
        <v>16279</v>
      </c>
      <c r="C7762" s="7" t="s">
        <v>16280</v>
      </c>
      <c r="G7762" s="8" t="s">
        <v>15</v>
      </c>
    </row>
    <row r="7763" spans="1:7" hidden="1" x14ac:dyDescent="0.25">
      <c r="A7763" s="21">
        <v>7762</v>
      </c>
      <c r="B7763" s="7" t="s">
        <v>16281</v>
      </c>
      <c r="C7763" s="7" t="s">
        <v>16282</v>
      </c>
      <c r="G7763" s="8" t="s">
        <v>15</v>
      </c>
    </row>
    <row r="7764" spans="1:7" hidden="1" x14ac:dyDescent="0.25">
      <c r="A7764" s="21">
        <v>7763</v>
      </c>
      <c r="B7764" s="7" t="s">
        <v>16283</v>
      </c>
      <c r="C7764" s="7" t="s">
        <v>16284</v>
      </c>
      <c r="G7764" s="8" t="s">
        <v>15</v>
      </c>
    </row>
    <row r="7765" spans="1:7" hidden="1" x14ac:dyDescent="0.25">
      <c r="A7765" s="21">
        <v>7764</v>
      </c>
      <c r="B7765" s="7" t="s">
        <v>16285</v>
      </c>
      <c r="C7765" s="7" t="s">
        <v>16286</v>
      </c>
      <c r="G7765" s="8" t="s">
        <v>15</v>
      </c>
    </row>
    <row r="7766" spans="1:7" hidden="1" x14ac:dyDescent="0.25">
      <c r="A7766" s="21">
        <v>7765</v>
      </c>
      <c r="B7766" s="7" t="s">
        <v>16287</v>
      </c>
      <c r="C7766" s="7" t="s">
        <v>16288</v>
      </c>
      <c r="G7766" s="8" t="s">
        <v>15</v>
      </c>
    </row>
    <row r="7767" spans="1:7" hidden="1" x14ac:dyDescent="0.25">
      <c r="A7767" s="21">
        <v>7766</v>
      </c>
      <c r="B7767" s="7" t="s">
        <v>16289</v>
      </c>
      <c r="C7767" s="7" t="s">
        <v>16290</v>
      </c>
      <c r="G7767" s="8" t="s">
        <v>15</v>
      </c>
    </row>
    <row r="7768" spans="1:7" hidden="1" x14ac:dyDescent="0.25">
      <c r="A7768" s="21">
        <v>7767</v>
      </c>
      <c r="B7768" s="7" t="s">
        <v>16291</v>
      </c>
      <c r="C7768" s="7" t="s">
        <v>16292</v>
      </c>
      <c r="G7768" s="8" t="s">
        <v>15</v>
      </c>
    </row>
    <row r="7769" spans="1:7" hidden="1" x14ac:dyDescent="0.25">
      <c r="A7769" s="21">
        <v>7768</v>
      </c>
      <c r="B7769" s="7" t="s">
        <v>16293</v>
      </c>
      <c r="C7769" s="7" t="s">
        <v>16294</v>
      </c>
      <c r="F7769" t="s">
        <v>2360</v>
      </c>
      <c r="G7769" s="8" t="s">
        <v>15</v>
      </c>
    </row>
    <row r="7770" spans="1:7" hidden="1" x14ac:dyDescent="0.25">
      <c r="A7770" s="21">
        <v>7769</v>
      </c>
      <c r="B7770" s="7" t="s">
        <v>16295</v>
      </c>
      <c r="C7770" s="7" t="s">
        <v>16296</v>
      </c>
      <c r="G7770" s="8" t="s">
        <v>15</v>
      </c>
    </row>
    <row r="7771" spans="1:7" hidden="1" x14ac:dyDescent="0.25">
      <c r="A7771" s="21">
        <v>7770</v>
      </c>
      <c r="B7771" s="7" t="s">
        <v>16297</v>
      </c>
      <c r="C7771" s="7" t="s">
        <v>16298</v>
      </c>
      <c r="G7771" s="8" t="s">
        <v>15</v>
      </c>
    </row>
    <row r="7772" spans="1:7" hidden="1" x14ac:dyDescent="0.25">
      <c r="A7772" s="21">
        <v>7771</v>
      </c>
      <c r="B7772" s="7" t="s">
        <v>16299</v>
      </c>
      <c r="C7772" s="7" t="s">
        <v>16300</v>
      </c>
      <c r="G7772" s="8" t="s">
        <v>15</v>
      </c>
    </row>
    <row r="7773" spans="1:7" hidden="1" x14ac:dyDescent="0.25">
      <c r="A7773" s="21">
        <v>7772</v>
      </c>
      <c r="B7773" s="7" t="s">
        <v>16301</v>
      </c>
      <c r="C7773" s="7" t="s">
        <v>16302</v>
      </c>
      <c r="G7773" s="8" t="s">
        <v>15</v>
      </c>
    </row>
    <row r="7774" spans="1:7" hidden="1" x14ac:dyDescent="0.25">
      <c r="A7774" s="21">
        <v>7773</v>
      </c>
      <c r="B7774" s="7" t="s">
        <v>16303</v>
      </c>
      <c r="C7774" s="7" t="s">
        <v>16304</v>
      </c>
      <c r="G7774" s="8" t="s">
        <v>15</v>
      </c>
    </row>
    <row r="7775" spans="1:7" hidden="1" x14ac:dyDescent="0.25">
      <c r="A7775" s="21">
        <v>7774</v>
      </c>
      <c r="B7775" s="7" t="s">
        <v>16305</v>
      </c>
      <c r="C7775" s="7" t="s">
        <v>16306</v>
      </c>
      <c r="G7775" s="8" t="s">
        <v>15</v>
      </c>
    </row>
    <row r="7776" spans="1:7" hidden="1" x14ac:dyDescent="0.25">
      <c r="A7776" s="21">
        <v>7775</v>
      </c>
      <c r="B7776" s="7" t="s">
        <v>16307</v>
      </c>
      <c r="C7776" s="7" t="s">
        <v>16308</v>
      </c>
      <c r="F7776" s="8" t="s">
        <v>1254</v>
      </c>
      <c r="G7776" s="8" t="s">
        <v>15</v>
      </c>
    </row>
    <row r="7777" spans="1:8" hidden="1" x14ac:dyDescent="0.25">
      <c r="A7777" s="21">
        <v>7776</v>
      </c>
      <c r="B7777" s="7" t="s">
        <v>16309</v>
      </c>
      <c r="C7777" s="7" t="s">
        <v>16310</v>
      </c>
      <c r="G7777" s="8" t="s">
        <v>15</v>
      </c>
    </row>
    <row r="7778" spans="1:8" hidden="1" x14ac:dyDescent="0.25">
      <c r="A7778" s="21">
        <v>7777</v>
      </c>
      <c r="B7778" s="7" t="s">
        <v>16311</v>
      </c>
      <c r="C7778" s="7" t="s">
        <v>16312</v>
      </c>
      <c r="G7778" s="8" t="s">
        <v>15</v>
      </c>
    </row>
    <row r="7779" spans="1:8" hidden="1" x14ac:dyDescent="0.25">
      <c r="A7779" s="21">
        <v>7778</v>
      </c>
      <c r="B7779" s="7" t="s">
        <v>16313</v>
      </c>
      <c r="C7779" s="7" t="s">
        <v>16314</v>
      </c>
      <c r="G7779" s="8" t="s">
        <v>15</v>
      </c>
    </row>
    <row r="7780" spans="1:8" hidden="1" x14ac:dyDescent="0.25">
      <c r="A7780" s="21">
        <v>7779</v>
      </c>
      <c r="B7780" s="7" t="s">
        <v>16315</v>
      </c>
      <c r="C7780" s="7" t="s">
        <v>16316</v>
      </c>
      <c r="G7780" s="8" t="s">
        <v>15</v>
      </c>
    </row>
    <row r="7781" spans="1:8" hidden="1" x14ac:dyDescent="0.25">
      <c r="A7781" s="21">
        <v>7780</v>
      </c>
      <c r="B7781" s="7" t="s">
        <v>16317</v>
      </c>
      <c r="C7781" s="7" t="s">
        <v>16318</v>
      </c>
      <c r="G7781" s="8" t="s">
        <v>15</v>
      </c>
    </row>
    <row r="7782" spans="1:8" hidden="1" x14ac:dyDescent="0.25">
      <c r="A7782" s="21">
        <v>7781</v>
      </c>
      <c r="B7782" s="7" t="s">
        <v>16319</v>
      </c>
      <c r="C7782" s="7" t="s">
        <v>16320</v>
      </c>
      <c r="G7782" s="8" t="s">
        <v>15</v>
      </c>
    </row>
    <row r="7783" spans="1:8" hidden="1" x14ac:dyDescent="0.25">
      <c r="A7783" s="21">
        <v>7782</v>
      </c>
      <c r="B7783" s="7" t="s">
        <v>16321</v>
      </c>
      <c r="C7783" s="7" t="s">
        <v>16322</v>
      </c>
      <c r="G7783" s="8" t="s">
        <v>15</v>
      </c>
    </row>
    <row r="7784" spans="1:8" hidden="1" x14ac:dyDescent="0.25">
      <c r="A7784" s="21">
        <v>7783</v>
      </c>
      <c r="B7784" s="7" t="s">
        <v>16323</v>
      </c>
      <c r="C7784" s="7" t="s">
        <v>16324</v>
      </c>
      <c r="G7784" s="8" t="s">
        <v>15</v>
      </c>
    </row>
    <row r="7785" spans="1:8" hidden="1" x14ac:dyDescent="0.25">
      <c r="A7785" s="21">
        <v>7784</v>
      </c>
      <c r="B7785" s="7" t="s">
        <v>16325</v>
      </c>
      <c r="C7785" s="7" t="s">
        <v>16326</v>
      </c>
      <c r="G7785" s="8" t="s">
        <v>15</v>
      </c>
    </row>
    <row r="7786" spans="1:8" hidden="1" x14ac:dyDescent="0.25">
      <c r="A7786" s="21">
        <v>7785</v>
      </c>
      <c r="B7786" s="7" t="s">
        <v>16327</v>
      </c>
      <c r="C7786" s="7" t="s">
        <v>16328</v>
      </c>
      <c r="G7786" s="8" t="s">
        <v>15</v>
      </c>
    </row>
    <row r="7787" spans="1:8" hidden="1" x14ac:dyDescent="0.25">
      <c r="A7787" s="21">
        <v>7786</v>
      </c>
      <c r="B7787" s="7" t="s">
        <v>16329</v>
      </c>
      <c r="C7787" s="7" t="s">
        <v>16330</v>
      </c>
      <c r="G7787" s="8" t="s">
        <v>15</v>
      </c>
    </row>
    <row r="7788" spans="1:8" hidden="1" x14ac:dyDescent="0.25">
      <c r="A7788" s="21">
        <v>7787</v>
      </c>
      <c r="B7788" s="7" t="s">
        <v>16331</v>
      </c>
      <c r="C7788" s="7" t="s">
        <v>16332</v>
      </c>
      <c r="G7788" s="8" t="s">
        <v>15</v>
      </c>
    </row>
    <row r="7789" spans="1:8" hidden="1" x14ac:dyDescent="0.25">
      <c r="A7789" s="21">
        <v>7788</v>
      </c>
      <c r="B7789" s="7" t="s">
        <v>16333</v>
      </c>
      <c r="C7789" s="7" t="s">
        <v>16334</v>
      </c>
      <c r="G7789" s="8" t="s">
        <v>15</v>
      </c>
      <c r="H7789">
        <f>_xlfn.XLOOKUP(B7789,Data!T:T,Data!F:F)</f>
        <v>0</v>
      </c>
    </row>
    <row r="7790" spans="1:8" hidden="1" x14ac:dyDescent="0.25">
      <c r="A7790" s="21">
        <v>7789</v>
      </c>
      <c r="B7790" s="7" t="s">
        <v>16335</v>
      </c>
      <c r="C7790" s="7" t="s">
        <v>16336</v>
      </c>
      <c r="G7790" s="8" t="s">
        <v>15</v>
      </c>
      <c r="H7790">
        <f>_xlfn.XLOOKUP(B7790,Data!T:T,Data!F:F)</f>
        <v>0</v>
      </c>
    </row>
    <row r="7791" spans="1:8" hidden="1" x14ac:dyDescent="0.25">
      <c r="A7791" s="21">
        <v>7790</v>
      </c>
      <c r="B7791" s="7" t="s">
        <v>16337</v>
      </c>
      <c r="C7791" s="7" t="s">
        <v>16338</v>
      </c>
      <c r="F7791" t="s">
        <v>1019</v>
      </c>
      <c r="G7791" s="8" t="s">
        <v>15</v>
      </c>
      <c r="H7791">
        <f>_xlfn.XLOOKUP(B7791,Data!T:T,Data!F:F)</f>
        <v>0</v>
      </c>
    </row>
    <row r="7792" spans="1:8" hidden="1" x14ac:dyDescent="0.25">
      <c r="A7792" s="21">
        <v>7791</v>
      </c>
      <c r="B7792" s="7" t="s">
        <v>16339</v>
      </c>
      <c r="C7792" s="7" t="s">
        <v>16340</v>
      </c>
      <c r="G7792" s="8" t="s">
        <v>15</v>
      </c>
      <c r="H7792">
        <f>_xlfn.XLOOKUP(B7792,Data!T:T,Data!F:F)</f>
        <v>0</v>
      </c>
    </row>
    <row r="7793" spans="1:8" hidden="1" x14ac:dyDescent="0.25">
      <c r="A7793" s="21">
        <v>7792</v>
      </c>
      <c r="B7793" s="7" t="s">
        <v>16341</v>
      </c>
      <c r="C7793" s="7" t="s">
        <v>16342</v>
      </c>
      <c r="G7793" s="8" t="s">
        <v>15</v>
      </c>
      <c r="H7793">
        <f>_xlfn.XLOOKUP(B7793,Data!T:T,Data!F:F)</f>
        <v>0</v>
      </c>
    </row>
    <row r="7794" spans="1:8" hidden="1" x14ac:dyDescent="0.25">
      <c r="A7794" s="21">
        <v>7793</v>
      </c>
      <c r="B7794" s="7" t="s">
        <v>16343</v>
      </c>
      <c r="C7794" s="7" t="s">
        <v>16344</v>
      </c>
      <c r="G7794" s="8" t="s">
        <v>15</v>
      </c>
      <c r="H7794">
        <f>_xlfn.XLOOKUP(B7794,Data!T:T,Data!F:F)</f>
        <v>0</v>
      </c>
    </row>
    <row r="7795" spans="1:8" hidden="1" x14ac:dyDescent="0.25">
      <c r="A7795" s="21">
        <v>7794</v>
      </c>
      <c r="B7795" s="7" t="s">
        <v>16345</v>
      </c>
      <c r="C7795" s="7" t="s">
        <v>16346</v>
      </c>
      <c r="G7795" s="8" t="s">
        <v>15</v>
      </c>
      <c r="H7795">
        <f>_xlfn.XLOOKUP(B7795,Data!T:T,Data!F:F)</f>
        <v>0</v>
      </c>
    </row>
    <row r="7796" spans="1:8" hidden="1" x14ac:dyDescent="0.25">
      <c r="A7796" s="21">
        <v>7795</v>
      </c>
      <c r="B7796" s="7" t="s">
        <v>16347</v>
      </c>
      <c r="C7796" s="7" t="s">
        <v>16348</v>
      </c>
      <c r="G7796" s="8" t="s">
        <v>15</v>
      </c>
      <c r="H7796">
        <f>_xlfn.XLOOKUP(B7796,Data!T:T,Data!F:F)</f>
        <v>0</v>
      </c>
    </row>
    <row r="7797" spans="1:8" hidden="1" x14ac:dyDescent="0.25">
      <c r="A7797" s="21">
        <v>7796</v>
      </c>
      <c r="B7797" s="7" t="s">
        <v>16349</v>
      </c>
      <c r="C7797" s="7" t="s">
        <v>16350</v>
      </c>
      <c r="G7797" s="8" t="s">
        <v>15</v>
      </c>
      <c r="H7797">
        <f>_xlfn.XLOOKUP(B7797,Data!T:T,Data!F:F)</f>
        <v>0</v>
      </c>
    </row>
    <row r="7798" spans="1:8" hidden="1" x14ac:dyDescent="0.25">
      <c r="A7798" s="21">
        <v>7797</v>
      </c>
      <c r="B7798" s="7" t="s">
        <v>16351</v>
      </c>
      <c r="C7798" s="7" t="s">
        <v>16352</v>
      </c>
      <c r="G7798" s="8" t="s">
        <v>15</v>
      </c>
      <c r="H7798">
        <f>_xlfn.XLOOKUP(B7798,Data!T:T,Data!F:F)</f>
        <v>0</v>
      </c>
    </row>
    <row r="7799" spans="1:8" hidden="1" x14ac:dyDescent="0.25">
      <c r="A7799" s="21">
        <v>7798</v>
      </c>
      <c r="B7799" s="7" t="s">
        <v>16353</v>
      </c>
      <c r="C7799" s="7" t="s">
        <v>16354</v>
      </c>
      <c r="G7799" s="8" t="s">
        <v>15</v>
      </c>
      <c r="H7799">
        <f>_xlfn.XLOOKUP(B7799,Data!T:T,Data!F:F)</f>
        <v>0</v>
      </c>
    </row>
    <row r="7800" spans="1:8" hidden="1" x14ac:dyDescent="0.25">
      <c r="A7800" s="21">
        <v>7799</v>
      </c>
      <c r="B7800" s="7" t="s">
        <v>16355</v>
      </c>
      <c r="C7800" s="7" t="s">
        <v>16356</v>
      </c>
      <c r="G7800" s="8" t="s">
        <v>15</v>
      </c>
      <c r="H7800">
        <f>_xlfn.XLOOKUP(B7800,Data!T:T,Data!F:F)</f>
        <v>0</v>
      </c>
    </row>
    <row r="7801" spans="1:8" hidden="1" x14ac:dyDescent="0.25">
      <c r="A7801" s="21">
        <v>7800</v>
      </c>
      <c r="B7801" s="7" t="s">
        <v>16357</v>
      </c>
      <c r="C7801" s="7" t="s">
        <v>16358</v>
      </c>
      <c r="G7801" s="8" t="s">
        <v>15</v>
      </c>
      <c r="H7801">
        <f>_xlfn.XLOOKUP(B7801,Data!T:T,Data!F:F)</f>
        <v>0</v>
      </c>
    </row>
    <row r="7802" spans="1:8" hidden="1" x14ac:dyDescent="0.25">
      <c r="A7802" s="21">
        <v>7801</v>
      </c>
      <c r="B7802" s="7" t="s">
        <v>16359</v>
      </c>
      <c r="C7802" s="7" t="s">
        <v>16360</v>
      </c>
      <c r="G7802" s="8" t="s">
        <v>15</v>
      </c>
      <c r="H7802">
        <f>_xlfn.XLOOKUP(B7802,Data!T:T,Data!F:F)</f>
        <v>0</v>
      </c>
    </row>
    <row r="7803" spans="1:8" hidden="1" x14ac:dyDescent="0.25">
      <c r="A7803" s="21">
        <v>7802</v>
      </c>
      <c r="B7803" s="7" t="s">
        <v>16361</v>
      </c>
      <c r="C7803" s="7" t="s">
        <v>16362</v>
      </c>
      <c r="G7803" s="8" t="s">
        <v>15</v>
      </c>
      <c r="H7803">
        <f>_xlfn.XLOOKUP(B7803,Data!T:T,Data!F:F)</f>
        <v>0</v>
      </c>
    </row>
    <row r="7804" spans="1:8" hidden="1" x14ac:dyDescent="0.25">
      <c r="A7804" s="21">
        <v>7803</v>
      </c>
      <c r="B7804" s="7" t="s">
        <v>16363</v>
      </c>
      <c r="C7804" s="7" t="s">
        <v>16364</v>
      </c>
      <c r="G7804" s="8" t="s">
        <v>15</v>
      </c>
      <c r="H7804">
        <f>_xlfn.XLOOKUP(B7804,Data!T:T,Data!F:F)</f>
        <v>0</v>
      </c>
    </row>
    <row r="7805" spans="1:8" hidden="1" x14ac:dyDescent="0.25">
      <c r="A7805" s="21">
        <v>7804</v>
      </c>
      <c r="B7805" s="7" t="s">
        <v>16365</v>
      </c>
      <c r="C7805" s="7" t="s">
        <v>16366</v>
      </c>
      <c r="G7805" s="8" t="s">
        <v>15</v>
      </c>
      <c r="H7805">
        <f>_xlfn.XLOOKUP(B7805,Data!T:T,Data!F:F)</f>
        <v>0</v>
      </c>
    </row>
    <row r="7806" spans="1:8" hidden="1" x14ac:dyDescent="0.25">
      <c r="A7806" s="21">
        <v>7805</v>
      </c>
      <c r="B7806" s="7" t="s">
        <v>16367</v>
      </c>
      <c r="C7806" s="7" t="s">
        <v>16368</v>
      </c>
      <c r="G7806" s="8" t="s">
        <v>15</v>
      </c>
      <c r="H7806">
        <f>_xlfn.XLOOKUP(B7806,Data!T:T,Data!F:F)</f>
        <v>0</v>
      </c>
    </row>
    <row r="7807" spans="1:8" hidden="1" x14ac:dyDescent="0.25">
      <c r="A7807" s="21">
        <v>7806</v>
      </c>
      <c r="B7807" s="7" t="s">
        <v>16369</v>
      </c>
      <c r="C7807" s="7" t="s">
        <v>16370</v>
      </c>
      <c r="G7807" s="8" t="s">
        <v>15</v>
      </c>
    </row>
    <row r="7808" spans="1:8" hidden="1" x14ac:dyDescent="0.25">
      <c r="A7808" s="21">
        <v>7807</v>
      </c>
      <c r="B7808" s="7" t="s">
        <v>16371</v>
      </c>
      <c r="C7808" s="7" t="s">
        <v>16372</v>
      </c>
      <c r="G7808" s="8" t="s">
        <v>15</v>
      </c>
    </row>
    <row r="7809" spans="1:7" hidden="1" x14ac:dyDescent="0.25">
      <c r="A7809" s="21">
        <v>7808</v>
      </c>
      <c r="B7809" s="7" t="s">
        <v>16373</v>
      </c>
      <c r="C7809" s="7" t="s">
        <v>16374</v>
      </c>
      <c r="G7809" s="8" t="s">
        <v>15</v>
      </c>
    </row>
    <row r="7810" spans="1:7" hidden="1" x14ac:dyDescent="0.25">
      <c r="A7810" s="21">
        <v>7809</v>
      </c>
      <c r="B7810" s="7" t="s">
        <v>16375</v>
      </c>
      <c r="C7810" s="7" t="s">
        <v>16376</v>
      </c>
      <c r="G7810" s="8" t="s">
        <v>15</v>
      </c>
    </row>
    <row r="7811" spans="1:7" hidden="1" x14ac:dyDescent="0.25">
      <c r="A7811" s="21">
        <v>7810</v>
      </c>
      <c r="B7811" s="7" t="s">
        <v>16377</v>
      </c>
      <c r="C7811" s="7" t="s">
        <v>16378</v>
      </c>
      <c r="G7811" s="8" t="s">
        <v>15</v>
      </c>
    </row>
    <row r="7812" spans="1:7" hidden="1" x14ac:dyDescent="0.25">
      <c r="A7812" s="21">
        <v>7811</v>
      </c>
      <c r="B7812" s="7" t="s">
        <v>16379</v>
      </c>
      <c r="C7812" s="7" t="s">
        <v>16380</v>
      </c>
      <c r="G7812" s="8" t="s">
        <v>15</v>
      </c>
    </row>
    <row r="7813" spans="1:7" hidden="1" x14ac:dyDescent="0.25">
      <c r="A7813" s="21">
        <v>7812</v>
      </c>
      <c r="B7813" s="7" t="s">
        <v>16381</v>
      </c>
      <c r="C7813" s="7" t="s">
        <v>16382</v>
      </c>
      <c r="G7813" s="8" t="s">
        <v>15</v>
      </c>
    </row>
    <row r="7814" spans="1:7" hidden="1" x14ac:dyDescent="0.25">
      <c r="A7814" s="21">
        <v>7813</v>
      </c>
      <c r="B7814" s="7" t="s">
        <v>16383</v>
      </c>
      <c r="C7814" s="7" t="s">
        <v>16384</v>
      </c>
      <c r="G7814" s="8" t="s">
        <v>15</v>
      </c>
    </row>
    <row r="7815" spans="1:7" hidden="1" x14ac:dyDescent="0.25">
      <c r="A7815" s="21">
        <v>7814</v>
      </c>
      <c r="B7815" s="7" t="s">
        <v>16385</v>
      </c>
      <c r="C7815" s="7" t="s">
        <v>16386</v>
      </c>
      <c r="G7815" s="8" t="s">
        <v>15</v>
      </c>
    </row>
    <row r="7816" spans="1:7" hidden="1" x14ac:dyDescent="0.25">
      <c r="A7816" s="21">
        <v>7815</v>
      </c>
      <c r="B7816" s="7" t="s">
        <v>16387</v>
      </c>
      <c r="C7816" s="7" t="s">
        <v>16388</v>
      </c>
      <c r="G7816" s="8" t="s">
        <v>15</v>
      </c>
    </row>
    <row r="7817" spans="1:7" hidden="1" x14ac:dyDescent="0.25">
      <c r="A7817" s="21">
        <v>7816</v>
      </c>
      <c r="B7817" s="7" t="s">
        <v>16389</v>
      </c>
      <c r="C7817" s="7" t="s">
        <v>16390</v>
      </c>
      <c r="G7817" s="8" t="s">
        <v>15</v>
      </c>
    </row>
    <row r="7818" spans="1:7" hidden="1" x14ac:dyDescent="0.25">
      <c r="A7818" s="21">
        <v>7817</v>
      </c>
      <c r="B7818" s="7" t="s">
        <v>16391</v>
      </c>
      <c r="C7818" s="7" t="s">
        <v>16392</v>
      </c>
      <c r="G7818" s="8" t="s">
        <v>15</v>
      </c>
    </row>
    <row r="7819" spans="1:7" hidden="1" x14ac:dyDescent="0.25">
      <c r="A7819" s="21">
        <v>7818</v>
      </c>
      <c r="B7819" s="7" t="s">
        <v>16393</v>
      </c>
      <c r="C7819" s="7" t="s">
        <v>16394</v>
      </c>
      <c r="G7819" s="8" t="s">
        <v>15</v>
      </c>
    </row>
    <row r="7820" spans="1:7" hidden="1" x14ac:dyDescent="0.25">
      <c r="A7820" s="21">
        <v>7819</v>
      </c>
      <c r="B7820" s="7" t="s">
        <v>16395</v>
      </c>
      <c r="C7820" s="7" t="s">
        <v>16396</v>
      </c>
      <c r="G7820" s="8" t="s">
        <v>15</v>
      </c>
    </row>
    <row r="7821" spans="1:7" hidden="1" x14ac:dyDescent="0.25">
      <c r="A7821" s="21">
        <v>7820</v>
      </c>
      <c r="B7821" s="7" t="s">
        <v>16397</v>
      </c>
      <c r="C7821" s="7" t="s">
        <v>16398</v>
      </c>
      <c r="G7821" s="8" t="s">
        <v>15</v>
      </c>
    </row>
    <row r="7822" spans="1:7" hidden="1" x14ac:dyDescent="0.25">
      <c r="A7822" s="21">
        <v>7821</v>
      </c>
      <c r="B7822" s="7" t="s">
        <v>16399</v>
      </c>
      <c r="C7822" s="7" t="s">
        <v>16400</v>
      </c>
      <c r="G7822" s="8" t="s">
        <v>15</v>
      </c>
    </row>
    <row r="7823" spans="1:7" hidden="1" x14ac:dyDescent="0.25">
      <c r="A7823" s="21">
        <v>7822</v>
      </c>
      <c r="B7823" s="7" t="s">
        <v>16401</v>
      </c>
      <c r="C7823" s="7" t="s">
        <v>16402</v>
      </c>
      <c r="G7823" s="8" t="s">
        <v>15</v>
      </c>
    </row>
    <row r="7824" spans="1:7" hidden="1" x14ac:dyDescent="0.25">
      <c r="A7824" s="21">
        <v>7823</v>
      </c>
      <c r="B7824" s="7" t="s">
        <v>16403</v>
      </c>
      <c r="C7824" s="7" t="s">
        <v>16404</v>
      </c>
      <c r="G7824" s="8" t="s">
        <v>15</v>
      </c>
    </row>
    <row r="7825" spans="1:7" hidden="1" x14ac:dyDescent="0.25">
      <c r="A7825" s="21">
        <v>7824</v>
      </c>
      <c r="B7825" s="7" t="s">
        <v>16405</v>
      </c>
      <c r="C7825" s="7" t="s">
        <v>16406</v>
      </c>
      <c r="G7825" s="8" t="s">
        <v>15</v>
      </c>
    </row>
    <row r="7826" spans="1:7" hidden="1" x14ac:dyDescent="0.25">
      <c r="A7826" s="21">
        <v>7825</v>
      </c>
      <c r="B7826" s="7" t="s">
        <v>16407</v>
      </c>
      <c r="C7826" s="7" t="s">
        <v>16408</v>
      </c>
      <c r="G7826" s="8" t="s">
        <v>15</v>
      </c>
    </row>
    <row r="7827" spans="1:7" hidden="1" x14ac:dyDescent="0.25">
      <c r="A7827" s="21">
        <v>7826</v>
      </c>
      <c r="B7827" s="7" t="s">
        <v>16409</v>
      </c>
      <c r="C7827" s="7" t="s">
        <v>16410</v>
      </c>
      <c r="G7827" s="8" t="s">
        <v>15</v>
      </c>
    </row>
    <row r="7828" spans="1:7" hidden="1" x14ac:dyDescent="0.25">
      <c r="A7828" s="21">
        <v>7827</v>
      </c>
      <c r="B7828" s="7" t="s">
        <v>16411</v>
      </c>
      <c r="C7828" s="7" t="s">
        <v>16412</v>
      </c>
      <c r="G7828" s="8" t="s">
        <v>15</v>
      </c>
    </row>
    <row r="7829" spans="1:7" hidden="1" x14ac:dyDescent="0.25">
      <c r="A7829" s="21">
        <v>7828</v>
      </c>
      <c r="B7829" s="7" t="s">
        <v>16413</v>
      </c>
      <c r="C7829" s="7" t="s">
        <v>16414</v>
      </c>
      <c r="G7829" s="8" t="s">
        <v>15</v>
      </c>
    </row>
    <row r="7830" spans="1:7" hidden="1" x14ac:dyDescent="0.25">
      <c r="A7830" s="21">
        <v>7829</v>
      </c>
      <c r="B7830" s="7" t="s">
        <v>16415</v>
      </c>
      <c r="C7830" s="7" t="s">
        <v>16416</v>
      </c>
      <c r="G7830" s="8" t="s">
        <v>15</v>
      </c>
    </row>
    <row r="7831" spans="1:7" hidden="1" x14ac:dyDescent="0.25">
      <c r="A7831" s="21">
        <v>7830</v>
      </c>
      <c r="B7831" s="7" t="s">
        <v>16417</v>
      </c>
      <c r="C7831" s="7" t="s">
        <v>16418</v>
      </c>
      <c r="G7831" s="8" t="s">
        <v>15</v>
      </c>
    </row>
    <row r="7832" spans="1:7" hidden="1" x14ac:dyDescent="0.25">
      <c r="A7832" s="21">
        <v>7831</v>
      </c>
      <c r="B7832" s="7" t="s">
        <v>16419</v>
      </c>
      <c r="C7832" s="7" t="s">
        <v>16420</v>
      </c>
      <c r="G7832" s="8" t="s">
        <v>15</v>
      </c>
    </row>
    <row r="7833" spans="1:7" hidden="1" x14ac:dyDescent="0.25">
      <c r="A7833" s="21">
        <v>7832</v>
      </c>
      <c r="B7833" s="7" t="s">
        <v>16421</v>
      </c>
      <c r="C7833" s="7" t="s">
        <v>16422</v>
      </c>
      <c r="G7833" s="8" t="s">
        <v>15</v>
      </c>
    </row>
    <row r="7834" spans="1:7" hidden="1" x14ac:dyDescent="0.25">
      <c r="A7834" s="21">
        <v>7833</v>
      </c>
      <c r="B7834" s="7" t="s">
        <v>16423</v>
      </c>
      <c r="C7834" s="7" t="s">
        <v>16424</v>
      </c>
      <c r="G7834" s="8" t="s">
        <v>15</v>
      </c>
    </row>
    <row r="7835" spans="1:7" hidden="1" x14ac:dyDescent="0.25">
      <c r="A7835" s="21">
        <v>7834</v>
      </c>
      <c r="B7835" s="7" t="s">
        <v>16425</v>
      </c>
      <c r="C7835" s="7" t="s">
        <v>16426</v>
      </c>
      <c r="G7835" s="8" t="s">
        <v>15</v>
      </c>
    </row>
    <row r="7836" spans="1:7" hidden="1" x14ac:dyDescent="0.25">
      <c r="A7836" s="21">
        <v>7835</v>
      </c>
      <c r="B7836" s="7" t="s">
        <v>16427</v>
      </c>
      <c r="C7836" s="7" t="s">
        <v>16428</v>
      </c>
      <c r="G7836" s="8" t="s">
        <v>15</v>
      </c>
    </row>
    <row r="7837" spans="1:7" hidden="1" x14ac:dyDescent="0.25">
      <c r="A7837" s="21">
        <v>7836</v>
      </c>
      <c r="B7837" s="7" t="s">
        <v>16429</v>
      </c>
      <c r="C7837" s="7" t="s">
        <v>16430</v>
      </c>
      <c r="G7837" s="8" t="s">
        <v>15</v>
      </c>
    </row>
    <row r="7838" spans="1:7" hidden="1" x14ac:dyDescent="0.25">
      <c r="A7838" s="21">
        <v>7837</v>
      </c>
      <c r="B7838" s="7" t="s">
        <v>16431</v>
      </c>
      <c r="C7838" s="7" t="s">
        <v>16432</v>
      </c>
      <c r="G7838" s="8" t="s">
        <v>15</v>
      </c>
    </row>
    <row r="7839" spans="1:7" hidden="1" x14ac:dyDescent="0.25">
      <c r="A7839" s="21">
        <v>7838</v>
      </c>
      <c r="B7839" s="7" t="s">
        <v>16433</v>
      </c>
      <c r="C7839" s="7" t="s">
        <v>16434</v>
      </c>
      <c r="G7839" s="8" t="s">
        <v>15</v>
      </c>
    </row>
    <row r="7840" spans="1:7" hidden="1" x14ac:dyDescent="0.25">
      <c r="A7840" s="21">
        <v>7839</v>
      </c>
      <c r="B7840" s="7" t="s">
        <v>16435</v>
      </c>
      <c r="C7840" s="7" t="s">
        <v>16436</v>
      </c>
      <c r="G7840" s="8" t="s">
        <v>15</v>
      </c>
    </row>
    <row r="7841" spans="1:7" hidden="1" x14ac:dyDescent="0.25">
      <c r="A7841" s="21">
        <v>7840</v>
      </c>
      <c r="B7841" s="7" t="s">
        <v>16437</v>
      </c>
      <c r="C7841" s="7" t="s">
        <v>16438</v>
      </c>
      <c r="G7841" s="8" t="s">
        <v>15</v>
      </c>
    </row>
    <row r="7842" spans="1:7" hidden="1" x14ac:dyDescent="0.25">
      <c r="A7842" s="21">
        <v>7841</v>
      </c>
      <c r="B7842" s="7" t="s">
        <v>16439</v>
      </c>
      <c r="C7842" s="7" t="s">
        <v>16440</v>
      </c>
      <c r="G7842" s="8" t="s">
        <v>15</v>
      </c>
    </row>
    <row r="7843" spans="1:7" hidden="1" x14ac:dyDescent="0.25">
      <c r="A7843" s="21">
        <v>7842</v>
      </c>
      <c r="B7843" s="7" t="s">
        <v>16441</v>
      </c>
      <c r="C7843" s="7" t="s">
        <v>16442</v>
      </c>
      <c r="G7843" s="8" t="s">
        <v>15</v>
      </c>
    </row>
    <row r="7844" spans="1:7" hidden="1" x14ac:dyDescent="0.25">
      <c r="A7844" s="21">
        <v>7843</v>
      </c>
      <c r="B7844" s="7" t="s">
        <v>16443</v>
      </c>
      <c r="C7844" s="7" t="s">
        <v>16444</v>
      </c>
      <c r="G7844" s="8" t="s">
        <v>15</v>
      </c>
    </row>
    <row r="7845" spans="1:7" hidden="1" x14ac:dyDescent="0.25">
      <c r="A7845" s="21">
        <v>7844</v>
      </c>
      <c r="B7845" s="7" t="s">
        <v>16445</v>
      </c>
      <c r="C7845" s="7" t="s">
        <v>16446</v>
      </c>
      <c r="G7845" s="8" t="s">
        <v>15</v>
      </c>
    </row>
    <row r="7846" spans="1:7" hidden="1" x14ac:dyDescent="0.25">
      <c r="A7846" s="21">
        <v>7845</v>
      </c>
      <c r="B7846" s="7" t="s">
        <v>16447</v>
      </c>
      <c r="C7846" s="7" t="s">
        <v>16448</v>
      </c>
      <c r="G7846" s="8" t="s">
        <v>15</v>
      </c>
    </row>
    <row r="7847" spans="1:7" hidden="1" x14ac:dyDescent="0.25">
      <c r="A7847" s="21">
        <v>7846</v>
      </c>
      <c r="B7847" s="7" t="s">
        <v>16449</v>
      </c>
      <c r="C7847" s="7" t="s">
        <v>16450</v>
      </c>
      <c r="G7847" s="8" t="s">
        <v>15</v>
      </c>
    </row>
    <row r="7848" spans="1:7" hidden="1" x14ac:dyDescent="0.25">
      <c r="A7848" s="21">
        <v>7847</v>
      </c>
      <c r="B7848" s="7" t="s">
        <v>16451</v>
      </c>
      <c r="C7848" s="7" t="s">
        <v>16452</v>
      </c>
      <c r="G7848" s="8" t="s">
        <v>15</v>
      </c>
    </row>
    <row r="7849" spans="1:7" hidden="1" x14ac:dyDescent="0.25">
      <c r="A7849" s="21">
        <v>7848</v>
      </c>
      <c r="B7849" s="7" t="s">
        <v>16453</v>
      </c>
      <c r="C7849" s="7" t="s">
        <v>16454</v>
      </c>
      <c r="F7849" t="s">
        <v>330</v>
      </c>
      <c r="G7849" s="8" t="s">
        <v>15</v>
      </c>
    </row>
    <row r="7850" spans="1:7" hidden="1" x14ac:dyDescent="0.25">
      <c r="A7850" s="21">
        <v>7849</v>
      </c>
      <c r="B7850" s="7" t="s">
        <v>16455</v>
      </c>
      <c r="C7850" s="7" t="s">
        <v>16456</v>
      </c>
      <c r="G7850" s="8" t="s">
        <v>15</v>
      </c>
    </row>
    <row r="7851" spans="1:7" hidden="1" x14ac:dyDescent="0.25">
      <c r="A7851" s="21">
        <v>7850</v>
      </c>
      <c r="B7851" s="7" t="s">
        <v>16457</v>
      </c>
      <c r="C7851" s="7" t="s">
        <v>16458</v>
      </c>
      <c r="G7851" s="8" t="s">
        <v>15</v>
      </c>
    </row>
    <row r="7852" spans="1:7" hidden="1" x14ac:dyDescent="0.25">
      <c r="A7852" s="21">
        <v>7851</v>
      </c>
      <c r="B7852" s="7" t="s">
        <v>16459</v>
      </c>
      <c r="C7852" s="7" t="s">
        <v>16460</v>
      </c>
      <c r="G7852" s="8" t="s">
        <v>15</v>
      </c>
    </row>
    <row r="7853" spans="1:7" hidden="1" x14ac:dyDescent="0.25">
      <c r="A7853" s="21">
        <v>7852</v>
      </c>
      <c r="B7853" s="7" t="s">
        <v>16461</v>
      </c>
      <c r="C7853" s="7" t="s">
        <v>16462</v>
      </c>
      <c r="G7853" s="8" t="s">
        <v>15</v>
      </c>
    </row>
    <row r="7854" spans="1:7" hidden="1" x14ac:dyDescent="0.25">
      <c r="A7854" s="21">
        <v>7853</v>
      </c>
      <c r="B7854" s="7" t="s">
        <v>16463</v>
      </c>
      <c r="C7854" s="7" t="s">
        <v>16464</v>
      </c>
      <c r="G7854" s="8" t="s">
        <v>15</v>
      </c>
    </row>
    <row r="7855" spans="1:7" hidden="1" x14ac:dyDescent="0.25">
      <c r="A7855" s="21">
        <v>7854</v>
      </c>
      <c r="B7855" s="7" t="s">
        <v>16465</v>
      </c>
      <c r="C7855" s="7" t="s">
        <v>16466</v>
      </c>
      <c r="G7855" s="8" t="s">
        <v>15</v>
      </c>
    </row>
    <row r="7856" spans="1:7" hidden="1" x14ac:dyDescent="0.25">
      <c r="A7856" s="21">
        <v>7855</v>
      </c>
      <c r="B7856" s="7" t="s">
        <v>16467</v>
      </c>
      <c r="C7856" s="7" t="s">
        <v>16468</v>
      </c>
      <c r="G7856" s="8" t="s">
        <v>15</v>
      </c>
    </row>
    <row r="7857" spans="1:7" hidden="1" x14ac:dyDescent="0.25">
      <c r="A7857" s="21">
        <v>7856</v>
      </c>
      <c r="B7857" s="7" t="s">
        <v>16469</v>
      </c>
      <c r="C7857" s="7" t="s">
        <v>16470</v>
      </c>
      <c r="G7857" s="8" t="s">
        <v>15</v>
      </c>
    </row>
    <row r="7858" spans="1:7" hidden="1" x14ac:dyDescent="0.25">
      <c r="A7858" s="21">
        <v>7857</v>
      </c>
      <c r="B7858" s="7" t="s">
        <v>16471</v>
      </c>
      <c r="C7858" s="7" t="s">
        <v>16472</v>
      </c>
      <c r="G7858" s="8" t="s">
        <v>15</v>
      </c>
    </row>
    <row r="7859" spans="1:7" hidden="1" x14ac:dyDescent="0.25">
      <c r="A7859" s="21">
        <v>7858</v>
      </c>
      <c r="B7859" s="7" t="s">
        <v>16473</v>
      </c>
      <c r="C7859" s="7" t="s">
        <v>16474</v>
      </c>
      <c r="G7859" s="8" t="s">
        <v>15</v>
      </c>
    </row>
    <row r="7860" spans="1:7" hidden="1" x14ac:dyDescent="0.25">
      <c r="A7860" s="21">
        <v>7859</v>
      </c>
      <c r="B7860" s="7" t="s">
        <v>16475</v>
      </c>
      <c r="C7860" s="7" t="s">
        <v>16476</v>
      </c>
      <c r="G7860" s="8" t="s">
        <v>15</v>
      </c>
    </row>
    <row r="7861" spans="1:7" hidden="1" x14ac:dyDescent="0.25">
      <c r="A7861" s="21">
        <v>7860</v>
      </c>
      <c r="B7861" s="7" t="s">
        <v>16477</v>
      </c>
      <c r="C7861" s="7" t="s">
        <v>16478</v>
      </c>
      <c r="G7861" s="8" t="s">
        <v>15</v>
      </c>
    </row>
    <row r="7862" spans="1:7" hidden="1" x14ac:dyDescent="0.25">
      <c r="A7862" s="21">
        <v>7861</v>
      </c>
      <c r="B7862" s="7" t="s">
        <v>16479</v>
      </c>
      <c r="C7862" s="7" t="s">
        <v>16480</v>
      </c>
      <c r="G7862" s="8" t="s">
        <v>15</v>
      </c>
    </row>
    <row r="7863" spans="1:7" hidden="1" x14ac:dyDescent="0.25">
      <c r="A7863" s="21">
        <v>7862</v>
      </c>
      <c r="B7863" s="7" t="s">
        <v>16481</v>
      </c>
      <c r="C7863" s="7" t="s">
        <v>16482</v>
      </c>
      <c r="G7863" s="8" t="s">
        <v>15</v>
      </c>
    </row>
    <row r="7864" spans="1:7" hidden="1" x14ac:dyDescent="0.25">
      <c r="A7864" s="21">
        <v>7863</v>
      </c>
      <c r="B7864" s="7" t="s">
        <v>16483</v>
      </c>
      <c r="C7864" s="7" t="s">
        <v>16484</v>
      </c>
      <c r="G7864" s="8" t="s">
        <v>15</v>
      </c>
    </row>
    <row r="7865" spans="1:7" hidden="1" x14ac:dyDescent="0.25">
      <c r="A7865" s="21">
        <v>7864</v>
      </c>
      <c r="B7865" s="7" t="s">
        <v>16485</v>
      </c>
      <c r="C7865" s="7" t="s">
        <v>16486</v>
      </c>
      <c r="G7865" s="8" t="s">
        <v>15</v>
      </c>
    </row>
    <row r="7866" spans="1:7" hidden="1" x14ac:dyDescent="0.25">
      <c r="A7866" s="21">
        <v>7865</v>
      </c>
      <c r="B7866" s="7" t="s">
        <v>16487</v>
      </c>
      <c r="C7866" s="7" t="s">
        <v>16488</v>
      </c>
      <c r="G7866" s="8" t="s">
        <v>15</v>
      </c>
    </row>
    <row r="7867" spans="1:7" hidden="1" x14ac:dyDescent="0.25">
      <c r="A7867" s="21">
        <v>7866</v>
      </c>
      <c r="B7867" s="7" t="s">
        <v>16489</v>
      </c>
      <c r="C7867" s="7" t="s">
        <v>16490</v>
      </c>
      <c r="G7867" s="8" t="s">
        <v>15</v>
      </c>
    </row>
    <row r="7868" spans="1:7" hidden="1" x14ac:dyDescent="0.25">
      <c r="A7868" s="21">
        <v>7867</v>
      </c>
      <c r="B7868" s="7" t="s">
        <v>16491</v>
      </c>
      <c r="C7868" s="7" t="s">
        <v>16492</v>
      </c>
      <c r="G7868" s="8" t="s">
        <v>15</v>
      </c>
    </row>
    <row r="7869" spans="1:7" hidden="1" x14ac:dyDescent="0.25">
      <c r="A7869" s="21">
        <v>7868</v>
      </c>
      <c r="B7869" s="7" t="s">
        <v>16493</v>
      </c>
      <c r="C7869" s="7" t="s">
        <v>16494</v>
      </c>
      <c r="G7869" s="8" t="s">
        <v>15</v>
      </c>
    </row>
    <row r="7870" spans="1:7" hidden="1" x14ac:dyDescent="0.25">
      <c r="A7870" s="21">
        <v>7869</v>
      </c>
      <c r="B7870" s="7" t="s">
        <v>16495</v>
      </c>
      <c r="C7870" s="7" t="s">
        <v>16496</v>
      </c>
      <c r="G7870" s="8" t="s">
        <v>15</v>
      </c>
    </row>
    <row r="7871" spans="1:7" hidden="1" x14ac:dyDescent="0.25">
      <c r="A7871" s="21">
        <v>7870</v>
      </c>
      <c r="B7871" s="7" t="s">
        <v>16497</v>
      </c>
      <c r="C7871" s="7" t="s">
        <v>16498</v>
      </c>
      <c r="G7871" s="8" t="s">
        <v>15</v>
      </c>
    </row>
    <row r="7872" spans="1:7" hidden="1" x14ac:dyDescent="0.25">
      <c r="A7872" s="21">
        <v>7871</v>
      </c>
      <c r="B7872" s="7" t="s">
        <v>16499</v>
      </c>
      <c r="C7872" s="7" t="s">
        <v>16500</v>
      </c>
      <c r="G7872" s="8" t="s">
        <v>15</v>
      </c>
    </row>
    <row r="7873" spans="1:7" hidden="1" x14ac:dyDescent="0.25">
      <c r="A7873" s="21">
        <v>7872</v>
      </c>
      <c r="B7873" s="7" t="s">
        <v>16501</v>
      </c>
      <c r="C7873" s="7" t="s">
        <v>16502</v>
      </c>
      <c r="G7873" s="8" t="s">
        <v>15</v>
      </c>
    </row>
    <row r="7874" spans="1:7" hidden="1" x14ac:dyDescent="0.25">
      <c r="A7874" s="21">
        <v>7873</v>
      </c>
      <c r="B7874" s="7" t="s">
        <v>16503</v>
      </c>
      <c r="C7874" s="7" t="s">
        <v>16504</v>
      </c>
      <c r="G7874" s="8" t="s">
        <v>15</v>
      </c>
    </row>
    <row r="7875" spans="1:7" hidden="1" x14ac:dyDescent="0.25">
      <c r="A7875" s="21">
        <v>7874</v>
      </c>
      <c r="B7875" s="7" t="s">
        <v>16505</v>
      </c>
      <c r="C7875" s="7" t="s">
        <v>16506</v>
      </c>
      <c r="G7875" s="8" t="s">
        <v>15</v>
      </c>
    </row>
    <row r="7876" spans="1:7" hidden="1" x14ac:dyDescent="0.25">
      <c r="A7876" s="21">
        <v>7875</v>
      </c>
      <c r="B7876" s="7" t="s">
        <v>16507</v>
      </c>
      <c r="C7876" s="7" t="s">
        <v>16508</v>
      </c>
      <c r="G7876" s="8" t="s">
        <v>15</v>
      </c>
    </row>
    <row r="7877" spans="1:7" hidden="1" x14ac:dyDescent="0.25">
      <c r="A7877" s="21">
        <v>7876</v>
      </c>
      <c r="B7877" s="7" t="s">
        <v>16509</v>
      </c>
      <c r="C7877" s="7" t="s">
        <v>16510</v>
      </c>
      <c r="G7877" s="8" t="s">
        <v>15</v>
      </c>
    </row>
    <row r="7878" spans="1:7" hidden="1" x14ac:dyDescent="0.25">
      <c r="A7878" s="21">
        <v>7877</v>
      </c>
      <c r="B7878" s="7" t="s">
        <v>16511</v>
      </c>
      <c r="C7878" s="7" t="s">
        <v>16512</v>
      </c>
      <c r="G7878" s="8" t="s">
        <v>15</v>
      </c>
    </row>
    <row r="7879" spans="1:7" hidden="1" x14ac:dyDescent="0.25">
      <c r="A7879" s="21">
        <v>7878</v>
      </c>
      <c r="B7879" s="7" t="s">
        <v>16513</v>
      </c>
      <c r="C7879" s="7" t="s">
        <v>16514</v>
      </c>
      <c r="G7879" s="8" t="s">
        <v>15</v>
      </c>
    </row>
    <row r="7880" spans="1:7" hidden="1" x14ac:dyDescent="0.25">
      <c r="A7880" s="21">
        <v>7879</v>
      </c>
      <c r="B7880" s="7" t="s">
        <v>16515</v>
      </c>
      <c r="C7880" s="7" t="s">
        <v>16516</v>
      </c>
      <c r="G7880" s="8" t="s">
        <v>15</v>
      </c>
    </row>
    <row r="7881" spans="1:7" hidden="1" x14ac:dyDescent="0.25">
      <c r="A7881" s="21">
        <v>7880</v>
      </c>
      <c r="B7881" s="7" t="s">
        <v>16517</v>
      </c>
      <c r="C7881" s="7" t="s">
        <v>16518</v>
      </c>
      <c r="G7881" s="8" t="s">
        <v>15</v>
      </c>
    </row>
    <row r="7882" spans="1:7" hidden="1" x14ac:dyDescent="0.25">
      <c r="A7882" s="21">
        <v>7881</v>
      </c>
      <c r="B7882" s="7" t="s">
        <v>16519</v>
      </c>
      <c r="C7882" s="7" t="s">
        <v>16520</v>
      </c>
      <c r="G7882" s="8" t="s">
        <v>15</v>
      </c>
    </row>
    <row r="7883" spans="1:7" hidden="1" x14ac:dyDescent="0.25">
      <c r="A7883" s="21">
        <v>7882</v>
      </c>
      <c r="B7883" s="7" t="s">
        <v>16521</v>
      </c>
      <c r="C7883" s="7" t="s">
        <v>16522</v>
      </c>
      <c r="G7883" s="8" t="s">
        <v>15</v>
      </c>
    </row>
    <row r="7884" spans="1:7" hidden="1" x14ac:dyDescent="0.25">
      <c r="A7884" s="21">
        <v>7883</v>
      </c>
      <c r="B7884" s="7" t="s">
        <v>16523</v>
      </c>
      <c r="C7884" s="7" t="s">
        <v>16524</v>
      </c>
      <c r="G7884" s="8" t="s">
        <v>15</v>
      </c>
    </row>
    <row r="7885" spans="1:7" hidden="1" x14ac:dyDescent="0.25">
      <c r="A7885" s="21">
        <v>7884</v>
      </c>
      <c r="B7885" s="7" t="s">
        <v>16525</v>
      </c>
      <c r="C7885" s="7" t="s">
        <v>16526</v>
      </c>
      <c r="G7885" s="8" t="s">
        <v>15</v>
      </c>
    </row>
    <row r="7886" spans="1:7" hidden="1" x14ac:dyDescent="0.25">
      <c r="A7886" s="21">
        <v>7885</v>
      </c>
      <c r="B7886" s="7" t="s">
        <v>16527</v>
      </c>
      <c r="C7886" s="7" t="s">
        <v>16528</v>
      </c>
      <c r="G7886" s="8" t="s">
        <v>15</v>
      </c>
    </row>
    <row r="7887" spans="1:7" hidden="1" x14ac:dyDescent="0.25">
      <c r="A7887" s="21">
        <v>7886</v>
      </c>
      <c r="B7887" s="7" t="s">
        <v>16529</v>
      </c>
      <c r="C7887" s="7" t="s">
        <v>16530</v>
      </c>
      <c r="G7887" s="8" t="s">
        <v>15</v>
      </c>
    </row>
    <row r="7888" spans="1:7" hidden="1" x14ac:dyDescent="0.25">
      <c r="A7888" s="21">
        <v>7887</v>
      </c>
      <c r="B7888" s="7" t="s">
        <v>16531</v>
      </c>
      <c r="C7888" s="7" t="s">
        <v>16532</v>
      </c>
      <c r="G7888" s="8" t="s">
        <v>15</v>
      </c>
    </row>
    <row r="7889" spans="1:7" hidden="1" x14ac:dyDescent="0.25">
      <c r="A7889" s="21">
        <v>7888</v>
      </c>
      <c r="B7889" s="7" t="s">
        <v>16533</v>
      </c>
      <c r="C7889" s="7" t="s">
        <v>16534</v>
      </c>
      <c r="G7889" s="8" t="s">
        <v>15</v>
      </c>
    </row>
    <row r="7890" spans="1:7" hidden="1" x14ac:dyDescent="0.25">
      <c r="A7890" s="21">
        <v>7889</v>
      </c>
      <c r="B7890" s="7" t="s">
        <v>16535</v>
      </c>
      <c r="C7890" s="7" t="s">
        <v>16536</v>
      </c>
      <c r="G7890" s="8" t="s">
        <v>15</v>
      </c>
    </row>
    <row r="7891" spans="1:7" hidden="1" x14ac:dyDescent="0.25">
      <c r="A7891" s="21">
        <v>7890</v>
      </c>
      <c r="B7891" s="7" t="s">
        <v>16537</v>
      </c>
      <c r="C7891" s="7" t="s">
        <v>16538</v>
      </c>
      <c r="G7891" s="8" t="s">
        <v>15</v>
      </c>
    </row>
    <row r="7892" spans="1:7" hidden="1" x14ac:dyDescent="0.25">
      <c r="A7892" s="21">
        <v>7891</v>
      </c>
      <c r="B7892" s="7" t="s">
        <v>16539</v>
      </c>
      <c r="C7892" s="7" t="s">
        <v>16540</v>
      </c>
      <c r="G7892" s="8" t="s">
        <v>15</v>
      </c>
    </row>
    <row r="7893" spans="1:7" hidden="1" x14ac:dyDescent="0.25">
      <c r="A7893" s="21">
        <v>7892</v>
      </c>
      <c r="B7893" s="7" t="s">
        <v>16541</v>
      </c>
      <c r="C7893" s="7" t="s">
        <v>16542</v>
      </c>
      <c r="G7893" s="8" t="s">
        <v>15</v>
      </c>
    </row>
    <row r="7894" spans="1:7" hidden="1" x14ac:dyDescent="0.25">
      <c r="A7894" s="21">
        <v>7893</v>
      </c>
      <c r="B7894" s="7" t="s">
        <v>16543</v>
      </c>
      <c r="C7894" s="7" t="s">
        <v>16544</v>
      </c>
      <c r="G7894" s="8" t="s">
        <v>15</v>
      </c>
    </row>
    <row r="7895" spans="1:7" hidden="1" x14ac:dyDescent="0.25">
      <c r="A7895" s="21">
        <v>7894</v>
      </c>
      <c r="B7895" s="7" t="s">
        <v>16545</v>
      </c>
      <c r="C7895" s="7" t="s">
        <v>16546</v>
      </c>
      <c r="G7895" s="8" t="s">
        <v>15</v>
      </c>
    </row>
    <row r="7896" spans="1:7" hidden="1" x14ac:dyDescent="0.25">
      <c r="A7896" s="21">
        <v>7895</v>
      </c>
      <c r="B7896" s="7" t="s">
        <v>16547</v>
      </c>
      <c r="C7896" s="7" t="s">
        <v>16548</v>
      </c>
      <c r="G7896" s="8" t="s">
        <v>15</v>
      </c>
    </row>
    <row r="7897" spans="1:7" hidden="1" x14ac:dyDescent="0.25">
      <c r="A7897" s="21">
        <v>7896</v>
      </c>
      <c r="B7897" s="7" t="s">
        <v>16549</v>
      </c>
      <c r="C7897" s="7" t="s">
        <v>16550</v>
      </c>
      <c r="G7897" s="8" t="s">
        <v>15</v>
      </c>
    </row>
    <row r="7898" spans="1:7" hidden="1" x14ac:dyDescent="0.25">
      <c r="A7898" s="21">
        <v>7897</v>
      </c>
      <c r="B7898" s="7" t="s">
        <v>16551</v>
      </c>
      <c r="C7898" s="7" t="s">
        <v>16552</v>
      </c>
      <c r="G7898" s="8" t="s">
        <v>15</v>
      </c>
    </row>
    <row r="7899" spans="1:7" hidden="1" x14ac:dyDescent="0.25">
      <c r="A7899" s="21">
        <v>7898</v>
      </c>
      <c r="B7899" s="7" t="s">
        <v>16553</v>
      </c>
      <c r="C7899" s="7" t="s">
        <v>16554</v>
      </c>
      <c r="G7899" s="8" t="s">
        <v>15</v>
      </c>
    </row>
    <row r="7900" spans="1:7" hidden="1" x14ac:dyDescent="0.25">
      <c r="A7900" s="21">
        <v>7899</v>
      </c>
      <c r="B7900" s="7" t="s">
        <v>16555</v>
      </c>
      <c r="C7900" s="7" t="s">
        <v>16556</v>
      </c>
      <c r="G7900" s="8" t="s">
        <v>15</v>
      </c>
    </row>
    <row r="7901" spans="1:7" hidden="1" x14ac:dyDescent="0.25">
      <c r="A7901" s="21">
        <v>7900</v>
      </c>
      <c r="B7901" s="7" t="s">
        <v>16557</v>
      </c>
      <c r="C7901" s="7" t="s">
        <v>16558</v>
      </c>
      <c r="G7901" s="8" t="s">
        <v>15</v>
      </c>
    </row>
    <row r="7902" spans="1:7" hidden="1" x14ac:dyDescent="0.25">
      <c r="A7902" s="21">
        <v>7901</v>
      </c>
      <c r="B7902" s="7" t="s">
        <v>16559</v>
      </c>
      <c r="C7902" s="7" t="s">
        <v>16560</v>
      </c>
      <c r="G7902" s="8" t="s">
        <v>15</v>
      </c>
    </row>
    <row r="7903" spans="1:7" hidden="1" x14ac:dyDescent="0.25">
      <c r="A7903" s="21">
        <v>7902</v>
      </c>
      <c r="B7903" s="7" t="s">
        <v>16561</v>
      </c>
      <c r="C7903" s="7" t="s">
        <v>16562</v>
      </c>
      <c r="G7903" s="8" t="s">
        <v>15</v>
      </c>
    </row>
    <row r="7904" spans="1:7" hidden="1" x14ac:dyDescent="0.25">
      <c r="A7904" s="21">
        <v>7903</v>
      </c>
      <c r="B7904" s="7" t="s">
        <v>16563</v>
      </c>
      <c r="C7904" s="7" t="s">
        <v>16564</v>
      </c>
      <c r="G7904" s="8" t="s">
        <v>15</v>
      </c>
    </row>
    <row r="7905" spans="1:8" hidden="1" x14ac:dyDescent="0.25">
      <c r="A7905" s="21">
        <v>7904</v>
      </c>
      <c r="B7905" s="7" t="s">
        <v>16565</v>
      </c>
      <c r="C7905" s="7" t="s">
        <v>16566</v>
      </c>
      <c r="G7905" s="8" t="s">
        <v>15</v>
      </c>
    </row>
    <row r="7906" spans="1:8" hidden="1" x14ac:dyDescent="0.25">
      <c r="A7906" s="21">
        <v>7905</v>
      </c>
      <c r="B7906" s="7" t="s">
        <v>16567</v>
      </c>
      <c r="C7906" s="7" t="s">
        <v>16568</v>
      </c>
      <c r="G7906" s="8" t="s">
        <v>15</v>
      </c>
    </row>
    <row r="7907" spans="1:8" hidden="1" x14ac:dyDescent="0.25">
      <c r="A7907" s="21">
        <v>7906</v>
      </c>
      <c r="B7907" s="7" t="s">
        <v>16569</v>
      </c>
      <c r="C7907" s="7" t="s">
        <v>16570</v>
      </c>
      <c r="G7907" s="8" t="s">
        <v>15</v>
      </c>
    </row>
    <row r="7908" spans="1:8" hidden="1" x14ac:dyDescent="0.25">
      <c r="A7908" s="21">
        <v>7907</v>
      </c>
      <c r="B7908" s="7" t="s">
        <v>16571</v>
      </c>
      <c r="C7908" s="7" t="s">
        <v>16572</v>
      </c>
      <c r="G7908" s="8" t="s">
        <v>15</v>
      </c>
    </row>
    <row r="7909" spans="1:8" hidden="1" x14ac:dyDescent="0.25">
      <c r="A7909" s="21">
        <v>7908</v>
      </c>
      <c r="B7909" s="7" t="s">
        <v>16573</v>
      </c>
      <c r="C7909" s="7" t="s">
        <v>16574</v>
      </c>
      <c r="G7909" s="8" t="s">
        <v>15</v>
      </c>
    </row>
    <row r="7910" spans="1:8" hidden="1" x14ac:dyDescent="0.25">
      <c r="A7910" s="21">
        <v>7909</v>
      </c>
      <c r="B7910" s="7" t="s">
        <v>16575</v>
      </c>
      <c r="C7910" s="7" t="s">
        <v>16576</v>
      </c>
      <c r="G7910" s="8" t="s">
        <v>15</v>
      </c>
    </row>
    <row r="7911" spans="1:8" hidden="1" x14ac:dyDescent="0.25">
      <c r="A7911" s="21">
        <v>7910</v>
      </c>
      <c r="B7911" s="7" t="s">
        <v>16577</v>
      </c>
      <c r="C7911" s="7" t="s">
        <v>16578</v>
      </c>
      <c r="G7911" s="8" t="s">
        <v>15</v>
      </c>
    </row>
    <row r="7912" spans="1:8" hidden="1" x14ac:dyDescent="0.25">
      <c r="A7912" s="21">
        <v>7911</v>
      </c>
      <c r="B7912" s="7" t="s">
        <v>16579</v>
      </c>
      <c r="C7912" s="7" t="s">
        <v>16580</v>
      </c>
      <c r="G7912" s="8" t="s">
        <v>15</v>
      </c>
    </row>
    <row r="7913" spans="1:8" hidden="1" x14ac:dyDescent="0.25">
      <c r="A7913" s="21">
        <v>7912</v>
      </c>
      <c r="B7913" s="7" t="s">
        <v>16581</v>
      </c>
      <c r="C7913" s="7" t="s">
        <v>16582</v>
      </c>
      <c r="G7913" s="8" t="s">
        <v>15</v>
      </c>
    </row>
    <row r="7914" spans="1:8" hidden="1" x14ac:dyDescent="0.25">
      <c r="A7914" s="21">
        <v>7913</v>
      </c>
      <c r="B7914" s="7" t="s">
        <v>16583</v>
      </c>
      <c r="C7914" s="7" t="s">
        <v>16584</v>
      </c>
      <c r="G7914" s="8" t="s">
        <v>15</v>
      </c>
    </row>
    <row r="7915" spans="1:8" hidden="1" x14ac:dyDescent="0.25">
      <c r="A7915" s="21">
        <v>7914</v>
      </c>
      <c r="B7915" s="7" t="s">
        <v>16585</v>
      </c>
      <c r="C7915" s="7" t="s">
        <v>16586</v>
      </c>
      <c r="G7915" s="8" t="s">
        <v>15</v>
      </c>
    </row>
    <row r="7916" spans="1:8" hidden="1" x14ac:dyDescent="0.25">
      <c r="A7916" s="21">
        <v>7915</v>
      </c>
      <c r="B7916" s="7" t="s">
        <v>16587</v>
      </c>
      <c r="C7916" s="7" t="s">
        <v>16588</v>
      </c>
      <c r="G7916" s="8" t="s">
        <v>15</v>
      </c>
    </row>
    <row r="7917" spans="1:8" hidden="1" x14ac:dyDescent="0.25">
      <c r="A7917" s="21">
        <v>7916</v>
      </c>
      <c r="B7917" s="7" t="s">
        <v>16589</v>
      </c>
      <c r="C7917" s="7" t="s">
        <v>16590</v>
      </c>
      <c r="G7917" s="8" t="s">
        <v>15</v>
      </c>
      <c r="H7917" t="str">
        <f>_xlfn.XLOOKUP(B7917,Data!T:T,Data!F:F)</f>
        <v>125 gm</v>
      </c>
    </row>
    <row r="7918" spans="1:8" hidden="1" x14ac:dyDescent="0.25">
      <c r="A7918" s="21">
        <v>7917</v>
      </c>
      <c r="B7918" s="7" t="s">
        <v>16591</v>
      </c>
      <c r="C7918" s="7" t="s">
        <v>16592</v>
      </c>
      <c r="F7918" s="8" t="s">
        <v>116</v>
      </c>
      <c r="G7918" s="8" t="s">
        <v>15</v>
      </c>
      <c r="H7918" t="str">
        <f>_xlfn.XLOOKUP(B7918,Data!T:T,Data!F:F)</f>
        <v>75 gm</v>
      </c>
    </row>
    <row r="7919" spans="1:8" hidden="1" x14ac:dyDescent="0.25">
      <c r="A7919" s="21">
        <v>7918</v>
      </c>
      <c r="B7919" s="7" t="s">
        <v>16593</v>
      </c>
      <c r="C7919" s="7" t="s">
        <v>16594</v>
      </c>
      <c r="G7919" s="8" t="s">
        <v>15</v>
      </c>
    </row>
    <row r="7920" spans="1:8" hidden="1" x14ac:dyDescent="0.25">
      <c r="A7920" s="21">
        <v>7919</v>
      </c>
      <c r="B7920" s="7" t="s">
        <v>16595</v>
      </c>
      <c r="C7920" s="7" t="s">
        <v>16596</v>
      </c>
      <c r="G7920" s="8" t="s">
        <v>15</v>
      </c>
    </row>
    <row r="7921" spans="1:7" hidden="1" x14ac:dyDescent="0.25">
      <c r="A7921" s="21">
        <v>7920</v>
      </c>
      <c r="B7921" s="7" t="s">
        <v>16597</v>
      </c>
      <c r="C7921" s="7" t="s">
        <v>16598</v>
      </c>
      <c r="G7921" s="8" t="s">
        <v>15</v>
      </c>
    </row>
    <row r="7922" spans="1:7" hidden="1" x14ac:dyDescent="0.25">
      <c r="A7922" s="21">
        <v>7921</v>
      </c>
      <c r="B7922" s="7" t="s">
        <v>16599</v>
      </c>
      <c r="C7922" s="7" t="s">
        <v>16600</v>
      </c>
      <c r="G7922" s="8" t="s">
        <v>15</v>
      </c>
    </row>
    <row r="7923" spans="1:7" hidden="1" x14ac:dyDescent="0.25">
      <c r="A7923" s="21">
        <v>7922</v>
      </c>
      <c r="B7923" s="7" t="s">
        <v>16601</v>
      </c>
      <c r="C7923" s="7" t="s">
        <v>16602</v>
      </c>
      <c r="G7923" s="8" t="s">
        <v>15</v>
      </c>
    </row>
    <row r="7924" spans="1:7" hidden="1" x14ac:dyDescent="0.25">
      <c r="A7924" s="21">
        <v>7923</v>
      </c>
      <c r="B7924" s="7" t="s">
        <v>16603</v>
      </c>
      <c r="C7924" s="7" t="s">
        <v>16604</v>
      </c>
      <c r="G7924" s="8" t="s">
        <v>15</v>
      </c>
    </row>
    <row r="7925" spans="1:7" hidden="1" x14ac:dyDescent="0.25">
      <c r="A7925" s="21">
        <v>7924</v>
      </c>
      <c r="B7925" s="7" t="s">
        <v>16605</v>
      </c>
      <c r="C7925" s="7" t="s">
        <v>16606</v>
      </c>
      <c r="G7925" s="8" t="s">
        <v>15</v>
      </c>
    </row>
    <row r="7926" spans="1:7" hidden="1" x14ac:dyDescent="0.25">
      <c r="A7926" s="21">
        <v>7925</v>
      </c>
      <c r="B7926" s="7" t="s">
        <v>16607</v>
      </c>
      <c r="C7926" s="7" t="s">
        <v>16608</v>
      </c>
      <c r="G7926" s="8" t="s">
        <v>15</v>
      </c>
    </row>
    <row r="7927" spans="1:7" hidden="1" x14ac:dyDescent="0.25">
      <c r="A7927" s="21">
        <v>7926</v>
      </c>
      <c r="B7927" s="7" t="s">
        <v>16609</v>
      </c>
      <c r="C7927" s="7" t="s">
        <v>16610</v>
      </c>
      <c r="G7927" s="8" t="s">
        <v>15</v>
      </c>
    </row>
    <row r="7928" spans="1:7" hidden="1" x14ac:dyDescent="0.25">
      <c r="A7928" s="21">
        <v>7927</v>
      </c>
      <c r="B7928" s="7" t="s">
        <v>16611</v>
      </c>
      <c r="C7928" s="7" t="s">
        <v>16612</v>
      </c>
      <c r="G7928" s="8" t="s">
        <v>15</v>
      </c>
    </row>
    <row r="7929" spans="1:7" hidden="1" x14ac:dyDescent="0.25">
      <c r="A7929" s="21">
        <v>7928</v>
      </c>
      <c r="B7929" s="7" t="s">
        <v>16613</v>
      </c>
      <c r="C7929" s="7" t="s">
        <v>16614</v>
      </c>
      <c r="G7929" s="8" t="s">
        <v>15</v>
      </c>
    </row>
    <row r="7930" spans="1:7" hidden="1" x14ac:dyDescent="0.25">
      <c r="A7930" s="21">
        <v>7929</v>
      </c>
      <c r="B7930" s="7" t="s">
        <v>16615</v>
      </c>
      <c r="C7930" s="7" t="s">
        <v>16616</v>
      </c>
      <c r="G7930" s="8" t="s">
        <v>15</v>
      </c>
    </row>
    <row r="7931" spans="1:7" hidden="1" x14ac:dyDescent="0.25">
      <c r="A7931" s="21">
        <v>7930</v>
      </c>
      <c r="B7931" s="7" t="s">
        <v>16617</v>
      </c>
      <c r="C7931" s="7" t="s">
        <v>16618</v>
      </c>
      <c r="G7931" s="8" t="s">
        <v>15</v>
      </c>
    </row>
    <row r="7932" spans="1:7" hidden="1" x14ac:dyDescent="0.25">
      <c r="A7932" s="21">
        <v>7931</v>
      </c>
      <c r="B7932" s="7" t="s">
        <v>16619</v>
      </c>
      <c r="C7932" s="7" t="s">
        <v>16620</v>
      </c>
      <c r="G7932" s="8" t="s">
        <v>15</v>
      </c>
    </row>
    <row r="7933" spans="1:7" hidden="1" x14ac:dyDescent="0.25">
      <c r="A7933" s="21">
        <v>7932</v>
      </c>
      <c r="B7933" s="7" t="s">
        <v>16621</v>
      </c>
      <c r="C7933" s="7" t="s">
        <v>16622</v>
      </c>
      <c r="G7933" s="8" t="s">
        <v>15</v>
      </c>
    </row>
    <row r="7934" spans="1:7" hidden="1" x14ac:dyDescent="0.25">
      <c r="A7934" s="21">
        <v>7933</v>
      </c>
      <c r="B7934" s="7" t="s">
        <v>16623</v>
      </c>
      <c r="C7934" s="7" t="s">
        <v>16624</v>
      </c>
      <c r="G7934" s="8" t="s">
        <v>15</v>
      </c>
    </row>
    <row r="7935" spans="1:7" hidden="1" x14ac:dyDescent="0.25">
      <c r="A7935" s="21">
        <v>7934</v>
      </c>
      <c r="B7935" s="7" t="s">
        <v>16625</v>
      </c>
      <c r="C7935" s="7" t="s">
        <v>16626</v>
      </c>
      <c r="G7935" s="8" t="s">
        <v>15</v>
      </c>
    </row>
    <row r="7936" spans="1:7" hidden="1" x14ac:dyDescent="0.25">
      <c r="A7936" s="21">
        <v>7935</v>
      </c>
      <c r="B7936" s="7" t="s">
        <v>16627</v>
      </c>
      <c r="C7936" s="7" t="s">
        <v>16628</v>
      </c>
      <c r="G7936" s="8" t="s">
        <v>15</v>
      </c>
    </row>
    <row r="7937" spans="1:7" hidden="1" x14ac:dyDescent="0.25">
      <c r="A7937" s="21">
        <v>7936</v>
      </c>
      <c r="B7937" s="7" t="s">
        <v>16629</v>
      </c>
      <c r="C7937" s="7" t="s">
        <v>16630</v>
      </c>
      <c r="G7937" s="8" t="s">
        <v>15</v>
      </c>
    </row>
    <row r="7938" spans="1:7" hidden="1" x14ac:dyDescent="0.25">
      <c r="A7938" s="21">
        <v>7937</v>
      </c>
      <c r="B7938" s="7" t="s">
        <v>16631</v>
      </c>
      <c r="C7938" s="7" t="s">
        <v>16632</v>
      </c>
      <c r="G7938" s="8" t="s">
        <v>15</v>
      </c>
    </row>
    <row r="7939" spans="1:7" hidden="1" x14ac:dyDescent="0.25">
      <c r="A7939" s="21">
        <v>7938</v>
      </c>
      <c r="B7939" s="7" t="s">
        <v>16633</v>
      </c>
      <c r="C7939" s="7" t="s">
        <v>16634</v>
      </c>
      <c r="G7939" s="8" t="s">
        <v>15</v>
      </c>
    </row>
    <row r="7940" spans="1:7" hidden="1" x14ac:dyDescent="0.25">
      <c r="A7940" s="21">
        <v>7939</v>
      </c>
      <c r="B7940" s="7" t="s">
        <v>16635</v>
      </c>
      <c r="C7940" s="7" t="s">
        <v>16636</v>
      </c>
      <c r="G7940" s="8" t="s">
        <v>15</v>
      </c>
    </row>
    <row r="7941" spans="1:7" hidden="1" x14ac:dyDescent="0.25">
      <c r="A7941" s="21">
        <v>7940</v>
      </c>
      <c r="B7941" s="7" t="s">
        <v>16637</v>
      </c>
      <c r="C7941" s="7" t="s">
        <v>16638</v>
      </c>
      <c r="G7941" s="8" t="s">
        <v>15</v>
      </c>
    </row>
    <row r="7942" spans="1:7" hidden="1" x14ac:dyDescent="0.25">
      <c r="A7942" s="21">
        <v>7941</v>
      </c>
      <c r="B7942" s="7" t="s">
        <v>16639</v>
      </c>
      <c r="C7942" s="7" t="s">
        <v>16640</v>
      </c>
      <c r="G7942" s="8" t="s">
        <v>15</v>
      </c>
    </row>
    <row r="7943" spans="1:7" hidden="1" x14ac:dyDescent="0.25">
      <c r="A7943" s="21">
        <v>7942</v>
      </c>
      <c r="B7943" s="7" t="s">
        <v>16641</v>
      </c>
      <c r="C7943" s="7" t="s">
        <v>16642</v>
      </c>
      <c r="G7943" s="8" t="s">
        <v>15</v>
      </c>
    </row>
    <row r="7944" spans="1:7" hidden="1" x14ac:dyDescent="0.25">
      <c r="A7944" s="21">
        <v>7943</v>
      </c>
      <c r="B7944" s="7" t="s">
        <v>16643</v>
      </c>
      <c r="C7944" s="7" t="s">
        <v>16644</v>
      </c>
      <c r="G7944" s="8" t="s">
        <v>15</v>
      </c>
    </row>
    <row r="7945" spans="1:7" hidden="1" x14ac:dyDescent="0.25">
      <c r="A7945" s="21">
        <v>7944</v>
      </c>
      <c r="B7945" s="7" t="s">
        <v>16645</v>
      </c>
      <c r="C7945" s="7" t="s">
        <v>16646</v>
      </c>
      <c r="G7945" s="8" t="s">
        <v>15</v>
      </c>
    </row>
    <row r="7946" spans="1:7" hidden="1" x14ac:dyDescent="0.25">
      <c r="A7946" s="21">
        <v>7945</v>
      </c>
      <c r="B7946" s="7" t="s">
        <v>16647</v>
      </c>
      <c r="C7946" s="7" t="s">
        <v>16648</v>
      </c>
      <c r="G7946" s="8" t="s">
        <v>15</v>
      </c>
    </row>
    <row r="7947" spans="1:7" hidden="1" x14ac:dyDescent="0.25">
      <c r="A7947" s="21">
        <v>7946</v>
      </c>
      <c r="B7947" s="7" t="s">
        <v>16649</v>
      </c>
      <c r="C7947" s="7" t="s">
        <v>16650</v>
      </c>
      <c r="G7947" s="8" t="s">
        <v>15</v>
      </c>
    </row>
    <row r="7948" spans="1:7" hidden="1" x14ac:dyDescent="0.25">
      <c r="A7948" s="21">
        <v>7947</v>
      </c>
      <c r="B7948" s="7" t="s">
        <v>16651</v>
      </c>
      <c r="C7948" s="7" t="s">
        <v>16652</v>
      </c>
      <c r="G7948" s="8" t="s">
        <v>15</v>
      </c>
    </row>
    <row r="7949" spans="1:7" hidden="1" x14ac:dyDescent="0.25">
      <c r="A7949" s="21">
        <v>7948</v>
      </c>
      <c r="B7949" s="7" t="s">
        <v>16653</v>
      </c>
      <c r="C7949" s="7" t="s">
        <v>16654</v>
      </c>
      <c r="G7949" s="8" t="s">
        <v>15</v>
      </c>
    </row>
    <row r="7950" spans="1:7" hidden="1" x14ac:dyDescent="0.25">
      <c r="A7950" s="21">
        <v>7949</v>
      </c>
      <c r="B7950" s="7" t="s">
        <v>16655</v>
      </c>
      <c r="C7950" s="7" t="s">
        <v>16656</v>
      </c>
      <c r="G7950" s="8" t="s">
        <v>15</v>
      </c>
    </row>
    <row r="7951" spans="1:7" hidden="1" x14ac:dyDescent="0.25">
      <c r="A7951" s="21">
        <v>7950</v>
      </c>
      <c r="B7951" s="7" t="s">
        <v>16657</v>
      </c>
      <c r="C7951" s="7" t="s">
        <v>16658</v>
      </c>
      <c r="G7951" s="8" t="s">
        <v>15</v>
      </c>
    </row>
    <row r="7952" spans="1:7" hidden="1" x14ac:dyDescent="0.25">
      <c r="A7952" s="21">
        <v>7951</v>
      </c>
      <c r="B7952" s="7" t="s">
        <v>16659</v>
      </c>
      <c r="C7952" s="7" t="s">
        <v>16660</v>
      </c>
      <c r="G7952" s="8" t="s">
        <v>15</v>
      </c>
    </row>
    <row r="7953" spans="1:7" hidden="1" x14ac:dyDescent="0.25">
      <c r="A7953" s="21">
        <v>7952</v>
      </c>
      <c r="B7953" s="7" t="s">
        <v>16661</v>
      </c>
      <c r="C7953" s="7" t="s">
        <v>16662</v>
      </c>
      <c r="G7953" s="8" t="s">
        <v>15</v>
      </c>
    </row>
    <row r="7954" spans="1:7" hidden="1" x14ac:dyDescent="0.25">
      <c r="A7954" s="21">
        <v>7953</v>
      </c>
      <c r="B7954" s="7" t="s">
        <v>16663</v>
      </c>
      <c r="C7954" s="7" t="s">
        <v>16664</v>
      </c>
      <c r="G7954" s="8" t="s">
        <v>15</v>
      </c>
    </row>
    <row r="7955" spans="1:7" hidden="1" x14ac:dyDescent="0.25">
      <c r="A7955" s="21">
        <v>7954</v>
      </c>
      <c r="B7955" s="7" t="s">
        <v>16665</v>
      </c>
      <c r="C7955" s="7" t="s">
        <v>16666</v>
      </c>
      <c r="G7955" s="8" t="s">
        <v>15</v>
      </c>
    </row>
    <row r="7956" spans="1:7" hidden="1" x14ac:dyDescent="0.25">
      <c r="A7956" s="21">
        <v>7955</v>
      </c>
      <c r="B7956" s="7" t="s">
        <v>16667</v>
      </c>
      <c r="C7956" s="7" t="s">
        <v>16668</v>
      </c>
      <c r="G7956" s="8" t="s">
        <v>15</v>
      </c>
    </row>
    <row r="7957" spans="1:7" hidden="1" x14ac:dyDescent="0.25">
      <c r="A7957" s="21">
        <v>7956</v>
      </c>
      <c r="B7957" s="7" t="s">
        <v>16669</v>
      </c>
      <c r="C7957" s="7" t="s">
        <v>16670</v>
      </c>
      <c r="G7957" s="8" t="s">
        <v>15</v>
      </c>
    </row>
    <row r="7958" spans="1:7" hidden="1" x14ac:dyDescent="0.25">
      <c r="A7958" s="21">
        <v>7957</v>
      </c>
      <c r="B7958" s="7" t="s">
        <v>16671</v>
      </c>
      <c r="C7958" s="7" t="s">
        <v>16672</v>
      </c>
      <c r="G7958" s="8" t="s">
        <v>15</v>
      </c>
    </row>
    <row r="7959" spans="1:7" hidden="1" x14ac:dyDescent="0.25">
      <c r="A7959" s="21">
        <v>7958</v>
      </c>
      <c r="B7959" s="7" t="s">
        <v>16673</v>
      </c>
      <c r="C7959" s="7" t="s">
        <v>16674</v>
      </c>
      <c r="G7959" s="8" t="s">
        <v>15</v>
      </c>
    </row>
    <row r="7960" spans="1:7" hidden="1" x14ac:dyDescent="0.25">
      <c r="A7960" s="21">
        <v>7959</v>
      </c>
      <c r="B7960" s="7" t="s">
        <v>16675</v>
      </c>
      <c r="C7960" s="7" t="s">
        <v>16676</v>
      </c>
      <c r="G7960" s="8" t="s">
        <v>15</v>
      </c>
    </row>
    <row r="7961" spans="1:7" hidden="1" x14ac:dyDescent="0.25">
      <c r="A7961" s="21">
        <v>7960</v>
      </c>
      <c r="B7961" s="7" t="s">
        <v>16677</v>
      </c>
      <c r="C7961" s="7" t="s">
        <v>16678</v>
      </c>
      <c r="G7961" s="8" t="s">
        <v>15</v>
      </c>
    </row>
    <row r="7962" spans="1:7" hidden="1" x14ac:dyDescent="0.25">
      <c r="A7962" s="21">
        <v>7961</v>
      </c>
      <c r="B7962" s="7" t="s">
        <v>16679</v>
      </c>
      <c r="C7962" s="7" t="s">
        <v>16680</v>
      </c>
      <c r="G7962" s="8" t="s">
        <v>15</v>
      </c>
    </row>
    <row r="7963" spans="1:7" hidden="1" x14ac:dyDescent="0.25">
      <c r="A7963" s="21">
        <v>7962</v>
      </c>
      <c r="B7963" s="7" t="s">
        <v>16681</v>
      </c>
      <c r="C7963" s="7" t="s">
        <v>16682</v>
      </c>
      <c r="G7963" s="8" t="s">
        <v>15</v>
      </c>
    </row>
    <row r="7964" spans="1:7" hidden="1" x14ac:dyDescent="0.25">
      <c r="A7964" s="21">
        <v>7963</v>
      </c>
      <c r="B7964" s="7" t="s">
        <v>16683</v>
      </c>
      <c r="C7964" s="7" t="s">
        <v>16684</v>
      </c>
      <c r="G7964" s="8" t="s">
        <v>15</v>
      </c>
    </row>
    <row r="7965" spans="1:7" hidden="1" x14ac:dyDescent="0.25">
      <c r="A7965" s="21">
        <v>7964</v>
      </c>
      <c r="B7965" s="7" t="s">
        <v>16685</v>
      </c>
      <c r="C7965" s="7" t="s">
        <v>16686</v>
      </c>
      <c r="G7965" s="8" t="s">
        <v>15</v>
      </c>
    </row>
    <row r="7966" spans="1:7" hidden="1" x14ac:dyDescent="0.25">
      <c r="A7966" s="21">
        <v>7965</v>
      </c>
      <c r="B7966" s="7" t="s">
        <v>16687</v>
      </c>
      <c r="C7966" s="7" t="s">
        <v>16688</v>
      </c>
      <c r="G7966" s="8" t="s">
        <v>15</v>
      </c>
    </row>
    <row r="7967" spans="1:7" hidden="1" x14ac:dyDescent="0.25">
      <c r="A7967" s="21">
        <v>7966</v>
      </c>
      <c r="B7967" s="7" t="s">
        <v>16689</v>
      </c>
      <c r="C7967" s="7" t="s">
        <v>16690</v>
      </c>
      <c r="G7967" s="8" t="s">
        <v>15</v>
      </c>
    </row>
    <row r="7968" spans="1:7" hidden="1" x14ac:dyDescent="0.25">
      <c r="A7968" s="21">
        <v>7967</v>
      </c>
      <c r="B7968" s="7" t="s">
        <v>16691</v>
      </c>
      <c r="C7968" s="7" t="s">
        <v>16692</v>
      </c>
      <c r="G7968" s="8" t="s">
        <v>15</v>
      </c>
    </row>
    <row r="7969" spans="1:7" hidden="1" x14ac:dyDescent="0.25">
      <c r="A7969" s="21">
        <v>7968</v>
      </c>
      <c r="B7969" s="7" t="s">
        <v>16693</v>
      </c>
      <c r="C7969" s="7" t="s">
        <v>16694</v>
      </c>
      <c r="G7969" s="8" t="s">
        <v>15</v>
      </c>
    </row>
    <row r="7970" spans="1:7" hidden="1" x14ac:dyDescent="0.25">
      <c r="A7970" s="21">
        <v>7969</v>
      </c>
      <c r="B7970" s="7" t="s">
        <v>16695</v>
      </c>
      <c r="C7970" s="7" t="s">
        <v>16696</v>
      </c>
      <c r="G7970" s="8" t="s">
        <v>15</v>
      </c>
    </row>
    <row r="7971" spans="1:7" hidden="1" x14ac:dyDescent="0.25">
      <c r="A7971" s="21">
        <v>7970</v>
      </c>
      <c r="B7971" s="7" t="s">
        <v>16697</v>
      </c>
      <c r="C7971" s="7" t="s">
        <v>16698</v>
      </c>
      <c r="G7971" s="8" t="s">
        <v>15</v>
      </c>
    </row>
    <row r="7972" spans="1:7" hidden="1" x14ac:dyDescent="0.25">
      <c r="A7972" s="21">
        <v>7971</v>
      </c>
      <c r="B7972" s="7" t="s">
        <v>16699</v>
      </c>
      <c r="C7972" s="7" t="s">
        <v>16700</v>
      </c>
      <c r="G7972" s="8" t="s">
        <v>15</v>
      </c>
    </row>
    <row r="7973" spans="1:7" hidden="1" x14ac:dyDescent="0.25">
      <c r="A7973" s="21">
        <v>7972</v>
      </c>
      <c r="B7973" s="7" t="s">
        <v>16701</v>
      </c>
      <c r="C7973" s="7" t="s">
        <v>16702</v>
      </c>
      <c r="G7973" s="8" t="s">
        <v>15</v>
      </c>
    </row>
    <row r="7974" spans="1:7" hidden="1" x14ac:dyDescent="0.25">
      <c r="A7974" s="21">
        <v>7973</v>
      </c>
      <c r="B7974" s="7" t="s">
        <v>16703</v>
      </c>
      <c r="C7974" s="7" t="s">
        <v>16704</v>
      </c>
      <c r="G7974" s="8" t="s">
        <v>15</v>
      </c>
    </row>
    <row r="7975" spans="1:7" hidden="1" x14ac:dyDescent="0.25">
      <c r="A7975" s="21">
        <v>7974</v>
      </c>
      <c r="B7975" s="7" t="s">
        <v>16705</v>
      </c>
      <c r="C7975" s="7" t="s">
        <v>16706</v>
      </c>
      <c r="G7975" s="8" t="s">
        <v>15</v>
      </c>
    </row>
    <row r="7976" spans="1:7" hidden="1" x14ac:dyDescent="0.25">
      <c r="A7976" s="21">
        <v>7975</v>
      </c>
      <c r="B7976" s="7" t="s">
        <v>16707</v>
      </c>
      <c r="C7976" s="7" t="s">
        <v>16708</v>
      </c>
      <c r="G7976" s="8" t="s">
        <v>15</v>
      </c>
    </row>
    <row r="7977" spans="1:7" hidden="1" x14ac:dyDescent="0.25">
      <c r="A7977" s="21">
        <v>7976</v>
      </c>
      <c r="B7977" s="7" t="s">
        <v>16709</v>
      </c>
      <c r="C7977" s="7" t="s">
        <v>16710</v>
      </c>
      <c r="G7977" s="8" t="s">
        <v>15</v>
      </c>
    </row>
    <row r="7978" spans="1:7" hidden="1" x14ac:dyDescent="0.25">
      <c r="A7978" s="21">
        <v>7977</v>
      </c>
      <c r="B7978" s="7" t="s">
        <v>16711</v>
      </c>
      <c r="C7978" s="7" t="s">
        <v>16712</v>
      </c>
      <c r="G7978" s="8" t="s">
        <v>15</v>
      </c>
    </row>
    <row r="7979" spans="1:7" hidden="1" x14ac:dyDescent="0.25">
      <c r="A7979" s="21">
        <v>7978</v>
      </c>
      <c r="B7979" s="7" t="s">
        <v>16713</v>
      </c>
      <c r="C7979" s="7" t="s">
        <v>16714</v>
      </c>
      <c r="G7979" s="8" t="s">
        <v>15</v>
      </c>
    </row>
    <row r="7980" spans="1:7" hidden="1" x14ac:dyDescent="0.25">
      <c r="A7980" s="21">
        <v>7979</v>
      </c>
      <c r="B7980" s="7" t="s">
        <v>16715</v>
      </c>
      <c r="C7980" s="7" t="s">
        <v>16716</v>
      </c>
      <c r="G7980" s="8" t="s">
        <v>15</v>
      </c>
    </row>
    <row r="7981" spans="1:7" hidden="1" x14ac:dyDescent="0.25">
      <c r="A7981" s="21">
        <v>7980</v>
      </c>
      <c r="B7981" s="7" t="s">
        <v>16717</v>
      </c>
      <c r="C7981" s="7" t="s">
        <v>16718</v>
      </c>
      <c r="G7981" s="8" t="s">
        <v>15</v>
      </c>
    </row>
    <row r="7982" spans="1:7" hidden="1" x14ac:dyDescent="0.25">
      <c r="A7982" s="21">
        <v>7981</v>
      </c>
      <c r="B7982" s="7" t="s">
        <v>16719</v>
      </c>
      <c r="C7982" s="7" t="s">
        <v>16720</v>
      </c>
      <c r="G7982" s="8" t="s">
        <v>15</v>
      </c>
    </row>
    <row r="7983" spans="1:7" hidden="1" x14ac:dyDescent="0.25">
      <c r="A7983" s="21">
        <v>7982</v>
      </c>
      <c r="B7983" s="7" t="s">
        <v>16721</v>
      </c>
      <c r="C7983" s="7" t="s">
        <v>16722</v>
      </c>
      <c r="G7983" s="8" t="s">
        <v>15</v>
      </c>
    </row>
    <row r="7984" spans="1:7" hidden="1" x14ac:dyDescent="0.25">
      <c r="A7984" s="21">
        <v>7983</v>
      </c>
      <c r="B7984" s="7" t="s">
        <v>16723</v>
      </c>
      <c r="C7984" s="7" t="s">
        <v>16724</v>
      </c>
      <c r="G7984" s="8" t="s">
        <v>15</v>
      </c>
    </row>
    <row r="7985" spans="1:7" hidden="1" x14ac:dyDescent="0.25">
      <c r="A7985" s="21">
        <v>7984</v>
      </c>
      <c r="B7985" s="7" t="s">
        <v>16725</v>
      </c>
      <c r="C7985" s="7" t="s">
        <v>16726</v>
      </c>
      <c r="G7985" s="8" t="s">
        <v>15</v>
      </c>
    </row>
    <row r="7986" spans="1:7" hidden="1" x14ac:dyDescent="0.25">
      <c r="A7986" s="21">
        <v>7985</v>
      </c>
      <c r="B7986" s="7" t="s">
        <v>16727</v>
      </c>
      <c r="C7986" s="7" t="s">
        <v>16728</v>
      </c>
      <c r="G7986" s="8" t="s">
        <v>15</v>
      </c>
    </row>
    <row r="7987" spans="1:7" hidden="1" x14ac:dyDescent="0.25">
      <c r="A7987" s="21">
        <v>7986</v>
      </c>
      <c r="B7987" s="7" t="s">
        <v>16729</v>
      </c>
      <c r="C7987" s="7" t="s">
        <v>16730</v>
      </c>
      <c r="G7987" s="8" t="s">
        <v>15</v>
      </c>
    </row>
    <row r="7988" spans="1:7" hidden="1" x14ac:dyDescent="0.25">
      <c r="A7988" s="21">
        <v>7987</v>
      </c>
      <c r="B7988" s="7" t="s">
        <v>16731</v>
      </c>
      <c r="C7988" s="7" t="s">
        <v>16732</v>
      </c>
      <c r="G7988" s="8" t="s">
        <v>15</v>
      </c>
    </row>
    <row r="7989" spans="1:7" hidden="1" x14ac:dyDescent="0.25">
      <c r="A7989" s="21">
        <v>7988</v>
      </c>
      <c r="B7989" s="7" t="s">
        <v>16733</v>
      </c>
      <c r="C7989" s="7" t="s">
        <v>16734</v>
      </c>
      <c r="G7989" s="8" t="s">
        <v>15</v>
      </c>
    </row>
    <row r="7990" spans="1:7" hidden="1" x14ac:dyDescent="0.25">
      <c r="A7990" s="21">
        <v>7989</v>
      </c>
      <c r="B7990" s="7" t="s">
        <v>16735</v>
      </c>
      <c r="C7990" s="7" t="s">
        <v>16736</v>
      </c>
      <c r="G7990" s="8" t="s">
        <v>15</v>
      </c>
    </row>
    <row r="7991" spans="1:7" hidden="1" x14ac:dyDescent="0.25">
      <c r="A7991" s="21">
        <v>7990</v>
      </c>
      <c r="B7991" s="7" t="s">
        <v>16737</v>
      </c>
      <c r="C7991" s="7" t="s">
        <v>16738</v>
      </c>
      <c r="G7991" s="8" t="s">
        <v>15</v>
      </c>
    </row>
    <row r="7992" spans="1:7" hidden="1" x14ac:dyDescent="0.25">
      <c r="A7992" s="21">
        <v>7991</v>
      </c>
      <c r="B7992" s="7" t="s">
        <v>16739</v>
      </c>
      <c r="C7992" s="7" t="s">
        <v>16740</v>
      </c>
      <c r="G7992" s="8" t="s">
        <v>15</v>
      </c>
    </row>
    <row r="7993" spans="1:7" hidden="1" x14ac:dyDescent="0.25">
      <c r="A7993" s="21">
        <v>7992</v>
      </c>
      <c r="B7993" s="7" t="s">
        <v>16741</v>
      </c>
      <c r="C7993" s="7" t="s">
        <v>16742</v>
      </c>
      <c r="G7993" s="8" t="s">
        <v>15</v>
      </c>
    </row>
    <row r="7994" spans="1:7" hidden="1" x14ac:dyDescent="0.25">
      <c r="A7994" s="21">
        <v>7993</v>
      </c>
      <c r="B7994" s="7" t="s">
        <v>16743</v>
      </c>
      <c r="C7994" s="7" t="s">
        <v>16744</v>
      </c>
      <c r="G7994" s="8" t="s">
        <v>15</v>
      </c>
    </row>
    <row r="7995" spans="1:7" hidden="1" x14ac:dyDescent="0.25">
      <c r="A7995" s="21">
        <v>7994</v>
      </c>
      <c r="B7995" s="7" t="s">
        <v>16745</v>
      </c>
      <c r="C7995" s="7" t="s">
        <v>16746</v>
      </c>
      <c r="G7995" s="8" t="s">
        <v>15</v>
      </c>
    </row>
    <row r="7996" spans="1:7" hidden="1" x14ac:dyDescent="0.25">
      <c r="A7996" s="21">
        <v>7995</v>
      </c>
      <c r="B7996" s="7" t="s">
        <v>16747</v>
      </c>
      <c r="C7996" s="7" t="s">
        <v>16748</v>
      </c>
      <c r="G7996" s="8" t="s">
        <v>15</v>
      </c>
    </row>
    <row r="7997" spans="1:7" hidden="1" x14ac:dyDescent="0.25">
      <c r="A7997" s="21">
        <v>7996</v>
      </c>
      <c r="B7997" s="7" t="s">
        <v>16749</v>
      </c>
      <c r="C7997" s="7" t="s">
        <v>16750</v>
      </c>
      <c r="G7997" s="8" t="s">
        <v>15</v>
      </c>
    </row>
    <row r="7998" spans="1:7" hidden="1" x14ac:dyDescent="0.25">
      <c r="A7998" s="21">
        <v>7997</v>
      </c>
      <c r="B7998" s="7" t="s">
        <v>16751</v>
      </c>
      <c r="C7998" s="7" t="s">
        <v>16752</v>
      </c>
      <c r="G7998" s="8" t="s">
        <v>15</v>
      </c>
    </row>
    <row r="7999" spans="1:7" hidden="1" x14ac:dyDescent="0.25">
      <c r="A7999" s="21">
        <v>7998</v>
      </c>
      <c r="B7999" s="7" t="s">
        <v>16753</v>
      </c>
      <c r="C7999" s="7" t="s">
        <v>16754</v>
      </c>
      <c r="G7999" s="8" t="s">
        <v>15</v>
      </c>
    </row>
    <row r="8000" spans="1:7" hidden="1" x14ac:dyDescent="0.25">
      <c r="A8000" s="21">
        <v>7999</v>
      </c>
      <c r="B8000" s="7" t="s">
        <v>16755</v>
      </c>
      <c r="C8000" s="7" t="s">
        <v>16756</v>
      </c>
      <c r="G8000" s="8" t="s">
        <v>15</v>
      </c>
    </row>
    <row r="8001" spans="1:7" hidden="1" x14ac:dyDescent="0.25">
      <c r="A8001" s="21">
        <v>8000</v>
      </c>
      <c r="B8001" s="7" t="s">
        <v>16757</v>
      </c>
      <c r="C8001" s="7" t="s">
        <v>16758</v>
      </c>
      <c r="G8001" s="8" t="s">
        <v>15</v>
      </c>
    </row>
    <row r="8002" spans="1:7" hidden="1" x14ac:dyDescent="0.25">
      <c r="A8002" s="21">
        <v>8001</v>
      </c>
      <c r="B8002" s="7" t="s">
        <v>16759</v>
      </c>
      <c r="C8002" s="7" t="s">
        <v>16760</v>
      </c>
      <c r="G8002" s="8" t="s">
        <v>15</v>
      </c>
    </row>
    <row r="8003" spans="1:7" hidden="1" x14ac:dyDescent="0.25">
      <c r="A8003" s="21">
        <v>8002</v>
      </c>
      <c r="B8003" s="7" t="s">
        <v>16761</v>
      </c>
      <c r="C8003" s="7" t="s">
        <v>16762</v>
      </c>
      <c r="G8003" s="8" t="s">
        <v>15</v>
      </c>
    </row>
    <row r="8004" spans="1:7" hidden="1" x14ac:dyDescent="0.25">
      <c r="A8004" s="21">
        <v>8003</v>
      </c>
      <c r="B8004" s="7" t="s">
        <v>16763</v>
      </c>
      <c r="C8004" s="7" t="s">
        <v>16764</v>
      </c>
      <c r="G8004" s="8" t="s">
        <v>15</v>
      </c>
    </row>
    <row r="8005" spans="1:7" hidden="1" x14ac:dyDescent="0.25">
      <c r="A8005" s="21">
        <v>8004</v>
      </c>
      <c r="B8005" s="7" t="s">
        <v>16765</v>
      </c>
      <c r="C8005" s="7" t="s">
        <v>16766</v>
      </c>
      <c r="G8005" s="8" t="s">
        <v>15</v>
      </c>
    </row>
    <row r="8006" spans="1:7" hidden="1" x14ac:dyDescent="0.25">
      <c r="A8006" s="21">
        <v>8005</v>
      </c>
      <c r="B8006" s="7" t="s">
        <v>16767</v>
      </c>
      <c r="C8006" s="7" t="s">
        <v>16768</v>
      </c>
      <c r="G8006" s="8" t="s">
        <v>15</v>
      </c>
    </row>
    <row r="8007" spans="1:7" hidden="1" x14ac:dyDescent="0.25">
      <c r="A8007" s="21">
        <v>8006</v>
      </c>
      <c r="B8007" s="7" t="s">
        <v>16769</v>
      </c>
      <c r="C8007" s="7" t="s">
        <v>16770</v>
      </c>
      <c r="G8007" s="8" t="s">
        <v>15</v>
      </c>
    </row>
    <row r="8008" spans="1:7" hidden="1" x14ac:dyDescent="0.25">
      <c r="A8008" s="21">
        <v>8007</v>
      </c>
      <c r="B8008" s="7" t="s">
        <v>16771</v>
      </c>
      <c r="C8008" s="7" t="s">
        <v>16772</v>
      </c>
      <c r="G8008" s="8" t="s">
        <v>15</v>
      </c>
    </row>
    <row r="8009" spans="1:7" hidden="1" x14ac:dyDescent="0.25">
      <c r="A8009" s="21">
        <v>8008</v>
      </c>
      <c r="B8009" s="7" t="s">
        <v>16773</v>
      </c>
      <c r="C8009" s="7" t="s">
        <v>16774</v>
      </c>
      <c r="G8009" s="8" t="s">
        <v>15</v>
      </c>
    </row>
    <row r="8010" spans="1:7" hidden="1" x14ac:dyDescent="0.25">
      <c r="A8010" s="21">
        <v>8009</v>
      </c>
      <c r="B8010" s="7" t="s">
        <v>16775</v>
      </c>
      <c r="C8010" s="7" t="s">
        <v>16776</v>
      </c>
      <c r="G8010" s="8" t="s">
        <v>15</v>
      </c>
    </row>
    <row r="8011" spans="1:7" hidden="1" x14ac:dyDescent="0.25">
      <c r="A8011" s="21">
        <v>8010</v>
      </c>
      <c r="B8011" s="7" t="s">
        <v>16777</v>
      </c>
      <c r="C8011" s="7" t="s">
        <v>16778</v>
      </c>
      <c r="G8011" s="8" t="s">
        <v>15</v>
      </c>
    </row>
    <row r="8012" spans="1:7" hidden="1" x14ac:dyDescent="0.25">
      <c r="A8012" s="21">
        <v>8011</v>
      </c>
      <c r="B8012" s="7" t="s">
        <v>16779</v>
      </c>
      <c r="C8012" s="7" t="s">
        <v>16780</v>
      </c>
      <c r="G8012" s="8" t="s">
        <v>15</v>
      </c>
    </row>
    <row r="8013" spans="1:7" hidden="1" x14ac:dyDescent="0.25">
      <c r="A8013" s="21">
        <v>8012</v>
      </c>
      <c r="B8013" s="7" t="s">
        <v>16781</v>
      </c>
      <c r="C8013" s="7" t="s">
        <v>16782</v>
      </c>
      <c r="G8013" s="8" t="s">
        <v>15</v>
      </c>
    </row>
    <row r="8014" spans="1:7" hidden="1" x14ac:dyDescent="0.25">
      <c r="A8014" s="21">
        <v>8013</v>
      </c>
      <c r="B8014" s="7" t="s">
        <v>16783</v>
      </c>
      <c r="C8014" s="7" t="s">
        <v>16784</v>
      </c>
      <c r="G8014" s="8" t="s">
        <v>15</v>
      </c>
    </row>
    <row r="8015" spans="1:7" hidden="1" x14ac:dyDescent="0.25">
      <c r="A8015" s="21">
        <v>8014</v>
      </c>
      <c r="B8015" s="7" t="s">
        <v>16785</v>
      </c>
      <c r="C8015" s="7" t="s">
        <v>16786</v>
      </c>
      <c r="G8015" s="8" t="s">
        <v>15</v>
      </c>
    </row>
    <row r="8016" spans="1:7" hidden="1" x14ac:dyDescent="0.25">
      <c r="A8016" s="21">
        <v>8015</v>
      </c>
      <c r="B8016" s="7" t="s">
        <v>16787</v>
      </c>
      <c r="C8016" s="7" t="s">
        <v>16788</v>
      </c>
      <c r="G8016" s="8" t="s">
        <v>15</v>
      </c>
    </row>
    <row r="8017" spans="1:7" hidden="1" x14ac:dyDescent="0.25">
      <c r="A8017" s="21">
        <v>8016</v>
      </c>
      <c r="B8017" s="7" t="s">
        <v>16789</v>
      </c>
      <c r="C8017" s="7" t="s">
        <v>16790</v>
      </c>
      <c r="G8017" s="8" t="s">
        <v>15</v>
      </c>
    </row>
    <row r="8018" spans="1:7" hidden="1" x14ac:dyDescent="0.25">
      <c r="A8018" s="21">
        <v>8017</v>
      </c>
      <c r="B8018" s="7" t="s">
        <v>16791</v>
      </c>
      <c r="C8018" s="7" t="s">
        <v>16792</v>
      </c>
      <c r="G8018" s="8" t="s">
        <v>15</v>
      </c>
    </row>
    <row r="8019" spans="1:7" hidden="1" x14ac:dyDescent="0.25">
      <c r="A8019" s="21">
        <v>8018</v>
      </c>
      <c r="B8019" s="7" t="s">
        <v>16793</v>
      </c>
      <c r="C8019" s="7" t="s">
        <v>16794</v>
      </c>
      <c r="G8019" s="8" t="s">
        <v>15</v>
      </c>
    </row>
    <row r="8020" spans="1:7" hidden="1" x14ac:dyDescent="0.25">
      <c r="A8020" s="21">
        <v>8019</v>
      </c>
      <c r="B8020" s="7" t="s">
        <v>16795</v>
      </c>
      <c r="C8020" s="7" t="s">
        <v>16796</v>
      </c>
      <c r="G8020" s="8" t="s">
        <v>15</v>
      </c>
    </row>
    <row r="8021" spans="1:7" hidden="1" x14ac:dyDescent="0.25">
      <c r="A8021" s="21">
        <v>8020</v>
      </c>
      <c r="B8021" s="7" t="s">
        <v>16797</v>
      </c>
      <c r="C8021" s="7" t="s">
        <v>16798</v>
      </c>
      <c r="G8021" s="8" t="s">
        <v>15</v>
      </c>
    </row>
    <row r="8022" spans="1:7" hidden="1" x14ac:dyDescent="0.25">
      <c r="A8022" s="21">
        <v>8021</v>
      </c>
      <c r="B8022" s="7" t="s">
        <v>16799</v>
      </c>
      <c r="C8022" s="7" t="s">
        <v>16800</v>
      </c>
      <c r="G8022" s="8" t="s">
        <v>15</v>
      </c>
    </row>
    <row r="8023" spans="1:7" hidden="1" x14ac:dyDescent="0.25">
      <c r="A8023" s="21">
        <v>8022</v>
      </c>
      <c r="B8023" s="7" t="s">
        <v>16801</v>
      </c>
      <c r="C8023" s="7" t="s">
        <v>16802</v>
      </c>
      <c r="G8023" s="8" t="s">
        <v>15</v>
      </c>
    </row>
    <row r="8024" spans="1:7" hidden="1" x14ac:dyDescent="0.25">
      <c r="A8024" s="21">
        <v>8023</v>
      </c>
      <c r="B8024" s="7" t="s">
        <v>16803</v>
      </c>
      <c r="C8024" s="7" t="s">
        <v>16804</v>
      </c>
      <c r="G8024" s="8" t="s">
        <v>15</v>
      </c>
    </row>
    <row r="8025" spans="1:7" hidden="1" x14ac:dyDescent="0.25">
      <c r="A8025" s="21">
        <v>8024</v>
      </c>
      <c r="B8025" s="7" t="s">
        <v>16805</v>
      </c>
      <c r="C8025" s="7" t="s">
        <v>16806</v>
      </c>
      <c r="G8025" s="8" t="s">
        <v>15</v>
      </c>
    </row>
    <row r="8026" spans="1:7" hidden="1" x14ac:dyDescent="0.25">
      <c r="A8026" s="21">
        <v>8025</v>
      </c>
      <c r="B8026" s="7" t="s">
        <v>16807</v>
      </c>
      <c r="C8026" s="7" t="s">
        <v>16808</v>
      </c>
      <c r="G8026" s="8" t="s">
        <v>15</v>
      </c>
    </row>
    <row r="8027" spans="1:7" hidden="1" x14ac:dyDescent="0.25">
      <c r="A8027" s="21">
        <v>8026</v>
      </c>
      <c r="B8027" s="7" t="s">
        <v>16809</v>
      </c>
      <c r="C8027" s="7" t="s">
        <v>16810</v>
      </c>
      <c r="G8027" s="8" t="s">
        <v>15</v>
      </c>
    </row>
    <row r="8028" spans="1:7" hidden="1" x14ac:dyDescent="0.25">
      <c r="A8028" s="21">
        <v>8027</v>
      </c>
      <c r="B8028" s="7" t="s">
        <v>16811</v>
      </c>
      <c r="C8028" s="7" t="s">
        <v>16812</v>
      </c>
      <c r="G8028" s="8" t="s">
        <v>15</v>
      </c>
    </row>
    <row r="8029" spans="1:7" hidden="1" x14ac:dyDescent="0.25">
      <c r="A8029" s="21">
        <v>8028</v>
      </c>
      <c r="B8029" s="7" t="s">
        <v>16813</v>
      </c>
      <c r="C8029" s="7" t="s">
        <v>16814</v>
      </c>
      <c r="G8029" s="8" t="s">
        <v>15</v>
      </c>
    </row>
    <row r="8030" spans="1:7" hidden="1" x14ac:dyDescent="0.25">
      <c r="A8030" s="21">
        <v>8029</v>
      </c>
      <c r="B8030" s="7" t="s">
        <v>16815</v>
      </c>
      <c r="C8030" s="7" t="s">
        <v>16816</v>
      </c>
      <c r="G8030" s="8" t="s">
        <v>15</v>
      </c>
    </row>
    <row r="8031" spans="1:7" hidden="1" x14ac:dyDescent="0.25">
      <c r="A8031" s="21">
        <v>8030</v>
      </c>
      <c r="B8031" s="7" t="s">
        <v>16817</v>
      </c>
      <c r="C8031" s="7" t="s">
        <v>16818</v>
      </c>
      <c r="G8031" s="8" t="s">
        <v>15</v>
      </c>
    </row>
    <row r="8032" spans="1:7" hidden="1" x14ac:dyDescent="0.25">
      <c r="A8032" s="21">
        <v>8031</v>
      </c>
      <c r="B8032" s="7" t="s">
        <v>16819</v>
      </c>
      <c r="C8032" s="7" t="s">
        <v>16820</v>
      </c>
      <c r="G8032" s="8" t="s">
        <v>15</v>
      </c>
    </row>
    <row r="8033" spans="1:7" hidden="1" x14ac:dyDescent="0.25">
      <c r="A8033" s="21">
        <v>8032</v>
      </c>
      <c r="B8033" s="7" t="s">
        <v>16821</v>
      </c>
      <c r="C8033" s="7" t="s">
        <v>16822</v>
      </c>
      <c r="G8033" s="8" t="s">
        <v>15</v>
      </c>
    </row>
    <row r="8034" spans="1:7" hidden="1" x14ac:dyDescent="0.25">
      <c r="A8034" s="21">
        <v>8033</v>
      </c>
      <c r="B8034" s="7" t="s">
        <v>16823</v>
      </c>
      <c r="C8034" s="7" t="s">
        <v>16824</v>
      </c>
      <c r="G8034" s="8" t="s">
        <v>15</v>
      </c>
    </row>
    <row r="8035" spans="1:7" hidden="1" x14ac:dyDescent="0.25">
      <c r="A8035" s="21">
        <v>8034</v>
      </c>
      <c r="B8035" s="7" t="s">
        <v>16825</v>
      </c>
      <c r="C8035" s="7" t="s">
        <v>16826</v>
      </c>
      <c r="G8035" s="8" t="s">
        <v>15</v>
      </c>
    </row>
    <row r="8036" spans="1:7" hidden="1" x14ac:dyDescent="0.25">
      <c r="A8036" s="21">
        <v>8035</v>
      </c>
      <c r="B8036" s="7" t="s">
        <v>16827</v>
      </c>
      <c r="C8036" s="7" t="s">
        <v>16828</v>
      </c>
      <c r="G8036" s="8" t="s">
        <v>15</v>
      </c>
    </row>
    <row r="8037" spans="1:7" hidden="1" x14ac:dyDescent="0.25">
      <c r="A8037" s="21">
        <v>8036</v>
      </c>
      <c r="B8037" s="7" t="s">
        <v>16829</v>
      </c>
      <c r="C8037" s="7" t="s">
        <v>16830</v>
      </c>
      <c r="G8037" s="8" t="s">
        <v>15</v>
      </c>
    </row>
    <row r="8038" spans="1:7" hidden="1" x14ac:dyDescent="0.25">
      <c r="A8038" s="21">
        <v>8037</v>
      </c>
      <c r="B8038" s="7" t="s">
        <v>16831</v>
      </c>
      <c r="C8038" s="7" t="s">
        <v>16832</v>
      </c>
      <c r="G8038" s="8" t="s">
        <v>15</v>
      </c>
    </row>
    <row r="8039" spans="1:7" hidden="1" x14ac:dyDescent="0.25">
      <c r="A8039" s="21">
        <v>8038</v>
      </c>
      <c r="B8039" s="7" t="s">
        <v>16833</v>
      </c>
      <c r="C8039" s="7" t="s">
        <v>16834</v>
      </c>
      <c r="G8039" s="8" t="s">
        <v>15</v>
      </c>
    </row>
    <row r="8040" spans="1:7" hidden="1" x14ac:dyDescent="0.25">
      <c r="A8040" s="21">
        <v>8039</v>
      </c>
      <c r="B8040" s="7" t="s">
        <v>16835</v>
      </c>
      <c r="C8040" s="7" t="s">
        <v>16836</v>
      </c>
      <c r="G8040" s="8" t="s">
        <v>15</v>
      </c>
    </row>
    <row r="8041" spans="1:7" hidden="1" x14ac:dyDescent="0.25">
      <c r="A8041" s="21">
        <v>8040</v>
      </c>
      <c r="B8041" s="7" t="s">
        <v>16837</v>
      </c>
      <c r="C8041" s="7" t="s">
        <v>16838</v>
      </c>
      <c r="G8041" s="8" t="s">
        <v>15</v>
      </c>
    </row>
    <row r="8042" spans="1:7" hidden="1" x14ac:dyDescent="0.25">
      <c r="A8042" s="21">
        <v>8041</v>
      </c>
      <c r="B8042" s="7" t="s">
        <v>16839</v>
      </c>
      <c r="C8042" s="7" t="s">
        <v>16840</v>
      </c>
      <c r="G8042" s="8" t="s">
        <v>15</v>
      </c>
    </row>
    <row r="8043" spans="1:7" hidden="1" x14ac:dyDescent="0.25">
      <c r="A8043" s="21">
        <v>8042</v>
      </c>
      <c r="B8043" s="7" t="s">
        <v>16841</v>
      </c>
      <c r="C8043" s="7" t="s">
        <v>16842</v>
      </c>
      <c r="G8043" s="8" t="s">
        <v>15</v>
      </c>
    </row>
    <row r="8044" spans="1:7" hidden="1" x14ac:dyDescent="0.25">
      <c r="A8044" s="21">
        <v>8043</v>
      </c>
      <c r="B8044" s="7" t="s">
        <v>16843</v>
      </c>
      <c r="C8044" s="7" t="s">
        <v>16844</v>
      </c>
      <c r="G8044" s="8" t="s">
        <v>15</v>
      </c>
    </row>
    <row r="8045" spans="1:7" hidden="1" x14ac:dyDescent="0.25">
      <c r="A8045" s="21">
        <v>8044</v>
      </c>
      <c r="B8045" s="7" t="s">
        <v>16845</v>
      </c>
      <c r="C8045" s="7" t="s">
        <v>16846</v>
      </c>
      <c r="F8045" s="8" t="s">
        <v>116</v>
      </c>
      <c r="G8045" s="8" t="s">
        <v>15</v>
      </c>
    </row>
    <row r="8046" spans="1:7" hidden="1" x14ac:dyDescent="0.25">
      <c r="A8046" s="21">
        <v>8045</v>
      </c>
      <c r="B8046" s="7" t="s">
        <v>16847</v>
      </c>
      <c r="C8046" s="7" t="s">
        <v>16848</v>
      </c>
      <c r="F8046" s="8" t="s">
        <v>116</v>
      </c>
      <c r="G8046" s="8" t="s">
        <v>15</v>
      </c>
    </row>
    <row r="8047" spans="1:7" hidden="1" x14ac:dyDescent="0.25">
      <c r="A8047" s="21">
        <v>8046</v>
      </c>
      <c r="B8047" s="7" t="s">
        <v>16849</v>
      </c>
      <c r="C8047" s="7" t="s">
        <v>16850</v>
      </c>
      <c r="G8047" s="8" t="s">
        <v>15</v>
      </c>
    </row>
    <row r="8048" spans="1:7" hidden="1" x14ac:dyDescent="0.25">
      <c r="A8048" s="21">
        <v>8047</v>
      </c>
      <c r="B8048" s="7" t="s">
        <v>16851</v>
      </c>
      <c r="C8048" s="7" t="s">
        <v>16852</v>
      </c>
      <c r="G8048" s="8" t="s">
        <v>15</v>
      </c>
    </row>
    <row r="8049" spans="1:7" hidden="1" x14ac:dyDescent="0.25">
      <c r="A8049" s="21">
        <v>8048</v>
      </c>
      <c r="B8049" s="7" t="s">
        <v>16853</v>
      </c>
      <c r="C8049" s="7" t="s">
        <v>16854</v>
      </c>
      <c r="G8049" s="8" t="s">
        <v>15</v>
      </c>
    </row>
    <row r="8050" spans="1:7" hidden="1" x14ac:dyDescent="0.25">
      <c r="A8050" s="21">
        <v>8049</v>
      </c>
      <c r="B8050" s="7" t="s">
        <v>16855</v>
      </c>
      <c r="C8050" s="7" t="s">
        <v>16856</v>
      </c>
      <c r="G8050" s="8" t="s">
        <v>15</v>
      </c>
    </row>
    <row r="8051" spans="1:7" hidden="1" x14ac:dyDescent="0.25">
      <c r="A8051" s="21">
        <v>8050</v>
      </c>
      <c r="B8051" s="7" t="s">
        <v>16857</v>
      </c>
      <c r="C8051" s="7" t="s">
        <v>16858</v>
      </c>
      <c r="G8051" s="8" t="s">
        <v>15</v>
      </c>
    </row>
    <row r="8052" spans="1:7" hidden="1" x14ac:dyDescent="0.25">
      <c r="A8052" s="21">
        <v>8051</v>
      </c>
      <c r="B8052" s="7" t="s">
        <v>16859</v>
      </c>
      <c r="C8052" s="7" t="s">
        <v>16860</v>
      </c>
      <c r="G8052" s="8" t="s">
        <v>15</v>
      </c>
    </row>
    <row r="8053" spans="1:7" hidden="1" x14ac:dyDescent="0.25">
      <c r="A8053" s="21">
        <v>8052</v>
      </c>
      <c r="B8053" s="7" t="s">
        <v>16861</v>
      </c>
      <c r="C8053" s="7" t="s">
        <v>16862</v>
      </c>
      <c r="G8053" s="8" t="s">
        <v>15</v>
      </c>
    </row>
    <row r="8054" spans="1:7" hidden="1" x14ac:dyDescent="0.25">
      <c r="A8054" s="21">
        <v>8053</v>
      </c>
      <c r="B8054" s="7" t="s">
        <v>16863</v>
      </c>
      <c r="C8054" s="7" t="s">
        <v>16864</v>
      </c>
      <c r="G8054" s="8" t="s">
        <v>15</v>
      </c>
    </row>
    <row r="8055" spans="1:7" hidden="1" x14ac:dyDescent="0.25">
      <c r="A8055" s="21">
        <v>8054</v>
      </c>
      <c r="B8055" s="7" t="s">
        <v>16865</v>
      </c>
      <c r="C8055" s="7" t="s">
        <v>16866</v>
      </c>
      <c r="G8055" s="8" t="s">
        <v>15</v>
      </c>
    </row>
    <row r="8056" spans="1:7" hidden="1" x14ac:dyDescent="0.25">
      <c r="A8056" s="21">
        <v>8055</v>
      </c>
      <c r="B8056" s="7" t="s">
        <v>16867</v>
      </c>
      <c r="C8056" s="7" t="s">
        <v>16868</v>
      </c>
      <c r="G8056" s="8" t="s">
        <v>15</v>
      </c>
    </row>
    <row r="8057" spans="1:7" hidden="1" x14ac:dyDescent="0.25">
      <c r="A8057" s="21">
        <v>8056</v>
      </c>
      <c r="B8057" s="7" t="s">
        <v>16869</v>
      </c>
      <c r="C8057" s="7" t="s">
        <v>16870</v>
      </c>
      <c r="G8057" s="8" t="s">
        <v>15</v>
      </c>
    </row>
    <row r="8058" spans="1:7" hidden="1" x14ac:dyDescent="0.25">
      <c r="A8058" s="21">
        <v>8057</v>
      </c>
      <c r="B8058" s="7" t="s">
        <v>16871</v>
      </c>
      <c r="C8058" s="7" t="s">
        <v>16872</v>
      </c>
      <c r="G8058" s="8" t="s">
        <v>15</v>
      </c>
    </row>
    <row r="8059" spans="1:7" hidden="1" x14ac:dyDescent="0.25">
      <c r="A8059" s="21">
        <v>8058</v>
      </c>
      <c r="B8059" s="7" t="s">
        <v>16873</v>
      </c>
      <c r="C8059" s="7" t="s">
        <v>16874</v>
      </c>
      <c r="G8059" s="8" t="s">
        <v>15</v>
      </c>
    </row>
    <row r="8060" spans="1:7" hidden="1" x14ac:dyDescent="0.25">
      <c r="A8060" s="21">
        <v>8059</v>
      </c>
      <c r="B8060" s="7" t="s">
        <v>16875</v>
      </c>
      <c r="C8060" s="7" t="s">
        <v>16876</v>
      </c>
      <c r="G8060" s="8" t="s">
        <v>15</v>
      </c>
    </row>
    <row r="8061" spans="1:7" hidden="1" x14ac:dyDescent="0.25">
      <c r="A8061" s="21">
        <v>8060</v>
      </c>
      <c r="B8061" s="7" t="s">
        <v>16877</v>
      </c>
      <c r="C8061" s="7" t="s">
        <v>16878</v>
      </c>
      <c r="G8061" s="8" t="s">
        <v>15</v>
      </c>
    </row>
    <row r="8062" spans="1:7" hidden="1" x14ac:dyDescent="0.25">
      <c r="A8062" s="21">
        <v>8061</v>
      </c>
      <c r="B8062" s="7" t="s">
        <v>16879</v>
      </c>
      <c r="C8062" s="7" t="s">
        <v>16880</v>
      </c>
      <c r="G8062" s="8" t="s">
        <v>15</v>
      </c>
    </row>
    <row r="8063" spans="1:7" hidden="1" x14ac:dyDescent="0.25">
      <c r="A8063" s="21">
        <v>8062</v>
      </c>
      <c r="B8063" s="7" t="s">
        <v>16881</v>
      </c>
      <c r="C8063" s="7" t="s">
        <v>16882</v>
      </c>
      <c r="G8063" s="8" t="s">
        <v>15</v>
      </c>
    </row>
    <row r="8064" spans="1:7" hidden="1" x14ac:dyDescent="0.25">
      <c r="A8064" s="21">
        <v>8063</v>
      </c>
      <c r="B8064" s="7" t="s">
        <v>16883</v>
      </c>
      <c r="C8064" s="7" t="s">
        <v>16884</v>
      </c>
      <c r="G8064" s="8" t="s">
        <v>15</v>
      </c>
    </row>
    <row r="8065" spans="1:7" hidden="1" x14ac:dyDescent="0.25">
      <c r="A8065" s="21">
        <v>8064</v>
      </c>
      <c r="B8065" s="7" t="s">
        <v>16885</v>
      </c>
      <c r="C8065" s="7" t="s">
        <v>16886</v>
      </c>
      <c r="G8065" s="8" t="s">
        <v>15</v>
      </c>
    </row>
    <row r="8066" spans="1:7" hidden="1" x14ac:dyDescent="0.25">
      <c r="A8066" s="21">
        <v>8065</v>
      </c>
      <c r="B8066" s="7" t="s">
        <v>16887</v>
      </c>
      <c r="C8066" s="7" t="s">
        <v>16888</v>
      </c>
      <c r="G8066" s="8" t="s">
        <v>15</v>
      </c>
    </row>
    <row r="8067" spans="1:7" hidden="1" x14ac:dyDescent="0.25">
      <c r="A8067" s="21">
        <v>8066</v>
      </c>
      <c r="B8067" s="7" t="s">
        <v>16889</v>
      </c>
      <c r="C8067" s="7" t="s">
        <v>16890</v>
      </c>
      <c r="G8067" s="8" t="s">
        <v>15</v>
      </c>
    </row>
    <row r="8068" spans="1:7" hidden="1" x14ac:dyDescent="0.25">
      <c r="A8068" s="21">
        <v>8067</v>
      </c>
      <c r="B8068" s="7" t="s">
        <v>16891</v>
      </c>
      <c r="C8068" s="7" t="s">
        <v>16892</v>
      </c>
      <c r="G8068" s="8" t="s">
        <v>15</v>
      </c>
    </row>
    <row r="8069" spans="1:7" hidden="1" x14ac:dyDescent="0.25">
      <c r="A8069" s="21">
        <v>8068</v>
      </c>
      <c r="B8069" s="7" t="s">
        <v>16893</v>
      </c>
      <c r="C8069" s="7" t="s">
        <v>16894</v>
      </c>
      <c r="G8069" s="8" t="s">
        <v>15</v>
      </c>
    </row>
    <row r="8070" spans="1:7" hidden="1" x14ac:dyDescent="0.25">
      <c r="A8070" s="21">
        <v>8069</v>
      </c>
      <c r="B8070" s="7" t="s">
        <v>16895</v>
      </c>
      <c r="C8070" s="7" t="s">
        <v>16896</v>
      </c>
      <c r="G8070" s="8" t="s">
        <v>15</v>
      </c>
    </row>
    <row r="8071" spans="1:7" hidden="1" x14ac:dyDescent="0.25">
      <c r="A8071" s="21">
        <v>8070</v>
      </c>
      <c r="B8071" s="7" t="s">
        <v>16897</v>
      </c>
      <c r="C8071" s="7" t="s">
        <v>16898</v>
      </c>
      <c r="G8071" s="8" t="s">
        <v>15</v>
      </c>
    </row>
    <row r="8072" spans="1:7" hidden="1" x14ac:dyDescent="0.25">
      <c r="A8072" s="21">
        <v>8071</v>
      </c>
      <c r="B8072" s="7" t="s">
        <v>16899</v>
      </c>
      <c r="C8072" s="7" t="s">
        <v>16900</v>
      </c>
      <c r="G8072" s="8" t="s">
        <v>15</v>
      </c>
    </row>
    <row r="8073" spans="1:7" hidden="1" x14ac:dyDescent="0.25">
      <c r="A8073" s="21">
        <v>8072</v>
      </c>
      <c r="B8073" s="7" t="s">
        <v>16901</v>
      </c>
      <c r="C8073" s="7" t="s">
        <v>16902</v>
      </c>
      <c r="G8073" s="8" t="s">
        <v>15</v>
      </c>
    </row>
    <row r="8074" spans="1:7" hidden="1" x14ac:dyDescent="0.25">
      <c r="A8074" s="21">
        <v>8073</v>
      </c>
      <c r="B8074" s="7" t="s">
        <v>16903</v>
      </c>
      <c r="C8074" s="7" t="s">
        <v>16904</v>
      </c>
      <c r="G8074" s="8" t="s">
        <v>15</v>
      </c>
    </row>
    <row r="8075" spans="1:7" hidden="1" x14ac:dyDescent="0.25">
      <c r="A8075" s="21">
        <v>8074</v>
      </c>
      <c r="B8075" s="7" t="s">
        <v>16905</v>
      </c>
      <c r="C8075" s="7" t="s">
        <v>16906</v>
      </c>
      <c r="G8075" s="8" t="s">
        <v>15</v>
      </c>
    </row>
    <row r="8076" spans="1:7" hidden="1" x14ac:dyDescent="0.25">
      <c r="A8076" s="21">
        <v>8075</v>
      </c>
      <c r="B8076" s="7" t="s">
        <v>16907</v>
      </c>
      <c r="C8076" s="7" t="s">
        <v>16908</v>
      </c>
      <c r="G8076" s="8" t="s">
        <v>15</v>
      </c>
    </row>
    <row r="8077" spans="1:7" hidden="1" x14ac:dyDescent="0.25">
      <c r="A8077" s="21">
        <v>8076</v>
      </c>
      <c r="B8077" s="7" t="s">
        <v>16909</v>
      </c>
      <c r="C8077" s="7" t="s">
        <v>16910</v>
      </c>
      <c r="G8077" s="8" t="s">
        <v>15</v>
      </c>
    </row>
    <row r="8078" spans="1:7" hidden="1" x14ac:dyDescent="0.25">
      <c r="A8078" s="21">
        <v>8077</v>
      </c>
      <c r="B8078" s="7" t="s">
        <v>16911</v>
      </c>
      <c r="C8078" s="7" t="s">
        <v>16912</v>
      </c>
      <c r="G8078" s="8" t="s">
        <v>15</v>
      </c>
    </row>
    <row r="8079" spans="1:7" hidden="1" x14ac:dyDescent="0.25">
      <c r="A8079" s="21">
        <v>8078</v>
      </c>
      <c r="B8079" s="7" t="s">
        <v>16913</v>
      </c>
      <c r="C8079" s="7" t="s">
        <v>16914</v>
      </c>
      <c r="G8079" s="8" t="s">
        <v>15</v>
      </c>
    </row>
    <row r="8080" spans="1:7" hidden="1" x14ac:dyDescent="0.25">
      <c r="A8080" s="21">
        <v>8079</v>
      </c>
      <c r="B8080" s="7" t="s">
        <v>16915</v>
      </c>
      <c r="C8080" s="7" t="s">
        <v>16916</v>
      </c>
      <c r="G8080" s="8" t="s">
        <v>15</v>
      </c>
    </row>
    <row r="8081" spans="1:7" hidden="1" x14ac:dyDescent="0.25">
      <c r="A8081" s="21">
        <v>8080</v>
      </c>
      <c r="B8081" s="7" t="s">
        <v>16917</v>
      </c>
      <c r="C8081" s="7" t="s">
        <v>16918</v>
      </c>
      <c r="G8081" s="8" t="s">
        <v>15</v>
      </c>
    </row>
    <row r="8082" spans="1:7" hidden="1" x14ac:dyDescent="0.25">
      <c r="A8082" s="21">
        <v>8081</v>
      </c>
      <c r="B8082" s="7" t="s">
        <v>16919</v>
      </c>
      <c r="C8082" s="7" t="s">
        <v>16920</v>
      </c>
      <c r="G8082" s="8" t="s">
        <v>15</v>
      </c>
    </row>
    <row r="8083" spans="1:7" hidden="1" x14ac:dyDescent="0.25">
      <c r="A8083" s="21">
        <v>8082</v>
      </c>
      <c r="B8083" s="7" t="s">
        <v>16921</v>
      </c>
      <c r="C8083" s="7" t="s">
        <v>16922</v>
      </c>
      <c r="F8083" t="s">
        <v>1194</v>
      </c>
      <c r="G8083" s="8" t="s">
        <v>15</v>
      </c>
    </row>
    <row r="8084" spans="1:7" hidden="1" x14ac:dyDescent="0.25">
      <c r="A8084" s="21">
        <v>8083</v>
      </c>
      <c r="B8084" s="7" t="s">
        <v>16923</v>
      </c>
      <c r="C8084" s="7" t="s">
        <v>16924</v>
      </c>
      <c r="G8084" s="8" t="s">
        <v>15</v>
      </c>
    </row>
    <row r="8085" spans="1:7" hidden="1" x14ac:dyDescent="0.25">
      <c r="A8085" s="21">
        <v>8084</v>
      </c>
      <c r="B8085" s="7" t="s">
        <v>16925</v>
      </c>
      <c r="C8085" s="7" t="s">
        <v>16926</v>
      </c>
      <c r="G8085" s="8" t="s">
        <v>15</v>
      </c>
    </row>
    <row r="8086" spans="1:7" hidden="1" x14ac:dyDescent="0.25">
      <c r="A8086" s="21">
        <v>8085</v>
      </c>
      <c r="B8086" s="7" t="s">
        <v>16927</v>
      </c>
      <c r="C8086" s="7" t="s">
        <v>16928</v>
      </c>
      <c r="G8086" s="8" t="s">
        <v>15</v>
      </c>
    </row>
    <row r="8087" spans="1:7" hidden="1" x14ac:dyDescent="0.25">
      <c r="A8087" s="21">
        <v>8086</v>
      </c>
      <c r="B8087" s="7" t="s">
        <v>16929</v>
      </c>
      <c r="C8087" s="7" t="s">
        <v>16930</v>
      </c>
      <c r="G8087" s="8" t="s">
        <v>15</v>
      </c>
    </row>
    <row r="8088" spans="1:7" hidden="1" x14ac:dyDescent="0.25">
      <c r="A8088" s="21">
        <v>8087</v>
      </c>
      <c r="B8088" s="7" t="s">
        <v>16931</v>
      </c>
      <c r="C8088" s="7" t="s">
        <v>16932</v>
      </c>
      <c r="G8088" s="8" t="s">
        <v>15</v>
      </c>
    </row>
    <row r="8089" spans="1:7" hidden="1" x14ac:dyDescent="0.25">
      <c r="A8089" s="21">
        <v>8088</v>
      </c>
      <c r="B8089" s="7" t="s">
        <v>16933</v>
      </c>
      <c r="C8089" s="7" t="s">
        <v>16934</v>
      </c>
      <c r="G8089" s="8" t="s">
        <v>15</v>
      </c>
    </row>
    <row r="8090" spans="1:7" hidden="1" x14ac:dyDescent="0.25">
      <c r="A8090" s="21">
        <v>8089</v>
      </c>
      <c r="B8090" s="7" t="s">
        <v>16935</v>
      </c>
      <c r="C8090" s="7" t="s">
        <v>16936</v>
      </c>
      <c r="G8090" s="8" t="s">
        <v>15</v>
      </c>
    </row>
    <row r="8091" spans="1:7" hidden="1" x14ac:dyDescent="0.25">
      <c r="A8091" s="21">
        <v>8090</v>
      </c>
      <c r="B8091" s="7" t="s">
        <v>16937</v>
      </c>
      <c r="C8091" s="7" t="s">
        <v>16938</v>
      </c>
      <c r="G8091" s="8" t="s">
        <v>15</v>
      </c>
    </row>
    <row r="8092" spans="1:7" hidden="1" x14ac:dyDescent="0.25">
      <c r="A8092" s="21">
        <v>8091</v>
      </c>
      <c r="B8092" s="7" t="s">
        <v>16939</v>
      </c>
      <c r="C8092" s="7" t="s">
        <v>16940</v>
      </c>
      <c r="G8092" s="8" t="s">
        <v>15</v>
      </c>
    </row>
    <row r="8093" spans="1:7" hidden="1" x14ac:dyDescent="0.25">
      <c r="A8093" s="21">
        <v>8092</v>
      </c>
      <c r="B8093" s="7" t="s">
        <v>16941</v>
      </c>
      <c r="C8093" s="7" t="s">
        <v>16942</v>
      </c>
      <c r="G8093" s="8" t="s">
        <v>15</v>
      </c>
    </row>
    <row r="8094" spans="1:7" hidden="1" x14ac:dyDescent="0.25">
      <c r="A8094" s="21">
        <v>8093</v>
      </c>
      <c r="B8094" s="7" t="s">
        <v>16943</v>
      </c>
      <c r="C8094" s="7" t="s">
        <v>16944</v>
      </c>
      <c r="G8094" s="8" t="s">
        <v>15</v>
      </c>
    </row>
    <row r="8095" spans="1:7" hidden="1" x14ac:dyDescent="0.25">
      <c r="A8095" s="21">
        <v>8094</v>
      </c>
      <c r="B8095" s="7" t="s">
        <v>16945</v>
      </c>
      <c r="C8095" s="7" t="s">
        <v>16946</v>
      </c>
      <c r="G8095" s="8" t="s">
        <v>15</v>
      </c>
    </row>
    <row r="8096" spans="1:7" hidden="1" x14ac:dyDescent="0.25">
      <c r="A8096" s="21">
        <v>8095</v>
      </c>
      <c r="B8096" s="7" t="s">
        <v>16947</v>
      </c>
      <c r="C8096" s="7" t="s">
        <v>16948</v>
      </c>
      <c r="G8096" s="8" t="s">
        <v>15</v>
      </c>
    </row>
    <row r="8097" spans="1:7" hidden="1" x14ac:dyDescent="0.25">
      <c r="A8097" s="21">
        <v>8096</v>
      </c>
      <c r="B8097" s="7" t="s">
        <v>16949</v>
      </c>
      <c r="C8097" s="7" t="s">
        <v>16950</v>
      </c>
      <c r="F8097" t="s">
        <v>147</v>
      </c>
      <c r="G8097" s="8" t="s">
        <v>15</v>
      </c>
    </row>
    <row r="8098" spans="1:7" hidden="1" x14ac:dyDescent="0.25">
      <c r="A8098" s="21">
        <v>8097</v>
      </c>
      <c r="B8098" s="7" t="s">
        <v>16951</v>
      </c>
      <c r="C8098" s="7" t="s">
        <v>16952</v>
      </c>
      <c r="G8098" s="8" t="s">
        <v>15</v>
      </c>
    </row>
    <row r="8099" spans="1:7" hidden="1" x14ac:dyDescent="0.25">
      <c r="A8099" s="21">
        <v>8098</v>
      </c>
      <c r="B8099" s="7" t="s">
        <v>16953</v>
      </c>
      <c r="C8099" s="7" t="s">
        <v>16954</v>
      </c>
      <c r="G8099" s="8" t="s">
        <v>15</v>
      </c>
    </row>
    <row r="8100" spans="1:7" hidden="1" x14ac:dyDescent="0.25">
      <c r="A8100" s="21">
        <v>8099</v>
      </c>
      <c r="B8100" s="7" t="s">
        <v>16955</v>
      </c>
      <c r="C8100" s="7" t="s">
        <v>16956</v>
      </c>
      <c r="G8100" s="8" t="s">
        <v>15</v>
      </c>
    </row>
    <row r="8101" spans="1:7" hidden="1" x14ac:dyDescent="0.25">
      <c r="A8101" s="21">
        <v>8100</v>
      </c>
      <c r="B8101" s="7" t="s">
        <v>16957</v>
      </c>
      <c r="C8101" s="7" t="s">
        <v>16958</v>
      </c>
      <c r="G8101" s="8" t="s">
        <v>15</v>
      </c>
    </row>
    <row r="8102" spans="1:7" hidden="1" x14ac:dyDescent="0.25">
      <c r="A8102" s="21">
        <v>8101</v>
      </c>
      <c r="B8102" s="7" t="s">
        <v>16959</v>
      </c>
      <c r="C8102" s="7" t="s">
        <v>16960</v>
      </c>
      <c r="G8102" s="8" t="s">
        <v>15</v>
      </c>
    </row>
    <row r="8103" spans="1:7" hidden="1" x14ac:dyDescent="0.25">
      <c r="A8103" s="21">
        <v>8102</v>
      </c>
      <c r="B8103" s="7" t="s">
        <v>16961</v>
      </c>
      <c r="C8103" s="7" t="s">
        <v>16962</v>
      </c>
      <c r="G8103" s="8" t="s">
        <v>15</v>
      </c>
    </row>
    <row r="8104" spans="1:7" hidden="1" x14ac:dyDescent="0.25">
      <c r="A8104" s="21">
        <v>8103</v>
      </c>
      <c r="B8104" s="7" t="s">
        <v>16963</v>
      </c>
      <c r="C8104" s="7" t="s">
        <v>16964</v>
      </c>
      <c r="G8104" s="8" t="s">
        <v>15</v>
      </c>
    </row>
    <row r="8105" spans="1:7" hidden="1" x14ac:dyDescent="0.25">
      <c r="A8105" s="21">
        <v>8104</v>
      </c>
      <c r="B8105" s="7" t="s">
        <v>16965</v>
      </c>
      <c r="C8105" s="7" t="s">
        <v>16966</v>
      </c>
      <c r="F8105" t="s">
        <v>23</v>
      </c>
      <c r="G8105" s="8" t="s">
        <v>15</v>
      </c>
    </row>
    <row r="8106" spans="1:7" hidden="1" x14ac:dyDescent="0.25">
      <c r="A8106" s="21">
        <v>8105</v>
      </c>
      <c r="B8106" s="7" t="s">
        <v>16967</v>
      </c>
      <c r="C8106" s="7" t="s">
        <v>16968</v>
      </c>
      <c r="G8106" s="8" t="s">
        <v>15</v>
      </c>
    </row>
    <row r="8107" spans="1:7" hidden="1" x14ac:dyDescent="0.25">
      <c r="A8107" s="21">
        <v>8106</v>
      </c>
      <c r="B8107" s="7" t="s">
        <v>16969</v>
      </c>
      <c r="C8107" s="7" t="s">
        <v>16970</v>
      </c>
      <c r="G8107" s="8" t="s">
        <v>15</v>
      </c>
    </row>
    <row r="8108" spans="1:7" hidden="1" x14ac:dyDescent="0.25">
      <c r="A8108" s="21">
        <v>8107</v>
      </c>
      <c r="B8108" s="7" t="s">
        <v>16971</v>
      </c>
      <c r="C8108" s="7" t="s">
        <v>16972</v>
      </c>
      <c r="G8108" s="8" t="s">
        <v>15</v>
      </c>
    </row>
    <row r="8109" spans="1:7" hidden="1" x14ac:dyDescent="0.25">
      <c r="A8109" s="21">
        <v>8108</v>
      </c>
      <c r="B8109" s="7" t="s">
        <v>16973</v>
      </c>
      <c r="C8109" s="7" t="s">
        <v>16974</v>
      </c>
      <c r="G8109" s="8" t="s">
        <v>15</v>
      </c>
    </row>
    <row r="8110" spans="1:7" hidden="1" x14ac:dyDescent="0.25">
      <c r="A8110" s="21">
        <v>8109</v>
      </c>
      <c r="B8110" s="7" t="s">
        <v>16975</v>
      </c>
      <c r="C8110" s="7" t="s">
        <v>16976</v>
      </c>
      <c r="G8110" s="8" t="s">
        <v>15</v>
      </c>
    </row>
    <row r="8111" spans="1:7" hidden="1" x14ac:dyDescent="0.25">
      <c r="A8111" s="21">
        <v>8110</v>
      </c>
      <c r="B8111" s="7" t="s">
        <v>16977</v>
      </c>
      <c r="C8111" s="7" t="s">
        <v>16978</v>
      </c>
      <c r="G8111" s="8" t="s">
        <v>15</v>
      </c>
    </row>
    <row r="8112" spans="1:7" hidden="1" x14ac:dyDescent="0.25">
      <c r="A8112" s="21">
        <v>8111</v>
      </c>
      <c r="B8112" s="7" t="s">
        <v>16979</v>
      </c>
      <c r="C8112" s="7" t="s">
        <v>16980</v>
      </c>
      <c r="G8112" s="8" t="s">
        <v>15</v>
      </c>
    </row>
    <row r="8113" spans="1:7" hidden="1" x14ac:dyDescent="0.25">
      <c r="A8113" s="21">
        <v>8112</v>
      </c>
      <c r="B8113" s="7" t="s">
        <v>16981</v>
      </c>
      <c r="C8113" s="7" t="s">
        <v>16982</v>
      </c>
      <c r="G8113" s="8" t="s">
        <v>15</v>
      </c>
    </row>
    <row r="8114" spans="1:7" hidden="1" x14ac:dyDescent="0.25">
      <c r="A8114" s="21">
        <v>8113</v>
      </c>
      <c r="B8114" s="7" t="s">
        <v>16983</v>
      </c>
      <c r="C8114" s="7" t="s">
        <v>16984</v>
      </c>
      <c r="G8114" s="8" t="s">
        <v>15</v>
      </c>
    </row>
    <row r="8115" spans="1:7" hidden="1" x14ac:dyDescent="0.25">
      <c r="A8115" s="21">
        <v>8114</v>
      </c>
      <c r="B8115" s="7" t="s">
        <v>16985</v>
      </c>
      <c r="C8115" s="7" t="s">
        <v>16986</v>
      </c>
      <c r="F8115" t="s">
        <v>1194</v>
      </c>
      <c r="G8115" s="8" t="s">
        <v>15</v>
      </c>
    </row>
    <row r="8116" spans="1:7" hidden="1" x14ac:dyDescent="0.25">
      <c r="A8116" s="21">
        <v>8115</v>
      </c>
      <c r="B8116" s="7" t="s">
        <v>16987</v>
      </c>
      <c r="C8116" s="7" t="s">
        <v>16988</v>
      </c>
      <c r="F8116" t="s">
        <v>1194</v>
      </c>
      <c r="G8116" s="8" t="s">
        <v>15</v>
      </c>
    </row>
    <row r="8117" spans="1:7" hidden="1" x14ac:dyDescent="0.25">
      <c r="A8117" s="21">
        <v>8116</v>
      </c>
      <c r="B8117" s="7" t="s">
        <v>16989</v>
      </c>
      <c r="C8117" s="7" t="s">
        <v>16990</v>
      </c>
      <c r="F8117" t="s">
        <v>1194</v>
      </c>
      <c r="G8117" s="8" t="s">
        <v>15</v>
      </c>
    </row>
    <row r="8118" spans="1:7" hidden="1" x14ac:dyDescent="0.25">
      <c r="A8118" s="21">
        <v>8117</v>
      </c>
      <c r="B8118" s="7" t="s">
        <v>16991</v>
      </c>
      <c r="C8118" s="7" t="s">
        <v>16992</v>
      </c>
      <c r="F8118" t="s">
        <v>1194</v>
      </c>
      <c r="G8118" s="8" t="s">
        <v>15</v>
      </c>
    </row>
    <row r="8119" spans="1:7" hidden="1" x14ac:dyDescent="0.25">
      <c r="A8119" s="21">
        <v>8118</v>
      </c>
      <c r="B8119" s="7" t="s">
        <v>16993</v>
      </c>
      <c r="C8119" s="7" t="s">
        <v>16994</v>
      </c>
      <c r="G8119" s="8" t="s">
        <v>15</v>
      </c>
    </row>
    <row r="8120" spans="1:7" hidden="1" x14ac:dyDescent="0.25">
      <c r="A8120" s="21">
        <v>8119</v>
      </c>
      <c r="B8120" s="7" t="s">
        <v>16995</v>
      </c>
      <c r="C8120" s="7" t="s">
        <v>16996</v>
      </c>
      <c r="F8120" s="8" t="s">
        <v>76</v>
      </c>
      <c r="G8120" s="8" t="s">
        <v>15</v>
      </c>
    </row>
    <row r="8121" spans="1:7" hidden="1" x14ac:dyDescent="0.25">
      <c r="A8121" s="21">
        <v>8120</v>
      </c>
      <c r="B8121" s="7" t="s">
        <v>16997</v>
      </c>
      <c r="C8121" s="7" t="s">
        <v>16998</v>
      </c>
      <c r="G8121" s="8" t="s">
        <v>15</v>
      </c>
    </row>
    <row r="8122" spans="1:7" hidden="1" x14ac:dyDescent="0.25">
      <c r="A8122" s="21">
        <v>8121</v>
      </c>
      <c r="B8122" s="7" t="s">
        <v>16999</v>
      </c>
      <c r="C8122" s="7" t="s">
        <v>17000</v>
      </c>
      <c r="G8122" s="8" t="s">
        <v>15</v>
      </c>
    </row>
    <row r="8123" spans="1:7" hidden="1" x14ac:dyDescent="0.25">
      <c r="A8123" s="21">
        <v>8122</v>
      </c>
      <c r="B8123" s="7" t="s">
        <v>17001</v>
      </c>
      <c r="C8123" s="7" t="s">
        <v>17002</v>
      </c>
      <c r="G8123" s="8" t="s">
        <v>15</v>
      </c>
    </row>
    <row r="8124" spans="1:7" hidden="1" x14ac:dyDescent="0.25">
      <c r="A8124" s="21">
        <v>8123</v>
      </c>
      <c r="B8124" s="7" t="s">
        <v>17003</v>
      </c>
      <c r="C8124" s="7" t="s">
        <v>17004</v>
      </c>
      <c r="F8124" t="s">
        <v>3306</v>
      </c>
      <c r="G8124" s="8" t="s">
        <v>15</v>
      </c>
    </row>
    <row r="8125" spans="1:7" hidden="1" x14ac:dyDescent="0.25">
      <c r="A8125" s="21">
        <v>8124</v>
      </c>
      <c r="B8125" s="7" t="s">
        <v>17005</v>
      </c>
      <c r="C8125" s="7" t="s">
        <v>17006</v>
      </c>
      <c r="G8125" s="8" t="s">
        <v>15</v>
      </c>
    </row>
    <row r="8126" spans="1:7" hidden="1" x14ac:dyDescent="0.25">
      <c r="A8126" s="21">
        <v>8125</v>
      </c>
      <c r="B8126" s="7" t="s">
        <v>17007</v>
      </c>
      <c r="C8126" s="7" t="s">
        <v>17008</v>
      </c>
      <c r="G8126" s="8" t="s">
        <v>15</v>
      </c>
    </row>
    <row r="8127" spans="1:7" hidden="1" x14ac:dyDescent="0.25">
      <c r="A8127" s="21">
        <v>8126</v>
      </c>
      <c r="B8127" s="7" t="s">
        <v>17009</v>
      </c>
      <c r="C8127" s="7" t="s">
        <v>17010</v>
      </c>
      <c r="G8127" s="8" t="s">
        <v>15</v>
      </c>
    </row>
    <row r="8128" spans="1:7" hidden="1" x14ac:dyDescent="0.25">
      <c r="A8128" s="21">
        <v>8127</v>
      </c>
      <c r="B8128" s="7" t="s">
        <v>17011</v>
      </c>
      <c r="C8128" s="7" t="s">
        <v>17012</v>
      </c>
      <c r="G8128" s="8" t="s">
        <v>15</v>
      </c>
    </row>
    <row r="8129" spans="1:7" hidden="1" x14ac:dyDescent="0.25">
      <c r="A8129" s="21">
        <v>8128</v>
      </c>
      <c r="B8129" s="7" t="s">
        <v>17013</v>
      </c>
      <c r="C8129" s="7" t="s">
        <v>17014</v>
      </c>
      <c r="G8129" s="8" t="s">
        <v>15</v>
      </c>
    </row>
    <row r="8130" spans="1:7" hidden="1" x14ac:dyDescent="0.25">
      <c r="A8130" s="21">
        <v>8129</v>
      </c>
      <c r="B8130" s="7" t="s">
        <v>17015</v>
      </c>
      <c r="C8130" s="7" t="s">
        <v>17016</v>
      </c>
      <c r="G8130" s="8" t="s">
        <v>15</v>
      </c>
    </row>
    <row r="8131" spans="1:7" hidden="1" x14ac:dyDescent="0.25">
      <c r="A8131" s="21">
        <v>8130</v>
      </c>
      <c r="B8131" s="7" t="s">
        <v>17017</v>
      </c>
      <c r="C8131" s="7" t="s">
        <v>17018</v>
      </c>
      <c r="G8131" s="8" t="s">
        <v>15</v>
      </c>
    </row>
    <row r="8132" spans="1:7" hidden="1" x14ac:dyDescent="0.25">
      <c r="A8132" s="21">
        <v>8131</v>
      </c>
      <c r="B8132" s="7" t="s">
        <v>17019</v>
      </c>
      <c r="C8132" s="7" t="s">
        <v>17020</v>
      </c>
      <c r="G8132" s="8" t="s">
        <v>15</v>
      </c>
    </row>
    <row r="8133" spans="1:7" hidden="1" x14ac:dyDescent="0.25">
      <c r="A8133" s="21">
        <v>8132</v>
      </c>
      <c r="B8133" s="7" t="s">
        <v>17021</v>
      </c>
      <c r="C8133" s="7" t="s">
        <v>17022</v>
      </c>
      <c r="G8133" s="8" t="s">
        <v>15</v>
      </c>
    </row>
    <row r="8134" spans="1:7" hidden="1" x14ac:dyDescent="0.25">
      <c r="A8134" s="21">
        <v>8133</v>
      </c>
      <c r="B8134" s="7" t="s">
        <v>17023</v>
      </c>
      <c r="C8134" s="7" t="s">
        <v>17024</v>
      </c>
      <c r="G8134" s="8" t="s">
        <v>15</v>
      </c>
    </row>
    <row r="8135" spans="1:7" hidden="1" x14ac:dyDescent="0.25">
      <c r="A8135" s="21">
        <v>8134</v>
      </c>
      <c r="B8135" s="7" t="s">
        <v>17025</v>
      </c>
      <c r="C8135" s="7" t="s">
        <v>17026</v>
      </c>
      <c r="G8135" s="8" t="s">
        <v>15</v>
      </c>
    </row>
    <row r="8136" spans="1:7" hidden="1" x14ac:dyDescent="0.25">
      <c r="A8136" s="21">
        <v>8135</v>
      </c>
      <c r="B8136" s="7" t="s">
        <v>17027</v>
      </c>
      <c r="C8136" s="7" t="s">
        <v>17028</v>
      </c>
      <c r="G8136" s="8" t="s">
        <v>15</v>
      </c>
    </row>
    <row r="8137" spans="1:7" hidden="1" x14ac:dyDescent="0.25">
      <c r="A8137" s="21">
        <v>8136</v>
      </c>
      <c r="B8137" s="7" t="s">
        <v>17029</v>
      </c>
      <c r="C8137" s="7" t="s">
        <v>17030</v>
      </c>
      <c r="G8137" s="8" t="s">
        <v>15</v>
      </c>
    </row>
    <row r="8138" spans="1:7" hidden="1" x14ac:dyDescent="0.25">
      <c r="A8138" s="21">
        <v>8137</v>
      </c>
      <c r="B8138" s="7" t="s">
        <v>17031</v>
      </c>
      <c r="C8138" s="7" t="s">
        <v>17032</v>
      </c>
      <c r="F8138" t="s">
        <v>23</v>
      </c>
      <c r="G8138" s="8" t="s">
        <v>15</v>
      </c>
    </row>
    <row r="8139" spans="1:7" hidden="1" x14ac:dyDescent="0.25">
      <c r="A8139" s="21">
        <v>8138</v>
      </c>
      <c r="B8139" s="7" t="s">
        <v>17033</v>
      </c>
      <c r="C8139" s="7" t="s">
        <v>17034</v>
      </c>
      <c r="G8139" s="8" t="s">
        <v>15</v>
      </c>
    </row>
    <row r="8140" spans="1:7" hidden="1" x14ac:dyDescent="0.25">
      <c r="A8140" s="21">
        <v>8139</v>
      </c>
      <c r="B8140" s="7" t="s">
        <v>17035</v>
      </c>
      <c r="C8140" s="7" t="s">
        <v>17036</v>
      </c>
      <c r="G8140" s="8" t="s">
        <v>15</v>
      </c>
    </row>
    <row r="8141" spans="1:7" hidden="1" x14ac:dyDescent="0.25">
      <c r="A8141" s="21">
        <v>8140</v>
      </c>
      <c r="B8141" s="7" t="s">
        <v>17037</v>
      </c>
      <c r="C8141" s="7" t="s">
        <v>17038</v>
      </c>
      <c r="G8141" s="8" t="s">
        <v>15</v>
      </c>
    </row>
    <row r="8142" spans="1:7" hidden="1" x14ac:dyDescent="0.25">
      <c r="A8142" s="21">
        <v>8141</v>
      </c>
      <c r="B8142" s="7" t="s">
        <v>17039</v>
      </c>
      <c r="C8142" s="7" t="s">
        <v>17040</v>
      </c>
      <c r="G8142" s="8" t="s">
        <v>15</v>
      </c>
    </row>
    <row r="8143" spans="1:7" hidden="1" x14ac:dyDescent="0.25">
      <c r="A8143" s="21">
        <v>8142</v>
      </c>
      <c r="B8143" s="7" t="s">
        <v>17041</v>
      </c>
      <c r="C8143" s="7" t="s">
        <v>17042</v>
      </c>
      <c r="G8143" s="8" t="s">
        <v>15</v>
      </c>
    </row>
    <row r="8144" spans="1:7" hidden="1" x14ac:dyDescent="0.25">
      <c r="A8144" s="21">
        <v>8143</v>
      </c>
      <c r="B8144" s="7" t="s">
        <v>17043</v>
      </c>
      <c r="C8144" s="7" t="s">
        <v>17044</v>
      </c>
      <c r="G8144" s="8" t="s">
        <v>15</v>
      </c>
    </row>
    <row r="8145" spans="1:7" hidden="1" x14ac:dyDescent="0.25">
      <c r="A8145" s="21">
        <v>8144</v>
      </c>
      <c r="B8145" s="7" t="s">
        <v>17045</v>
      </c>
      <c r="C8145" s="7" t="s">
        <v>17046</v>
      </c>
      <c r="G8145" s="8" t="s">
        <v>15</v>
      </c>
    </row>
    <row r="8146" spans="1:7" hidden="1" x14ac:dyDescent="0.25">
      <c r="A8146" s="21">
        <v>8145</v>
      </c>
      <c r="B8146" s="7" t="s">
        <v>17047</v>
      </c>
      <c r="C8146" s="7" t="s">
        <v>17048</v>
      </c>
      <c r="F8146" s="8" t="s">
        <v>116</v>
      </c>
      <c r="G8146" s="8" t="s">
        <v>15</v>
      </c>
    </row>
    <row r="8147" spans="1:7" hidden="1" x14ac:dyDescent="0.25">
      <c r="A8147" s="21">
        <v>8146</v>
      </c>
      <c r="B8147" s="7" t="s">
        <v>17049</v>
      </c>
      <c r="C8147" s="7" t="s">
        <v>17050</v>
      </c>
      <c r="F8147" s="8" t="s">
        <v>116</v>
      </c>
      <c r="G8147" s="8" t="s">
        <v>15</v>
      </c>
    </row>
    <row r="8148" spans="1:7" hidden="1" x14ac:dyDescent="0.25">
      <c r="A8148" s="21">
        <v>8147</v>
      </c>
      <c r="B8148" s="7" t="s">
        <v>17051</v>
      </c>
      <c r="C8148" s="7" t="s">
        <v>17052</v>
      </c>
      <c r="G8148" s="8" t="s">
        <v>15</v>
      </c>
    </row>
    <row r="8149" spans="1:7" hidden="1" x14ac:dyDescent="0.25">
      <c r="A8149" s="21">
        <v>8148</v>
      </c>
      <c r="B8149" s="7" t="s">
        <v>17053</v>
      </c>
      <c r="C8149" s="7" t="s">
        <v>17054</v>
      </c>
      <c r="G8149" s="8" t="s">
        <v>15</v>
      </c>
    </row>
    <row r="8150" spans="1:7" hidden="1" x14ac:dyDescent="0.25">
      <c r="A8150" s="21">
        <v>8149</v>
      </c>
      <c r="B8150" s="7" t="s">
        <v>17055</v>
      </c>
      <c r="C8150" s="7" t="s">
        <v>17056</v>
      </c>
      <c r="G8150" s="8" t="s">
        <v>15</v>
      </c>
    </row>
    <row r="8151" spans="1:7" hidden="1" x14ac:dyDescent="0.25">
      <c r="A8151" s="21">
        <v>8150</v>
      </c>
      <c r="B8151" s="7" t="s">
        <v>17057</v>
      </c>
      <c r="C8151" s="7" t="s">
        <v>17058</v>
      </c>
      <c r="G8151" s="8" t="s">
        <v>15</v>
      </c>
    </row>
    <row r="8152" spans="1:7" hidden="1" x14ac:dyDescent="0.25">
      <c r="A8152" s="21">
        <v>8151</v>
      </c>
      <c r="B8152" s="7" t="s">
        <v>17059</v>
      </c>
      <c r="C8152" s="7" t="s">
        <v>17060</v>
      </c>
      <c r="G8152" s="8" t="s">
        <v>15</v>
      </c>
    </row>
    <row r="8153" spans="1:7" hidden="1" x14ac:dyDescent="0.25">
      <c r="A8153" s="21">
        <v>8152</v>
      </c>
      <c r="B8153" s="7" t="s">
        <v>17061</v>
      </c>
      <c r="C8153" s="7" t="s">
        <v>17062</v>
      </c>
      <c r="G8153" s="8" t="s">
        <v>15</v>
      </c>
    </row>
    <row r="8154" spans="1:7" hidden="1" x14ac:dyDescent="0.25">
      <c r="A8154" s="21">
        <v>8153</v>
      </c>
      <c r="B8154" s="7" t="s">
        <v>17063</v>
      </c>
      <c r="C8154" s="7" t="s">
        <v>17064</v>
      </c>
      <c r="G8154" s="8" t="s">
        <v>15</v>
      </c>
    </row>
    <row r="8155" spans="1:7" hidden="1" x14ac:dyDescent="0.25">
      <c r="A8155" s="21">
        <v>8154</v>
      </c>
      <c r="B8155" s="7" t="s">
        <v>17065</v>
      </c>
      <c r="C8155" s="7" t="s">
        <v>17066</v>
      </c>
      <c r="G8155" s="8" t="s">
        <v>15</v>
      </c>
    </row>
    <row r="8156" spans="1:7" hidden="1" x14ac:dyDescent="0.25">
      <c r="A8156" s="21">
        <v>8155</v>
      </c>
      <c r="B8156" s="7" t="s">
        <v>17067</v>
      </c>
      <c r="C8156" s="7" t="s">
        <v>17068</v>
      </c>
      <c r="G8156" s="8" t="s">
        <v>15</v>
      </c>
    </row>
    <row r="8157" spans="1:7" hidden="1" x14ac:dyDescent="0.25">
      <c r="A8157" s="21">
        <v>8156</v>
      </c>
      <c r="B8157" s="7" t="s">
        <v>17069</v>
      </c>
      <c r="C8157" s="7" t="s">
        <v>17070</v>
      </c>
      <c r="G8157" s="8" t="s">
        <v>15</v>
      </c>
    </row>
    <row r="8158" spans="1:7" hidden="1" x14ac:dyDescent="0.25">
      <c r="A8158" s="21">
        <v>8157</v>
      </c>
      <c r="B8158" s="7" t="s">
        <v>17071</v>
      </c>
      <c r="C8158" s="7" t="s">
        <v>17072</v>
      </c>
      <c r="G8158" s="8" t="s">
        <v>15</v>
      </c>
    </row>
    <row r="8159" spans="1:7" hidden="1" x14ac:dyDescent="0.25">
      <c r="A8159" s="21">
        <v>8158</v>
      </c>
      <c r="B8159" s="7" t="s">
        <v>17073</v>
      </c>
      <c r="C8159" s="7" t="s">
        <v>17074</v>
      </c>
      <c r="G8159" s="8" t="s">
        <v>15</v>
      </c>
    </row>
    <row r="8160" spans="1:7" hidden="1" x14ac:dyDescent="0.25">
      <c r="A8160" s="21">
        <v>8159</v>
      </c>
      <c r="B8160" s="7" t="s">
        <v>17075</v>
      </c>
      <c r="C8160" s="7" t="s">
        <v>17076</v>
      </c>
      <c r="G8160" s="8" t="s">
        <v>15</v>
      </c>
    </row>
    <row r="8161" spans="1:8" hidden="1" x14ac:dyDescent="0.25">
      <c r="A8161" s="21">
        <v>8160</v>
      </c>
      <c r="B8161" s="7" t="s">
        <v>17077</v>
      </c>
      <c r="C8161" s="7" t="s">
        <v>17078</v>
      </c>
      <c r="F8161" t="s">
        <v>147</v>
      </c>
      <c r="G8161" s="8" t="s">
        <v>15</v>
      </c>
      <c r="H8161" t="str">
        <f>_xlfn.XLOOKUP(B8161,Data!T:T,Data!F:F)</f>
        <v>100 gm</v>
      </c>
    </row>
    <row r="8162" spans="1:8" hidden="1" x14ac:dyDescent="0.25">
      <c r="A8162" s="21">
        <v>8161</v>
      </c>
      <c r="B8162" s="7" t="s">
        <v>17079</v>
      </c>
      <c r="C8162" s="7" t="s">
        <v>17080</v>
      </c>
      <c r="G8162" s="8" t="s">
        <v>15</v>
      </c>
      <c r="H8162" t="str">
        <f>_xlfn.XLOOKUP(B8162,Data!T:T,Data!F:F)</f>
        <v>75 gm</v>
      </c>
    </row>
    <row r="8163" spans="1:8" hidden="1" x14ac:dyDescent="0.25">
      <c r="A8163" s="21">
        <v>8162</v>
      </c>
      <c r="B8163" s="7" t="s">
        <v>17081</v>
      </c>
      <c r="C8163" s="7" t="s">
        <v>17082</v>
      </c>
      <c r="G8163" s="8" t="s">
        <v>15</v>
      </c>
    </row>
    <row r="8164" spans="1:8" hidden="1" x14ac:dyDescent="0.25">
      <c r="A8164" s="21">
        <v>8163</v>
      </c>
      <c r="B8164" s="7" t="s">
        <v>17083</v>
      </c>
      <c r="C8164" s="7" t="s">
        <v>17084</v>
      </c>
      <c r="G8164" s="8" t="s">
        <v>15</v>
      </c>
    </row>
    <row r="8165" spans="1:8" hidden="1" x14ac:dyDescent="0.25">
      <c r="A8165" s="21">
        <v>8164</v>
      </c>
      <c r="B8165" s="7" t="s">
        <v>17085</v>
      </c>
      <c r="C8165" s="7" t="s">
        <v>17086</v>
      </c>
      <c r="G8165" s="8" t="s">
        <v>15</v>
      </c>
    </row>
    <row r="8166" spans="1:8" hidden="1" x14ac:dyDescent="0.25">
      <c r="A8166" s="21">
        <v>8165</v>
      </c>
      <c r="B8166" s="7" t="s">
        <v>17087</v>
      </c>
      <c r="C8166" s="7" t="s">
        <v>17088</v>
      </c>
      <c r="F8166" s="8" t="s">
        <v>12000</v>
      </c>
      <c r="G8166" s="8" t="s">
        <v>15</v>
      </c>
    </row>
    <row r="8167" spans="1:8" hidden="1" x14ac:dyDescent="0.25">
      <c r="A8167" s="21">
        <v>8166</v>
      </c>
      <c r="B8167" s="7" t="s">
        <v>17089</v>
      </c>
      <c r="C8167" s="7" t="s">
        <v>17090</v>
      </c>
      <c r="G8167" s="8" t="s">
        <v>15</v>
      </c>
    </row>
    <row r="8168" spans="1:8" hidden="1" x14ac:dyDescent="0.25">
      <c r="A8168" s="21">
        <v>8167</v>
      </c>
      <c r="B8168" s="7" t="s">
        <v>17091</v>
      </c>
      <c r="C8168" s="7" t="s">
        <v>17092</v>
      </c>
      <c r="G8168" s="8" t="s">
        <v>15</v>
      </c>
      <c r="H8168" t="str">
        <f>_xlfn.XLOOKUP(B8168,Data!T:T,Data!F:F)</f>
        <v>100 gm</v>
      </c>
    </row>
    <row r="8169" spans="1:8" hidden="1" x14ac:dyDescent="0.25">
      <c r="A8169" s="21">
        <v>8168</v>
      </c>
      <c r="B8169" s="7" t="s">
        <v>17093</v>
      </c>
      <c r="C8169" s="7" t="s">
        <v>17094</v>
      </c>
      <c r="G8169" s="8" t="s">
        <v>15</v>
      </c>
    </row>
    <row r="8170" spans="1:8" hidden="1" x14ac:dyDescent="0.25">
      <c r="A8170" s="21">
        <v>8169</v>
      </c>
      <c r="B8170" s="7" t="s">
        <v>17095</v>
      </c>
      <c r="C8170" s="7" t="s">
        <v>17096</v>
      </c>
      <c r="G8170" s="8" t="s">
        <v>15</v>
      </c>
    </row>
    <row r="8171" spans="1:8" hidden="1" x14ac:dyDescent="0.25">
      <c r="A8171" s="21">
        <v>8170</v>
      </c>
      <c r="B8171" s="7" t="s">
        <v>17097</v>
      </c>
      <c r="C8171" s="7" t="s">
        <v>17098</v>
      </c>
      <c r="G8171" s="8" t="s">
        <v>15</v>
      </c>
    </row>
    <row r="8172" spans="1:8" hidden="1" x14ac:dyDescent="0.25">
      <c r="A8172" s="21">
        <v>8171</v>
      </c>
      <c r="B8172" s="7" t="s">
        <v>17099</v>
      </c>
      <c r="C8172" s="7" t="s">
        <v>17100</v>
      </c>
      <c r="G8172" s="8" t="s">
        <v>15</v>
      </c>
    </row>
    <row r="8173" spans="1:8" hidden="1" x14ac:dyDescent="0.25">
      <c r="A8173" s="21">
        <v>8172</v>
      </c>
      <c r="B8173" s="7" t="s">
        <v>17101</v>
      </c>
      <c r="C8173" s="7" t="s">
        <v>17102</v>
      </c>
      <c r="G8173" s="8" t="s">
        <v>15</v>
      </c>
    </row>
    <row r="8174" spans="1:8" hidden="1" x14ac:dyDescent="0.25">
      <c r="A8174" s="21">
        <v>8173</v>
      </c>
      <c r="B8174" s="7" t="s">
        <v>17103</v>
      </c>
      <c r="C8174" s="7" t="s">
        <v>17104</v>
      </c>
      <c r="G8174" s="8" t="s">
        <v>15</v>
      </c>
    </row>
    <row r="8175" spans="1:8" hidden="1" x14ac:dyDescent="0.25">
      <c r="A8175" s="21">
        <v>8174</v>
      </c>
      <c r="B8175" s="7" t="s">
        <v>17105</v>
      </c>
      <c r="C8175" s="7" t="s">
        <v>17106</v>
      </c>
      <c r="G8175" s="8" t="s">
        <v>15</v>
      </c>
    </row>
    <row r="8176" spans="1:8" hidden="1" x14ac:dyDescent="0.25">
      <c r="A8176" s="21">
        <v>8175</v>
      </c>
      <c r="B8176" s="7" t="s">
        <v>17107</v>
      </c>
      <c r="C8176" s="7" t="s">
        <v>17108</v>
      </c>
      <c r="G8176" s="8" t="s">
        <v>15</v>
      </c>
    </row>
    <row r="8177" spans="1:7" hidden="1" x14ac:dyDescent="0.25">
      <c r="A8177" s="21">
        <v>8176</v>
      </c>
      <c r="B8177" s="7" t="s">
        <v>17109</v>
      </c>
      <c r="C8177" s="7" t="s">
        <v>17110</v>
      </c>
      <c r="G8177" s="8" t="s">
        <v>15</v>
      </c>
    </row>
    <row r="8178" spans="1:7" hidden="1" x14ac:dyDescent="0.25">
      <c r="A8178" s="21">
        <v>8177</v>
      </c>
      <c r="B8178" s="7" t="s">
        <v>17111</v>
      </c>
      <c r="C8178" s="7" t="s">
        <v>17112</v>
      </c>
      <c r="G8178" s="8" t="s">
        <v>15</v>
      </c>
    </row>
    <row r="8179" spans="1:7" hidden="1" x14ac:dyDescent="0.25">
      <c r="A8179" s="21">
        <v>8178</v>
      </c>
      <c r="B8179" s="7" t="s">
        <v>17113</v>
      </c>
      <c r="C8179" s="7" t="s">
        <v>17114</v>
      </c>
      <c r="G8179" s="8" t="s">
        <v>15</v>
      </c>
    </row>
    <row r="8180" spans="1:7" hidden="1" x14ac:dyDescent="0.25">
      <c r="A8180" s="21">
        <v>8179</v>
      </c>
      <c r="B8180" s="7" t="s">
        <v>17115</v>
      </c>
      <c r="C8180" s="7" t="s">
        <v>17116</v>
      </c>
      <c r="G8180" s="8" t="s">
        <v>15</v>
      </c>
    </row>
    <row r="8181" spans="1:7" hidden="1" x14ac:dyDescent="0.25">
      <c r="A8181" s="21">
        <v>8180</v>
      </c>
      <c r="B8181" s="7" t="s">
        <v>17117</v>
      </c>
      <c r="C8181" s="7" t="s">
        <v>17118</v>
      </c>
      <c r="G8181" s="8" t="s">
        <v>15</v>
      </c>
    </row>
    <row r="8182" spans="1:7" hidden="1" x14ac:dyDescent="0.25">
      <c r="A8182" s="21">
        <v>8181</v>
      </c>
      <c r="B8182" s="7" t="s">
        <v>17119</v>
      </c>
      <c r="C8182" s="7" t="s">
        <v>17120</v>
      </c>
      <c r="G8182" s="8" t="s">
        <v>15</v>
      </c>
    </row>
    <row r="8183" spans="1:7" hidden="1" x14ac:dyDescent="0.25">
      <c r="A8183" s="21">
        <v>8182</v>
      </c>
      <c r="B8183" s="7" t="s">
        <v>17121</v>
      </c>
      <c r="C8183" s="7" t="s">
        <v>17122</v>
      </c>
      <c r="G8183" s="8" t="s">
        <v>15</v>
      </c>
    </row>
    <row r="8184" spans="1:7" hidden="1" x14ac:dyDescent="0.25">
      <c r="A8184" s="21">
        <v>8183</v>
      </c>
      <c r="B8184" s="7" t="s">
        <v>17123</v>
      </c>
      <c r="C8184" s="7" t="s">
        <v>17124</v>
      </c>
      <c r="G8184" s="8" t="s">
        <v>15</v>
      </c>
    </row>
    <row r="8185" spans="1:7" hidden="1" x14ac:dyDescent="0.25">
      <c r="A8185" s="21">
        <v>8184</v>
      </c>
      <c r="B8185" s="7" t="s">
        <v>17125</v>
      </c>
      <c r="C8185" s="7" t="s">
        <v>17126</v>
      </c>
      <c r="G8185" s="8" t="s">
        <v>15</v>
      </c>
    </row>
    <row r="8186" spans="1:7" hidden="1" x14ac:dyDescent="0.25">
      <c r="A8186" s="21">
        <v>8185</v>
      </c>
      <c r="B8186" s="7" t="s">
        <v>17127</v>
      </c>
      <c r="C8186" s="7" t="s">
        <v>17128</v>
      </c>
      <c r="G8186" s="8" t="s">
        <v>15</v>
      </c>
    </row>
    <row r="8187" spans="1:7" hidden="1" x14ac:dyDescent="0.25">
      <c r="A8187" s="21">
        <v>8186</v>
      </c>
      <c r="B8187" s="7" t="s">
        <v>17129</v>
      </c>
      <c r="C8187" s="7" t="s">
        <v>17130</v>
      </c>
      <c r="G8187" s="8" t="s">
        <v>15</v>
      </c>
    </row>
    <row r="8188" spans="1:7" hidden="1" x14ac:dyDescent="0.25">
      <c r="A8188" s="21">
        <v>8187</v>
      </c>
      <c r="B8188" s="7" t="s">
        <v>17131</v>
      </c>
      <c r="C8188" s="7" t="s">
        <v>17132</v>
      </c>
      <c r="G8188" s="8" t="s">
        <v>15</v>
      </c>
    </row>
    <row r="8189" spans="1:7" hidden="1" x14ac:dyDescent="0.25">
      <c r="A8189" s="21">
        <v>8188</v>
      </c>
      <c r="B8189" s="7" t="s">
        <v>17133</v>
      </c>
      <c r="C8189" s="7" t="s">
        <v>17134</v>
      </c>
      <c r="G8189" s="8" t="s">
        <v>15</v>
      </c>
    </row>
    <row r="8190" spans="1:7" hidden="1" x14ac:dyDescent="0.25">
      <c r="A8190" s="21">
        <v>8189</v>
      </c>
      <c r="B8190" s="7" t="s">
        <v>17135</v>
      </c>
      <c r="C8190" s="7" t="s">
        <v>17136</v>
      </c>
      <c r="G8190" s="8" t="s">
        <v>15</v>
      </c>
    </row>
    <row r="8191" spans="1:7" hidden="1" x14ac:dyDescent="0.25">
      <c r="A8191" s="21">
        <v>8190</v>
      </c>
      <c r="B8191" s="7" t="s">
        <v>17137</v>
      </c>
      <c r="C8191" s="7" t="s">
        <v>17138</v>
      </c>
      <c r="G8191" s="8" t="s">
        <v>15</v>
      </c>
    </row>
    <row r="8192" spans="1:7" hidden="1" x14ac:dyDescent="0.25">
      <c r="A8192" s="21">
        <v>8191</v>
      </c>
      <c r="B8192" s="7" t="s">
        <v>17139</v>
      </c>
      <c r="C8192" s="7" t="s">
        <v>17140</v>
      </c>
      <c r="G8192" s="8" t="s">
        <v>15</v>
      </c>
    </row>
    <row r="8193" spans="1:7" hidden="1" x14ac:dyDescent="0.25">
      <c r="A8193" s="21">
        <v>8192</v>
      </c>
      <c r="B8193" s="7" t="s">
        <v>17141</v>
      </c>
      <c r="C8193" s="7" t="s">
        <v>17142</v>
      </c>
      <c r="G8193" s="8" t="s">
        <v>15</v>
      </c>
    </row>
    <row r="8194" spans="1:7" hidden="1" x14ac:dyDescent="0.25">
      <c r="A8194" s="21">
        <v>8193</v>
      </c>
      <c r="B8194" s="7" t="s">
        <v>17143</v>
      </c>
      <c r="C8194" s="7" t="s">
        <v>17144</v>
      </c>
      <c r="G8194" s="8" t="s">
        <v>15</v>
      </c>
    </row>
    <row r="8195" spans="1:7" hidden="1" x14ac:dyDescent="0.25">
      <c r="A8195" s="21">
        <v>8194</v>
      </c>
      <c r="B8195" s="7" t="s">
        <v>17145</v>
      </c>
      <c r="C8195" s="7" t="s">
        <v>17146</v>
      </c>
      <c r="G8195" s="8" t="s">
        <v>15</v>
      </c>
    </row>
    <row r="8196" spans="1:7" hidden="1" x14ac:dyDescent="0.25">
      <c r="A8196" s="21">
        <v>8195</v>
      </c>
      <c r="B8196" s="7" t="s">
        <v>17147</v>
      </c>
      <c r="C8196" s="7" t="s">
        <v>17148</v>
      </c>
      <c r="G8196" s="8" t="s">
        <v>15</v>
      </c>
    </row>
    <row r="8197" spans="1:7" hidden="1" x14ac:dyDescent="0.25">
      <c r="A8197" s="21">
        <v>8196</v>
      </c>
      <c r="B8197" s="7" t="s">
        <v>17149</v>
      </c>
      <c r="C8197" s="7" t="s">
        <v>17150</v>
      </c>
      <c r="G8197" s="8" t="s">
        <v>15</v>
      </c>
    </row>
    <row r="8198" spans="1:7" hidden="1" x14ac:dyDescent="0.25">
      <c r="A8198" s="21">
        <v>8197</v>
      </c>
      <c r="B8198" s="7" t="s">
        <v>17151</v>
      </c>
      <c r="C8198" s="7" t="s">
        <v>17152</v>
      </c>
      <c r="G8198" s="8" t="s">
        <v>15</v>
      </c>
    </row>
    <row r="8199" spans="1:7" hidden="1" x14ac:dyDescent="0.25">
      <c r="A8199" s="21">
        <v>8198</v>
      </c>
      <c r="B8199" s="7" t="s">
        <v>17153</v>
      </c>
      <c r="C8199" s="7" t="s">
        <v>17154</v>
      </c>
      <c r="G8199" s="8" t="s">
        <v>15</v>
      </c>
    </row>
    <row r="8200" spans="1:7" hidden="1" x14ac:dyDescent="0.25">
      <c r="A8200" s="21">
        <v>8199</v>
      </c>
      <c r="B8200" s="7" t="s">
        <v>17155</v>
      </c>
      <c r="C8200" s="7" t="s">
        <v>17156</v>
      </c>
      <c r="G8200" s="8" t="s">
        <v>15</v>
      </c>
    </row>
    <row r="8201" spans="1:7" hidden="1" x14ac:dyDescent="0.25">
      <c r="A8201" s="21">
        <v>8200</v>
      </c>
      <c r="B8201" s="7" t="s">
        <v>17157</v>
      </c>
      <c r="C8201" s="7" t="s">
        <v>17158</v>
      </c>
      <c r="G8201" s="8" t="s">
        <v>15</v>
      </c>
    </row>
    <row r="8202" spans="1:7" hidden="1" x14ac:dyDescent="0.25">
      <c r="A8202" s="21">
        <v>8201</v>
      </c>
      <c r="B8202" s="7" t="s">
        <v>17159</v>
      </c>
      <c r="C8202" s="7" t="s">
        <v>17160</v>
      </c>
      <c r="G8202" s="8" t="s">
        <v>15</v>
      </c>
    </row>
    <row r="8203" spans="1:7" hidden="1" x14ac:dyDescent="0.25">
      <c r="A8203" s="21">
        <v>8202</v>
      </c>
      <c r="B8203" s="7" t="s">
        <v>17161</v>
      </c>
      <c r="C8203" s="7" t="s">
        <v>17162</v>
      </c>
      <c r="G8203" s="8" t="s">
        <v>15</v>
      </c>
    </row>
    <row r="8204" spans="1:7" hidden="1" x14ac:dyDescent="0.25">
      <c r="A8204" s="21">
        <v>8203</v>
      </c>
      <c r="B8204" s="7" t="s">
        <v>17163</v>
      </c>
      <c r="C8204" s="7" t="s">
        <v>17164</v>
      </c>
      <c r="G8204" s="8" t="s">
        <v>15</v>
      </c>
    </row>
    <row r="8205" spans="1:7" hidden="1" x14ac:dyDescent="0.25">
      <c r="A8205" s="21">
        <v>8204</v>
      </c>
      <c r="B8205" s="7" t="s">
        <v>17165</v>
      </c>
      <c r="C8205" s="7" t="s">
        <v>17166</v>
      </c>
      <c r="G8205" s="8" t="s">
        <v>15</v>
      </c>
    </row>
    <row r="8206" spans="1:7" hidden="1" x14ac:dyDescent="0.25">
      <c r="A8206" s="21">
        <v>8205</v>
      </c>
      <c r="B8206" s="7" t="s">
        <v>17167</v>
      </c>
      <c r="C8206" s="7" t="s">
        <v>17168</v>
      </c>
      <c r="G8206" s="8" t="s">
        <v>15</v>
      </c>
    </row>
    <row r="8207" spans="1:7" hidden="1" x14ac:dyDescent="0.25">
      <c r="A8207" s="21">
        <v>8206</v>
      </c>
      <c r="B8207" s="7" t="s">
        <v>17169</v>
      </c>
      <c r="C8207" s="7" t="s">
        <v>17170</v>
      </c>
      <c r="G8207" s="8" t="s">
        <v>15</v>
      </c>
    </row>
    <row r="8208" spans="1:7" hidden="1" x14ac:dyDescent="0.25">
      <c r="A8208" s="21">
        <v>8207</v>
      </c>
      <c r="B8208" s="7" t="s">
        <v>17171</v>
      </c>
      <c r="C8208" s="7" t="s">
        <v>17172</v>
      </c>
      <c r="G8208" s="8" t="s">
        <v>15</v>
      </c>
    </row>
    <row r="8209" spans="1:7" hidden="1" x14ac:dyDescent="0.25">
      <c r="A8209" s="21">
        <v>8208</v>
      </c>
      <c r="B8209" s="7" t="s">
        <v>17173</v>
      </c>
      <c r="C8209" s="7" t="s">
        <v>17174</v>
      </c>
      <c r="G8209" s="8" t="s">
        <v>15</v>
      </c>
    </row>
    <row r="8210" spans="1:7" hidden="1" x14ac:dyDescent="0.25">
      <c r="A8210" s="21">
        <v>8209</v>
      </c>
      <c r="B8210" s="7" t="s">
        <v>17175</v>
      </c>
      <c r="C8210" s="7" t="s">
        <v>17176</v>
      </c>
      <c r="G8210" s="8" t="s">
        <v>15</v>
      </c>
    </row>
    <row r="8211" spans="1:7" hidden="1" x14ac:dyDescent="0.25">
      <c r="A8211" s="21">
        <v>8210</v>
      </c>
      <c r="B8211" s="7" t="s">
        <v>17177</v>
      </c>
      <c r="C8211" s="7" t="s">
        <v>17178</v>
      </c>
      <c r="G8211" s="8" t="s">
        <v>15</v>
      </c>
    </row>
    <row r="8212" spans="1:7" hidden="1" x14ac:dyDescent="0.25">
      <c r="A8212" s="21">
        <v>8211</v>
      </c>
      <c r="B8212" s="7" t="s">
        <v>17179</v>
      </c>
      <c r="C8212" s="7" t="s">
        <v>17180</v>
      </c>
      <c r="G8212" s="8" t="s">
        <v>15</v>
      </c>
    </row>
    <row r="8213" spans="1:7" hidden="1" x14ac:dyDescent="0.25">
      <c r="A8213" s="21">
        <v>8212</v>
      </c>
      <c r="B8213" s="7" t="s">
        <v>17181</v>
      </c>
      <c r="C8213" s="7" t="s">
        <v>17182</v>
      </c>
      <c r="G8213" s="8" t="s">
        <v>15</v>
      </c>
    </row>
    <row r="8214" spans="1:7" hidden="1" x14ac:dyDescent="0.25">
      <c r="A8214" s="21">
        <v>8213</v>
      </c>
      <c r="B8214" s="7" t="s">
        <v>17183</v>
      </c>
      <c r="C8214" s="7" t="s">
        <v>17184</v>
      </c>
      <c r="G8214" s="8" t="s">
        <v>15</v>
      </c>
    </row>
    <row r="8215" spans="1:7" hidden="1" x14ac:dyDescent="0.25">
      <c r="A8215" s="21">
        <v>8214</v>
      </c>
      <c r="B8215" s="7" t="s">
        <v>17185</v>
      </c>
      <c r="C8215" s="7" t="s">
        <v>17186</v>
      </c>
      <c r="G8215" s="8" t="s">
        <v>15</v>
      </c>
    </row>
    <row r="8216" spans="1:7" hidden="1" x14ac:dyDescent="0.25">
      <c r="A8216" s="21">
        <v>8215</v>
      </c>
      <c r="B8216" s="7" t="s">
        <v>17187</v>
      </c>
      <c r="C8216" s="7" t="s">
        <v>17188</v>
      </c>
      <c r="G8216" s="8" t="s">
        <v>15</v>
      </c>
    </row>
    <row r="8217" spans="1:7" hidden="1" x14ac:dyDescent="0.25">
      <c r="A8217" s="21">
        <v>8216</v>
      </c>
      <c r="B8217" s="7" t="s">
        <v>17189</v>
      </c>
      <c r="C8217" s="7" t="s">
        <v>17190</v>
      </c>
      <c r="G8217" s="8" t="s">
        <v>15</v>
      </c>
    </row>
    <row r="8218" spans="1:7" hidden="1" x14ac:dyDescent="0.25">
      <c r="A8218" s="21">
        <v>8217</v>
      </c>
      <c r="B8218" s="7" t="s">
        <v>17191</v>
      </c>
      <c r="C8218" s="7" t="s">
        <v>17192</v>
      </c>
      <c r="G8218" s="8" t="s">
        <v>15</v>
      </c>
    </row>
    <row r="8219" spans="1:7" hidden="1" x14ac:dyDescent="0.25">
      <c r="A8219" s="21">
        <v>8218</v>
      </c>
      <c r="B8219" s="7" t="s">
        <v>17193</v>
      </c>
      <c r="C8219" s="7" t="s">
        <v>17194</v>
      </c>
      <c r="G8219" s="8" t="s">
        <v>15</v>
      </c>
    </row>
    <row r="8220" spans="1:7" hidden="1" x14ac:dyDescent="0.25">
      <c r="A8220" s="21">
        <v>8219</v>
      </c>
      <c r="B8220" s="7" t="s">
        <v>17195</v>
      </c>
      <c r="C8220" s="7" t="s">
        <v>17196</v>
      </c>
      <c r="G8220" s="8" t="s">
        <v>15</v>
      </c>
    </row>
    <row r="8221" spans="1:7" hidden="1" x14ac:dyDescent="0.25">
      <c r="A8221" s="21">
        <v>8220</v>
      </c>
      <c r="B8221" s="7" t="s">
        <v>17197</v>
      </c>
      <c r="C8221" s="7" t="s">
        <v>17198</v>
      </c>
      <c r="G8221" s="8" t="s">
        <v>15</v>
      </c>
    </row>
    <row r="8222" spans="1:7" hidden="1" x14ac:dyDescent="0.25">
      <c r="A8222" s="21">
        <v>8221</v>
      </c>
      <c r="B8222" s="7" t="s">
        <v>17199</v>
      </c>
      <c r="C8222" s="7" t="s">
        <v>17200</v>
      </c>
      <c r="G8222" s="8" t="s">
        <v>15</v>
      </c>
    </row>
    <row r="8223" spans="1:7" hidden="1" x14ac:dyDescent="0.25">
      <c r="A8223" s="21">
        <v>8222</v>
      </c>
      <c r="B8223" s="7" t="s">
        <v>17201</v>
      </c>
      <c r="C8223" s="7" t="s">
        <v>17202</v>
      </c>
      <c r="G8223" s="8" t="s">
        <v>15</v>
      </c>
    </row>
    <row r="8224" spans="1:7" hidden="1" x14ac:dyDescent="0.25">
      <c r="A8224" s="21">
        <v>8223</v>
      </c>
      <c r="B8224" s="7" t="s">
        <v>17203</v>
      </c>
      <c r="C8224" s="7" t="s">
        <v>17204</v>
      </c>
      <c r="G8224" s="8" t="s">
        <v>15</v>
      </c>
    </row>
    <row r="8225" spans="1:7" hidden="1" x14ac:dyDescent="0.25">
      <c r="A8225" s="21">
        <v>8224</v>
      </c>
      <c r="B8225" s="7" t="s">
        <v>17205</v>
      </c>
      <c r="C8225" s="7" t="s">
        <v>17206</v>
      </c>
      <c r="G8225" s="8" t="s">
        <v>15</v>
      </c>
    </row>
    <row r="8226" spans="1:7" hidden="1" x14ac:dyDescent="0.25">
      <c r="A8226" s="21">
        <v>8225</v>
      </c>
      <c r="B8226" s="7" t="s">
        <v>17207</v>
      </c>
      <c r="C8226" s="7" t="s">
        <v>17208</v>
      </c>
      <c r="G8226" s="8" t="s">
        <v>15</v>
      </c>
    </row>
    <row r="8227" spans="1:7" hidden="1" x14ac:dyDescent="0.25">
      <c r="A8227" s="21">
        <v>8226</v>
      </c>
      <c r="B8227" s="7" t="s">
        <v>17209</v>
      </c>
      <c r="C8227" s="7" t="s">
        <v>17210</v>
      </c>
      <c r="G8227" s="8" t="s">
        <v>15</v>
      </c>
    </row>
    <row r="8228" spans="1:7" hidden="1" x14ac:dyDescent="0.25">
      <c r="A8228" s="21">
        <v>8227</v>
      </c>
      <c r="B8228" s="7" t="s">
        <v>17211</v>
      </c>
      <c r="C8228" s="7" t="s">
        <v>17212</v>
      </c>
      <c r="G8228" s="8" t="s">
        <v>15</v>
      </c>
    </row>
    <row r="8229" spans="1:7" hidden="1" x14ac:dyDescent="0.25">
      <c r="A8229" s="21">
        <v>8228</v>
      </c>
      <c r="B8229" s="7" t="s">
        <v>17213</v>
      </c>
      <c r="C8229" s="7" t="s">
        <v>17214</v>
      </c>
      <c r="G8229" s="8" t="s">
        <v>15</v>
      </c>
    </row>
    <row r="8230" spans="1:7" hidden="1" x14ac:dyDescent="0.25">
      <c r="A8230" s="21">
        <v>8229</v>
      </c>
      <c r="B8230" s="7" t="s">
        <v>17215</v>
      </c>
      <c r="C8230" s="7" t="s">
        <v>17216</v>
      </c>
      <c r="G8230" s="8" t="s">
        <v>15</v>
      </c>
    </row>
    <row r="8231" spans="1:7" hidden="1" x14ac:dyDescent="0.25">
      <c r="A8231" s="21">
        <v>8230</v>
      </c>
      <c r="B8231" s="7" t="s">
        <v>17217</v>
      </c>
      <c r="C8231" s="7" t="s">
        <v>17218</v>
      </c>
      <c r="G8231" s="8" t="s">
        <v>15</v>
      </c>
    </row>
    <row r="8232" spans="1:7" hidden="1" x14ac:dyDescent="0.25">
      <c r="A8232" s="21">
        <v>8231</v>
      </c>
      <c r="B8232" s="7" t="s">
        <v>17219</v>
      </c>
      <c r="C8232" s="7" t="s">
        <v>17220</v>
      </c>
      <c r="G8232" s="8" t="s">
        <v>15</v>
      </c>
    </row>
    <row r="8233" spans="1:7" hidden="1" x14ac:dyDescent="0.25">
      <c r="A8233" s="21">
        <v>8232</v>
      </c>
      <c r="B8233" s="7" t="s">
        <v>17221</v>
      </c>
      <c r="C8233" s="7" t="s">
        <v>17222</v>
      </c>
      <c r="G8233" s="8" t="s">
        <v>15</v>
      </c>
    </row>
    <row r="8234" spans="1:7" hidden="1" x14ac:dyDescent="0.25">
      <c r="A8234" s="21">
        <v>8233</v>
      </c>
      <c r="B8234" s="7" t="s">
        <v>17223</v>
      </c>
      <c r="C8234" s="7" t="s">
        <v>17224</v>
      </c>
      <c r="G8234" s="8" t="s">
        <v>15</v>
      </c>
    </row>
    <row r="8235" spans="1:7" hidden="1" x14ac:dyDescent="0.25">
      <c r="A8235" s="21">
        <v>8234</v>
      </c>
      <c r="B8235" s="7" t="s">
        <v>17225</v>
      </c>
      <c r="C8235" s="7" t="s">
        <v>17226</v>
      </c>
      <c r="G8235" s="8" t="s">
        <v>15</v>
      </c>
    </row>
    <row r="8236" spans="1:7" hidden="1" x14ac:dyDescent="0.25">
      <c r="A8236" s="21">
        <v>8235</v>
      </c>
      <c r="B8236" s="7" t="s">
        <v>17227</v>
      </c>
      <c r="C8236" s="7" t="s">
        <v>17228</v>
      </c>
      <c r="G8236" s="8" t="s">
        <v>15</v>
      </c>
    </row>
    <row r="8237" spans="1:7" hidden="1" x14ac:dyDescent="0.25">
      <c r="A8237" s="21">
        <v>8236</v>
      </c>
      <c r="B8237" s="7" t="s">
        <v>17229</v>
      </c>
      <c r="C8237" s="7" t="s">
        <v>17230</v>
      </c>
      <c r="G8237" s="8" t="s">
        <v>15</v>
      </c>
    </row>
    <row r="8238" spans="1:7" hidden="1" x14ac:dyDescent="0.25">
      <c r="A8238" s="21">
        <v>8237</v>
      </c>
      <c r="B8238" s="7" t="s">
        <v>17231</v>
      </c>
      <c r="C8238" s="7" t="s">
        <v>17232</v>
      </c>
      <c r="G8238" s="8" t="s">
        <v>15</v>
      </c>
    </row>
    <row r="8239" spans="1:7" hidden="1" x14ac:dyDescent="0.25">
      <c r="A8239" s="21">
        <v>8238</v>
      </c>
      <c r="B8239" s="7" t="s">
        <v>17233</v>
      </c>
      <c r="C8239" s="7" t="s">
        <v>17234</v>
      </c>
      <c r="G8239" s="8" t="s">
        <v>15</v>
      </c>
    </row>
    <row r="8240" spans="1:7" hidden="1" x14ac:dyDescent="0.25">
      <c r="A8240" s="21">
        <v>8239</v>
      </c>
      <c r="B8240" s="7" t="s">
        <v>17235</v>
      </c>
      <c r="C8240" s="7" t="s">
        <v>17236</v>
      </c>
      <c r="G8240" s="8" t="s">
        <v>15</v>
      </c>
    </row>
    <row r="8241" spans="1:7" hidden="1" x14ac:dyDescent="0.25">
      <c r="A8241" s="21">
        <v>8240</v>
      </c>
      <c r="B8241" s="7" t="s">
        <v>17237</v>
      </c>
      <c r="C8241" s="7" t="s">
        <v>17238</v>
      </c>
      <c r="G8241" s="8" t="s">
        <v>15</v>
      </c>
    </row>
    <row r="8242" spans="1:7" hidden="1" x14ac:dyDescent="0.25">
      <c r="A8242" s="21">
        <v>8241</v>
      </c>
      <c r="B8242" s="7" t="s">
        <v>17239</v>
      </c>
      <c r="C8242" s="7" t="s">
        <v>17240</v>
      </c>
      <c r="G8242" s="8" t="s">
        <v>15</v>
      </c>
    </row>
    <row r="8243" spans="1:7" hidden="1" x14ac:dyDescent="0.25">
      <c r="A8243" s="21">
        <v>8242</v>
      </c>
      <c r="B8243" s="7" t="s">
        <v>17241</v>
      </c>
      <c r="C8243" s="7" t="s">
        <v>17242</v>
      </c>
      <c r="G8243" s="8" t="s">
        <v>15</v>
      </c>
    </row>
    <row r="8244" spans="1:7" hidden="1" x14ac:dyDescent="0.25">
      <c r="A8244" s="21">
        <v>8243</v>
      </c>
      <c r="B8244" s="7" t="s">
        <v>17243</v>
      </c>
      <c r="C8244" s="7" t="s">
        <v>17244</v>
      </c>
      <c r="G8244" s="8" t="s">
        <v>15</v>
      </c>
    </row>
    <row r="8245" spans="1:7" hidden="1" x14ac:dyDescent="0.25">
      <c r="A8245" s="21">
        <v>8244</v>
      </c>
      <c r="B8245" s="7" t="s">
        <v>17245</v>
      </c>
      <c r="C8245" s="7" t="s">
        <v>17246</v>
      </c>
      <c r="G8245" s="8" t="s">
        <v>15</v>
      </c>
    </row>
    <row r="8246" spans="1:7" hidden="1" x14ac:dyDescent="0.25">
      <c r="A8246" s="21">
        <v>8245</v>
      </c>
      <c r="B8246" s="7" t="s">
        <v>17247</v>
      </c>
      <c r="C8246" s="7" t="s">
        <v>17248</v>
      </c>
      <c r="F8246" t="s">
        <v>922</v>
      </c>
      <c r="G8246" s="8" t="s">
        <v>15</v>
      </c>
    </row>
    <row r="8247" spans="1:7" hidden="1" x14ac:dyDescent="0.25">
      <c r="A8247" s="21">
        <v>8246</v>
      </c>
      <c r="B8247" s="7" t="s">
        <v>17249</v>
      </c>
      <c r="C8247" s="7" t="s">
        <v>17250</v>
      </c>
      <c r="G8247" s="8" t="s">
        <v>15</v>
      </c>
    </row>
    <row r="8248" spans="1:7" hidden="1" x14ac:dyDescent="0.25">
      <c r="A8248" s="21">
        <v>8247</v>
      </c>
      <c r="B8248" s="7" t="s">
        <v>17251</v>
      </c>
      <c r="C8248" s="7" t="s">
        <v>17252</v>
      </c>
      <c r="G8248" s="8" t="s">
        <v>15</v>
      </c>
    </row>
    <row r="8249" spans="1:7" hidden="1" x14ac:dyDescent="0.25">
      <c r="A8249" s="21">
        <v>8248</v>
      </c>
      <c r="B8249" s="7" t="s">
        <v>17253</v>
      </c>
      <c r="C8249" s="7" t="s">
        <v>17254</v>
      </c>
      <c r="G8249" s="8" t="s">
        <v>15</v>
      </c>
    </row>
    <row r="8250" spans="1:7" hidden="1" x14ac:dyDescent="0.25">
      <c r="A8250" s="21">
        <v>8249</v>
      </c>
      <c r="B8250" s="7" t="s">
        <v>17255</v>
      </c>
      <c r="C8250" s="7" t="s">
        <v>17256</v>
      </c>
      <c r="G8250" s="8" t="s">
        <v>15</v>
      </c>
    </row>
    <row r="8251" spans="1:7" hidden="1" x14ac:dyDescent="0.25">
      <c r="A8251" s="21">
        <v>8250</v>
      </c>
      <c r="B8251" s="7" t="s">
        <v>17257</v>
      </c>
      <c r="C8251" s="7" t="s">
        <v>17258</v>
      </c>
      <c r="G8251" s="8" t="s">
        <v>15</v>
      </c>
    </row>
    <row r="8252" spans="1:7" hidden="1" x14ac:dyDescent="0.25">
      <c r="A8252" s="21">
        <v>8251</v>
      </c>
      <c r="B8252" s="7" t="s">
        <v>17259</v>
      </c>
      <c r="C8252" s="7" t="s">
        <v>17260</v>
      </c>
      <c r="G8252" s="8" t="s">
        <v>15</v>
      </c>
    </row>
    <row r="8253" spans="1:7" hidden="1" x14ac:dyDescent="0.25">
      <c r="A8253" s="21">
        <v>8252</v>
      </c>
      <c r="B8253" s="7" t="s">
        <v>17261</v>
      </c>
      <c r="C8253" s="7" t="s">
        <v>17262</v>
      </c>
      <c r="G8253" s="8" t="s">
        <v>15</v>
      </c>
    </row>
    <row r="8254" spans="1:7" hidden="1" x14ac:dyDescent="0.25">
      <c r="A8254" s="21">
        <v>8253</v>
      </c>
      <c r="B8254" s="7" t="s">
        <v>17263</v>
      </c>
      <c r="C8254" s="7" t="s">
        <v>17264</v>
      </c>
      <c r="G8254" s="8" t="s">
        <v>15</v>
      </c>
    </row>
    <row r="8255" spans="1:7" hidden="1" x14ac:dyDescent="0.25">
      <c r="A8255" s="21">
        <v>8254</v>
      </c>
      <c r="B8255" s="7" t="s">
        <v>17265</v>
      </c>
      <c r="C8255" s="7" t="s">
        <v>17266</v>
      </c>
      <c r="G8255" s="8" t="s">
        <v>15</v>
      </c>
    </row>
    <row r="8256" spans="1:7" hidden="1" x14ac:dyDescent="0.25">
      <c r="A8256" s="21">
        <v>8255</v>
      </c>
      <c r="B8256" s="7" t="s">
        <v>17267</v>
      </c>
      <c r="C8256" s="7" t="s">
        <v>17268</v>
      </c>
      <c r="G8256" s="8" t="s">
        <v>15</v>
      </c>
    </row>
    <row r="8257" spans="1:8" hidden="1" x14ac:dyDescent="0.25">
      <c r="A8257" s="21">
        <v>8256</v>
      </c>
      <c r="B8257" s="7" t="s">
        <v>17269</v>
      </c>
      <c r="C8257" s="7" t="s">
        <v>17270</v>
      </c>
      <c r="G8257" s="8" t="s">
        <v>15</v>
      </c>
    </row>
    <row r="8258" spans="1:8" hidden="1" x14ac:dyDescent="0.25">
      <c r="A8258" s="21">
        <v>8257</v>
      </c>
      <c r="B8258" s="7" t="s">
        <v>17271</v>
      </c>
      <c r="C8258" s="7" t="s">
        <v>17272</v>
      </c>
      <c r="G8258" s="8" t="s">
        <v>15</v>
      </c>
    </row>
    <row r="8259" spans="1:8" hidden="1" x14ac:dyDescent="0.25">
      <c r="A8259" s="21">
        <v>8258</v>
      </c>
      <c r="B8259" s="7" t="s">
        <v>17273</v>
      </c>
      <c r="C8259" s="7" t="s">
        <v>17274</v>
      </c>
      <c r="G8259" s="8" t="s">
        <v>15</v>
      </c>
    </row>
    <row r="8260" spans="1:8" hidden="1" x14ac:dyDescent="0.25">
      <c r="A8260" s="21">
        <v>8259</v>
      </c>
      <c r="B8260" s="7" t="s">
        <v>17275</v>
      </c>
      <c r="C8260" s="7" t="s">
        <v>17276</v>
      </c>
      <c r="G8260" s="8" t="s">
        <v>15</v>
      </c>
    </row>
    <row r="8261" spans="1:8" hidden="1" x14ac:dyDescent="0.25">
      <c r="A8261" s="21">
        <v>8260</v>
      </c>
      <c r="B8261" s="7" t="s">
        <v>17277</v>
      </c>
      <c r="C8261" s="7" t="s">
        <v>17278</v>
      </c>
      <c r="G8261" s="8" t="s">
        <v>15</v>
      </c>
    </row>
    <row r="8262" spans="1:8" hidden="1" x14ac:dyDescent="0.25">
      <c r="A8262" s="21">
        <v>8261</v>
      </c>
      <c r="B8262" s="7" t="s">
        <v>17279</v>
      </c>
      <c r="C8262" s="7" t="s">
        <v>17280</v>
      </c>
      <c r="G8262" s="8" t="s">
        <v>15</v>
      </c>
    </row>
    <row r="8263" spans="1:8" hidden="1" x14ac:dyDescent="0.25">
      <c r="A8263" s="21">
        <v>8262</v>
      </c>
      <c r="B8263" s="7" t="s">
        <v>17281</v>
      </c>
      <c r="C8263" s="7" t="s">
        <v>17282</v>
      </c>
      <c r="G8263" s="8" t="s">
        <v>15</v>
      </c>
    </row>
    <row r="8264" spans="1:8" hidden="1" x14ac:dyDescent="0.25">
      <c r="A8264" s="21">
        <v>8263</v>
      </c>
      <c r="B8264" s="7" t="s">
        <v>17283</v>
      </c>
      <c r="C8264" s="7" t="s">
        <v>17284</v>
      </c>
      <c r="G8264" s="8" t="s">
        <v>15</v>
      </c>
    </row>
    <row r="8265" spans="1:8" hidden="1" x14ac:dyDescent="0.25">
      <c r="A8265" s="21">
        <v>8264</v>
      </c>
      <c r="B8265" s="7" t="s">
        <v>17285</v>
      </c>
      <c r="C8265" s="7" t="s">
        <v>17286</v>
      </c>
      <c r="G8265" s="8" t="s">
        <v>15</v>
      </c>
    </row>
    <row r="8266" spans="1:8" hidden="1" x14ac:dyDescent="0.25">
      <c r="A8266" s="21">
        <v>8265</v>
      </c>
      <c r="B8266" s="7" t="s">
        <v>17287</v>
      </c>
      <c r="C8266" s="7" t="s">
        <v>17288</v>
      </c>
      <c r="G8266" s="8" t="s">
        <v>15</v>
      </c>
    </row>
    <row r="8267" spans="1:8" hidden="1" x14ac:dyDescent="0.25">
      <c r="A8267" s="21">
        <v>8266</v>
      </c>
      <c r="B8267" s="7" t="s">
        <v>17289</v>
      </c>
      <c r="C8267" s="7" t="s">
        <v>17290</v>
      </c>
      <c r="G8267" s="8" t="s">
        <v>15</v>
      </c>
    </row>
    <row r="8268" spans="1:8" hidden="1" x14ac:dyDescent="0.25">
      <c r="A8268" s="21">
        <v>8267</v>
      </c>
      <c r="B8268" s="7" t="s">
        <v>17291</v>
      </c>
      <c r="C8268" s="7" t="s">
        <v>17292</v>
      </c>
      <c r="G8268" s="8" t="s">
        <v>15</v>
      </c>
    </row>
    <row r="8269" spans="1:8" hidden="1" x14ac:dyDescent="0.25">
      <c r="A8269" s="21">
        <v>8268</v>
      </c>
      <c r="B8269" s="7" t="s">
        <v>17293</v>
      </c>
      <c r="C8269" s="7" t="s">
        <v>17294</v>
      </c>
      <c r="G8269" s="8" t="s">
        <v>15</v>
      </c>
    </row>
    <row r="8270" spans="1:8" hidden="1" x14ac:dyDescent="0.25">
      <c r="A8270" s="21">
        <v>8269</v>
      </c>
      <c r="B8270" s="7" t="s">
        <v>17295</v>
      </c>
      <c r="C8270" s="7" t="s">
        <v>17296</v>
      </c>
      <c r="G8270" s="8" t="s">
        <v>15</v>
      </c>
    </row>
    <row r="8271" spans="1:8" hidden="1" x14ac:dyDescent="0.25">
      <c r="A8271" s="21">
        <v>8270</v>
      </c>
      <c r="B8271" s="7" t="s">
        <v>17297</v>
      </c>
      <c r="C8271" s="7" t="s">
        <v>17298</v>
      </c>
      <c r="G8271" s="8" t="s">
        <v>15</v>
      </c>
      <c r="H8271" t="str">
        <f>_xlfn.XLOOKUP(B8271,Data!T:T,Data!F:F)</f>
        <v>Pack of 5 Amps</v>
      </c>
    </row>
    <row r="8272" spans="1:8" hidden="1" x14ac:dyDescent="0.25">
      <c r="A8272" s="21">
        <v>8271</v>
      </c>
      <c r="B8272" s="7" t="s">
        <v>17299</v>
      </c>
      <c r="C8272" s="7" t="s">
        <v>17300</v>
      </c>
      <c r="G8272" s="8" t="s">
        <v>15</v>
      </c>
      <c r="H8272" t="str">
        <f>_xlfn.XLOOKUP(B8272,Data!T:T,Data!F:F)</f>
        <v>Pack of 5 Amps</v>
      </c>
    </row>
    <row r="8273" spans="1:7" hidden="1" x14ac:dyDescent="0.25">
      <c r="A8273" s="21">
        <v>8272</v>
      </c>
      <c r="B8273" s="7" t="s">
        <v>17301</v>
      </c>
      <c r="C8273" s="7" t="s">
        <v>17302</v>
      </c>
      <c r="G8273" s="8" t="s">
        <v>15</v>
      </c>
    </row>
    <row r="8274" spans="1:7" hidden="1" x14ac:dyDescent="0.25">
      <c r="A8274" s="21">
        <v>8273</v>
      </c>
      <c r="B8274" s="7" t="s">
        <v>17303</v>
      </c>
      <c r="C8274" s="7" t="s">
        <v>17304</v>
      </c>
      <c r="G8274" s="8" t="s">
        <v>15</v>
      </c>
    </row>
    <row r="8275" spans="1:7" hidden="1" x14ac:dyDescent="0.25">
      <c r="A8275" s="21">
        <v>8274</v>
      </c>
      <c r="B8275" s="7" t="s">
        <v>17305</v>
      </c>
      <c r="C8275" s="7" t="s">
        <v>17306</v>
      </c>
      <c r="G8275" s="8" t="s">
        <v>15</v>
      </c>
    </row>
    <row r="8276" spans="1:7" hidden="1" x14ac:dyDescent="0.25">
      <c r="A8276" s="21">
        <v>8275</v>
      </c>
      <c r="B8276" s="7" t="s">
        <v>17307</v>
      </c>
      <c r="C8276" s="7" t="s">
        <v>17308</v>
      </c>
      <c r="G8276" s="8" t="s">
        <v>15</v>
      </c>
    </row>
    <row r="8277" spans="1:7" hidden="1" x14ac:dyDescent="0.25">
      <c r="A8277" s="21">
        <v>8276</v>
      </c>
      <c r="B8277" s="7" t="s">
        <v>17309</v>
      </c>
      <c r="C8277" s="7" t="s">
        <v>17310</v>
      </c>
      <c r="G8277" s="8" t="s">
        <v>15</v>
      </c>
    </row>
    <row r="8278" spans="1:7" hidden="1" x14ac:dyDescent="0.25">
      <c r="A8278" s="21">
        <v>8277</v>
      </c>
      <c r="B8278" s="7" t="s">
        <v>17311</v>
      </c>
      <c r="C8278" s="7" t="s">
        <v>17312</v>
      </c>
      <c r="G8278" s="8" t="s">
        <v>15</v>
      </c>
    </row>
    <row r="8279" spans="1:7" hidden="1" x14ac:dyDescent="0.25">
      <c r="A8279" s="21">
        <v>8278</v>
      </c>
      <c r="B8279" s="7" t="s">
        <v>17313</v>
      </c>
      <c r="C8279" s="7" t="s">
        <v>17314</v>
      </c>
      <c r="G8279" s="8" t="s">
        <v>15</v>
      </c>
    </row>
    <row r="8280" spans="1:7" hidden="1" x14ac:dyDescent="0.25">
      <c r="A8280" s="21">
        <v>8279</v>
      </c>
      <c r="B8280" s="7" t="s">
        <v>17315</v>
      </c>
      <c r="C8280" s="7" t="s">
        <v>17316</v>
      </c>
      <c r="G8280" s="8" t="s">
        <v>15</v>
      </c>
    </row>
    <row r="8281" spans="1:7" hidden="1" x14ac:dyDescent="0.25">
      <c r="A8281" s="21">
        <v>8280</v>
      </c>
      <c r="B8281" s="7" t="s">
        <v>17317</v>
      </c>
      <c r="C8281" s="7" t="s">
        <v>17318</v>
      </c>
      <c r="G8281" s="8" t="s">
        <v>15</v>
      </c>
    </row>
    <row r="8282" spans="1:7" hidden="1" x14ac:dyDescent="0.25">
      <c r="A8282" s="21">
        <v>8281</v>
      </c>
      <c r="B8282" s="7" t="s">
        <v>17319</v>
      </c>
      <c r="C8282" s="7" t="s">
        <v>17320</v>
      </c>
      <c r="G8282" s="8" t="s">
        <v>15</v>
      </c>
    </row>
    <row r="8283" spans="1:7" hidden="1" x14ac:dyDescent="0.25">
      <c r="A8283" s="21">
        <v>8282</v>
      </c>
      <c r="B8283" s="7" t="s">
        <v>17321</v>
      </c>
      <c r="C8283" s="7" t="s">
        <v>17322</v>
      </c>
      <c r="G8283" s="8" t="s">
        <v>15</v>
      </c>
    </row>
    <row r="8284" spans="1:7" hidden="1" x14ac:dyDescent="0.25">
      <c r="A8284" s="21">
        <v>8283</v>
      </c>
      <c r="B8284" s="7" t="s">
        <v>17323</v>
      </c>
      <c r="C8284" s="7" t="s">
        <v>17324</v>
      </c>
      <c r="G8284" s="8" t="s">
        <v>15</v>
      </c>
    </row>
    <row r="8285" spans="1:7" hidden="1" x14ac:dyDescent="0.25">
      <c r="A8285" s="21">
        <v>8284</v>
      </c>
      <c r="B8285" s="7" t="s">
        <v>17325</v>
      </c>
      <c r="C8285" s="7" t="s">
        <v>17326</v>
      </c>
      <c r="G8285" s="8" t="s">
        <v>15</v>
      </c>
    </row>
    <row r="8286" spans="1:7" hidden="1" x14ac:dyDescent="0.25">
      <c r="A8286" s="21">
        <v>8285</v>
      </c>
      <c r="B8286" s="7" t="s">
        <v>17327</v>
      </c>
      <c r="C8286" s="7" t="s">
        <v>17328</v>
      </c>
      <c r="G8286" s="8" t="s">
        <v>15</v>
      </c>
    </row>
    <row r="8287" spans="1:7" hidden="1" x14ac:dyDescent="0.25">
      <c r="A8287" s="21">
        <v>8286</v>
      </c>
      <c r="B8287" s="7" t="s">
        <v>17329</v>
      </c>
      <c r="C8287" s="7" t="s">
        <v>17330</v>
      </c>
      <c r="G8287" s="8" t="s">
        <v>15</v>
      </c>
    </row>
    <row r="8288" spans="1:7" hidden="1" x14ac:dyDescent="0.25">
      <c r="A8288" s="21">
        <v>8287</v>
      </c>
      <c r="B8288" s="7" t="s">
        <v>17331</v>
      </c>
      <c r="C8288" s="7" t="s">
        <v>17332</v>
      </c>
      <c r="G8288" s="8" t="s">
        <v>15</v>
      </c>
    </row>
    <row r="8289" spans="1:7" hidden="1" x14ac:dyDescent="0.25">
      <c r="A8289" s="21">
        <v>8288</v>
      </c>
      <c r="B8289" s="7" t="s">
        <v>17333</v>
      </c>
      <c r="C8289" s="7" t="s">
        <v>17334</v>
      </c>
      <c r="G8289" s="8" t="s">
        <v>15</v>
      </c>
    </row>
    <row r="8290" spans="1:7" hidden="1" x14ac:dyDescent="0.25">
      <c r="A8290" s="21">
        <v>8289</v>
      </c>
      <c r="B8290" s="7" t="s">
        <v>17335</v>
      </c>
      <c r="C8290" s="7" t="s">
        <v>17336</v>
      </c>
      <c r="G8290" s="8" t="s">
        <v>15</v>
      </c>
    </row>
    <row r="8291" spans="1:7" hidden="1" x14ac:dyDescent="0.25">
      <c r="A8291" s="21">
        <v>8290</v>
      </c>
      <c r="B8291" s="7" t="s">
        <v>17337</v>
      </c>
      <c r="C8291" s="7" t="s">
        <v>17338</v>
      </c>
      <c r="G8291" s="8" t="s">
        <v>15</v>
      </c>
    </row>
    <row r="8292" spans="1:7" hidden="1" x14ac:dyDescent="0.25">
      <c r="A8292" s="21">
        <v>8291</v>
      </c>
      <c r="B8292" s="7" t="s">
        <v>17339</v>
      </c>
      <c r="C8292" s="7" t="s">
        <v>17340</v>
      </c>
      <c r="G8292" s="8" t="s">
        <v>15</v>
      </c>
    </row>
    <row r="8293" spans="1:7" hidden="1" x14ac:dyDescent="0.25">
      <c r="A8293" s="21">
        <v>8292</v>
      </c>
      <c r="B8293" s="7" t="s">
        <v>17341</v>
      </c>
      <c r="C8293" s="7" t="s">
        <v>17342</v>
      </c>
      <c r="G8293" s="8" t="s">
        <v>15</v>
      </c>
    </row>
    <row r="8294" spans="1:7" hidden="1" x14ac:dyDescent="0.25">
      <c r="A8294" s="21">
        <v>8293</v>
      </c>
      <c r="B8294" s="7" t="s">
        <v>17343</v>
      </c>
      <c r="C8294" s="7" t="s">
        <v>17344</v>
      </c>
      <c r="G8294" s="8" t="s">
        <v>15</v>
      </c>
    </row>
    <row r="8295" spans="1:7" hidden="1" x14ac:dyDescent="0.25">
      <c r="A8295" s="21">
        <v>8294</v>
      </c>
      <c r="B8295" s="7" t="s">
        <v>17345</v>
      </c>
      <c r="C8295" s="7" t="s">
        <v>17346</v>
      </c>
      <c r="G8295" s="8" t="s">
        <v>15</v>
      </c>
    </row>
    <row r="8296" spans="1:7" hidden="1" x14ac:dyDescent="0.25">
      <c r="A8296" s="21">
        <v>8295</v>
      </c>
      <c r="B8296" s="7" t="s">
        <v>17347</v>
      </c>
      <c r="C8296" s="7" t="s">
        <v>17348</v>
      </c>
      <c r="G8296" s="8" t="s">
        <v>15</v>
      </c>
    </row>
    <row r="8297" spans="1:7" hidden="1" x14ac:dyDescent="0.25">
      <c r="A8297" s="21">
        <v>8296</v>
      </c>
      <c r="B8297" s="7" t="s">
        <v>17349</v>
      </c>
      <c r="C8297" s="7" t="s">
        <v>17350</v>
      </c>
      <c r="G8297" s="8" t="s">
        <v>15</v>
      </c>
    </row>
    <row r="8298" spans="1:7" hidden="1" x14ac:dyDescent="0.25">
      <c r="A8298" s="21">
        <v>8297</v>
      </c>
      <c r="B8298" s="7" t="s">
        <v>17351</v>
      </c>
      <c r="C8298" s="7" t="s">
        <v>17352</v>
      </c>
      <c r="G8298" s="8" t="s">
        <v>15</v>
      </c>
    </row>
    <row r="8299" spans="1:7" hidden="1" x14ac:dyDescent="0.25">
      <c r="A8299" s="21">
        <v>8298</v>
      </c>
      <c r="B8299" s="7" t="s">
        <v>17353</v>
      </c>
      <c r="C8299" s="7" t="s">
        <v>17354</v>
      </c>
      <c r="G8299" s="8" t="s">
        <v>15</v>
      </c>
    </row>
    <row r="8300" spans="1:7" hidden="1" x14ac:dyDescent="0.25">
      <c r="A8300" s="21">
        <v>8299</v>
      </c>
      <c r="B8300" s="7" t="s">
        <v>17355</v>
      </c>
      <c r="C8300" s="7" t="s">
        <v>17356</v>
      </c>
      <c r="G8300" s="8" t="s">
        <v>15</v>
      </c>
    </row>
    <row r="8301" spans="1:7" hidden="1" x14ac:dyDescent="0.25">
      <c r="A8301" s="21">
        <v>8300</v>
      </c>
      <c r="B8301" s="7" t="s">
        <v>17357</v>
      </c>
      <c r="C8301" s="7" t="s">
        <v>17358</v>
      </c>
      <c r="G8301" s="8" t="s">
        <v>15</v>
      </c>
    </row>
    <row r="8302" spans="1:7" hidden="1" x14ac:dyDescent="0.25">
      <c r="A8302" s="21">
        <v>8301</v>
      </c>
      <c r="B8302" s="7" t="s">
        <v>17359</v>
      </c>
      <c r="C8302" s="7" t="s">
        <v>17360</v>
      </c>
      <c r="G8302" s="8" t="s">
        <v>15</v>
      </c>
    </row>
    <row r="8303" spans="1:7" hidden="1" x14ac:dyDescent="0.25">
      <c r="A8303" s="21">
        <v>8302</v>
      </c>
      <c r="B8303" s="7" t="s">
        <v>17361</v>
      </c>
      <c r="C8303" s="7" t="s">
        <v>17362</v>
      </c>
      <c r="F8303" t="s">
        <v>330</v>
      </c>
      <c r="G8303" s="8" t="s">
        <v>15</v>
      </c>
    </row>
    <row r="8304" spans="1:7" hidden="1" x14ac:dyDescent="0.25">
      <c r="A8304" s="21">
        <v>8303</v>
      </c>
      <c r="B8304" s="7" t="s">
        <v>17363</v>
      </c>
      <c r="C8304" s="7" t="s">
        <v>17364</v>
      </c>
      <c r="G8304" s="8" t="s">
        <v>15</v>
      </c>
    </row>
    <row r="8305" spans="1:8" hidden="1" x14ac:dyDescent="0.25">
      <c r="A8305" s="21">
        <v>8304</v>
      </c>
      <c r="B8305" s="7" t="s">
        <v>17365</v>
      </c>
      <c r="C8305" s="7" t="s">
        <v>17366</v>
      </c>
      <c r="G8305" s="8" t="s">
        <v>15</v>
      </c>
    </row>
    <row r="8306" spans="1:8" hidden="1" x14ac:dyDescent="0.25">
      <c r="A8306" s="21">
        <v>8305</v>
      </c>
      <c r="B8306" s="7" t="s">
        <v>17367</v>
      </c>
      <c r="C8306" s="7" t="s">
        <v>17368</v>
      </c>
      <c r="G8306" s="8" t="s">
        <v>15</v>
      </c>
    </row>
    <row r="8307" spans="1:8" hidden="1" x14ac:dyDescent="0.25">
      <c r="A8307" s="21">
        <v>8306</v>
      </c>
      <c r="B8307" s="7" t="s">
        <v>17369</v>
      </c>
      <c r="C8307" s="7" t="s">
        <v>17370</v>
      </c>
      <c r="G8307" s="8" t="s">
        <v>15</v>
      </c>
    </row>
    <row r="8308" spans="1:8" hidden="1" x14ac:dyDescent="0.25">
      <c r="A8308" s="21">
        <v>8307</v>
      </c>
      <c r="B8308" s="7" t="s">
        <v>17371</v>
      </c>
      <c r="C8308" s="7" t="s">
        <v>17372</v>
      </c>
      <c r="G8308" s="8" t="s">
        <v>15</v>
      </c>
    </row>
    <row r="8309" spans="1:8" hidden="1" x14ac:dyDescent="0.25">
      <c r="A8309" s="21">
        <v>8308</v>
      </c>
      <c r="B8309" s="7" t="s">
        <v>17373</v>
      </c>
      <c r="C8309" s="7" t="s">
        <v>17374</v>
      </c>
      <c r="G8309" s="8" t="s">
        <v>15</v>
      </c>
    </row>
    <row r="8310" spans="1:8" hidden="1" x14ac:dyDescent="0.25">
      <c r="A8310" s="21">
        <v>8309</v>
      </c>
      <c r="B8310" s="7" t="s">
        <v>17375</v>
      </c>
      <c r="C8310" s="7" t="s">
        <v>17376</v>
      </c>
      <c r="F8310" s="8" t="s">
        <v>605</v>
      </c>
      <c r="G8310" s="8" t="s">
        <v>15</v>
      </c>
    </row>
    <row r="8311" spans="1:8" hidden="1" x14ac:dyDescent="0.25">
      <c r="A8311" s="21">
        <v>8310</v>
      </c>
      <c r="B8311" s="7" t="s">
        <v>17377</v>
      </c>
      <c r="C8311" s="7" t="s">
        <v>17378</v>
      </c>
      <c r="G8311" s="8" t="s">
        <v>15</v>
      </c>
      <c r="H8311" t="str">
        <f>_xlfn.XLOOKUP(B8311,Data!T:T,Data!F:F)</f>
        <v>Per Vial</v>
      </c>
    </row>
    <row r="8312" spans="1:8" hidden="1" x14ac:dyDescent="0.25">
      <c r="A8312" s="21">
        <v>8311</v>
      </c>
      <c r="B8312" s="7" t="s">
        <v>17379</v>
      </c>
      <c r="C8312" s="7" t="s">
        <v>17380</v>
      </c>
      <c r="G8312" s="8" t="s">
        <v>15</v>
      </c>
    </row>
    <row r="8313" spans="1:8" hidden="1" x14ac:dyDescent="0.25">
      <c r="A8313" s="21">
        <v>8312</v>
      </c>
      <c r="B8313" s="7" t="s">
        <v>17381</v>
      </c>
      <c r="C8313" s="7" t="s">
        <v>17382</v>
      </c>
      <c r="G8313" s="8" t="s">
        <v>15</v>
      </c>
    </row>
    <row r="8314" spans="1:8" hidden="1" x14ac:dyDescent="0.25">
      <c r="A8314" s="21">
        <v>8313</v>
      </c>
      <c r="B8314" s="7" t="s">
        <v>17383</v>
      </c>
      <c r="C8314" s="7" t="s">
        <v>17384</v>
      </c>
      <c r="G8314" s="8" t="s">
        <v>15</v>
      </c>
    </row>
    <row r="8315" spans="1:8" hidden="1" x14ac:dyDescent="0.25">
      <c r="A8315" s="21">
        <v>8314</v>
      </c>
      <c r="B8315" s="7" t="s">
        <v>17385</v>
      </c>
      <c r="C8315" s="7" t="s">
        <v>17386</v>
      </c>
      <c r="G8315" s="8" t="s">
        <v>15</v>
      </c>
    </row>
    <row r="8316" spans="1:8" hidden="1" x14ac:dyDescent="0.25">
      <c r="A8316" s="21">
        <v>8315</v>
      </c>
      <c r="B8316" s="7" t="s">
        <v>17387</v>
      </c>
      <c r="C8316" s="7" t="s">
        <v>17388</v>
      </c>
      <c r="G8316" s="8" t="s">
        <v>15</v>
      </c>
    </row>
    <row r="8317" spans="1:8" hidden="1" x14ac:dyDescent="0.25">
      <c r="A8317" s="21">
        <v>8316</v>
      </c>
      <c r="B8317" s="7" t="s">
        <v>17389</v>
      </c>
      <c r="C8317" s="7" t="s">
        <v>17390</v>
      </c>
      <c r="G8317" s="8" t="s">
        <v>15</v>
      </c>
    </row>
    <row r="8318" spans="1:8" hidden="1" x14ac:dyDescent="0.25">
      <c r="A8318" s="21">
        <v>8317</v>
      </c>
      <c r="B8318" s="7" t="s">
        <v>17391</v>
      </c>
      <c r="C8318" s="7" t="s">
        <v>17392</v>
      </c>
      <c r="G8318" s="8" t="s">
        <v>15</v>
      </c>
    </row>
    <row r="8319" spans="1:8" hidden="1" x14ac:dyDescent="0.25">
      <c r="A8319" s="21">
        <v>8318</v>
      </c>
      <c r="B8319" s="7" t="s">
        <v>17393</v>
      </c>
      <c r="C8319" s="7" t="s">
        <v>17394</v>
      </c>
      <c r="G8319" s="8" t="s">
        <v>15</v>
      </c>
    </row>
    <row r="8320" spans="1:8" hidden="1" x14ac:dyDescent="0.25">
      <c r="A8320" s="21">
        <v>8319</v>
      </c>
      <c r="B8320" s="7" t="s">
        <v>17395</v>
      </c>
      <c r="C8320" s="7" t="s">
        <v>17396</v>
      </c>
      <c r="G8320" s="8" t="s">
        <v>15</v>
      </c>
    </row>
    <row r="8321" spans="1:7" hidden="1" x14ac:dyDescent="0.25">
      <c r="A8321" s="21">
        <v>8320</v>
      </c>
      <c r="B8321" s="7" t="s">
        <v>17397</v>
      </c>
      <c r="C8321" s="7" t="s">
        <v>17398</v>
      </c>
      <c r="G8321" s="8" t="s">
        <v>15</v>
      </c>
    </row>
    <row r="8322" spans="1:7" hidden="1" x14ac:dyDescent="0.25">
      <c r="A8322" s="21">
        <v>8321</v>
      </c>
      <c r="B8322" s="7" t="s">
        <v>17399</v>
      </c>
      <c r="C8322" s="7" t="s">
        <v>17400</v>
      </c>
      <c r="G8322" s="8" t="s">
        <v>15</v>
      </c>
    </row>
    <row r="8323" spans="1:7" hidden="1" x14ac:dyDescent="0.25">
      <c r="A8323" s="21">
        <v>8322</v>
      </c>
      <c r="B8323" s="7" t="s">
        <v>17401</v>
      </c>
      <c r="C8323" s="7" t="s">
        <v>17402</v>
      </c>
      <c r="G8323" s="8" t="s">
        <v>15</v>
      </c>
    </row>
    <row r="8324" spans="1:7" hidden="1" x14ac:dyDescent="0.25">
      <c r="A8324" s="21">
        <v>8323</v>
      </c>
      <c r="B8324" s="7" t="s">
        <v>17403</v>
      </c>
      <c r="C8324" s="7" t="s">
        <v>17404</v>
      </c>
      <c r="G8324" s="8" t="s">
        <v>15</v>
      </c>
    </row>
    <row r="8325" spans="1:7" hidden="1" x14ac:dyDescent="0.25">
      <c r="A8325" s="21">
        <v>8324</v>
      </c>
      <c r="B8325" s="7" t="s">
        <v>17405</v>
      </c>
      <c r="C8325" s="7" t="s">
        <v>17406</v>
      </c>
      <c r="G8325" s="8" t="s">
        <v>15</v>
      </c>
    </row>
    <row r="8326" spans="1:7" hidden="1" x14ac:dyDescent="0.25">
      <c r="A8326" s="21">
        <v>8325</v>
      </c>
      <c r="B8326" s="7" t="s">
        <v>17407</v>
      </c>
      <c r="C8326" s="7" t="s">
        <v>17408</v>
      </c>
      <c r="G8326" s="8" t="s">
        <v>15</v>
      </c>
    </row>
    <row r="8327" spans="1:7" hidden="1" x14ac:dyDescent="0.25">
      <c r="A8327" s="21">
        <v>8326</v>
      </c>
      <c r="B8327" s="7" t="s">
        <v>17409</v>
      </c>
      <c r="C8327" s="7" t="s">
        <v>17410</v>
      </c>
      <c r="G8327" s="8" t="s">
        <v>15</v>
      </c>
    </row>
    <row r="8328" spans="1:7" hidden="1" x14ac:dyDescent="0.25">
      <c r="A8328" s="21">
        <v>8327</v>
      </c>
      <c r="B8328" s="7" t="s">
        <v>17411</v>
      </c>
      <c r="C8328" s="7" t="s">
        <v>17412</v>
      </c>
      <c r="G8328" s="8" t="s">
        <v>15</v>
      </c>
    </row>
    <row r="8329" spans="1:7" hidden="1" x14ac:dyDescent="0.25">
      <c r="A8329" s="21">
        <v>8328</v>
      </c>
      <c r="B8329" s="7" t="s">
        <v>17413</v>
      </c>
      <c r="C8329" s="7" t="s">
        <v>17414</v>
      </c>
      <c r="G8329" s="8" t="s">
        <v>15</v>
      </c>
    </row>
    <row r="8330" spans="1:7" hidden="1" x14ac:dyDescent="0.25">
      <c r="A8330" s="21">
        <v>8329</v>
      </c>
      <c r="B8330" s="7" t="s">
        <v>17415</v>
      </c>
      <c r="C8330" s="7" t="s">
        <v>17416</v>
      </c>
      <c r="G8330" s="8" t="s">
        <v>15</v>
      </c>
    </row>
    <row r="8331" spans="1:7" hidden="1" x14ac:dyDescent="0.25">
      <c r="A8331" s="21">
        <v>8330</v>
      </c>
      <c r="B8331" s="7" t="s">
        <v>17417</v>
      </c>
      <c r="C8331" s="7" t="s">
        <v>17418</v>
      </c>
      <c r="F8331" t="s">
        <v>161</v>
      </c>
      <c r="G8331" s="8" t="s">
        <v>15</v>
      </c>
    </row>
    <row r="8332" spans="1:7" hidden="1" x14ac:dyDescent="0.25">
      <c r="A8332" s="21">
        <v>8331</v>
      </c>
      <c r="B8332" s="7" t="s">
        <v>17419</v>
      </c>
      <c r="C8332" s="7" t="s">
        <v>17420</v>
      </c>
      <c r="G8332" s="8" t="s">
        <v>15</v>
      </c>
    </row>
    <row r="8333" spans="1:7" hidden="1" x14ac:dyDescent="0.25">
      <c r="A8333" s="21">
        <v>8332</v>
      </c>
      <c r="B8333" s="7" t="s">
        <v>17421</v>
      </c>
      <c r="C8333" s="7" t="s">
        <v>17422</v>
      </c>
      <c r="G8333" s="8" t="s">
        <v>15</v>
      </c>
    </row>
    <row r="8334" spans="1:7" hidden="1" x14ac:dyDescent="0.25">
      <c r="A8334" s="21">
        <v>8333</v>
      </c>
      <c r="B8334" s="7" t="s">
        <v>17423</v>
      </c>
      <c r="C8334" s="7" t="s">
        <v>17424</v>
      </c>
      <c r="G8334" s="8" t="s">
        <v>15</v>
      </c>
    </row>
    <row r="8335" spans="1:7" hidden="1" x14ac:dyDescent="0.25">
      <c r="A8335" s="21">
        <v>8334</v>
      </c>
      <c r="B8335" s="7" t="s">
        <v>17425</v>
      </c>
      <c r="C8335" s="7" t="s">
        <v>17426</v>
      </c>
      <c r="G8335" s="8" t="s">
        <v>15</v>
      </c>
    </row>
    <row r="8336" spans="1:7" hidden="1" x14ac:dyDescent="0.25">
      <c r="A8336" s="21">
        <v>8335</v>
      </c>
      <c r="B8336" s="7" t="s">
        <v>17427</v>
      </c>
      <c r="C8336" s="7" t="s">
        <v>17428</v>
      </c>
      <c r="G8336" s="8" t="s">
        <v>15</v>
      </c>
    </row>
    <row r="8337" spans="1:7" hidden="1" x14ac:dyDescent="0.25">
      <c r="A8337" s="21">
        <v>8336</v>
      </c>
      <c r="B8337" s="7" t="s">
        <v>17429</v>
      </c>
      <c r="C8337" s="7" t="s">
        <v>17430</v>
      </c>
      <c r="G8337" s="8" t="s">
        <v>15</v>
      </c>
    </row>
    <row r="8338" spans="1:7" hidden="1" x14ac:dyDescent="0.25">
      <c r="A8338" s="21">
        <v>8337</v>
      </c>
      <c r="B8338" s="7" t="s">
        <v>17431</v>
      </c>
      <c r="C8338" s="7" t="s">
        <v>17432</v>
      </c>
      <c r="G8338" s="8" t="s">
        <v>15</v>
      </c>
    </row>
    <row r="8339" spans="1:7" hidden="1" x14ac:dyDescent="0.25">
      <c r="A8339" s="21">
        <v>8338</v>
      </c>
      <c r="B8339" s="7" t="s">
        <v>17433</v>
      </c>
      <c r="C8339" s="7" t="s">
        <v>17434</v>
      </c>
      <c r="G8339" s="8" t="s">
        <v>15</v>
      </c>
    </row>
    <row r="8340" spans="1:7" hidden="1" x14ac:dyDescent="0.25">
      <c r="A8340" s="21">
        <v>8339</v>
      </c>
      <c r="B8340" s="7" t="s">
        <v>17435</v>
      </c>
      <c r="C8340" s="7" t="s">
        <v>17436</v>
      </c>
      <c r="G8340" s="8" t="s">
        <v>15</v>
      </c>
    </row>
    <row r="8341" spans="1:7" hidden="1" x14ac:dyDescent="0.25">
      <c r="A8341" s="21">
        <v>8340</v>
      </c>
      <c r="B8341" s="7" t="s">
        <v>17437</v>
      </c>
      <c r="C8341" s="7" t="s">
        <v>17438</v>
      </c>
      <c r="G8341" s="8" t="s">
        <v>15</v>
      </c>
    </row>
    <row r="8342" spans="1:7" hidden="1" x14ac:dyDescent="0.25">
      <c r="A8342" s="21">
        <v>8341</v>
      </c>
      <c r="B8342" s="7" t="s">
        <v>17439</v>
      </c>
      <c r="C8342" s="7" t="s">
        <v>17440</v>
      </c>
      <c r="G8342" s="8" t="s">
        <v>15</v>
      </c>
    </row>
    <row r="8343" spans="1:7" hidden="1" x14ac:dyDescent="0.25">
      <c r="A8343" s="21">
        <v>8342</v>
      </c>
      <c r="B8343" s="7" t="s">
        <v>17441</v>
      </c>
      <c r="C8343" s="7" t="s">
        <v>17442</v>
      </c>
      <c r="G8343" s="8" t="s">
        <v>15</v>
      </c>
    </row>
    <row r="8344" spans="1:7" hidden="1" x14ac:dyDescent="0.25">
      <c r="A8344" s="21">
        <v>8343</v>
      </c>
      <c r="B8344" s="7" t="s">
        <v>17443</v>
      </c>
      <c r="C8344" s="7" t="s">
        <v>17444</v>
      </c>
      <c r="G8344" s="8" t="s">
        <v>15</v>
      </c>
    </row>
    <row r="8345" spans="1:7" hidden="1" x14ac:dyDescent="0.25">
      <c r="A8345" s="21">
        <v>8344</v>
      </c>
      <c r="B8345" s="7" t="s">
        <v>17445</v>
      </c>
      <c r="C8345" s="7" t="s">
        <v>17446</v>
      </c>
      <c r="G8345" s="8" t="s">
        <v>15</v>
      </c>
    </row>
    <row r="8346" spans="1:7" hidden="1" x14ac:dyDescent="0.25">
      <c r="A8346" s="21">
        <v>8345</v>
      </c>
      <c r="B8346" s="7" t="s">
        <v>17447</v>
      </c>
      <c r="C8346" s="7" t="s">
        <v>17448</v>
      </c>
      <c r="G8346" s="8" t="s">
        <v>15</v>
      </c>
    </row>
    <row r="8347" spans="1:7" hidden="1" x14ac:dyDescent="0.25">
      <c r="A8347" s="21">
        <v>8346</v>
      </c>
      <c r="B8347" s="7" t="s">
        <v>17449</v>
      </c>
      <c r="C8347" s="7" t="s">
        <v>17450</v>
      </c>
      <c r="G8347" s="8" t="s">
        <v>15</v>
      </c>
    </row>
    <row r="8348" spans="1:7" hidden="1" x14ac:dyDescent="0.25">
      <c r="A8348" s="21">
        <v>8347</v>
      </c>
      <c r="B8348" s="7" t="s">
        <v>17451</v>
      </c>
      <c r="C8348" s="7" t="s">
        <v>17452</v>
      </c>
      <c r="G8348" s="8" t="s">
        <v>15</v>
      </c>
    </row>
    <row r="8349" spans="1:7" hidden="1" x14ac:dyDescent="0.25">
      <c r="A8349" s="21">
        <v>8348</v>
      </c>
      <c r="B8349" s="7" t="s">
        <v>17453</v>
      </c>
      <c r="C8349" s="7" t="s">
        <v>17454</v>
      </c>
      <c r="G8349" s="8" t="s">
        <v>15</v>
      </c>
    </row>
    <row r="8350" spans="1:7" hidden="1" x14ac:dyDescent="0.25">
      <c r="A8350" s="21">
        <v>8349</v>
      </c>
      <c r="B8350" s="7" t="s">
        <v>17455</v>
      </c>
      <c r="C8350" s="7" t="s">
        <v>17456</v>
      </c>
      <c r="G8350" s="8" t="s">
        <v>15</v>
      </c>
    </row>
    <row r="8351" spans="1:7" hidden="1" x14ac:dyDescent="0.25">
      <c r="A8351" s="21">
        <v>8350</v>
      </c>
      <c r="B8351" s="7" t="s">
        <v>17457</v>
      </c>
      <c r="C8351" s="7" t="s">
        <v>17458</v>
      </c>
      <c r="G8351" s="8" t="s">
        <v>15</v>
      </c>
    </row>
    <row r="8352" spans="1:7" hidden="1" x14ac:dyDescent="0.25">
      <c r="A8352" s="21">
        <v>8351</v>
      </c>
      <c r="B8352" s="7" t="s">
        <v>17459</v>
      </c>
      <c r="C8352" s="7" t="s">
        <v>17460</v>
      </c>
      <c r="G8352" s="8" t="s">
        <v>15</v>
      </c>
    </row>
    <row r="8353" spans="1:7" hidden="1" x14ac:dyDescent="0.25">
      <c r="A8353" s="21">
        <v>8352</v>
      </c>
      <c r="B8353" s="7" t="s">
        <v>17461</v>
      </c>
      <c r="C8353" s="7" t="s">
        <v>17462</v>
      </c>
      <c r="G8353" s="8" t="s">
        <v>15</v>
      </c>
    </row>
    <row r="8354" spans="1:7" hidden="1" x14ac:dyDescent="0.25">
      <c r="A8354" s="21">
        <v>8353</v>
      </c>
      <c r="B8354" s="7" t="s">
        <v>17463</v>
      </c>
      <c r="C8354" s="7" t="s">
        <v>17464</v>
      </c>
      <c r="G8354" s="8" t="s">
        <v>15</v>
      </c>
    </row>
    <row r="8355" spans="1:7" hidden="1" x14ac:dyDescent="0.25">
      <c r="A8355" s="21">
        <v>8354</v>
      </c>
      <c r="B8355" s="7" t="s">
        <v>17465</v>
      </c>
      <c r="C8355" s="7" t="s">
        <v>17466</v>
      </c>
      <c r="G8355" s="8" t="s">
        <v>15</v>
      </c>
    </row>
    <row r="8356" spans="1:7" hidden="1" x14ac:dyDescent="0.25">
      <c r="A8356" s="21">
        <v>8355</v>
      </c>
      <c r="B8356" s="7" t="s">
        <v>17467</v>
      </c>
      <c r="C8356" s="7" t="s">
        <v>17468</v>
      </c>
      <c r="G8356" s="8" t="s">
        <v>15</v>
      </c>
    </row>
    <row r="8357" spans="1:7" hidden="1" x14ac:dyDescent="0.25">
      <c r="A8357" s="21">
        <v>8356</v>
      </c>
      <c r="B8357" s="7" t="s">
        <v>17469</v>
      </c>
      <c r="C8357" s="7" t="s">
        <v>17470</v>
      </c>
      <c r="G8357" s="8" t="s">
        <v>15</v>
      </c>
    </row>
    <row r="8358" spans="1:7" hidden="1" x14ac:dyDescent="0.25">
      <c r="A8358" s="21">
        <v>8357</v>
      </c>
      <c r="B8358" s="7" t="s">
        <v>17471</v>
      </c>
      <c r="C8358" s="7" t="s">
        <v>17472</v>
      </c>
      <c r="G8358" s="8" t="s">
        <v>15</v>
      </c>
    </row>
    <row r="8359" spans="1:7" hidden="1" x14ac:dyDescent="0.25">
      <c r="A8359" s="21">
        <v>8358</v>
      </c>
      <c r="B8359" s="7" t="s">
        <v>17473</v>
      </c>
      <c r="C8359" s="7" t="s">
        <v>17474</v>
      </c>
      <c r="G8359" s="8" t="s">
        <v>15</v>
      </c>
    </row>
    <row r="8360" spans="1:7" hidden="1" x14ac:dyDescent="0.25">
      <c r="A8360" s="21">
        <v>8359</v>
      </c>
      <c r="B8360" s="7" t="s">
        <v>17475</v>
      </c>
      <c r="C8360" s="7" t="s">
        <v>17476</v>
      </c>
      <c r="G8360" s="8" t="s">
        <v>15</v>
      </c>
    </row>
    <row r="8361" spans="1:7" hidden="1" x14ac:dyDescent="0.25">
      <c r="A8361" s="21">
        <v>8360</v>
      </c>
      <c r="B8361" s="7" t="s">
        <v>17477</v>
      </c>
      <c r="C8361" s="7" t="s">
        <v>17478</v>
      </c>
      <c r="G8361" s="8" t="s">
        <v>15</v>
      </c>
    </row>
    <row r="8362" spans="1:7" hidden="1" x14ac:dyDescent="0.25">
      <c r="A8362" s="21">
        <v>8361</v>
      </c>
      <c r="B8362" s="7" t="s">
        <v>17479</v>
      </c>
      <c r="C8362" s="7" t="s">
        <v>17480</v>
      </c>
      <c r="G8362" s="8" t="s">
        <v>15</v>
      </c>
    </row>
    <row r="8363" spans="1:7" hidden="1" x14ac:dyDescent="0.25">
      <c r="A8363" s="21">
        <v>8362</v>
      </c>
      <c r="B8363" s="7" t="s">
        <v>17481</v>
      </c>
      <c r="C8363" s="7" t="s">
        <v>17482</v>
      </c>
      <c r="G8363" s="8" t="s">
        <v>15</v>
      </c>
    </row>
    <row r="8364" spans="1:7" hidden="1" x14ac:dyDescent="0.25">
      <c r="A8364" s="21">
        <v>8363</v>
      </c>
      <c r="B8364" s="7" t="s">
        <v>17483</v>
      </c>
      <c r="C8364" s="7" t="s">
        <v>17484</v>
      </c>
      <c r="G8364" s="8" t="s">
        <v>15</v>
      </c>
    </row>
    <row r="8365" spans="1:7" hidden="1" x14ac:dyDescent="0.25">
      <c r="A8365" s="21">
        <v>8364</v>
      </c>
      <c r="B8365" s="7" t="s">
        <v>17485</v>
      </c>
      <c r="C8365" s="7" t="s">
        <v>17486</v>
      </c>
      <c r="G8365" s="8" t="s">
        <v>15</v>
      </c>
    </row>
    <row r="8366" spans="1:7" hidden="1" x14ac:dyDescent="0.25">
      <c r="A8366" s="21">
        <v>8365</v>
      </c>
      <c r="B8366" s="7" t="s">
        <v>17487</v>
      </c>
      <c r="C8366" s="7" t="s">
        <v>17488</v>
      </c>
      <c r="G8366" s="8" t="s">
        <v>15</v>
      </c>
    </row>
    <row r="8367" spans="1:7" hidden="1" x14ac:dyDescent="0.25">
      <c r="A8367" s="21">
        <v>8366</v>
      </c>
      <c r="B8367" s="7" t="s">
        <v>17489</v>
      </c>
      <c r="C8367" s="7" t="s">
        <v>17490</v>
      </c>
      <c r="G8367" s="8" t="s">
        <v>15</v>
      </c>
    </row>
    <row r="8368" spans="1:7" hidden="1" x14ac:dyDescent="0.25">
      <c r="A8368" s="21">
        <v>8367</v>
      </c>
      <c r="B8368" s="7" t="s">
        <v>17491</v>
      </c>
      <c r="C8368" s="7" t="s">
        <v>17492</v>
      </c>
      <c r="G8368" s="8" t="s">
        <v>15</v>
      </c>
    </row>
    <row r="8369" spans="1:7" hidden="1" x14ac:dyDescent="0.25">
      <c r="A8369" s="21">
        <v>8368</v>
      </c>
      <c r="B8369" s="7" t="s">
        <v>17493</v>
      </c>
      <c r="C8369" s="7" t="s">
        <v>17494</v>
      </c>
      <c r="G8369" s="8" t="s">
        <v>15</v>
      </c>
    </row>
    <row r="8370" spans="1:7" hidden="1" x14ac:dyDescent="0.25">
      <c r="A8370" s="21">
        <v>8369</v>
      </c>
      <c r="B8370" s="7" t="s">
        <v>17495</v>
      </c>
      <c r="C8370" s="7" t="s">
        <v>17496</v>
      </c>
      <c r="G8370" s="8" t="s">
        <v>15</v>
      </c>
    </row>
    <row r="8371" spans="1:7" hidden="1" x14ac:dyDescent="0.25">
      <c r="A8371" s="21">
        <v>8370</v>
      </c>
      <c r="B8371" s="7" t="s">
        <v>17497</v>
      </c>
      <c r="C8371" s="7" t="s">
        <v>17498</v>
      </c>
      <c r="G8371" s="8" t="s">
        <v>15</v>
      </c>
    </row>
    <row r="8372" spans="1:7" hidden="1" x14ac:dyDescent="0.25">
      <c r="A8372" s="21">
        <v>8371</v>
      </c>
      <c r="B8372" s="7" t="s">
        <v>17499</v>
      </c>
      <c r="C8372" s="7" t="s">
        <v>17500</v>
      </c>
      <c r="G8372" s="8" t="s">
        <v>15</v>
      </c>
    </row>
    <row r="8373" spans="1:7" hidden="1" x14ac:dyDescent="0.25">
      <c r="A8373" s="21">
        <v>8372</v>
      </c>
      <c r="B8373" s="7" t="s">
        <v>17501</v>
      </c>
      <c r="C8373" s="7" t="s">
        <v>17502</v>
      </c>
      <c r="G8373" s="8" t="s">
        <v>15</v>
      </c>
    </row>
    <row r="8374" spans="1:7" hidden="1" x14ac:dyDescent="0.25">
      <c r="A8374" s="21">
        <v>8373</v>
      </c>
      <c r="B8374" s="7" t="s">
        <v>17503</v>
      </c>
      <c r="C8374" s="7" t="s">
        <v>17504</v>
      </c>
      <c r="G8374" s="8" t="s">
        <v>15</v>
      </c>
    </row>
    <row r="8375" spans="1:7" hidden="1" x14ac:dyDescent="0.25">
      <c r="A8375" s="21">
        <v>8374</v>
      </c>
      <c r="B8375" s="7" t="s">
        <v>17505</v>
      </c>
      <c r="C8375" s="7" t="s">
        <v>17506</v>
      </c>
      <c r="G8375" s="8" t="s">
        <v>15</v>
      </c>
    </row>
    <row r="8376" spans="1:7" hidden="1" x14ac:dyDescent="0.25">
      <c r="A8376" s="21">
        <v>8375</v>
      </c>
      <c r="B8376" s="7" t="s">
        <v>17507</v>
      </c>
      <c r="C8376" s="7" t="s">
        <v>17508</v>
      </c>
      <c r="G8376" s="8" t="s">
        <v>15</v>
      </c>
    </row>
    <row r="8377" spans="1:7" hidden="1" x14ac:dyDescent="0.25">
      <c r="A8377" s="21">
        <v>8376</v>
      </c>
      <c r="B8377" s="7" t="s">
        <v>17509</v>
      </c>
      <c r="C8377" s="7" t="s">
        <v>17510</v>
      </c>
      <c r="G8377" s="8" t="s">
        <v>15</v>
      </c>
    </row>
    <row r="8378" spans="1:7" hidden="1" x14ac:dyDescent="0.25">
      <c r="A8378" s="21">
        <v>8377</v>
      </c>
      <c r="B8378" s="7" t="s">
        <v>17511</v>
      </c>
      <c r="C8378" s="7" t="s">
        <v>17512</v>
      </c>
      <c r="G8378" s="8" t="s">
        <v>15</v>
      </c>
    </row>
    <row r="8379" spans="1:7" hidden="1" x14ac:dyDescent="0.25">
      <c r="A8379" s="21">
        <v>8378</v>
      </c>
      <c r="B8379" s="7" t="s">
        <v>17513</v>
      </c>
      <c r="C8379" s="7" t="s">
        <v>17514</v>
      </c>
      <c r="G8379" s="8" t="s">
        <v>15</v>
      </c>
    </row>
    <row r="8380" spans="1:7" hidden="1" x14ac:dyDescent="0.25">
      <c r="A8380" s="21">
        <v>8379</v>
      </c>
      <c r="B8380" s="7" t="s">
        <v>17515</v>
      </c>
      <c r="C8380" s="7" t="s">
        <v>17516</v>
      </c>
      <c r="G8380" s="8" t="s">
        <v>15</v>
      </c>
    </row>
    <row r="8381" spans="1:7" hidden="1" x14ac:dyDescent="0.25">
      <c r="A8381" s="21">
        <v>8380</v>
      </c>
      <c r="B8381" s="7" t="s">
        <v>17517</v>
      </c>
      <c r="C8381" s="7" t="s">
        <v>17518</v>
      </c>
      <c r="G8381" s="8" t="s">
        <v>15</v>
      </c>
    </row>
    <row r="8382" spans="1:7" hidden="1" x14ac:dyDescent="0.25">
      <c r="A8382" s="21">
        <v>8381</v>
      </c>
      <c r="B8382" s="7" t="s">
        <v>17519</v>
      </c>
      <c r="C8382" s="7" t="s">
        <v>17520</v>
      </c>
      <c r="G8382" s="8" t="s">
        <v>15</v>
      </c>
    </row>
    <row r="8383" spans="1:7" hidden="1" x14ac:dyDescent="0.25">
      <c r="A8383" s="21">
        <v>8382</v>
      </c>
      <c r="B8383" s="7" t="s">
        <v>17521</v>
      </c>
      <c r="C8383" s="7" t="s">
        <v>17522</v>
      </c>
      <c r="G8383" s="8" t="s">
        <v>15</v>
      </c>
    </row>
    <row r="8384" spans="1:7" hidden="1" x14ac:dyDescent="0.25">
      <c r="A8384" s="21">
        <v>8383</v>
      </c>
      <c r="B8384" s="7" t="s">
        <v>17523</v>
      </c>
      <c r="C8384" s="7" t="s">
        <v>17524</v>
      </c>
      <c r="G8384" s="8" t="s">
        <v>15</v>
      </c>
    </row>
    <row r="8385" spans="1:7" hidden="1" x14ac:dyDescent="0.25">
      <c r="A8385" s="21">
        <v>8384</v>
      </c>
      <c r="B8385" s="7" t="s">
        <v>17525</v>
      </c>
      <c r="C8385" s="7" t="s">
        <v>17526</v>
      </c>
      <c r="G8385" s="8" t="s">
        <v>15</v>
      </c>
    </row>
    <row r="8386" spans="1:7" hidden="1" x14ac:dyDescent="0.25">
      <c r="A8386" s="21">
        <v>8385</v>
      </c>
      <c r="B8386" s="7" t="s">
        <v>17527</v>
      </c>
      <c r="C8386" s="7" t="s">
        <v>17528</v>
      </c>
      <c r="G8386" s="8" t="s">
        <v>15</v>
      </c>
    </row>
    <row r="8387" spans="1:7" hidden="1" x14ac:dyDescent="0.25">
      <c r="A8387" s="21">
        <v>8386</v>
      </c>
      <c r="B8387" s="7" t="s">
        <v>17529</v>
      </c>
      <c r="C8387" s="7" t="s">
        <v>17530</v>
      </c>
      <c r="G8387" s="8" t="s">
        <v>15</v>
      </c>
    </row>
    <row r="8388" spans="1:7" hidden="1" x14ac:dyDescent="0.25">
      <c r="A8388" s="21">
        <v>8387</v>
      </c>
      <c r="B8388" s="7" t="s">
        <v>17531</v>
      </c>
      <c r="C8388" s="7" t="s">
        <v>17532</v>
      </c>
      <c r="G8388" s="8" t="s">
        <v>15</v>
      </c>
    </row>
    <row r="8389" spans="1:7" hidden="1" x14ac:dyDescent="0.25">
      <c r="A8389" s="21">
        <v>8388</v>
      </c>
      <c r="B8389" s="7" t="s">
        <v>17533</v>
      </c>
      <c r="C8389" s="7" t="s">
        <v>17534</v>
      </c>
      <c r="G8389" s="8" t="s">
        <v>15</v>
      </c>
    </row>
    <row r="8390" spans="1:7" hidden="1" x14ac:dyDescent="0.25">
      <c r="A8390" s="21">
        <v>8389</v>
      </c>
      <c r="B8390" s="7" t="s">
        <v>17535</v>
      </c>
      <c r="C8390" s="7" t="s">
        <v>17536</v>
      </c>
      <c r="G8390" s="8" t="s">
        <v>15</v>
      </c>
    </row>
    <row r="8391" spans="1:7" hidden="1" x14ac:dyDescent="0.25">
      <c r="A8391" s="21">
        <v>8390</v>
      </c>
      <c r="B8391" s="7" t="s">
        <v>17537</v>
      </c>
      <c r="C8391" s="7" t="s">
        <v>17538</v>
      </c>
      <c r="G8391" s="8" t="s">
        <v>15</v>
      </c>
    </row>
    <row r="8392" spans="1:7" hidden="1" x14ac:dyDescent="0.25">
      <c r="A8392" s="21">
        <v>8391</v>
      </c>
      <c r="B8392" s="7" t="s">
        <v>17539</v>
      </c>
      <c r="C8392" s="7" t="s">
        <v>17540</v>
      </c>
      <c r="G8392" s="8" t="s">
        <v>15</v>
      </c>
    </row>
    <row r="8393" spans="1:7" hidden="1" x14ac:dyDescent="0.25">
      <c r="A8393" s="21">
        <v>8392</v>
      </c>
      <c r="B8393" s="7" t="s">
        <v>17541</v>
      </c>
      <c r="C8393" s="7" t="s">
        <v>17542</v>
      </c>
      <c r="G8393" s="8" t="s">
        <v>15</v>
      </c>
    </row>
    <row r="8394" spans="1:7" hidden="1" x14ac:dyDescent="0.25">
      <c r="A8394" s="21">
        <v>8393</v>
      </c>
      <c r="B8394" s="7" t="s">
        <v>17543</v>
      </c>
      <c r="C8394" s="7" t="s">
        <v>17544</v>
      </c>
      <c r="G8394" s="8" t="s">
        <v>15</v>
      </c>
    </row>
    <row r="8395" spans="1:7" hidden="1" x14ac:dyDescent="0.25">
      <c r="A8395" s="21">
        <v>8394</v>
      </c>
      <c r="B8395" s="7" t="s">
        <v>17545</v>
      </c>
      <c r="C8395" s="7" t="s">
        <v>17546</v>
      </c>
      <c r="G8395" s="8" t="s">
        <v>15</v>
      </c>
    </row>
    <row r="8396" spans="1:7" hidden="1" x14ac:dyDescent="0.25">
      <c r="A8396" s="21">
        <v>8395</v>
      </c>
      <c r="B8396" s="7" t="s">
        <v>17547</v>
      </c>
      <c r="C8396" s="7" t="s">
        <v>17548</v>
      </c>
      <c r="G8396" s="8" t="s">
        <v>15</v>
      </c>
    </row>
    <row r="8397" spans="1:7" hidden="1" x14ac:dyDescent="0.25">
      <c r="A8397" s="21">
        <v>8396</v>
      </c>
      <c r="B8397" s="7" t="s">
        <v>17549</v>
      </c>
      <c r="C8397" s="7" t="s">
        <v>17550</v>
      </c>
      <c r="G8397" s="8" t="s">
        <v>15</v>
      </c>
    </row>
    <row r="8398" spans="1:7" hidden="1" x14ac:dyDescent="0.25">
      <c r="A8398" s="21">
        <v>8397</v>
      </c>
      <c r="B8398" s="7" t="s">
        <v>17551</v>
      </c>
      <c r="C8398" s="7" t="s">
        <v>17552</v>
      </c>
      <c r="G8398" s="8" t="s">
        <v>15</v>
      </c>
    </row>
    <row r="8399" spans="1:7" hidden="1" x14ac:dyDescent="0.25">
      <c r="A8399" s="21">
        <v>8398</v>
      </c>
      <c r="B8399" s="7" t="s">
        <v>17553</v>
      </c>
      <c r="C8399" s="7" t="s">
        <v>17554</v>
      </c>
      <c r="G8399" s="8" t="s">
        <v>15</v>
      </c>
    </row>
    <row r="8400" spans="1:7" hidden="1" x14ac:dyDescent="0.25">
      <c r="A8400" s="21">
        <v>8399</v>
      </c>
      <c r="B8400" s="7" t="s">
        <v>17555</v>
      </c>
      <c r="C8400" s="7" t="s">
        <v>17556</v>
      </c>
      <c r="G8400" s="8" t="s">
        <v>15</v>
      </c>
    </row>
    <row r="8401" spans="1:7" hidden="1" x14ac:dyDescent="0.25">
      <c r="A8401" s="21">
        <v>8400</v>
      </c>
      <c r="B8401" s="7" t="s">
        <v>17557</v>
      </c>
      <c r="C8401" s="7" t="s">
        <v>17558</v>
      </c>
      <c r="G8401" s="8" t="s">
        <v>15</v>
      </c>
    </row>
    <row r="8402" spans="1:7" hidden="1" x14ac:dyDescent="0.25">
      <c r="A8402" s="21">
        <v>8401</v>
      </c>
      <c r="B8402" s="7" t="s">
        <v>17559</v>
      </c>
      <c r="C8402" s="7" t="s">
        <v>17560</v>
      </c>
      <c r="G8402" s="8" t="s">
        <v>15</v>
      </c>
    </row>
    <row r="8403" spans="1:7" hidden="1" x14ac:dyDescent="0.25">
      <c r="A8403" s="21">
        <v>8402</v>
      </c>
      <c r="B8403" s="7" t="s">
        <v>17561</v>
      </c>
      <c r="C8403" s="7" t="s">
        <v>17562</v>
      </c>
      <c r="G8403" s="8" t="s">
        <v>15</v>
      </c>
    </row>
    <row r="8404" spans="1:7" hidden="1" x14ac:dyDescent="0.25">
      <c r="A8404" s="21">
        <v>8403</v>
      </c>
      <c r="B8404" s="7" t="s">
        <v>17563</v>
      </c>
      <c r="C8404" s="7" t="s">
        <v>17564</v>
      </c>
      <c r="G8404" s="8" t="s">
        <v>15</v>
      </c>
    </row>
    <row r="8405" spans="1:7" hidden="1" x14ac:dyDescent="0.25">
      <c r="A8405" s="21">
        <v>8404</v>
      </c>
      <c r="B8405" s="7" t="s">
        <v>17565</v>
      </c>
      <c r="C8405" s="7" t="s">
        <v>17566</v>
      </c>
      <c r="G8405" s="8" t="s">
        <v>15</v>
      </c>
    </row>
    <row r="8406" spans="1:7" hidden="1" x14ac:dyDescent="0.25">
      <c r="A8406" s="21">
        <v>8405</v>
      </c>
      <c r="B8406" s="7" t="s">
        <v>17567</v>
      </c>
      <c r="C8406" s="7" t="s">
        <v>17568</v>
      </c>
      <c r="G8406" s="8" t="s">
        <v>15</v>
      </c>
    </row>
    <row r="8407" spans="1:7" hidden="1" x14ac:dyDescent="0.25">
      <c r="A8407" s="21">
        <v>8406</v>
      </c>
      <c r="B8407" s="7" t="s">
        <v>17569</v>
      </c>
      <c r="C8407" s="7" t="s">
        <v>17570</v>
      </c>
      <c r="G8407" s="8" t="s">
        <v>15</v>
      </c>
    </row>
    <row r="8408" spans="1:7" hidden="1" x14ac:dyDescent="0.25">
      <c r="A8408" s="21">
        <v>8407</v>
      </c>
      <c r="B8408" s="7" t="s">
        <v>17571</v>
      </c>
      <c r="C8408" s="7" t="s">
        <v>17572</v>
      </c>
      <c r="G8408" s="8" t="s">
        <v>15</v>
      </c>
    </row>
    <row r="8409" spans="1:7" hidden="1" x14ac:dyDescent="0.25">
      <c r="A8409" s="21">
        <v>8408</v>
      </c>
      <c r="B8409" s="7" t="s">
        <v>17573</v>
      </c>
      <c r="C8409" s="7" t="s">
        <v>17574</v>
      </c>
      <c r="G8409" s="8" t="s">
        <v>15</v>
      </c>
    </row>
    <row r="8410" spans="1:7" hidden="1" x14ac:dyDescent="0.25">
      <c r="A8410" s="21">
        <v>8409</v>
      </c>
      <c r="B8410" s="7" t="s">
        <v>17575</v>
      </c>
      <c r="C8410" s="7" t="s">
        <v>17576</v>
      </c>
      <c r="G8410" s="8" t="s">
        <v>15</v>
      </c>
    </row>
    <row r="8411" spans="1:7" hidden="1" x14ac:dyDescent="0.25">
      <c r="A8411" s="21">
        <v>8410</v>
      </c>
      <c r="B8411" s="7" t="s">
        <v>17577</v>
      </c>
      <c r="C8411" s="7" t="s">
        <v>17578</v>
      </c>
      <c r="G8411" s="8" t="s">
        <v>15</v>
      </c>
    </row>
    <row r="8412" spans="1:7" hidden="1" x14ac:dyDescent="0.25">
      <c r="A8412" s="21">
        <v>8411</v>
      </c>
      <c r="B8412" s="7" t="s">
        <v>17579</v>
      </c>
      <c r="C8412" s="7" t="s">
        <v>17580</v>
      </c>
      <c r="G8412" s="8" t="s">
        <v>15</v>
      </c>
    </row>
    <row r="8413" spans="1:7" hidden="1" x14ac:dyDescent="0.25">
      <c r="A8413" s="21">
        <v>8412</v>
      </c>
      <c r="B8413" s="7" t="s">
        <v>17581</v>
      </c>
      <c r="C8413" s="7" t="s">
        <v>17582</v>
      </c>
      <c r="G8413" s="8" t="s">
        <v>15</v>
      </c>
    </row>
    <row r="8414" spans="1:7" hidden="1" x14ac:dyDescent="0.25">
      <c r="A8414" s="21">
        <v>8413</v>
      </c>
      <c r="B8414" s="7" t="s">
        <v>17583</v>
      </c>
      <c r="C8414" s="7" t="s">
        <v>17584</v>
      </c>
      <c r="G8414" s="8" t="s">
        <v>15</v>
      </c>
    </row>
    <row r="8415" spans="1:7" hidden="1" x14ac:dyDescent="0.25">
      <c r="A8415" s="21">
        <v>8414</v>
      </c>
      <c r="B8415" s="7" t="s">
        <v>17585</v>
      </c>
      <c r="C8415" s="7" t="s">
        <v>17586</v>
      </c>
      <c r="G8415" s="8" t="s">
        <v>15</v>
      </c>
    </row>
    <row r="8416" spans="1:7" hidden="1" x14ac:dyDescent="0.25">
      <c r="A8416" s="21">
        <v>8415</v>
      </c>
      <c r="B8416" s="7" t="s">
        <v>17587</v>
      </c>
      <c r="C8416" s="7" t="s">
        <v>17588</v>
      </c>
      <c r="G8416" s="8" t="s">
        <v>15</v>
      </c>
    </row>
    <row r="8417" spans="1:7" hidden="1" x14ac:dyDescent="0.25">
      <c r="A8417" s="21">
        <v>8416</v>
      </c>
      <c r="B8417" s="7" t="s">
        <v>17589</v>
      </c>
      <c r="C8417" s="7" t="s">
        <v>17590</v>
      </c>
      <c r="G8417" s="8" t="s">
        <v>15</v>
      </c>
    </row>
    <row r="8418" spans="1:7" hidden="1" x14ac:dyDescent="0.25">
      <c r="A8418" s="21">
        <v>8417</v>
      </c>
      <c r="B8418" s="7" t="s">
        <v>17591</v>
      </c>
      <c r="C8418" s="7" t="s">
        <v>17592</v>
      </c>
      <c r="G8418" s="8" t="s">
        <v>15</v>
      </c>
    </row>
    <row r="8419" spans="1:7" hidden="1" x14ac:dyDescent="0.25">
      <c r="A8419" s="21">
        <v>8418</v>
      </c>
      <c r="B8419" s="7" t="s">
        <v>17593</v>
      </c>
      <c r="C8419" s="7" t="s">
        <v>17594</v>
      </c>
      <c r="G8419" s="8" t="s">
        <v>15</v>
      </c>
    </row>
    <row r="8420" spans="1:7" hidden="1" x14ac:dyDescent="0.25">
      <c r="A8420" s="21">
        <v>8419</v>
      </c>
      <c r="B8420" s="7" t="s">
        <v>17595</v>
      </c>
      <c r="C8420" s="7" t="s">
        <v>17596</v>
      </c>
      <c r="G8420" s="8" t="s">
        <v>15</v>
      </c>
    </row>
    <row r="8421" spans="1:7" hidden="1" x14ac:dyDescent="0.25">
      <c r="A8421" s="21">
        <v>8420</v>
      </c>
      <c r="B8421" s="7" t="s">
        <v>17597</v>
      </c>
      <c r="C8421" s="7" t="s">
        <v>17598</v>
      </c>
      <c r="G8421" s="8" t="s">
        <v>15</v>
      </c>
    </row>
    <row r="8422" spans="1:7" hidden="1" x14ac:dyDescent="0.25">
      <c r="A8422" s="21">
        <v>8421</v>
      </c>
      <c r="B8422" s="7" t="s">
        <v>17599</v>
      </c>
      <c r="C8422" s="7" t="s">
        <v>17600</v>
      </c>
      <c r="G8422" s="8" t="s">
        <v>15</v>
      </c>
    </row>
    <row r="8423" spans="1:7" hidden="1" x14ac:dyDescent="0.25">
      <c r="A8423" s="21">
        <v>8422</v>
      </c>
      <c r="B8423" s="7" t="s">
        <v>17601</v>
      </c>
      <c r="C8423" s="7" t="s">
        <v>17602</v>
      </c>
      <c r="G8423" s="8" t="s">
        <v>15</v>
      </c>
    </row>
    <row r="8424" spans="1:7" hidden="1" x14ac:dyDescent="0.25">
      <c r="A8424" s="21">
        <v>8423</v>
      </c>
      <c r="B8424" s="7" t="s">
        <v>17603</v>
      </c>
      <c r="C8424" s="7" t="s">
        <v>17604</v>
      </c>
      <c r="G8424" s="8" t="s">
        <v>15</v>
      </c>
    </row>
    <row r="8425" spans="1:7" hidden="1" x14ac:dyDescent="0.25">
      <c r="A8425" s="21">
        <v>8424</v>
      </c>
      <c r="B8425" s="7" t="s">
        <v>17605</v>
      </c>
      <c r="C8425" s="7" t="s">
        <v>17606</v>
      </c>
      <c r="G8425" s="8" t="s">
        <v>15</v>
      </c>
    </row>
    <row r="8426" spans="1:7" hidden="1" x14ac:dyDescent="0.25">
      <c r="A8426" s="21">
        <v>8425</v>
      </c>
      <c r="B8426" s="7" t="s">
        <v>17607</v>
      </c>
      <c r="C8426" s="7" t="s">
        <v>17608</v>
      </c>
      <c r="G8426" s="8" t="s">
        <v>15</v>
      </c>
    </row>
    <row r="8427" spans="1:7" hidden="1" x14ac:dyDescent="0.25">
      <c r="A8427" s="21">
        <v>8426</v>
      </c>
      <c r="B8427" s="7" t="s">
        <v>17609</v>
      </c>
      <c r="C8427" s="7" t="s">
        <v>17610</v>
      </c>
      <c r="G8427" s="8" t="s">
        <v>15</v>
      </c>
    </row>
    <row r="8428" spans="1:7" hidden="1" x14ac:dyDescent="0.25">
      <c r="A8428" s="21">
        <v>8427</v>
      </c>
      <c r="B8428" s="7" t="s">
        <v>17611</v>
      </c>
      <c r="C8428" s="7" t="s">
        <v>17612</v>
      </c>
      <c r="G8428" s="8" t="s">
        <v>15</v>
      </c>
    </row>
    <row r="8429" spans="1:7" hidden="1" x14ac:dyDescent="0.25">
      <c r="A8429" s="21">
        <v>8428</v>
      </c>
      <c r="B8429" s="7" t="s">
        <v>17613</v>
      </c>
      <c r="C8429" s="7" t="s">
        <v>17614</v>
      </c>
      <c r="G8429" s="8" t="s">
        <v>15</v>
      </c>
    </row>
    <row r="8430" spans="1:7" hidden="1" x14ac:dyDescent="0.25">
      <c r="A8430" s="21">
        <v>8429</v>
      </c>
      <c r="B8430" s="7" t="s">
        <v>17615</v>
      </c>
      <c r="C8430" s="7" t="s">
        <v>17616</v>
      </c>
      <c r="G8430" s="8" t="s">
        <v>15</v>
      </c>
    </row>
    <row r="8431" spans="1:7" hidden="1" x14ac:dyDescent="0.25">
      <c r="A8431" s="21">
        <v>8430</v>
      </c>
      <c r="B8431" s="7" t="s">
        <v>17617</v>
      </c>
      <c r="C8431" s="7" t="s">
        <v>17618</v>
      </c>
      <c r="G8431" s="8" t="s">
        <v>15</v>
      </c>
    </row>
    <row r="8432" spans="1:7" hidden="1" x14ac:dyDescent="0.25">
      <c r="A8432" s="21">
        <v>8431</v>
      </c>
      <c r="B8432" s="7" t="s">
        <v>17619</v>
      </c>
      <c r="C8432" s="7" t="s">
        <v>17620</v>
      </c>
      <c r="G8432" s="8" t="s">
        <v>15</v>
      </c>
    </row>
    <row r="8433" spans="1:7" hidden="1" x14ac:dyDescent="0.25">
      <c r="A8433" s="21">
        <v>8432</v>
      </c>
      <c r="B8433" s="7" t="s">
        <v>17621</v>
      </c>
      <c r="C8433" s="7" t="s">
        <v>17622</v>
      </c>
      <c r="G8433" s="8" t="s">
        <v>15</v>
      </c>
    </row>
    <row r="8434" spans="1:7" hidden="1" x14ac:dyDescent="0.25">
      <c r="A8434" s="21">
        <v>8433</v>
      </c>
      <c r="B8434" s="7" t="s">
        <v>17623</v>
      </c>
      <c r="C8434" s="7" t="s">
        <v>17624</v>
      </c>
      <c r="G8434" s="8" t="s">
        <v>15</v>
      </c>
    </row>
    <row r="8435" spans="1:7" hidden="1" x14ac:dyDescent="0.25">
      <c r="A8435" s="21">
        <v>8434</v>
      </c>
      <c r="B8435" s="7" t="s">
        <v>17625</v>
      </c>
      <c r="C8435" s="7" t="s">
        <v>17626</v>
      </c>
      <c r="G8435" s="8" t="s">
        <v>15</v>
      </c>
    </row>
    <row r="8436" spans="1:7" hidden="1" x14ac:dyDescent="0.25">
      <c r="A8436" s="21">
        <v>8435</v>
      </c>
      <c r="B8436" s="7" t="s">
        <v>17627</v>
      </c>
      <c r="C8436" s="7" t="s">
        <v>17628</v>
      </c>
      <c r="G8436" s="8" t="s">
        <v>15</v>
      </c>
    </row>
    <row r="8437" spans="1:7" hidden="1" x14ac:dyDescent="0.25">
      <c r="A8437" s="21">
        <v>8436</v>
      </c>
      <c r="B8437" s="7" t="s">
        <v>17629</v>
      </c>
      <c r="C8437" s="7" t="s">
        <v>17630</v>
      </c>
      <c r="G8437" s="8" t="s">
        <v>15</v>
      </c>
    </row>
    <row r="8438" spans="1:7" hidden="1" x14ac:dyDescent="0.25">
      <c r="A8438" s="21">
        <v>8437</v>
      </c>
      <c r="B8438" s="7" t="s">
        <v>17631</v>
      </c>
      <c r="C8438" s="7" t="s">
        <v>17632</v>
      </c>
      <c r="G8438" s="8" t="s">
        <v>15</v>
      </c>
    </row>
    <row r="8439" spans="1:7" hidden="1" x14ac:dyDescent="0.25">
      <c r="A8439" s="21">
        <v>8438</v>
      </c>
      <c r="B8439" s="7" t="s">
        <v>17633</v>
      </c>
      <c r="C8439" s="7" t="s">
        <v>17634</v>
      </c>
      <c r="G8439" s="8" t="s">
        <v>15</v>
      </c>
    </row>
    <row r="8440" spans="1:7" hidden="1" x14ac:dyDescent="0.25">
      <c r="A8440" s="21">
        <v>8439</v>
      </c>
      <c r="B8440" s="7" t="s">
        <v>17635</v>
      </c>
      <c r="C8440" s="7" t="s">
        <v>17636</v>
      </c>
      <c r="G8440" s="8" t="s">
        <v>15</v>
      </c>
    </row>
    <row r="8441" spans="1:7" hidden="1" x14ac:dyDescent="0.25">
      <c r="A8441" s="21">
        <v>8440</v>
      </c>
      <c r="B8441" s="7" t="s">
        <v>17637</v>
      </c>
      <c r="C8441" s="7" t="s">
        <v>17638</v>
      </c>
      <c r="G8441" s="8" t="s">
        <v>15</v>
      </c>
    </row>
    <row r="8442" spans="1:7" hidden="1" x14ac:dyDescent="0.25">
      <c r="A8442" s="21">
        <v>8441</v>
      </c>
      <c r="B8442" s="7" t="s">
        <v>17639</v>
      </c>
      <c r="C8442" s="7" t="s">
        <v>17640</v>
      </c>
      <c r="G8442" s="8" t="s">
        <v>15</v>
      </c>
    </row>
    <row r="8443" spans="1:7" hidden="1" x14ac:dyDescent="0.25">
      <c r="A8443" s="21">
        <v>8442</v>
      </c>
      <c r="B8443" s="7" t="s">
        <v>17641</v>
      </c>
      <c r="C8443" s="7" t="s">
        <v>17642</v>
      </c>
      <c r="G8443" s="8" t="s">
        <v>15</v>
      </c>
    </row>
    <row r="8444" spans="1:7" hidden="1" x14ac:dyDescent="0.25">
      <c r="A8444" s="21">
        <v>8443</v>
      </c>
      <c r="B8444" s="7" t="s">
        <v>17643</v>
      </c>
      <c r="C8444" s="7" t="s">
        <v>17644</v>
      </c>
      <c r="G8444" s="8" t="s">
        <v>15</v>
      </c>
    </row>
    <row r="8445" spans="1:7" hidden="1" x14ac:dyDescent="0.25">
      <c r="A8445" s="21">
        <v>8444</v>
      </c>
      <c r="B8445" s="7" t="s">
        <v>17645</v>
      </c>
      <c r="C8445" s="7" t="s">
        <v>17646</v>
      </c>
      <c r="G8445" s="8" t="s">
        <v>15</v>
      </c>
    </row>
    <row r="8446" spans="1:7" hidden="1" x14ac:dyDescent="0.25">
      <c r="A8446" s="21">
        <v>8445</v>
      </c>
      <c r="B8446" s="7" t="s">
        <v>17647</v>
      </c>
      <c r="C8446" s="7" t="s">
        <v>17648</v>
      </c>
      <c r="G8446" s="8" t="s">
        <v>15</v>
      </c>
    </row>
    <row r="8447" spans="1:7" hidden="1" x14ac:dyDescent="0.25">
      <c r="A8447" s="21">
        <v>8446</v>
      </c>
      <c r="B8447" s="7" t="s">
        <v>17649</v>
      </c>
      <c r="C8447" s="7" t="s">
        <v>17650</v>
      </c>
      <c r="G8447" s="8" t="s">
        <v>15</v>
      </c>
    </row>
    <row r="8448" spans="1:7" hidden="1" x14ac:dyDescent="0.25">
      <c r="A8448" s="21">
        <v>8447</v>
      </c>
      <c r="B8448" s="7" t="s">
        <v>17651</v>
      </c>
      <c r="C8448" s="7" t="s">
        <v>17652</v>
      </c>
      <c r="G8448" s="8" t="s">
        <v>15</v>
      </c>
    </row>
    <row r="8449" spans="1:7" hidden="1" x14ac:dyDescent="0.25">
      <c r="A8449" s="21">
        <v>8448</v>
      </c>
      <c r="B8449" s="7" t="s">
        <v>17653</v>
      </c>
      <c r="C8449" s="7" t="s">
        <v>17654</v>
      </c>
      <c r="G8449" s="8" t="s">
        <v>15</v>
      </c>
    </row>
    <row r="8450" spans="1:7" hidden="1" x14ac:dyDescent="0.25">
      <c r="A8450" s="21">
        <v>8449</v>
      </c>
      <c r="B8450" s="7" t="s">
        <v>17655</v>
      </c>
      <c r="C8450" s="7" t="s">
        <v>17656</v>
      </c>
      <c r="G8450" s="8" t="s">
        <v>15</v>
      </c>
    </row>
    <row r="8451" spans="1:7" hidden="1" x14ac:dyDescent="0.25">
      <c r="A8451" s="21">
        <v>8450</v>
      </c>
      <c r="B8451" s="7" t="s">
        <v>17657</v>
      </c>
      <c r="C8451" s="7" t="s">
        <v>17658</v>
      </c>
      <c r="G8451" s="8" t="s">
        <v>15</v>
      </c>
    </row>
    <row r="8452" spans="1:7" hidden="1" x14ac:dyDescent="0.25">
      <c r="A8452" s="21">
        <v>8451</v>
      </c>
      <c r="B8452" s="7" t="s">
        <v>17659</v>
      </c>
      <c r="C8452" s="7" t="s">
        <v>17660</v>
      </c>
      <c r="G8452" s="8" t="s">
        <v>15</v>
      </c>
    </row>
    <row r="8453" spans="1:7" hidden="1" x14ac:dyDescent="0.25">
      <c r="A8453" s="21">
        <v>8452</v>
      </c>
      <c r="B8453" s="7" t="s">
        <v>17661</v>
      </c>
      <c r="C8453" s="7" t="s">
        <v>17662</v>
      </c>
      <c r="G8453" s="8" t="s">
        <v>15</v>
      </c>
    </row>
    <row r="8454" spans="1:7" hidden="1" x14ac:dyDescent="0.25">
      <c r="A8454" s="21">
        <v>8453</v>
      </c>
      <c r="B8454" s="7" t="s">
        <v>17663</v>
      </c>
      <c r="C8454" s="7" t="s">
        <v>17664</v>
      </c>
      <c r="G8454" s="8" t="s">
        <v>15</v>
      </c>
    </row>
    <row r="8455" spans="1:7" hidden="1" x14ac:dyDescent="0.25">
      <c r="A8455" s="21">
        <v>8454</v>
      </c>
      <c r="B8455" s="7" t="s">
        <v>17665</v>
      </c>
      <c r="C8455" s="7" t="s">
        <v>17666</v>
      </c>
      <c r="G8455" s="8" t="s">
        <v>15</v>
      </c>
    </row>
    <row r="8456" spans="1:7" hidden="1" x14ac:dyDescent="0.25">
      <c r="A8456" s="21">
        <v>8455</v>
      </c>
      <c r="B8456" s="7" t="s">
        <v>17667</v>
      </c>
      <c r="C8456" s="7" t="s">
        <v>17668</v>
      </c>
      <c r="G8456" s="8" t="s">
        <v>15</v>
      </c>
    </row>
    <row r="8457" spans="1:7" hidden="1" x14ac:dyDescent="0.25">
      <c r="A8457" s="21">
        <v>8456</v>
      </c>
      <c r="B8457" s="7" t="s">
        <v>17669</v>
      </c>
      <c r="C8457" s="7" t="s">
        <v>17670</v>
      </c>
      <c r="G8457" s="8" t="s">
        <v>15</v>
      </c>
    </row>
    <row r="8458" spans="1:7" hidden="1" x14ac:dyDescent="0.25">
      <c r="A8458" s="21">
        <v>8457</v>
      </c>
      <c r="B8458" s="7" t="s">
        <v>17671</v>
      </c>
      <c r="C8458" s="7" t="s">
        <v>17672</v>
      </c>
      <c r="G8458" s="8" t="s">
        <v>15</v>
      </c>
    </row>
    <row r="8459" spans="1:7" hidden="1" x14ac:dyDescent="0.25">
      <c r="A8459" s="21">
        <v>8458</v>
      </c>
      <c r="B8459" s="7" t="s">
        <v>17673</v>
      </c>
      <c r="C8459" s="7" t="s">
        <v>17674</v>
      </c>
      <c r="G8459" s="8" t="s">
        <v>15</v>
      </c>
    </row>
    <row r="8460" spans="1:7" hidden="1" x14ac:dyDescent="0.25">
      <c r="A8460" s="21">
        <v>8459</v>
      </c>
      <c r="B8460" s="7" t="s">
        <v>17675</v>
      </c>
      <c r="C8460" s="7" t="s">
        <v>17676</v>
      </c>
      <c r="G8460" s="8" t="s">
        <v>15</v>
      </c>
    </row>
    <row r="8461" spans="1:7" hidden="1" x14ac:dyDescent="0.25">
      <c r="A8461" s="21">
        <v>8460</v>
      </c>
      <c r="B8461" s="7" t="s">
        <v>17677</v>
      </c>
      <c r="C8461" s="7" t="s">
        <v>17678</v>
      </c>
      <c r="G8461" s="8" t="s">
        <v>15</v>
      </c>
    </row>
    <row r="8462" spans="1:7" hidden="1" x14ac:dyDescent="0.25">
      <c r="A8462" s="21">
        <v>8461</v>
      </c>
      <c r="B8462" s="7" t="s">
        <v>17679</v>
      </c>
      <c r="C8462" s="7" t="s">
        <v>17680</v>
      </c>
      <c r="G8462" s="8" t="s">
        <v>15</v>
      </c>
    </row>
    <row r="8463" spans="1:7" hidden="1" x14ac:dyDescent="0.25">
      <c r="A8463" s="21">
        <v>8462</v>
      </c>
      <c r="B8463" s="7" t="s">
        <v>17681</v>
      </c>
      <c r="C8463" s="7" t="s">
        <v>17682</v>
      </c>
      <c r="G8463" s="8" t="s">
        <v>15</v>
      </c>
    </row>
    <row r="8464" spans="1:7" hidden="1" x14ac:dyDescent="0.25">
      <c r="A8464" s="21">
        <v>8463</v>
      </c>
      <c r="B8464" s="7" t="s">
        <v>17683</v>
      </c>
      <c r="C8464" s="7" t="s">
        <v>17684</v>
      </c>
      <c r="G8464" s="8" t="s">
        <v>15</v>
      </c>
    </row>
    <row r="8465" spans="1:7" hidden="1" x14ac:dyDescent="0.25">
      <c r="A8465" s="21">
        <v>8464</v>
      </c>
      <c r="B8465" s="7" t="s">
        <v>17685</v>
      </c>
      <c r="C8465" s="7" t="s">
        <v>17686</v>
      </c>
      <c r="G8465" s="8" t="s">
        <v>15</v>
      </c>
    </row>
    <row r="8466" spans="1:7" hidden="1" x14ac:dyDescent="0.25">
      <c r="A8466" s="21">
        <v>8465</v>
      </c>
      <c r="B8466" s="7" t="s">
        <v>17687</v>
      </c>
      <c r="C8466" s="7" t="s">
        <v>17688</v>
      </c>
      <c r="G8466" s="8" t="s">
        <v>15</v>
      </c>
    </row>
    <row r="8467" spans="1:7" hidden="1" x14ac:dyDescent="0.25">
      <c r="A8467" s="21">
        <v>8466</v>
      </c>
      <c r="B8467" s="7" t="s">
        <v>17689</v>
      </c>
      <c r="C8467" s="7" t="s">
        <v>17690</v>
      </c>
      <c r="G8467" s="8" t="s">
        <v>15</v>
      </c>
    </row>
    <row r="8468" spans="1:7" hidden="1" x14ac:dyDescent="0.25">
      <c r="A8468" s="21">
        <v>8467</v>
      </c>
      <c r="B8468" s="7" t="s">
        <v>17691</v>
      </c>
      <c r="C8468" s="7" t="s">
        <v>17692</v>
      </c>
      <c r="G8468" s="8" t="s">
        <v>15</v>
      </c>
    </row>
    <row r="8469" spans="1:7" hidden="1" x14ac:dyDescent="0.25">
      <c r="A8469" s="21">
        <v>8468</v>
      </c>
      <c r="B8469" s="7" t="s">
        <v>17693</v>
      </c>
      <c r="C8469" s="7" t="s">
        <v>17694</v>
      </c>
      <c r="G8469" s="8" t="s">
        <v>15</v>
      </c>
    </row>
    <row r="8470" spans="1:7" hidden="1" x14ac:dyDescent="0.25">
      <c r="A8470" s="21">
        <v>8469</v>
      </c>
      <c r="B8470" s="7" t="s">
        <v>17695</v>
      </c>
      <c r="C8470" s="7" t="s">
        <v>17696</v>
      </c>
      <c r="G8470" s="8" t="s">
        <v>15</v>
      </c>
    </row>
    <row r="8471" spans="1:7" hidden="1" x14ac:dyDescent="0.25">
      <c r="A8471" s="21">
        <v>8470</v>
      </c>
      <c r="B8471" s="7" t="s">
        <v>17697</v>
      </c>
      <c r="C8471" s="7" t="s">
        <v>17698</v>
      </c>
      <c r="G8471" s="8" t="s">
        <v>15</v>
      </c>
    </row>
    <row r="8472" spans="1:7" hidden="1" x14ac:dyDescent="0.25">
      <c r="A8472" s="21">
        <v>8471</v>
      </c>
      <c r="B8472" s="7" t="s">
        <v>17699</v>
      </c>
      <c r="C8472" s="7" t="s">
        <v>17700</v>
      </c>
      <c r="G8472" s="8" t="s">
        <v>15</v>
      </c>
    </row>
    <row r="8473" spans="1:7" hidden="1" x14ac:dyDescent="0.25">
      <c r="A8473" s="21">
        <v>8472</v>
      </c>
      <c r="B8473" s="7" t="s">
        <v>17701</v>
      </c>
      <c r="C8473" s="7" t="s">
        <v>17702</v>
      </c>
      <c r="G8473" s="8" t="s">
        <v>15</v>
      </c>
    </row>
    <row r="8474" spans="1:7" hidden="1" x14ac:dyDescent="0.25">
      <c r="A8474" s="21">
        <v>8473</v>
      </c>
      <c r="B8474" s="7" t="s">
        <v>17703</v>
      </c>
      <c r="C8474" s="7" t="s">
        <v>17704</v>
      </c>
      <c r="G8474" s="8" t="s">
        <v>15</v>
      </c>
    </row>
    <row r="8475" spans="1:7" hidden="1" x14ac:dyDescent="0.25">
      <c r="A8475" s="21">
        <v>8474</v>
      </c>
      <c r="B8475" s="7" t="s">
        <v>17705</v>
      </c>
      <c r="C8475" s="7" t="s">
        <v>17706</v>
      </c>
      <c r="G8475" s="8" t="s">
        <v>15</v>
      </c>
    </row>
    <row r="8476" spans="1:7" hidden="1" x14ac:dyDescent="0.25">
      <c r="A8476" s="21">
        <v>8475</v>
      </c>
      <c r="B8476" s="7" t="s">
        <v>17707</v>
      </c>
      <c r="C8476" s="7" t="s">
        <v>17708</v>
      </c>
      <c r="G8476" s="8" t="s">
        <v>15</v>
      </c>
    </row>
    <row r="8477" spans="1:7" hidden="1" x14ac:dyDescent="0.25">
      <c r="A8477" s="21">
        <v>8476</v>
      </c>
      <c r="B8477" s="7" t="s">
        <v>17709</v>
      </c>
      <c r="C8477" s="7" t="s">
        <v>17710</v>
      </c>
      <c r="G8477" s="8" t="s">
        <v>15</v>
      </c>
    </row>
    <row r="8478" spans="1:7" hidden="1" x14ac:dyDescent="0.25">
      <c r="A8478" s="21">
        <v>8477</v>
      </c>
      <c r="B8478" s="7" t="s">
        <v>17711</v>
      </c>
      <c r="C8478" s="7" t="s">
        <v>17712</v>
      </c>
      <c r="G8478" s="8" t="s">
        <v>15</v>
      </c>
    </row>
    <row r="8479" spans="1:7" hidden="1" x14ac:dyDescent="0.25">
      <c r="A8479" s="21">
        <v>8478</v>
      </c>
      <c r="B8479" s="7" t="s">
        <v>17713</v>
      </c>
      <c r="C8479" s="7" t="s">
        <v>17714</v>
      </c>
      <c r="G8479" s="8" t="s">
        <v>15</v>
      </c>
    </row>
    <row r="8480" spans="1:7" hidden="1" x14ac:dyDescent="0.25">
      <c r="A8480" s="21">
        <v>8479</v>
      </c>
      <c r="B8480" s="7" t="s">
        <v>17715</v>
      </c>
      <c r="C8480" s="7" t="s">
        <v>17716</v>
      </c>
      <c r="G8480" s="8" t="s">
        <v>15</v>
      </c>
    </row>
    <row r="8481" spans="1:7" hidden="1" x14ac:dyDescent="0.25">
      <c r="A8481" s="21">
        <v>8480</v>
      </c>
      <c r="B8481" s="7" t="s">
        <v>17717</v>
      </c>
      <c r="C8481" s="7" t="s">
        <v>17718</v>
      </c>
      <c r="G8481" s="8" t="s">
        <v>15</v>
      </c>
    </row>
    <row r="8482" spans="1:7" hidden="1" x14ac:dyDescent="0.25">
      <c r="A8482" s="21">
        <v>8481</v>
      </c>
      <c r="B8482" s="7" t="s">
        <v>17719</v>
      </c>
      <c r="C8482" s="7" t="s">
        <v>17720</v>
      </c>
      <c r="G8482" s="8" t="s">
        <v>15</v>
      </c>
    </row>
    <row r="8483" spans="1:7" hidden="1" x14ac:dyDescent="0.25">
      <c r="A8483" s="21">
        <v>8482</v>
      </c>
      <c r="B8483" s="7" t="s">
        <v>17721</v>
      </c>
      <c r="C8483" s="7" t="s">
        <v>17722</v>
      </c>
      <c r="G8483" s="8" t="s">
        <v>15</v>
      </c>
    </row>
    <row r="8484" spans="1:7" hidden="1" x14ac:dyDescent="0.25">
      <c r="A8484" s="21">
        <v>8483</v>
      </c>
      <c r="B8484" s="7" t="s">
        <v>17723</v>
      </c>
      <c r="C8484" s="7" t="s">
        <v>17724</v>
      </c>
      <c r="G8484" s="8" t="s">
        <v>15</v>
      </c>
    </row>
    <row r="8485" spans="1:7" hidden="1" x14ac:dyDescent="0.25">
      <c r="A8485" s="21">
        <v>8484</v>
      </c>
      <c r="B8485" s="7" t="s">
        <v>17725</v>
      </c>
      <c r="C8485" s="7" t="s">
        <v>17726</v>
      </c>
      <c r="G8485" s="8" t="s">
        <v>15</v>
      </c>
    </row>
    <row r="8486" spans="1:7" hidden="1" x14ac:dyDescent="0.25">
      <c r="A8486" s="21">
        <v>8485</v>
      </c>
      <c r="B8486" s="7" t="s">
        <v>17727</v>
      </c>
      <c r="C8486" s="7" t="s">
        <v>17728</v>
      </c>
      <c r="G8486" s="8" t="s">
        <v>15</v>
      </c>
    </row>
    <row r="8487" spans="1:7" hidden="1" x14ac:dyDescent="0.25">
      <c r="A8487" s="21">
        <v>8486</v>
      </c>
      <c r="B8487" s="7" t="s">
        <v>17729</v>
      </c>
      <c r="C8487" s="7" t="s">
        <v>17730</v>
      </c>
      <c r="G8487" s="8" t="s">
        <v>15</v>
      </c>
    </row>
    <row r="8488" spans="1:7" hidden="1" x14ac:dyDescent="0.25">
      <c r="A8488" s="21">
        <v>8487</v>
      </c>
      <c r="B8488" s="7" t="s">
        <v>17731</v>
      </c>
      <c r="C8488" s="7" t="s">
        <v>17732</v>
      </c>
      <c r="G8488" s="8" t="s">
        <v>15</v>
      </c>
    </row>
    <row r="8489" spans="1:7" hidden="1" x14ac:dyDescent="0.25">
      <c r="A8489" s="21">
        <v>8488</v>
      </c>
      <c r="B8489" s="7" t="s">
        <v>17733</v>
      </c>
      <c r="C8489" s="7" t="s">
        <v>17734</v>
      </c>
      <c r="G8489" s="8" t="s">
        <v>15</v>
      </c>
    </row>
    <row r="8490" spans="1:7" hidden="1" x14ac:dyDescent="0.25">
      <c r="A8490" s="21">
        <v>8489</v>
      </c>
      <c r="B8490" s="7" t="s">
        <v>17735</v>
      </c>
      <c r="C8490" s="7" t="s">
        <v>17736</v>
      </c>
      <c r="G8490" s="8" t="s">
        <v>15</v>
      </c>
    </row>
    <row r="8491" spans="1:7" hidden="1" x14ac:dyDescent="0.25">
      <c r="A8491" s="21">
        <v>8490</v>
      </c>
      <c r="B8491" s="7" t="s">
        <v>17737</v>
      </c>
      <c r="C8491" s="7" t="s">
        <v>17738</v>
      </c>
      <c r="G8491" s="8" t="s">
        <v>15</v>
      </c>
    </row>
    <row r="8492" spans="1:7" hidden="1" x14ac:dyDescent="0.25">
      <c r="A8492" s="21">
        <v>8491</v>
      </c>
      <c r="B8492" s="7" t="s">
        <v>17739</v>
      </c>
      <c r="C8492" s="7" t="s">
        <v>17740</v>
      </c>
      <c r="G8492" s="8" t="s">
        <v>15</v>
      </c>
    </row>
    <row r="8493" spans="1:7" hidden="1" x14ac:dyDescent="0.25">
      <c r="A8493" s="21">
        <v>8492</v>
      </c>
      <c r="B8493" s="7" t="s">
        <v>17741</v>
      </c>
      <c r="C8493" s="7" t="s">
        <v>17742</v>
      </c>
      <c r="G8493" s="8" t="s">
        <v>15</v>
      </c>
    </row>
    <row r="8494" spans="1:7" hidden="1" x14ac:dyDescent="0.25">
      <c r="A8494" s="21">
        <v>8493</v>
      </c>
      <c r="B8494" s="7" t="s">
        <v>17743</v>
      </c>
      <c r="C8494" s="7" t="s">
        <v>17744</v>
      </c>
      <c r="G8494" s="8" t="s">
        <v>15</v>
      </c>
    </row>
    <row r="8495" spans="1:7" hidden="1" x14ac:dyDescent="0.25">
      <c r="A8495" s="21">
        <v>8494</v>
      </c>
      <c r="B8495" s="7" t="s">
        <v>17745</v>
      </c>
      <c r="C8495" s="7" t="s">
        <v>17746</v>
      </c>
      <c r="G8495" s="8" t="s">
        <v>15</v>
      </c>
    </row>
    <row r="8496" spans="1:7" hidden="1" x14ac:dyDescent="0.25">
      <c r="A8496" s="21">
        <v>8495</v>
      </c>
      <c r="B8496" s="7" t="s">
        <v>17747</v>
      </c>
      <c r="C8496" s="7" t="s">
        <v>17748</v>
      </c>
      <c r="G8496" s="8" t="s">
        <v>15</v>
      </c>
    </row>
    <row r="8497" spans="1:7" hidden="1" x14ac:dyDescent="0.25">
      <c r="A8497" s="21">
        <v>8496</v>
      </c>
      <c r="B8497" s="7" t="s">
        <v>17749</v>
      </c>
      <c r="C8497" s="7" t="s">
        <v>17750</v>
      </c>
      <c r="G8497" s="8" t="s">
        <v>15</v>
      </c>
    </row>
    <row r="8498" spans="1:7" hidden="1" x14ac:dyDescent="0.25">
      <c r="A8498" s="21">
        <v>8497</v>
      </c>
      <c r="B8498" s="7" t="s">
        <v>17751</v>
      </c>
      <c r="C8498" s="7" t="s">
        <v>17752</v>
      </c>
      <c r="G8498" s="8" t="s">
        <v>15</v>
      </c>
    </row>
    <row r="8499" spans="1:7" hidden="1" x14ac:dyDescent="0.25">
      <c r="A8499" s="21">
        <v>8498</v>
      </c>
      <c r="B8499" s="7" t="s">
        <v>17753</v>
      </c>
      <c r="C8499" s="7" t="s">
        <v>17754</v>
      </c>
      <c r="G8499" s="8" t="s">
        <v>15</v>
      </c>
    </row>
    <row r="8500" spans="1:7" hidden="1" x14ac:dyDescent="0.25">
      <c r="A8500" s="21">
        <v>8499</v>
      </c>
      <c r="B8500" s="7" t="s">
        <v>17755</v>
      </c>
      <c r="C8500" s="7" t="s">
        <v>17756</v>
      </c>
      <c r="G8500" s="8" t="s">
        <v>15</v>
      </c>
    </row>
    <row r="8501" spans="1:7" hidden="1" x14ac:dyDescent="0.25">
      <c r="A8501" s="21">
        <v>8500</v>
      </c>
      <c r="B8501" s="7" t="s">
        <v>17757</v>
      </c>
      <c r="C8501" s="7" t="s">
        <v>17758</v>
      </c>
      <c r="G8501" s="8" t="s">
        <v>15</v>
      </c>
    </row>
    <row r="8502" spans="1:7" hidden="1" x14ac:dyDescent="0.25">
      <c r="A8502" s="21">
        <v>8501</v>
      </c>
      <c r="B8502" s="7" t="s">
        <v>17759</v>
      </c>
      <c r="C8502" s="7" t="s">
        <v>17760</v>
      </c>
      <c r="G8502" s="8" t="s">
        <v>15</v>
      </c>
    </row>
    <row r="8503" spans="1:7" hidden="1" x14ac:dyDescent="0.25">
      <c r="A8503" s="21">
        <v>8502</v>
      </c>
      <c r="B8503" s="7" t="s">
        <v>17761</v>
      </c>
      <c r="C8503" s="7" t="s">
        <v>17762</v>
      </c>
      <c r="G8503" s="8" t="s">
        <v>15</v>
      </c>
    </row>
    <row r="8504" spans="1:7" hidden="1" x14ac:dyDescent="0.25">
      <c r="A8504" s="21">
        <v>8503</v>
      </c>
      <c r="B8504" s="7" t="s">
        <v>17763</v>
      </c>
      <c r="C8504" s="7" t="s">
        <v>17764</v>
      </c>
      <c r="G8504" s="8" t="s">
        <v>15</v>
      </c>
    </row>
    <row r="8505" spans="1:7" hidden="1" x14ac:dyDescent="0.25">
      <c r="A8505" s="21">
        <v>8504</v>
      </c>
      <c r="B8505" s="7" t="s">
        <v>17765</v>
      </c>
      <c r="C8505" s="7" t="s">
        <v>17766</v>
      </c>
      <c r="G8505" s="8" t="s">
        <v>15</v>
      </c>
    </row>
    <row r="8506" spans="1:7" hidden="1" x14ac:dyDescent="0.25">
      <c r="A8506" s="21">
        <v>8505</v>
      </c>
      <c r="B8506" s="7" t="s">
        <v>17767</v>
      </c>
      <c r="C8506" s="7" t="s">
        <v>17768</v>
      </c>
      <c r="G8506" s="8" t="s">
        <v>15</v>
      </c>
    </row>
    <row r="8507" spans="1:7" hidden="1" x14ac:dyDescent="0.25">
      <c r="A8507" s="21">
        <v>8506</v>
      </c>
      <c r="B8507" s="7" t="s">
        <v>17769</v>
      </c>
      <c r="C8507" s="7" t="s">
        <v>17770</v>
      </c>
      <c r="G8507" s="8" t="s">
        <v>15</v>
      </c>
    </row>
    <row r="8508" spans="1:7" hidden="1" x14ac:dyDescent="0.25">
      <c r="A8508" s="21">
        <v>8507</v>
      </c>
      <c r="B8508" s="7" t="s">
        <v>17771</v>
      </c>
      <c r="C8508" s="7" t="s">
        <v>17772</v>
      </c>
      <c r="G8508" s="8" t="s">
        <v>15</v>
      </c>
    </row>
    <row r="8509" spans="1:7" hidden="1" x14ac:dyDescent="0.25">
      <c r="A8509" s="21">
        <v>8508</v>
      </c>
      <c r="B8509" s="7" t="s">
        <v>17773</v>
      </c>
      <c r="C8509" s="7" t="s">
        <v>17774</v>
      </c>
      <c r="G8509" s="8" t="s">
        <v>15</v>
      </c>
    </row>
    <row r="8510" spans="1:7" hidden="1" x14ac:dyDescent="0.25">
      <c r="A8510" s="21">
        <v>8509</v>
      </c>
      <c r="B8510" s="7" t="s">
        <v>17775</v>
      </c>
      <c r="C8510" s="7" t="s">
        <v>17776</v>
      </c>
      <c r="G8510" s="8" t="s">
        <v>15</v>
      </c>
    </row>
    <row r="8511" spans="1:7" hidden="1" x14ac:dyDescent="0.25">
      <c r="A8511" s="21">
        <v>8510</v>
      </c>
      <c r="B8511" s="7" t="s">
        <v>17777</v>
      </c>
      <c r="C8511" s="7" t="s">
        <v>17778</v>
      </c>
      <c r="G8511" s="8" t="s">
        <v>15</v>
      </c>
    </row>
    <row r="8512" spans="1:7" hidden="1" x14ac:dyDescent="0.25">
      <c r="A8512" s="21">
        <v>8511</v>
      </c>
      <c r="B8512" s="7" t="s">
        <v>17779</v>
      </c>
      <c r="C8512" s="7" t="s">
        <v>17780</v>
      </c>
      <c r="G8512" s="8" t="s">
        <v>15</v>
      </c>
    </row>
    <row r="8513" spans="1:7" hidden="1" x14ac:dyDescent="0.25">
      <c r="A8513" s="21">
        <v>8512</v>
      </c>
      <c r="B8513" s="7" t="s">
        <v>17781</v>
      </c>
      <c r="C8513" s="7" t="s">
        <v>17782</v>
      </c>
      <c r="G8513" s="8" t="s">
        <v>15</v>
      </c>
    </row>
    <row r="8514" spans="1:7" hidden="1" x14ac:dyDescent="0.25">
      <c r="A8514" s="21">
        <v>8513</v>
      </c>
      <c r="B8514" s="7" t="s">
        <v>17783</v>
      </c>
      <c r="C8514" s="7" t="s">
        <v>17784</v>
      </c>
      <c r="G8514" s="8" t="s">
        <v>15</v>
      </c>
    </row>
    <row r="8515" spans="1:7" hidden="1" x14ac:dyDescent="0.25">
      <c r="A8515" s="21">
        <v>8514</v>
      </c>
      <c r="B8515" s="7" t="s">
        <v>17785</v>
      </c>
      <c r="C8515" s="7" t="s">
        <v>17786</v>
      </c>
      <c r="G8515" s="8" t="s">
        <v>15</v>
      </c>
    </row>
    <row r="8516" spans="1:7" hidden="1" x14ac:dyDescent="0.25">
      <c r="A8516" s="21">
        <v>8515</v>
      </c>
      <c r="B8516" s="7" t="s">
        <v>17787</v>
      </c>
      <c r="C8516" s="7" t="s">
        <v>17788</v>
      </c>
      <c r="G8516" s="8" t="s">
        <v>15</v>
      </c>
    </row>
    <row r="8517" spans="1:7" hidden="1" x14ac:dyDescent="0.25">
      <c r="A8517" s="21">
        <v>8516</v>
      </c>
      <c r="B8517" s="7" t="s">
        <v>17789</v>
      </c>
      <c r="C8517" s="7" t="s">
        <v>17790</v>
      </c>
      <c r="G8517" s="8" t="s">
        <v>15</v>
      </c>
    </row>
    <row r="8518" spans="1:7" hidden="1" x14ac:dyDescent="0.25">
      <c r="A8518" s="21">
        <v>8517</v>
      </c>
      <c r="B8518" s="7" t="s">
        <v>17791</v>
      </c>
      <c r="C8518" s="7" t="s">
        <v>17792</v>
      </c>
      <c r="G8518" s="8" t="s">
        <v>15</v>
      </c>
    </row>
    <row r="8519" spans="1:7" hidden="1" x14ac:dyDescent="0.25">
      <c r="A8519" s="21">
        <v>8518</v>
      </c>
      <c r="B8519" s="7" t="s">
        <v>17793</v>
      </c>
      <c r="C8519" s="7" t="s">
        <v>17794</v>
      </c>
      <c r="G8519" s="8" t="s">
        <v>15</v>
      </c>
    </row>
    <row r="8520" spans="1:7" hidden="1" x14ac:dyDescent="0.25">
      <c r="A8520" s="21">
        <v>8519</v>
      </c>
      <c r="B8520" s="7" t="s">
        <v>17795</v>
      </c>
      <c r="C8520" s="7" t="s">
        <v>17796</v>
      </c>
      <c r="G8520" s="8" t="s">
        <v>15</v>
      </c>
    </row>
    <row r="8521" spans="1:7" hidden="1" x14ac:dyDescent="0.25">
      <c r="A8521" s="21">
        <v>8520</v>
      </c>
      <c r="B8521" s="7" t="s">
        <v>17797</v>
      </c>
      <c r="C8521" s="7" t="s">
        <v>17798</v>
      </c>
      <c r="G8521" s="8" t="s">
        <v>15</v>
      </c>
    </row>
    <row r="8522" spans="1:7" hidden="1" x14ac:dyDescent="0.25">
      <c r="A8522" s="21">
        <v>8521</v>
      </c>
      <c r="B8522" s="7" t="s">
        <v>17799</v>
      </c>
      <c r="C8522" s="7" t="s">
        <v>17800</v>
      </c>
      <c r="G8522" s="8" t="s">
        <v>15</v>
      </c>
    </row>
    <row r="8523" spans="1:7" hidden="1" x14ac:dyDescent="0.25">
      <c r="A8523" s="21">
        <v>8522</v>
      </c>
      <c r="B8523" s="7" t="s">
        <v>17801</v>
      </c>
      <c r="C8523" s="7" t="s">
        <v>17802</v>
      </c>
      <c r="G8523" s="8" t="s">
        <v>15</v>
      </c>
    </row>
    <row r="8524" spans="1:7" hidden="1" x14ac:dyDescent="0.25">
      <c r="A8524" s="21">
        <v>8523</v>
      </c>
      <c r="B8524" s="7" t="s">
        <v>17803</v>
      </c>
      <c r="C8524" s="7" t="s">
        <v>17804</v>
      </c>
      <c r="G8524" s="8" t="s">
        <v>15</v>
      </c>
    </row>
    <row r="8525" spans="1:7" hidden="1" x14ac:dyDescent="0.25">
      <c r="A8525" s="21">
        <v>8524</v>
      </c>
      <c r="B8525" s="7" t="s">
        <v>17805</v>
      </c>
      <c r="C8525" s="7" t="s">
        <v>17806</v>
      </c>
      <c r="G8525" s="8" t="s">
        <v>15</v>
      </c>
    </row>
    <row r="8526" spans="1:7" hidden="1" x14ac:dyDescent="0.25">
      <c r="A8526" s="21">
        <v>8525</v>
      </c>
      <c r="B8526" s="7" t="s">
        <v>17807</v>
      </c>
      <c r="C8526" s="7" t="s">
        <v>17808</v>
      </c>
      <c r="G8526" s="8" t="s">
        <v>15</v>
      </c>
    </row>
    <row r="8527" spans="1:7" hidden="1" x14ac:dyDescent="0.25">
      <c r="A8527" s="21">
        <v>8526</v>
      </c>
      <c r="B8527" s="7" t="s">
        <v>17809</v>
      </c>
      <c r="C8527" s="7" t="s">
        <v>17810</v>
      </c>
      <c r="G8527" s="8" t="s">
        <v>15</v>
      </c>
    </row>
    <row r="8528" spans="1:7" hidden="1" x14ac:dyDescent="0.25">
      <c r="A8528" s="21">
        <v>8527</v>
      </c>
      <c r="B8528" s="7" t="s">
        <v>17811</v>
      </c>
      <c r="C8528" s="7" t="s">
        <v>17812</v>
      </c>
      <c r="G8528" s="8" t="s">
        <v>15</v>
      </c>
    </row>
    <row r="8529" spans="1:7" hidden="1" x14ac:dyDescent="0.25">
      <c r="A8529" s="21">
        <v>8528</v>
      </c>
      <c r="B8529" s="7" t="s">
        <v>17813</v>
      </c>
      <c r="C8529" s="7" t="s">
        <v>17814</v>
      </c>
      <c r="G8529" s="8" t="s">
        <v>15</v>
      </c>
    </row>
    <row r="8530" spans="1:7" hidden="1" x14ac:dyDescent="0.25">
      <c r="A8530" s="21">
        <v>8529</v>
      </c>
      <c r="B8530" s="7" t="s">
        <v>17815</v>
      </c>
      <c r="C8530" s="7" t="s">
        <v>17816</v>
      </c>
      <c r="G8530" s="8" t="s">
        <v>15</v>
      </c>
    </row>
    <row r="8531" spans="1:7" hidden="1" x14ac:dyDescent="0.25">
      <c r="A8531" s="21">
        <v>8530</v>
      </c>
      <c r="B8531" s="7" t="s">
        <v>17817</v>
      </c>
      <c r="C8531" s="7" t="s">
        <v>17818</v>
      </c>
      <c r="G8531" s="8" t="s">
        <v>15</v>
      </c>
    </row>
    <row r="8532" spans="1:7" hidden="1" x14ac:dyDescent="0.25">
      <c r="A8532" s="21">
        <v>8531</v>
      </c>
      <c r="B8532" s="7" t="s">
        <v>17819</v>
      </c>
      <c r="C8532" s="7" t="s">
        <v>17820</v>
      </c>
      <c r="G8532" s="8" t="s">
        <v>15</v>
      </c>
    </row>
    <row r="8533" spans="1:7" hidden="1" x14ac:dyDescent="0.25">
      <c r="A8533" s="21">
        <v>8532</v>
      </c>
      <c r="B8533" s="7" t="s">
        <v>17821</v>
      </c>
      <c r="C8533" s="7" t="s">
        <v>17822</v>
      </c>
      <c r="G8533" s="8" t="s">
        <v>15</v>
      </c>
    </row>
    <row r="8534" spans="1:7" hidden="1" x14ac:dyDescent="0.25">
      <c r="A8534" s="21">
        <v>8533</v>
      </c>
      <c r="B8534" s="7" t="s">
        <v>17823</v>
      </c>
      <c r="C8534" s="7" t="s">
        <v>17824</v>
      </c>
      <c r="G8534" s="8" t="s">
        <v>15</v>
      </c>
    </row>
    <row r="8535" spans="1:7" hidden="1" x14ac:dyDescent="0.25">
      <c r="A8535" s="21">
        <v>8534</v>
      </c>
      <c r="B8535" s="7" t="s">
        <v>17825</v>
      </c>
      <c r="C8535" s="7" t="s">
        <v>17826</v>
      </c>
      <c r="G8535" s="8" t="s">
        <v>15</v>
      </c>
    </row>
    <row r="8536" spans="1:7" hidden="1" x14ac:dyDescent="0.25">
      <c r="A8536" s="21">
        <v>8535</v>
      </c>
      <c r="B8536" s="7" t="s">
        <v>17827</v>
      </c>
      <c r="C8536" s="7" t="s">
        <v>17828</v>
      </c>
      <c r="G8536" s="8" t="s">
        <v>15</v>
      </c>
    </row>
    <row r="8537" spans="1:7" hidden="1" x14ac:dyDescent="0.25">
      <c r="A8537" s="21">
        <v>8536</v>
      </c>
      <c r="B8537" s="7" t="s">
        <v>17829</v>
      </c>
      <c r="C8537" s="7" t="s">
        <v>17830</v>
      </c>
      <c r="G8537" s="8" t="s">
        <v>15</v>
      </c>
    </row>
    <row r="8538" spans="1:7" hidden="1" x14ac:dyDescent="0.25">
      <c r="A8538" s="21">
        <v>8537</v>
      </c>
      <c r="B8538" s="7" t="s">
        <v>17831</v>
      </c>
      <c r="C8538" s="7" t="s">
        <v>17832</v>
      </c>
      <c r="G8538" s="8" t="s">
        <v>15</v>
      </c>
    </row>
    <row r="8539" spans="1:7" hidden="1" x14ac:dyDescent="0.25">
      <c r="A8539" s="21">
        <v>8538</v>
      </c>
      <c r="B8539" s="7" t="s">
        <v>17833</v>
      </c>
      <c r="C8539" s="7" t="s">
        <v>17834</v>
      </c>
      <c r="G8539" s="8" t="s">
        <v>15</v>
      </c>
    </row>
    <row r="8540" spans="1:7" hidden="1" x14ac:dyDescent="0.25">
      <c r="A8540" s="21">
        <v>8539</v>
      </c>
      <c r="B8540" s="7" t="s">
        <v>17835</v>
      </c>
      <c r="C8540" s="7" t="s">
        <v>17836</v>
      </c>
      <c r="F8540" s="8" t="s">
        <v>1254</v>
      </c>
      <c r="G8540" s="8" t="s">
        <v>15</v>
      </c>
    </row>
    <row r="8541" spans="1:7" hidden="1" x14ac:dyDescent="0.25">
      <c r="A8541" s="21">
        <v>8540</v>
      </c>
      <c r="B8541" s="7" t="s">
        <v>17837</v>
      </c>
      <c r="C8541" s="7" t="s">
        <v>17838</v>
      </c>
      <c r="G8541" s="8" t="s">
        <v>15</v>
      </c>
    </row>
    <row r="8542" spans="1:7" hidden="1" x14ac:dyDescent="0.25">
      <c r="A8542" s="21">
        <v>8541</v>
      </c>
      <c r="B8542" s="7" t="s">
        <v>17839</v>
      </c>
      <c r="C8542" s="7" t="s">
        <v>17840</v>
      </c>
      <c r="G8542" s="8" t="s">
        <v>15</v>
      </c>
    </row>
    <row r="8543" spans="1:7" hidden="1" x14ac:dyDescent="0.25">
      <c r="A8543" s="21">
        <v>8542</v>
      </c>
      <c r="B8543" s="7" t="s">
        <v>17841</v>
      </c>
      <c r="C8543" s="7" t="s">
        <v>17842</v>
      </c>
      <c r="G8543" s="8" t="s">
        <v>15</v>
      </c>
    </row>
    <row r="8544" spans="1:7" hidden="1" x14ac:dyDescent="0.25">
      <c r="A8544" s="21">
        <v>8543</v>
      </c>
      <c r="B8544" s="7" t="s">
        <v>17843</v>
      </c>
      <c r="C8544" s="7" t="s">
        <v>17844</v>
      </c>
      <c r="G8544" s="8" t="s">
        <v>15</v>
      </c>
    </row>
    <row r="8545" spans="1:7" hidden="1" x14ac:dyDescent="0.25">
      <c r="A8545" s="21">
        <v>8544</v>
      </c>
      <c r="B8545" s="7" t="s">
        <v>17845</v>
      </c>
      <c r="C8545" s="7" t="s">
        <v>17846</v>
      </c>
      <c r="G8545" s="8" t="s">
        <v>15</v>
      </c>
    </row>
    <row r="8546" spans="1:7" hidden="1" x14ac:dyDescent="0.25">
      <c r="A8546" s="21">
        <v>8545</v>
      </c>
      <c r="B8546" s="7" t="s">
        <v>17847</v>
      </c>
      <c r="C8546" s="7" t="s">
        <v>17848</v>
      </c>
      <c r="G8546" s="8" t="s">
        <v>15</v>
      </c>
    </row>
    <row r="8547" spans="1:7" hidden="1" x14ac:dyDescent="0.25">
      <c r="A8547" s="21">
        <v>8546</v>
      </c>
      <c r="B8547" s="7" t="s">
        <v>17849</v>
      </c>
      <c r="C8547" s="7" t="s">
        <v>17850</v>
      </c>
      <c r="G8547" s="8" t="s">
        <v>15</v>
      </c>
    </row>
    <row r="8548" spans="1:7" hidden="1" x14ac:dyDescent="0.25">
      <c r="A8548" s="21">
        <v>8547</v>
      </c>
      <c r="B8548" s="7" t="s">
        <v>17851</v>
      </c>
      <c r="C8548" s="7" t="s">
        <v>17852</v>
      </c>
      <c r="G8548" s="8" t="s">
        <v>15</v>
      </c>
    </row>
    <row r="8549" spans="1:7" hidden="1" x14ac:dyDescent="0.25">
      <c r="A8549" s="21">
        <v>8548</v>
      </c>
      <c r="B8549" s="7" t="s">
        <v>17853</v>
      </c>
      <c r="C8549" s="7" t="s">
        <v>17854</v>
      </c>
      <c r="G8549" s="8" t="s">
        <v>15</v>
      </c>
    </row>
    <row r="8550" spans="1:7" hidden="1" x14ac:dyDescent="0.25">
      <c r="A8550" s="21">
        <v>8549</v>
      </c>
      <c r="B8550" s="7" t="s">
        <v>17855</v>
      </c>
      <c r="C8550" s="7" t="s">
        <v>17856</v>
      </c>
      <c r="G8550" s="8" t="s">
        <v>15</v>
      </c>
    </row>
    <row r="8551" spans="1:7" hidden="1" x14ac:dyDescent="0.25">
      <c r="A8551" s="21">
        <v>8550</v>
      </c>
      <c r="B8551" s="7" t="s">
        <v>17857</v>
      </c>
      <c r="C8551" s="7" t="s">
        <v>17858</v>
      </c>
      <c r="G8551" s="8" t="s">
        <v>15</v>
      </c>
    </row>
    <row r="8552" spans="1:7" hidden="1" x14ac:dyDescent="0.25">
      <c r="A8552" s="21">
        <v>8551</v>
      </c>
      <c r="B8552" s="7" t="s">
        <v>17859</v>
      </c>
      <c r="C8552" s="7" t="s">
        <v>17860</v>
      </c>
      <c r="G8552" s="8" t="s">
        <v>15</v>
      </c>
    </row>
    <row r="8553" spans="1:7" hidden="1" x14ac:dyDescent="0.25">
      <c r="A8553" s="21">
        <v>8552</v>
      </c>
      <c r="B8553" s="7" t="s">
        <v>17861</v>
      </c>
      <c r="C8553" s="7" t="s">
        <v>17862</v>
      </c>
      <c r="G8553" s="8" t="s">
        <v>15</v>
      </c>
    </row>
    <row r="8554" spans="1:7" hidden="1" x14ac:dyDescent="0.25">
      <c r="A8554" s="21">
        <v>8553</v>
      </c>
      <c r="B8554" s="7" t="s">
        <v>17863</v>
      </c>
      <c r="C8554" s="7" t="s">
        <v>17864</v>
      </c>
      <c r="G8554" s="8" t="s">
        <v>15</v>
      </c>
    </row>
    <row r="8555" spans="1:7" hidden="1" x14ac:dyDescent="0.25">
      <c r="A8555" s="21">
        <v>8554</v>
      </c>
      <c r="B8555" s="7" t="s">
        <v>17865</v>
      </c>
      <c r="C8555" s="7" t="s">
        <v>17866</v>
      </c>
      <c r="G8555" s="8" t="s">
        <v>15</v>
      </c>
    </row>
    <row r="8556" spans="1:7" hidden="1" x14ac:dyDescent="0.25">
      <c r="A8556" s="21">
        <v>8555</v>
      </c>
      <c r="B8556" s="7" t="s">
        <v>17867</v>
      </c>
      <c r="C8556" s="7" t="s">
        <v>17868</v>
      </c>
      <c r="G8556" s="8" t="s">
        <v>15</v>
      </c>
    </row>
    <row r="8557" spans="1:7" hidden="1" x14ac:dyDescent="0.25">
      <c r="A8557" s="21">
        <v>8556</v>
      </c>
      <c r="B8557" s="7" t="s">
        <v>17869</v>
      </c>
      <c r="C8557" s="7" t="s">
        <v>17870</v>
      </c>
      <c r="G8557" s="8" t="s">
        <v>15</v>
      </c>
    </row>
    <row r="8558" spans="1:7" hidden="1" x14ac:dyDescent="0.25">
      <c r="A8558" s="21">
        <v>8557</v>
      </c>
      <c r="B8558" s="7" t="s">
        <v>17871</v>
      </c>
      <c r="C8558" s="7" t="s">
        <v>17872</v>
      </c>
      <c r="G8558" s="8" t="s">
        <v>15</v>
      </c>
    </row>
    <row r="8559" spans="1:7" hidden="1" x14ac:dyDescent="0.25">
      <c r="A8559" s="21">
        <v>8558</v>
      </c>
      <c r="B8559" s="7" t="s">
        <v>17873</v>
      </c>
      <c r="C8559" s="7" t="s">
        <v>17874</v>
      </c>
      <c r="G8559" s="8" t="s">
        <v>15</v>
      </c>
    </row>
    <row r="8560" spans="1:7" hidden="1" x14ac:dyDescent="0.25">
      <c r="A8560" s="21">
        <v>8559</v>
      </c>
      <c r="B8560" s="7" t="s">
        <v>17875</v>
      </c>
      <c r="C8560" s="7" t="s">
        <v>17876</v>
      </c>
      <c r="G8560" s="8" t="s">
        <v>15</v>
      </c>
    </row>
    <row r="8561" spans="1:7" hidden="1" x14ac:dyDescent="0.25">
      <c r="A8561" s="21">
        <v>8560</v>
      </c>
      <c r="B8561" s="7" t="s">
        <v>17877</v>
      </c>
      <c r="C8561" s="7" t="s">
        <v>17878</v>
      </c>
      <c r="G8561" s="8" t="s">
        <v>15</v>
      </c>
    </row>
    <row r="8562" spans="1:7" hidden="1" x14ac:dyDescent="0.25">
      <c r="A8562" s="21">
        <v>8561</v>
      </c>
      <c r="B8562" s="7" t="s">
        <v>17879</v>
      </c>
      <c r="C8562" s="7" t="s">
        <v>17880</v>
      </c>
      <c r="G8562" s="8" t="s">
        <v>15</v>
      </c>
    </row>
    <row r="8563" spans="1:7" hidden="1" x14ac:dyDescent="0.25">
      <c r="A8563" s="21">
        <v>8562</v>
      </c>
      <c r="B8563" s="7" t="s">
        <v>17881</v>
      </c>
      <c r="C8563" s="7" t="s">
        <v>17882</v>
      </c>
      <c r="G8563" s="8" t="s">
        <v>15</v>
      </c>
    </row>
    <row r="8564" spans="1:7" hidden="1" x14ac:dyDescent="0.25">
      <c r="A8564" s="21">
        <v>8563</v>
      </c>
      <c r="B8564" s="7" t="s">
        <v>17883</v>
      </c>
      <c r="C8564" s="7" t="s">
        <v>17884</v>
      </c>
      <c r="G8564" s="8" t="s">
        <v>15</v>
      </c>
    </row>
    <row r="8565" spans="1:7" hidden="1" x14ac:dyDescent="0.25">
      <c r="A8565" s="21">
        <v>8564</v>
      </c>
      <c r="B8565" s="7" t="s">
        <v>17885</v>
      </c>
      <c r="C8565" s="7" t="s">
        <v>17886</v>
      </c>
      <c r="G8565" s="8" t="s">
        <v>15</v>
      </c>
    </row>
    <row r="8566" spans="1:7" hidden="1" x14ac:dyDescent="0.25">
      <c r="A8566" s="21">
        <v>8565</v>
      </c>
      <c r="B8566" s="7" t="s">
        <v>17887</v>
      </c>
      <c r="C8566" s="7" t="s">
        <v>17888</v>
      </c>
      <c r="G8566" s="8" t="s">
        <v>15</v>
      </c>
    </row>
    <row r="8567" spans="1:7" hidden="1" x14ac:dyDescent="0.25">
      <c r="A8567" s="21">
        <v>8566</v>
      </c>
      <c r="B8567" s="7" t="s">
        <v>17889</v>
      </c>
      <c r="C8567" s="7" t="s">
        <v>17890</v>
      </c>
      <c r="G8567" s="8" t="s">
        <v>15</v>
      </c>
    </row>
    <row r="8568" spans="1:7" hidden="1" x14ac:dyDescent="0.25">
      <c r="A8568" s="21">
        <v>8567</v>
      </c>
      <c r="B8568" s="7" t="s">
        <v>17891</v>
      </c>
      <c r="C8568" s="7" t="s">
        <v>17892</v>
      </c>
      <c r="G8568" s="8" t="s">
        <v>15</v>
      </c>
    </row>
    <row r="8569" spans="1:7" hidden="1" x14ac:dyDescent="0.25">
      <c r="A8569" s="21">
        <v>8568</v>
      </c>
      <c r="B8569" s="7" t="s">
        <v>17893</v>
      </c>
      <c r="C8569" s="7" t="s">
        <v>17894</v>
      </c>
      <c r="G8569" s="8" t="s">
        <v>15</v>
      </c>
    </row>
    <row r="8570" spans="1:7" hidden="1" x14ac:dyDescent="0.25">
      <c r="A8570" s="21">
        <v>8569</v>
      </c>
      <c r="B8570" s="7" t="s">
        <v>17895</v>
      </c>
      <c r="C8570" s="7" t="s">
        <v>17896</v>
      </c>
      <c r="G8570" s="8" t="s">
        <v>15</v>
      </c>
    </row>
    <row r="8571" spans="1:7" hidden="1" x14ac:dyDescent="0.25">
      <c r="A8571" s="21">
        <v>8570</v>
      </c>
      <c r="B8571" s="7" t="s">
        <v>17897</v>
      </c>
      <c r="C8571" s="7" t="s">
        <v>17898</v>
      </c>
      <c r="G8571" s="8" t="s">
        <v>15</v>
      </c>
    </row>
    <row r="8572" spans="1:7" hidden="1" x14ac:dyDescent="0.25">
      <c r="A8572" s="21">
        <v>8571</v>
      </c>
      <c r="B8572" s="7" t="s">
        <v>17899</v>
      </c>
      <c r="C8572" s="7" t="s">
        <v>17900</v>
      </c>
      <c r="G8572" s="8" t="s">
        <v>15</v>
      </c>
    </row>
    <row r="8573" spans="1:7" hidden="1" x14ac:dyDescent="0.25">
      <c r="A8573" s="21">
        <v>8572</v>
      </c>
      <c r="B8573" s="7" t="s">
        <v>17901</v>
      </c>
      <c r="C8573" s="7" t="s">
        <v>17902</v>
      </c>
      <c r="G8573" s="8" t="s">
        <v>15</v>
      </c>
    </row>
    <row r="8574" spans="1:7" hidden="1" x14ac:dyDescent="0.25">
      <c r="A8574" s="21">
        <v>8573</v>
      </c>
      <c r="B8574" s="7" t="s">
        <v>17903</v>
      </c>
      <c r="C8574" s="7" t="s">
        <v>17904</v>
      </c>
      <c r="G8574" s="8" t="s">
        <v>15</v>
      </c>
    </row>
    <row r="8575" spans="1:7" hidden="1" x14ac:dyDescent="0.25">
      <c r="A8575" s="21">
        <v>8574</v>
      </c>
      <c r="B8575" s="7" t="s">
        <v>17905</v>
      </c>
      <c r="C8575" s="7" t="s">
        <v>17906</v>
      </c>
      <c r="G8575" s="8" t="s">
        <v>15</v>
      </c>
    </row>
    <row r="8576" spans="1:7" hidden="1" x14ac:dyDescent="0.25">
      <c r="A8576" s="21">
        <v>8575</v>
      </c>
      <c r="B8576" s="7" t="s">
        <v>17907</v>
      </c>
      <c r="C8576" s="7" t="s">
        <v>17908</v>
      </c>
      <c r="G8576" s="8" t="s">
        <v>15</v>
      </c>
    </row>
    <row r="8577" spans="1:7" hidden="1" x14ac:dyDescent="0.25">
      <c r="A8577" s="21">
        <v>8576</v>
      </c>
      <c r="B8577" s="7" t="s">
        <v>17909</v>
      </c>
      <c r="C8577" s="7" t="s">
        <v>17910</v>
      </c>
      <c r="G8577" s="8" t="s">
        <v>15</v>
      </c>
    </row>
    <row r="8578" spans="1:7" hidden="1" x14ac:dyDescent="0.25">
      <c r="A8578" s="21">
        <v>8577</v>
      </c>
      <c r="B8578" s="7" t="s">
        <v>17911</v>
      </c>
      <c r="C8578" s="7" t="s">
        <v>17912</v>
      </c>
      <c r="G8578" s="8" t="s">
        <v>15</v>
      </c>
    </row>
    <row r="8579" spans="1:7" hidden="1" x14ac:dyDescent="0.25">
      <c r="A8579" s="21">
        <v>8578</v>
      </c>
      <c r="B8579" s="7" t="s">
        <v>17913</v>
      </c>
      <c r="C8579" s="7" t="s">
        <v>17914</v>
      </c>
      <c r="G8579" s="8" t="s">
        <v>15</v>
      </c>
    </row>
    <row r="8580" spans="1:7" hidden="1" x14ac:dyDescent="0.25">
      <c r="A8580" s="21">
        <v>8579</v>
      </c>
      <c r="B8580" s="7" t="s">
        <v>17915</v>
      </c>
      <c r="C8580" s="7" t="s">
        <v>17916</v>
      </c>
      <c r="G8580" s="8" t="s">
        <v>15</v>
      </c>
    </row>
    <row r="8581" spans="1:7" hidden="1" x14ac:dyDescent="0.25">
      <c r="A8581" s="21">
        <v>8580</v>
      </c>
      <c r="B8581" s="7" t="s">
        <v>17917</v>
      </c>
      <c r="C8581" s="7" t="s">
        <v>17918</v>
      </c>
      <c r="G8581" s="8" t="s">
        <v>15</v>
      </c>
    </row>
    <row r="8582" spans="1:7" hidden="1" x14ac:dyDescent="0.25">
      <c r="A8582" s="21">
        <v>8581</v>
      </c>
      <c r="B8582" s="7" t="s">
        <v>17919</v>
      </c>
      <c r="C8582" s="7" t="s">
        <v>17920</v>
      </c>
      <c r="G8582" s="8" t="s">
        <v>15</v>
      </c>
    </row>
    <row r="8583" spans="1:7" hidden="1" x14ac:dyDescent="0.25">
      <c r="A8583" s="21">
        <v>8582</v>
      </c>
      <c r="B8583" s="7" t="s">
        <v>17921</v>
      </c>
      <c r="C8583" s="7" t="s">
        <v>17922</v>
      </c>
      <c r="G8583" s="8" t="s">
        <v>15</v>
      </c>
    </row>
    <row r="8584" spans="1:7" hidden="1" x14ac:dyDescent="0.25">
      <c r="A8584" s="21">
        <v>8583</v>
      </c>
      <c r="B8584" s="7" t="s">
        <v>17923</v>
      </c>
      <c r="C8584" s="7" t="s">
        <v>17924</v>
      </c>
      <c r="G8584" s="8" t="s">
        <v>15</v>
      </c>
    </row>
    <row r="8585" spans="1:7" hidden="1" x14ac:dyDescent="0.25">
      <c r="A8585" s="21">
        <v>8584</v>
      </c>
      <c r="B8585" s="7" t="s">
        <v>17925</v>
      </c>
      <c r="C8585" s="7" t="s">
        <v>17926</v>
      </c>
      <c r="G8585" s="8" t="s">
        <v>15</v>
      </c>
    </row>
    <row r="8586" spans="1:7" hidden="1" x14ac:dyDescent="0.25">
      <c r="A8586" s="21">
        <v>8585</v>
      </c>
      <c r="B8586" s="7" t="s">
        <v>17927</v>
      </c>
      <c r="C8586" s="7" t="s">
        <v>17928</v>
      </c>
      <c r="G8586" s="8" t="s">
        <v>15</v>
      </c>
    </row>
    <row r="8587" spans="1:7" hidden="1" x14ac:dyDescent="0.25">
      <c r="A8587" s="21">
        <v>8586</v>
      </c>
      <c r="B8587" s="7" t="s">
        <v>17929</v>
      </c>
      <c r="C8587" s="7" t="s">
        <v>17930</v>
      </c>
      <c r="G8587" s="8" t="s">
        <v>15</v>
      </c>
    </row>
    <row r="8588" spans="1:7" hidden="1" x14ac:dyDescent="0.25">
      <c r="A8588" s="21">
        <v>8587</v>
      </c>
      <c r="B8588" s="7" t="s">
        <v>17931</v>
      </c>
      <c r="C8588" s="7" t="s">
        <v>17932</v>
      </c>
      <c r="G8588" s="8" t="s">
        <v>15</v>
      </c>
    </row>
    <row r="8589" spans="1:7" hidden="1" x14ac:dyDescent="0.25">
      <c r="A8589" s="21">
        <v>8588</v>
      </c>
      <c r="B8589" s="7" t="s">
        <v>17933</v>
      </c>
      <c r="C8589" s="7" t="s">
        <v>17934</v>
      </c>
      <c r="G8589" s="8" t="s">
        <v>15</v>
      </c>
    </row>
    <row r="8590" spans="1:7" hidden="1" x14ac:dyDescent="0.25">
      <c r="A8590" s="21">
        <v>8589</v>
      </c>
      <c r="B8590" s="7" t="s">
        <v>17935</v>
      </c>
      <c r="C8590" s="7" t="s">
        <v>17936</v>
      </c>
      <c r="G8590" s="8" t="s">
        <v>15</v>
      </c>
    </row>
    <row r="8591" spans="1:7" hidden="1" x14ac:dyDescent="0.25">
      <c r="A8591" s="21">
        <v>8590</v>
      </c>
      <c r="B8591" s="7" t="s">
        <v>17937</v>
      </c>
      <c r="C8591" s="7" t="s">
        <v>17938</v>
      </c>
      <c r="G8591" s="8" t="s">
        <v>15</v>
      </c>
    </row>
    <row r="8592" spans="1:7" hidden="1" x14ac:dyDescent="0.25">
      <c r="A8592" s="21">
        <v>8591</v>
      </c>
      <c r="B8592" s="7" t="s">
        <v>17939</v>
      </c>
      <c r="C8592" s="7" t="s">
        <v>17940</v>
      </c>
      <c r="G8592" s="8" t="s">
        <v>15</v>
      </c>
    </row>
    <row r="8593" spans="1:7" hidden="1" x14ac:dyDescent="0.25">
      <c r="A8593" s="21">
        <v>8592</v>
      </c>
      <c r="B8593" s="7" t="s">
        <v>17941</v>
      </c>
      <c r="C8593" s="7" t="s">
        <v>17942</v>
      </c>
      <c r="G8593" s="8" t="s">
        <v>15</v>
      </c>
    </row>
    <row r="8594" spans="1:7" hidden="1" x14ac:dyDescent="0.25">
      <c r="A8594" s="21">
        <v>8593</v>
      </c>
      <c r="B8594" s="7" t="s">
        <v>17943</v>
      </c>
      <c r="C8594" s="7" t="s">
        <v>17944</v>
      </c>
      <c r="G8594" s="8" t="s">
        <v>15</v>
      </c>
    </row>
    <row r="8595" spans="1:7" hidden="1" x14ac:dyDescent="0.25">
      <c r="A8595" s="21">
        <v>8594</v>
      </c>
      <c r="B8595" s="7" t="s">
        <v>17945</v>
      </c>
      <c r="C8595" s="7" t="s">
        <v>17946</v>
      </c>
      <c r="G8595" s="8" t="s">
        <v>15</v>
      </c>
    </row>
    <row r="8596" spans="1:7" hidden="1" x14ac:dyDescent="0.25">
      <c r="A8596" s="21">
        <v>8595</v>
      </c>
      <c r="B8596" s="7" t="s">
        <v>17947</v>
      </c>
      <c r="C8596" s="7" t="s">
        <v>17948</v>
      </c>
      <c r="G8596" s="8" t="s">
        <v>15</v>
      </c>
    </row>
    <row r="8597" spans="1:7" hidden="1" x14ac:dyDescent="0.25">
      <c r="A8597" s="21">
        <v>8596</v>
      </c>
      <c r="B8597" s="7" t="s">
        <v>17949</v>
      </c>
      <c r="C8597" s="7" t="s">
        <v>17950</v>
      </c>
      <c r="G8597" s="8" t="s">
        <v>15</v>
      </c>
    </row>
    <row r="8598" spans="1:7" hidden="1" x14ac:dyDescent="0.25">
      <c r="A8598" s="21">
        <v>8597</v>
      </c>
      <c r="B8598" s="7" t="s">
        <v>17951</v>
      </c>
      <c r="C8598" s="7" t="s">
        <v>17952</v>
      </c>
      <c r="G8598" s="8" t="s">
        <v>15</v>
      </c>
    </row>
    <row r="8599" spans="1:7" hidden="1" x14ac:dyDescent="0.25">
      <c r="A8599" s="21">
        <v>8598</v>
      </c>
      <c r="B8599" s="7" t="s">
        <v>17953</v>
      </c>
      <c r="C8599" s="7" t="s">
        <v>17954</v>
      </c>
      <c r="G8599" s="8" t="s">
        <v>15</v>
      </c>
    </row>
    <row r="8600" spans="1:7" hidden="1" x14ac:dyDescent="0.25">
      <c r="A8600" s="21">
        <v>8599</v>
      </c>
      <c r="B8600" s="7" t="s">
        <v>17955</v>
      </c>
      <c r="C8600" s="7" t="s">
        <v>17956</v>
      </c>
      <c r="G8600" s="8" t="s">
        <v>15</v>
      </c>
    </row>
    <row r="8601" spans="1:7" hidden="1" x14ac:dyDescent="0.25">
      <c r="A8601" s="21">
        <v>8600</v>
      </c>
      <c r="B8601" s="7" t="s">
        <v>17957</v>
      </c>
      <c r="C8601" s="7" t="s">
        <v>17958</v>
      </c>
      <c r="G8601" s="8" t="s">
        <v>15</v>
      </c>
    </row>
    <row r="8602" spans="1:7" hidden="1" x14ac:dyDescent="0.25">
      <c r="A8602" s="21">
        <v>8601</v>
      </c>
      <c r="B8602" s="7" t="s">
        <v>17959</v>
      </c>
      <c r="C8602" s="7" t="s">
        <v>17960</v>
      </c>
      <c r="G8602" s="8" t="s">
        <v>15</v>
      </c>
    </row>
    <row r="8603" spans="1:7" hidden="1" x14ac:dyDescent="0.25">
      <c r="A8603" s="21">
        <v>8602</v>
      </c>
      <c r="B8603" s="7" t="s">
        <v>17961</v>
      </c>
      <c r="C8603" s="7" t="s">
        <v>17962</v>
      </c>
      <c r="G8603" s="8" t="s">
        <v>15</v>
      </c>
    </row>
    <row r="8604" spans="1:7" hidden="1" x14ac:dyDescent="0.25">
      <c r="A8604" s="21">
        <v>8603</v>
      </c>
      <c r="B8604" s="7" t="s">
        <v>17963</v>
      </c>
      <c r="C8604" s="7" t="s">
        <v>17964</v>
      </c>
      <c r="G8604" s="8" t="s">
        <v>15</v>
      </c>
    </row>
    <row r="8605" spans="1:7" hidden="1" x14ac:dyDescent="0.25">
      <c r="A8605" s="21">
        <v>8604</v>
      </c>
      <c r="B8605" s="7" t="s">
        <v>17965</v>
      </c>
      <c r="C8605" s="7" t="s">
        <v>17966</v>
      </c>
      <c r="G8605" s="8" t="s">
        <v>15</v>
      </c>
    </row>
    <row r="8606" spans="1:7" hidden="1" x14ac:dyDescent="0.25">
      <c r="A8606" s="21">
        <v>8605</v>
      </c>
      <c r="B8606" s="7" t="s">
        <v>17967</v>
      </c>
      <c r="C8606" s="7" t="s">
        <v>17968</v>
      </c>
      <c r="G8606" s="8" t="s">
        <v>15</v>
      </c>
    </row>
    <row r="8607" spans="1:7" hidden="1" x14ac:dyDescent="0.25">
      <c r="A8607" s="21">
        <v>8606</v>
      </c>
      <c r="B8607" s="7" t="s">
        <v>17969</v>
      </c>
      <c r="C8607" s="7" t="s">
        <v>17970</v>
      </c>
      <c r="G8607" s="8" t="s">
        <v>15</v>
      </c>
    </row>
    <row r="8608" spans="1:7" hidden="1" x14ac:dyDescent="0.25">
      <c r="A8608" s="21">
        <v>8607</v>
      </c>
      <c r="B8608" s="7" t="s">
        <v>17971</v>
      </c>
      <c r="C8608" s="7" t="s">
        <v>17972</v>
      </c>
      <c r="G8608" s="8" t="s">
        <v>15</v>
      </c>
    </row>
    <row r="8609" spans="1:7" hidden="1" x14ac:dyDescent="0.25">
      <c r="A8609" s="21">
        <v>8608</v>
      </c>
      <c r="B8609" s="7" t="s">
        <v>17973</v>
      </c>
      <c r="C8609" s="7" t="s">
        <v>17974</v>
      </c>
      <c r="G8609" s="8" t="s">
        <v>15</v>
      </c>
    </row>
    <row r="8610" spans="1:7" hidden="1" x14ac:dyDescent="0.25">
      <c r="A8610" s="21">
        <v>8609</v>
      </c>
      <c r="B8610" s="7" t="s">
        <v>17975</v>
      </c>
      <c r="C8610" s="7" t="s">
        <v>17976</v>
      </c>
      <c r="G8610" s="8" t="s">
        <v>15</v>
      </c>
    </row>
    <row r="8611" spans="1:7" hidden="1" x14ac:dyDescent="0.25">
      <c r="A8611" s="21">
        <v>8610</v>
      </c>
      <c r="B8611" s="7" t="s">
        <v>17977</v>
      </c>
      <c r="C8611" s="7" t="s">
        <v>17978</v>
      </c>
      <c r="G8611" s="8" t="s">
        <v>15</v>
      </c>
    </row>
    <row r="8612" spans="1:7" hidden="1" x14ac:dyDescent="0.25">
      <c r="A8612" s="21">
        <v>8611</v>
      </c>
      <c r="B8612" s="7" t="s">
        <v>17979</v>
      </c>
      <c r="C8612" s="7" t="s">
        <v>17980</v>
      </c>
      <c r="G8612" s="8" t="s">
        <v>15</v>
      </c>
    </row>
    <row r="8613" spans="1:7" hidden="1" x14ac:dyDescent="0.25">
      <c r="A8613" s="21">
        <v>8612</v>
      </c>
      <c r="B8613" s="7" t="s">
        <v>17981</v>
      </c>
      <c r="C8613" s="7" t="s">
        <v>17982</v>
      </c>
      <c r="G8613" s="8" t="s">
        <v>15</v>
      </c>
    </row>
    <row r="8614" spans="1:7" hidden="1" x14ac:dyDescent="0.25">
      <c r="A8614" s="21">
        <v>8613</v>
      </c>
      <c r="B8614" s="7" t="s">
        <v>17983</v>
      </c>
      <c r="C8614" s="7" t="s">
        <v>17984</v>
      </c>
      <c r="G8614" s="8" t="s">
        <v>15</v>
      </c>
    </row>
    <row r="8615" spans="1:7" hidden="1" x14ac:dyDescent="0.25">
      <c r="A8615" s="21">
        <v>8614</v>
      </c>
      <c r="B8615" s="7" t="s">
        <v>17985</v>
      </c>
      <c r="C8615" s="7" t="s">
        <v>17986</v>
      </c>
      <c r="G8615" s="8" t="s">
        <v>15</v>
      </c>
    </row>
    <row r="8616" spans="1:7" hidden="1" x14ac:dyDescent="0.25">
      <c r="A8616" s="21">
        <v>8615</v>
      </c>
      <c r="B8616" s="7" t="s">
        <v>17987</v>
      </c>
      <c r="C8616" s="7" t="s">
        <v>17988</v>
      </c>
      <c r="G8616" s="8" t="s">
        <v>15</v>
      </c>
    </row>
    <row r="8617" spans="1:7" hidden="1" x14ac:dyDescent="0.25">
      <c r="A8617" s="21">
        <v>8616</v>
      </c>
      <c r="B8617" s="7" t="s">
        <v>17989</v>
      </c>
      <c r="C8617" s="7" t="s">
        <v>17990</v>
      </c>
      <c r="G8617" s="8" t="s">
        <v>15</v>
      </c>
    </row>
    <row r="8618" spans="1:7" hidden="1" x14ac:dyDescent="0.25">
      <c r="A8618" s="21">
        <v>8617</v>
      </c>
      <c r="B8618" s="7" t="s">
        <v>17991</v>
      </c>
      <c r="C8618" s="7" t="s">
        <v>17992</v>
      </c>
      <c r="G8618" s="8" t="s">
        <v>15</v>
      </c>
    </row>
    <row r="8619" spans="1:7" hidden="1" x14ac:dyDescent="0.25">
      <c r="A8619" s="21">
        <v>8618</v>
      </c>
      <c r="B8619" s="7" t="s">
        <v>17993</v>
      </c>
      <c r="C8619" s="7" t="s">
        <v>17994</v>
      </c>
      <c r="G8619" s="8" t="s">
        <v>15</v>
      </c>
    </row>
    <row r="8620" spans="1:7" hidden="1" x14ac:dyDescent="0.25">
      <c r="A8620" s="21">
        <v>8619</v>
      </c>
      <c r="B8620" s="7" t="s">
        <v>17995</v>
      </c>
      <c r="C8620" s="7" t="s">
        <v>17996</v>
      </c>
      <c r="G8620" s="8" t="s">
        <v>15</v>
      </c>
    </row>
    <row r="8621" spans="1:7" hidden="1" x14ac:dyDescent="0.25">
      <c r="A8621" s="21">
        <v>8620</v>
      </c>
      <c r="B8621" s="7" t="s">
        <v>17997</v>
      </c>
      <c r="C8621" s="7" t="s">
        <v>17998</v>
      </c>
      <c r="G8621" s="8" t="s">
        <v>15</v>
      </c>
    </row>
    <row r="8622" spans="1:7" hidden="1" x14ac:dyDescent="0.25">
      <c r="A8622" s="21">
        <v>8621</v>
      </c>
      <c r="B8622" s="7" t="s">
        <v>17999</v>
      </c>
      <c r="C8622" s="7" t="s">
        <v>18000</v>
      </c>
      <c r="G8622" s="8" t="s">
        <v>15</v>
      </c>
    </row>
    <row r="8623" spans="1:7" hidden="1" x14ac:dyDescent="0.25">
      <c r="A8623" s="21">
        <v>8622</v>
      </c>
      <c r="B8623" s="7" t="s">
        <v>18001</v>
      </c>
      <c r="C8623" s="7" t="s">
        <v>18002</v>
      </c>
      <c r="G8623" s="8" t="s">
        <v>15</v>
      </c>
    </row>
    <row r="8624" spans="1:7" hidden="1" x14ac:dyDescent="0.25">
      <c r="A8624" s="21">
        <v>8623</v>
      </c>
      <c r="B8624" s="7" t="s">
        <v>18003</v>
      </c>
      <c r="C8624" s="7" t="s">
        <v>18004</v>
      </c>
      <c r="G8624" s="8" t="s">
        <v>15</v>
      </c>
    </row>
    <row r="8625" spans="1:7" hidden="1" x14ac:dyDescent="0.25">
      <c r="A8625" s="21">
        <v>8624</v>
      </c>
      <c r="B8625" s="7" t="s">
        <v>18005</v>
      </c>
      <c r="C8625" s="7" t="s">
        <v>18006</v>
      </c>
      <c r="G8625" s="8" t="s">
        <v>15</v>
      </c>
    </row>
    <row r="8626" spans="1:7" hidden="1" x14ac:dyDescent="0.25">
      <c r="A8626" s="21">
        <v>8625</v>
      </c>
      <c r="B8626" s="7" t="s">
        <v>18007</v>
      </c>
      <c r="C8626" s="7" t="s">
        <v>18008</v>
      </c>
      <c r="G8626" s="8" t="s">
        <v>15</v>
      </c>
    </row>
    <row r="8627" spans="1:7" hidden="1" x14ac:dyDescent="0.25">
      <c r="A8627" s="21">
        <v>8626</v>
      </c>
      <c r="B8627" s="7" t="s">
        <v>18009</v>
      </c>
      <c r="C8627" s="7" t="s">
        <v>18010</v>
      </c>
      <c r="G8627" s="8" t="s">
        <v>15</v>
      </c>
    </row>
    <row r="8628" spans="1:7" hidden="1" x14ac:dyDescent="0.25">
      <c r="A8628" s="21">
        <v>8627</v>
      </c>
      <c r="B8628" s="7" t="s">
        <v>18011</v>
      </c>
      <c r="C8628" s="7" t="s">
        <v>18012</v>
      </c>
      <c r="G8628" s="8" t="s">
        <v>15</v>
      </c>
    </row>
    <row r="8629" spans="1:7" hidden="1" x14ac:dyDescent="0.25">
      <c r="A8629" s="21">
        <v>8628</v>
      </c>
      <c r="B8629" s="7" t="s">
        <v>18013</v>
      </c>
      <c r="C8629" s="7" t="s">
        <v>18014</v>
      </c>
      <c r="G8629" s="8" t="s">
        <v>15</v>
      </c>
    </row>
    <row r="8630" spans="1:7" hidden="1" x14ac:dyDescent="0.25">
      <c r="A8630" s="21">
        <v>8629</v>
      </c>
      <c r="B8630" s="7" t="s">
        <v>18015</v>
      </c>
      <c r="C8630" s="7" t="s">
        <v>18016</v>
      </c>
      <c r="G8630" s="8" t="s">
        <v>15</v>
      </c>
    </row>
    <row r="8631" spans="1:7" hidden="1" x14ac:dyDescent="0.25">
      <c r="A8631" s="21">
        <v>8630</v>
      </c>
      <c r="B8631" s="7" t="s">
        <v>18017</v>
      </c>
      <c r="C8631" s="7" t="s">
        <v>18018</v>
      </c>
      <c r="G8631" s="8" t="s">
        <v>15</v>
      </c>
    </row>
    <row r="8632" spans="1:7" hidden="1" x14ac:dyDescent="0.25">
      <c r="A8632" s="21">
        <v>8631</v>
      </c>
      <c r="B8632" s="7" t="s">
        <v>18019</v>
      </c>
      <c r="C8632" s="7" t="s">
        <v>18020</v>
      </c>
      <c r="G8632" s="8" t="s">
        <v>15</v>
      </c>
    </row>
    <row r="8633" spans="1:7" hidden="1" x14ac:dyDescent="0.25">
      <c r="A8633" s="21">
        <v>8632</v>
      </c>
      <c r="B8633" s="7" t="s">
        <v>18021</v>
      </c>
      <c r="C8633" s="7" t="s">
        <v>18022</v>
      </c>
      <c r="G8633" s="8" t="s">
        <v>15</v>
      </c>
    </row>
    <row r="8634" spans="1:7" hidden="1" x14ac:dyDescent="0.25">
      <c r="A8634" s="21">
        <v>8633</v>
      </c>
      <c r="B8634" s="7" t="s">
        <v>18023</v>
      </c>
      <c r="C8634" s="7" t="s">
        <v>18024</v>
      </c>
      <c r="G8634" s="8" t="s">
        <v>15</v>
      </c>
    </row>
    <row r="8635" spans="1:7" hidden="1" x14ac:dyDescent="0.25">
      <c r="A8635" s="21">
        <v>8634</v>
      </c>
      <c r="B8635" s="7" t="s">
        <v>18025</v>
      </c>
      <c r="C8635" s="7" t="s">
        <v>18026</v>
      </c>
      <c r="G8635" s="8" t="s">
        <v>15</v>
      </c>
    </row>
    <row r="8636" spans="1:7" hidden="1" x14ac:dyDescent="0.25">
      <c r="A8636" s="21">
        <v>8635</v>
      </c>
      <c r="B8636" s="7" t="s">
        <v>18027</v>
      </c>
      <c r="C8636" s="7" t="s">
        <v>18028</v>
      </c>
      <c r="G8636" s="8" t="s">
        <v>15</v>
      </c>
    </row>
    <row r="8637" spans="1:7" hidden="1" x14ac:dyDescent="0.25">
      <c r="A8637" s="21">
        <v>8636</v>
      </c>
      <c r="B8637" s="7" t="s">
        <v>18029</v>
      </c>
      <c r="C8637" s="7" t="s">
        <v>18030</v>
      </c>
      <c r="G8637" s="8" t="s">
        <v>15</v>
      </c>
    </row>
    <row r="8638" spans="1:7" hidden="1" x14ac:dyDescent="0.25">
      <c r="A8638" s="21">
        <v>8637</v>
      </c>
      <c r="B8638" s="7" t="s">
        <v>18031</v>
      </c>
      <c r="C8638" s="7" t="s">
        <v>18032</v>
      </c>
      <c r="G8638" s="8" t="s">
        <v>15</v>
      </c>
    </row>
    <row r="8639" spans="1:7" hidden="1" x14ac:dyDescent="0.25">
      <c r="A8639" s="21">
        <v>8638</v>
      </c>
      <c r="B8639" s="7" t="s">
        <v>18033</v>
      </c>
      <c r="C8639" s="7" t="s">
        <v>18034</v>
      </c>
      <c r="G8639" s="8" t="s">
        <v>15</v>
      </c>
    </row>
    <row r="8640" spans="1:7" hidden="1" x14ac:dyDescent="0.25">
      <c r="A8640" s="21">
        <v>8639</v>
      </c>
      <c r="B8640" s="7" t="s">
        <v>18035</v>
      </c>
      <c r="C8640" s="7" t="s">
        <v>18036</v>
      </c>
      <c r="G8640" s="8" t="s">
        <v>15</v>
      </c>
    </row>
    <row r="8641" spans="1:7" hidden="1" x14ac:dyDescent="0.25">
      <c r="A8641" s="21">
        <v>8640</v>
      </c>
      <c r="B8641" s="7" t="s">
        <v>18037</v>
      </c>
      <c r="C8641" s="7" t="s">
        <v>18038</v>
      </c>
      <c r="G8641" s="8" t="s">
        <v>15</v>
      </c>
    </row>
    <row r="8642" spans="1:7" hidden="1" x14ac:dyDescent="0.25">
      <c r="A8642" s="21">
        <v>8641</v>
      </c>
      <c r="B8642" s="7" t="s">
        <v>18039</v>
      </c>
      <c r="C8642" s="7" t="s">
        <v>18040</v>
      </c>
      <c r="G8642" s="8" t="s">
        <v>15</v>
      </c>
    </row>
    <row r="8643" spans="1:7" hidden="1" x14ac:dyDescent="0.25">
      <c r="A8643" s="21">
        <v>8642</v>
      </c>
      <c r="B8643" s="7" t="s">
        <v>18041</v>
      </c>
      <c r="C8643" s="7" t="s">
        <v>18042</v>
      </c>
      <c r="G8643" s="8" t="s">
        <v>15</v>
      </c>
    </row>
    <row r="8644" spans="1:7" hidden="1" x14ac:dyDescent="0.25">
      <c r="A8644" s="21">
        <v>8643</v>
      </c>
      <c r="B8644" s="7" t="s">
        <v>18043</v>
      </c>
      <c r="C8644" s="7" t="s">
        <v>18044</v>
      </c>
      <c r="G8644" s="8" t="s">
        <v>15</v>
      </c>
    </row>
    <row r="8645" spans="1:7" hidden="1" x14ac:dyDescent="0.25">
      <c r="A8645" s="21">
        <v>8644</v>
      </c>
      <c r="B8645" s="7" t="s">
        <v>18045</v>
      </c>
      <c r="C8645" s="7" t="s">
        <v>18046</v>
      </c>
      <c r="G8645" s="8" t="s">
        <v>15</v>
      </c>
    </row>
    <row r="8646" spans="1:7" hidden="1" x14ac:dyDescent="0.25">
      <c r="A8646" s="21">
        <v>8645</v>
      </c>
      <c r="B8646" s="7" t="s">
        <v>18047</v>
      </c>
      <c r="C8646" s="7" t="s">
        <v>18048</v>
      </c>
      <c r="G8646" s="8" t="s">
        <v>15</v>
      </c>
    </row>
    <row r="8647" spans="1:7" hidden="1" x14ac:dyDescent="0.25">
      <c r="A8647" s="21">
        <v>8646</v>
      </c>
      <c r="B8647" s="7" t="s">
        <v>18049</v>
      </c>
      <c r="C8647" s="7" t="s">
        <v>18050</v>
      </c>
      <c r="G8647" s="8" t="s">
        <v>15</v>
      </c>
    </row>
    <row r="8648" spans="1:7" hidden="1" x14ac:dyDescent="0.25">
      <c r="A8648" s="21">
        <v>8647</v>
      </c>
      <c r="B8648" s="7" t="s">
        <v>18051</v>
      </c>
      <c r="C8648" s="7" t="s">
        <v>18052</v>
      </c>
      <c r="G8648" s="8" t="s">
        <v>15</v>
      </c>
    </row>
    <row r="8649" spans="1:7" hidden="1" x14ac:dyDescent="0.25">
      <c r="A8649" s="21">
        <v>8648</v>
      </c>
      <c r="B8649" s="7" t="s">
        <v>18053</v>
      </c>
      <c r="C8649" s="7" t="s">
        <v>18054</v>
      </c>
      <c r="G8649" s="8" t="s">
        <v>15</v>
      </c>
    </row>
    <row r="8650" spans="1:7" hidden="1" x14ac:dyDescent="0.25">
      <c r="A8650" s="21">
        <v>8649</v>
      </c>
      <c r="B8650" s="7" t="s">
        <v>18055</v>
      </c>
      <c r="C8650" s="7" t="s">
        <v>18056</v>
      </c>
      <c r="G8650" s="8" t="s">
        <v>15</v>
      </c>
    </row>
    <row r="8651" spans="1:7" hidden="1" x14ac:dyDescent="0.25">
      <c r="A8651" s="21">
        <v>8650</v>
      </c>
      <c r="B8651" s="7" t="s">
        <v>18057</v>
      </c>
      <c r="C8651" s="7" t="s">
        <v>18058</v>
      </c>
      <c r="G8651" s="8" t="s">
        <v>15</v>
      </c>
    </row>
    <row r="8652" spans="1:7" hidden="1" x14ac:dyDescent="0.25">
      <c r="A8652" s="21">
        <v>8651</v>
      </c>
      <c r="B8652" s="7" t="s">
        <v>18059</v>
      </c>
      <c r="C8652" s="7" t="s">
        <v>18060</v>
      </c>
      <c r="G8652" s="8" t="s">
        <v>15</v>
      </c>
    </row>
    <row r="8653" spans="1:7" hidden="1" x14ac:dyDescent="0.25">
      <c r="A8653" s="21">
        <v>8652</v>
      </c>
      <c r="B8653" s="7" t="s">
        <v>18061</v>
      </c>
      <c r="C8653" s="7" t="s">
        <v>18062</v>
      </c>
      <c r="G8653" s="8" t="s">
        <v>15</v>
      </c>
    </row>
    <row r="8654" spans="1:7" hidden="1" x14ac:dyDescent="0.25">
      <c r="A8654" s="21">
        <v>8653</v>
      </c>
      <c r="B8654" s="7" t="s">
        <v>18063</v>
      </c>
      <c r="C8654" s="7" t="s">
        <v>18064</v>
      </c>
      <c r="G8654" s="8" t="s">
        <v>15</v>
      </c>
    </row>
    <row r="8655" spans="1:7" hidden="1" x14ac:dyDescent="0.25">
      <c r="A8655" s="21">
        <v>8654</v>
      </c>
      <c r="B8655" s="7" t="s">
        <v>18065</v>
      </c>
      <c r="C8655" s="7" t="s">
        <v>18066</v>
      </c>
      <c r="G8655" s="8" t="s">
        <v>15</v>
      </c>
    </row>
    <row r="8656" spans="1:7" hidden="1" x14ac:dyDescent="0.25">
      <c r="A8656" s="21">
        <v>8655</v>
      </c>
      <c r="B8656" s="7" t="s">
        <v>18067</v>
      </c>
      <c r="C8656" s="7" t="s">
        <v>18068</v>
      </c>
      <c r="G8656" s="8" t="s">
        <v>15</v>
      </c>
    </row>
    <row r="8657" spans="1:7" hidden="1" x14ac:dyDescent="0.25">
      <c r="A8657" s="21">
        <v>8656</v>
      </c>
      <c r="B8657" s="7" t="s">
        <v>18069</v>
      </c>
      <c r="C8657" s="7" t="s">
        <v>18070</v>
      </c>
      <c r="G8657" s="8" t="s">
        <v>15</v>
      </c>
    </row>
    <row r="8658" spans="1:7" hidden="1" x14ac:dyDescent="0.25">
      <c r="A8658" s="21">
        <v>8657</v>
      </c>
      <c r="B8658" s="7" t="s">
        <v>18071</v>
      </c>
      <c r="C8658" s="7" t="s">
        <v>18072</v>
      </c>
      <c r="G8658" s="8" t="s">
        <v>15</v>
      </c>
    </row>
    <row r="8659" spans="1:7" hidden="1" x14ac:dyDescent="0.25">
      <c r="A8659" s="21">
        <v>8658</v>
      </c>
      <c r="B8659" s="7" t="s">
        <v>18073</v>
      </c>
      <c r="C8659" s="7" t="s">
        <v>18074</v>
      </c>
      <c r="G8659" s="8" t="s">
        <v>15</v>
      </c>
    </row>
    <row r="8660" spans="1:7" hidden="1" x14ac:dyDescent="0.25">
      <c r="A8660" s="21">
        <v>8659</v>
      </c>
      <c r="B8660" s="7" t="s">
        <v>18075</v>
      </c>
      <c r="C8660" s="7" t="s">
        <v>18076</v>
      </c>
      <c r="G8660" s="8" t="s">
        <v>15</v>
      </c>
    </row>
    <row r="8661" spans="1:7" hidden="1" x14ac:dyDescent="0.25">
      <c r="A8661" s="21">
        <v>8660</v>
      </c>
      <c r="B8661" s="7" t="s">
        <v>18077</v>
      </c>
      <c r="C8661" s="7" t="s">
        <v>18078</v>
      </c>
      <c r="G8661" s="8" t="s">
        <v>15</v>
      </c>
    </row>
    <row r="8662" spans="1:7" hidden="1" x14ac:dyDescent="0.25">
      <c r="A8662" s="21">
        <v>8661</v>
      </c>
      <c r="B8662" s="7" t="s">
        <v>18079</v>
      </c>
      <c r="C8662" s="7" t="s">
        <v>18080</v>
      </c>
      <c r="G8662" s="8" t="s">
        <v>15</v>
      </c>
    </row>
    <row r="8663" spans="1:7" hidden="1" x14ac:dyDescent="0.25">
      <c r="A8663" s="21">
        <v>8662</v>
      </c>
      <c r="B8663" s="7" t="s">
        <v>18081</v>
      </c>
      <c r="C8663" s="7" t="s">
        <v>18082</v>
      </c>
      <c r="G8663" s="8" t="s">
        <v>15</v>
      </c>
    </row>
    <row r="8664" spans="1:7" hidden="1" x14ac:dyDescent="0.25">
      <c r="A8664" s="21">
        <v>8663</v>
      </c>
      <c r="B8664" s="7" t="s">
        <v>18083</v>
      </c>
      <c r="C8664" s="7" t="s">
        <v>18084</v>
      </c>
      <c r="G8664" s="8" t="s">
        <v>15</v>
      </c>
    </row>
    <row r="8665" spans="1:7" hidden="1" x14ac:dyDescent="0.25">
      <c r="A8665" s="21">
        <v>8664</v>
      </c>
      <c r="B8665" s="7" t="s">
        <v>18085</v>
      </c>
      <c r="C8665" s="7" t="s">
        <v>18086</v>
      </c>
      <c r="G8665" s="8" t="s">
        <v>15</v>
      </c>
    </row>
    <row r="8666" spans="1:7" hidden="1" x14ac:dyDescent="0.25">
      <c r="A8666" s="21">
        <v>8665</v>
      </c>
      <c r="B8666" s="7" t="s">
        <v>18087</v>
      </c>
      <c r="C8666" s="7" t="s">
        <v>18088</v>
      </c>
      <c r="G8666" s="8" t="s">
        <v>15</v>
      </c>
    </row>
    <row r="8667" spans="1:7" hidden="1" x14ac:dyDescent="0.25">
      <c r="A8667" s="21">
        <v>8666</v>
      </c>
      <c r="B8667" s="7" t="s">
        <v>18089</v>
      </c>
      <c r="C8667" s="7" t="s">
        <v>18090</v>
      </c>
      <c r="G8667" s="8" t="s">
        <v>15</v>
      </c>
    </row>
    <row r="8668" spans="1:7" hidden="1" x14ac:dyDescent="0.25">
      <c r="A8668" s="21">
        <v>8667</v>
      </c>
      <c r="B8668" s="7" t="s">
        <v>18091</v>
      </c>
      <c r="C8668" s="7" t="s">
        <v>18092</v>
      </c>
      <c r="G8668" s="8" t="s">
        <v>15</v>
      </c>
    </row>
    <row r="8669" spans="1:7" hidden="1" x14ac:dyDescent="0.25">
      <c r="A8669" s="21">
        <v>8668</v>
      </c>
      <c r="B8669" s="7" t="s">
        <v>18093</v>
      </c>
      <c r="C8669" s="7" t="s">
        <v>18094</v>
      </c>
      <c r="G8669" s="8" t="s">
        <v>15</v>
      </c>
    </row>
    <row r="8670" spans="1:7" hidden="1" x14ac:dyDescent="0.25">
      <c r="A8670" s="21">
        <v>8669</v>
      </c>
      <c r="B8670" s="7" t="s">
        <v>18095</v>
      </c>
      <c r="C8670" s="7" t="s">
        <v>18096</v>
      </c>
      <c r="G8670" s="8" t="s">
        <v>15</v>
      </c>
    </row>
    <row r="8671" spans="1:7" hidden="1" x14ac:dyDescent="0.25">
      <c r="A8671" s="21">
        <v>8670</v>
      </c>
      <c r="B8671" s="7" t="s">
        <v>18097</v>
      </c>
      <c r="C8671" s="7" t="s">
        <v>18098</v>
      </c>
      <c r="G8671" s="8" t="s">
        <v>15</v>
      </c>
    </row>
    <row r="8672" spans="1:7" hidden="1" x14ac:dyDescent="0.25">
      <c r="A8672" s="21">
        <v>8671</v>
      </c>
      <c r="B8672" s="7" t="s">
        <v>18099</v>
      </c>
      <c r="C8672" s="7" t="s">
        <v>18100</v>
      </c>
      <c r="G8672" s="8" t="s">
        <v>15</v>
      </c>
    </row>
    <row r="8673" spans="1:7" hidden="1" x14ac:dyDescent="0.25">
      <c r="A8673" s="21">
        <v>8672</v>
      </c>
      <c r="B8673" s="7" t="s">
        <v>18101</v>
      </c>
      <c r="C8673" s="7" t="s">
        <v>18102</v>
      </c>
      <c r="G8673" s="8" t="s">
        <v>15</v>
      </c>
    </row>
    <row r="8674" spans="1:7" hidden="1" x14ac:dyDescent="0.25">
      <c r="A8674" s="21">
        <v>8673</v>
      </c>
      <c r="B8674" s="7" t="s">
        <v>18103</v>
      </c>
      <c r="C8674" s="7" t="s">
        <v>18104</v>
      </c>
      <c r="G8674" s="8" t="s">
        <v>15</v>
      </c>
    </row>
    <row r="8675" spans="1:7" hidden="1" x14ac:dyDescent="0.25">
      <c r="A8675" s="21">
        <v>8674</v>
      </c>
      <c r="B8675" s="7" t="s">
        <v>18105</v>
      </c>
      <c r="C8675" s="7" t="s">
        <v>18106</v>
      </c>
      <c r="G8675" s="8" t="s">
        <v>15</v>
      </c>
    </row>
    <row r="8676" spans="1:7" hidden="1" x14ac:dyDescent="0.25">
      <c r="A8676" s="21">
        <v>8675</v>
      </c>
      <c r="B8676" s="7" t="s">
        <v>18107</v>
      </c>
      <c r="C8676" s="7" t="s">
        <v>18108</v>
      </c>
      <c r="G8676" s="8" t="s">
        <v>15</v>
      </c>
    </row>
    <row r="8677" spans="1:7" hidden="1" x14ac:dyDescent="0.25">
      <c r="A8677" s="21">
        <v>8676</v>
      </c>
      <c r="B8677" s="7" t="s">
        <v>18109</v>
      </c>
      <c r="C8677" s="7" t="s">
        <v>18110</v>
      </c>
      <c r="G8677" s="8" t="s">
        <v>15</v>
      </c>
    </row>
    <row r="8678" spans="1:7" hidden="1" x14ac:dyDescent="0.25">
      <c r="A8678" s="21">
        <v>8677</v>
      </c>
      <c r="B8678" s="7" t="s">
        <v>18111</v>
      </c>
      <c r="C8678" s="7" t="s">
        <v>18112</v>
      </c>
      <c r="G8678" s="8" t="s">
        <v>15</v>
      </c>
    </row>
    <row r="8679" spans="1:7" hidden="1" x14ac:dyDescent="0.25">
      <c r="A8679" s="21">
        <v>8678</v>
      </c>
      <c r="B8679" s="7" t="s">
        <v>18113</v>
      </c>
      <c r="C8679" s="7" t="s">
        <v>18114</v>
      </c>
      <c r="G8679" s="8" t="s">
        <v>15</v>
      </c>
    </row>
    <row r="8680" spans="1:7" hidden="1" x14ac:dyDescent="0.25">
      <c r="A8680" s="21">
        <v>8679</v>
      </c>
      <c r="B8680" s="7" t="s">
        <v>18115</v>
      </c>
      <c r="C8680" s="7" t="s">
        <v>18116</v>
      </c>
      <c r="G8680" s="8" t="s">
        <v>15</v>
      </c>
    </row>
    <row r="8681" spans="1:7" hidden="1" x14ac:dyDescent="0.25">
      <c r="A8681" s="21">
        <v>8680</v>
      </c>
      <c r="B8681" s="7" t="s">
        <v>18117</v>
      </c>
      <c r="C8681" s="7" t="s">
        <v>18118</v>
      </c>
      <c r="G8681" s="8" t="s">
        <v>15</v>
      </c>
    </row>
    <row r="8682" spans="1:7" hidden="1" x14ac:dyDescent="0.25">
      <c r="A8682" s="21">
        <v>8681</v>
      </c>
      <c r="B8682" s="7" t="s">
        <v>18119</v>
      </c>
      <c r="C8682" s="7" t="s">
        <v>18120</v>
      </c>
      <c r="G8682" s="8" t="s">
        <v>15</v>
      </c>
    </row>
    <row r="8683" spans="1:7" hidden="1" x14ac:dyDescent="0.25">
      <c r="A8683" s="21">
        <v>8682</v>
      </c>
      <c r="B8683" s="7" t="s">
        <v>18121</v>
      </c>
      <c r="C8683" s="7" t="s">
        <v>18122</v>
      </c>
      <c r="G8683" s="8" t="s">
        <v>15</v>
      </c>
    </row>
    <row r="8684" spans="1:7" hidden="1" x14ac:dyDescent="0.25">
      <c r="A8684" s="21">
        <v>8683</v>
      </c>
      <c r="B8684" s="7" t="s">
        <v>18123</v>
      </c>
      <c r="C8684" s="7" t="s">
        <v>18124</v>
      </c>
      <c r="G8684" s="8" t="s">
        <v>15</v>
      </c>
    </row>
    <row r="8685" spans="1:7" hidden="1" x14ac:dyDescent="0.25">
      <c r="A8685" s="21">
        <v>8684</v>
      </c>
      <c r="B8685" s="7" t="s">
        <v>18125</v>
      </c>
      <c r="C8685" s="7" t="s">
        <v>18126</v>
      </c>
      <c r="G8685" s="8" t="s">
        <v>15</v>
      </c>
    </row>
    <row r="8686" spans="1:7" hidden="1" x14ac:dyDescent="0.25">
      <c r="A8686" s="21">
        <v>8685</v>
      </c>
      <c r="B8686" s="7" t="s">
        <v>18127</v>
      </c>
      <c r="C8686" s="7" t="s">
        <v>18128</v>
      </c>
      <c r="G8686" s="8" t="s">
        <v>15</v>
      </c>
    </row>
    <row r="8687" spans="1:7" hidden="1" x14ac:dyDescent="0.25">
      <c r="A8687" s="21">
        <v>8686</v>
      </c>
      <c r="B8687" s="7" t="s">
        <v>18129</v>
      </c>
      <c r="C8687" s="7" t="s">
        <v>18130</v>
      </c>
      <c r="G8687" s="8" t="s">
        <v>15</v>
      </c>
    </row>
    <row r="8688" spans="1:7" hidden="1" x14ac:dyDescent="0.25">
      <c r="A8688" s="21">
        <v>8687</v>
      </c>
      <c r="B8688" s="7" t="s">
        <v>18131</v>
      </c>
      <c r="C8688" s="7" t="s">
        <v>18132</v>
      </c>
      <c r="G8688" s="8" t="s">
        <v>15</v>
      </c>
    </row>
    <row r="8689" spans="1:7" hidden="1" x14ac:dyDescent="0.25">
      <c r="A8689" s="21">
        <v>8688</v>
      </c>
      <c r="B8689" s="7" t="s">
        <v>18133</v>
      </c>
      <c r="C8689" s="7" t="s">
        <v>18134</v>
      </c>
      <c r="G8689" s="8" t="s">
        <v>15</v>
      </c>
    </row>
    <row r="8690" spans="1:7" hidden="1" x14ac:dyDescent="0.25">
      <c r="A8690" s="21">
        <v>8689</v>
      </c>
      <c r="B8690" s="7" t="s">
        <v>18135</v>
      </c>
      <c r="C8690" s="7" t="s">
        <v>18136</v>
      </c>
      <c r="G8690" s="8" t="s">
        <v>15</v>
      </c>
    </row>
    <row r="8691" spans="1:7" hidden="1" x14ac:dyDescent="0.25">
      <c r="A8691" s="21">
        <v>8690</v>
      </c>
      <c r="B8691" s="7" t="s">
        <v>18137</v>
      </c>
      <c r="C8691" s="7" t="s">
        <v>18138</v>
      </c>
      <c r="G8691" s="8" t="s">
        <v>15</v>
      </c>
    </row>
    <row r="8692" spans="1:7" hidden="1" x14ac:dyDescent="0.25">
      <c r="A8692" s="21">
        <v>8691</v>
      </c>
      <c r="B8692" s="7" t="s">
        <v>18139</v>
      </c>
      <c r="C8692" s="7" t="s">
        <v>18140</v>
      </c>
      <c r="G8692" s="8" t="s">
        <v>15</v>
      </c>
    </row>
    <row r="8693" spans="1:7" hidden="1" x14ac:dyDescent="0.25">
      <c r="A8693" s="21">
        <v>8692</v>
      </c>
      <c r="B8693" s="7" t="s">
        <v>18141</v>
      </c>
      <c r="C8693" s="7" t="s">
        <v>18142</v>
      </c>
      <c r="G8693" s="8" t="s">
        <v>15</v>
      </c>
    </row>
    <row r="8694" spans="1:7" hidden="1" x14ac:dyDescent="0.25">
      <c r="A8694" s="21">
        <v>8693</v>
      </c>
      <c r="B8694" s="7" t="s">
        <v>18143</v>
      </c>
      <c r="C8694" s="7" t="s">
        <v>18144</v>
      </c>
      <c r="G8694" s="8" t="s">
        <v>15</v>
      </c>
    </row>
    <row r="8695" spans="1:7" hidden="1" x14ac:dyDescent="0.25">
      <c r="A8695" s="21">
        <v>8694</v>
      </c>
      <c r="B8695" s="7" t="s">
        <v>18145</v>
      </c>
      <c r="C8695" s="7" t="s">
        <v>18146</v>
      </c>
      <c r="G8695" s="8" t="s">
        <v>15</v>
      </c>
    </row>
    <row r="8696" spans="1:7" hidden="1" x14ac:dyDescent="0.25">
      <c r="A8696" s="21">
        <v>8695</v>
      </c>
      <c r="B8696" s="7" t="s">
        <v>18147</v>
      </c>
      <c r="C8696" s="7" t="s">
        <v>18148</v>
      </c>
      <c r="G8696" s="8" t="s">
        <v>15</v>
      </c>
    </row>
    <row r="8697" spans="1:7" hidden="1" x14ac:dyDescent="0.25">
      <c r="A8697" s="21">
        <v>8696</v>
      </c>
      <c r="B8697" s="7" t="s">
        <v>18149</v>
      </c>
      <c r="C8697" s="7" t="s">
        <v>18150</v>
      </c>
      <c r="G8697" s="8" t="s">
        <v>15</v>
      </c>
    </row>
    <row r="8698" spans="1:7" hidden="1" x14ac:dyDescent="0.25">
      <c r="A8698" s="21">
        <v>8697</v>
      </c>
      <c r="B8698" s="7" t="s">
        <v>18151</v>
      </c>
      <c r="C8698" s="7" t="s">
        <v>18152</v>
      </c>
      <c r="G8698" s="8" t="s">
        <v>15</v>
      </c>
    </row>
    <row r="8699" spans="1:7" hidden="1" x14ac:dyDescent="0.25">
      <c r="A8699" s="21">
        <v>8698</v>
      </c>
      <c r="B8699" s="7" t="s">
        <v>18153</v>
      </c>
      <c r="C8699" s="7" t="s">
        <v>18154</v>
      </c>
      <c r="G8699" s="8" t="s">
        <v>15</v>
      </c>
    </row>
    <row r="8700" spans="1:7" hidden="1" x14ac:dyDescent="0.25">
      <c r="A8700" s="21">
        <v>8699</v>
      </c>
      <c r="B8700" s="7" t="s">
        <v>18155</v>
      </c>
      <c r="C8700" s="7" t="s">
        <v>18156</v>
      </c>
      <c r="G8700" s="8" t="s">
        <v>15</v>
      </c>
    </row>
    <row r="8701" spans="1:7" hidden="1" x14ac:dyDescent="0.25">
      <c r="A8701" s="21">
        <v>8700</v>
      </c>
      <c r="B8701" s="7" t="s">
        <v>18157</v>
      </c>
      <c r="C8701" s="7" t="s">
        <v>18158</v>
      </c>
      <c r="G8701" s="8" t="s">
        <v>15</v>
      </c>
    </row>
    <row r="8702" spans="1:7" hidden="1" x14ac:dyDescent="0.25">
      <c r="A8702" s="21">
        <v>8701</v>
      </c>
      <c r="B8702" s="7" t="s">
        <v>18159</v>
      </c>
      <c r="C8702" s="7" t="s">
        <v>18160</v>
      </c>
      <c r="G8702" s="8" t="s">
        <v>15</v>
      </c>
    </row>
    <row r="8703" spans="1:7" hidden="1" x14ac:dyDescent="0.25">
      <c r="A8703" s="21">
        <v>8702</v>
      </c>
      <c r="B8703" s="7" t="s">
        <v>18161</v>
      </c>
      <c r="C8703" s="7" t="s">
        <v>18162</v>
      </c>
      <c r="G8703" s="8" t="s">
        <v>15</v>
      </c>
    </row>
    <row r="8704" spans="1:7" hidden="1" x14ac:dyDescent="0.25">
      <c r="A8704" s="21">
        <v>8703</v>
      </c>
      <c r="B8704" s="7" t="s">
        <v>18163</v>
      </c>
      <c r="C8704" s="7" t="s">
        <v>18164</v>
      </c>
      <c r="G8704" s="8" t="s">
        <v>15</v>
      </c>
    </row>
    <row r="8705" spans="1:7" hidden="1" x14ac:dyDescent="0.25">
      <c r="A8705" s="21">
        <v>8704</v>
      </c>
      <c r="B8705" s="7" t="s">
        <v>18165</v>
      </c>
      <c r="C8705" s="7" t="s">
        <v>18166</v>
      </c>
      <c r="G8705" s="8" t="s">
        <v>15</v>
      </c>
    </row>
    <row r="8706" spans="1:7" hidden="1" x14ac:dyDescent="0.25">
      <c r="A8706" s="21">
        <v>8705</v>
      </c>
      <c r="B8706" s="7" t="s">
        <v>18167</v>
      </c>
      <c r="C8706" s="7" t="s">
        <v>18168</v>
      </c>
      <c r="G8706" s="8" t="s">
        <v>15</v>
      </c>
    </row>
    <row r="8707" spans="1:7" hidden="1" x14ac:dyDescent="0.25">
      <c r="A8707" s="21">
        <v>8706</v>
      </c>
      <c r="B8707" s="7" t="s">
        <v>18169</v>
      </c>
      <c r="C8707" s="7" t="s">
        <v>18170</v>
      </c>
      <c r="G8707" s="8" t="s">
        <v>15</v>
      </c>
    </row>
    <row r="8708" spans="1:7" hidden="1" x14ac:dyDescent="0.25">
      <c r="A8708" s="21">
        <v>8707</v>
      </c>
      <c r="B8708" s="7" t="s">
        <v>18171</v>
      </c>
      <c r="C8708" s="7" t="s">
        <v>18172</v>
      </c>
      <c r="G8708" s="8" t="s">
        <v>15</v>
      </c>
    </row>
    <row r="8709" spans="1:7" hidden="1" x14ac:dyDescent="0.25">
      <c r="A8709" s="21">
        <v>8708</v>
      </c>
      <c r="B8709" s="7" t="s">
        <v>18173</v>
      </c>
      <c r="C8709" s="7" t="s">
        <v>18174</v>
      </c>
      <c r="G8709" s="8" t="s">
        <v>15</v>
      </c>
    </row>
    <row r="8710" spans="1:7" hidden="1" x14ac:dyDescent="0.25">
      <c r="A8710" s="21">
        <v>8709</v>
      </c>
      <c r="B8710" s="7" t="s">
        <v>18175</v>
      </c>
      <c r="C8710" s="7" t="s">
        <v>18176</v>
      </c>
      <c r="G8710" s="8" t="s">
        <v>15</v>
      </c>
    </row>
    <row r="8711" spans="1:7" hidden="1" x14ac:dyDescent="0.25">
      <c r="A8711" s="21">
        <v>8710</v>
      </c>
      <c r="B8711" s="7" t="s">
        <v>18177</v>
      </c>
      <c r="C8711" s="7" t="s">
        <v>18178</v>
      </c>
      <c r="G8711" s="8" t="s">
        <v>15</v>
      </c>
    </row>
    <row r="8712" spans="1:7" hidden="1" x14ac:dyDescent="0.25">
      <c r="A8712" s="21">
        <v>8711</v>
      </c>
      <c r="B8712" s="7" t="s">
        <v>18179</v>
      </c>
      <c r="C8712" s="7" t="s">
        <v>18180</v>
      </c>
      <c r="G8712" s="8" t="s">
        <v>15</v>
      </c>
    </row>
    <row r="8713" spans="1:7" hidden="1" x14ac:dyDescent="0.25">
      <c r="A8713" s="21">
        <v>8712</v>
      </c>
      <c r="B8713" s="7" t="s">
        <v>18181</v>
      </c>
      <c r="C8713" s="7" t="s">
        <v>18182</v>
      </c>
      <c r="G8713" s="8" t="s">
        <v>15</v>
      </c>
    </row>
    <row r="8714" spans="1:7" hidden="1" x14ac:dyDescent="0.25">
      <c r="A8714" s="21">
        <v>8713</v>
      </c>
      <c r="B8714" s="7" t="s">
        <v>18183</v>
      </c>
      <c r="C8714" s="7" t="s">
        <v>18184</v>
      </c>
      <c r="G8714" s="8" t="s">
        <v>15</v>
      </c>
    </row>
    <row r="8715" spans="1:7" hidden="1" x14ac:dyDescent="0.25">
      <c r="A8715" s="21">
        <v>8714</v>
      </c>
      <c r="B8715" s="7" t="s">
        <v>18185</v>
      </c>
      <c r="C8715" s="7" t="s">
        <v>18186</v>
      </c>
      <c r="G8715" s="8" t="s">
        <v>15</v>
      </c>
    </row>
    <row r="8716" spans="1:7" hidden="1" x14ac:dyDescent="0.25">
      <c r="A8716" s="21">
        <v>8715</v>
      </c>
      <c r="B8716" s="7" t="s">
        <v>18187</v>
      </c>
      <c r="C8716" s="7" t="s">
        <v>18188</v>
      </c>
      <c r="G8716" s="8" t="s">
        <v>15</v>
      </c>
    </row>
    <row r="8717" spans="1:7" hidden="1" x14ac:dyDescent="0.25">
      <c r="A8717" s="21">
        <v>8716</v>
      </c>
      <c r="B8717" s="7" t="s">
        <v>18189</v>
      </c>
      <c r="C8717" s="7" t="s">
        <v>18190</v>
      </c>
      <c r="G8717" s="8" t="s">
        <v>15</v>
      </c>
    </row>
    <row r="8718" spans="1:7" hidden="1" x14ac:dyDescent="0.25">
      <c r="A8718" s="21">
        <v>8717</v>
      </c>
      <c r="B8718" s="7" t="s">
        <v>18191</v>
      </c>
      <c r="C8718" s="7" t="s">
        <v>18192</v>
      </c>
      <c r="G8718" s="8" t="s">
        <v>15</v>
      </c>
    </row>
    <row r="8719" spans="1:7" hidden="1" x14ac:dyDescent="0.25">
      <c r="A8719" s="21">
        <v>8718</v>
      </c>
      <c r="B8719" s="7" t="s">
        <v>18193</v>
      </c>
      <c r="C8719" s="7" t="s">
        <v>18194</v>
      </c>
      <c r="G8719" s="8" t="s">
        <v>15</v>
      </c>
    </row>
    <row r="8720" spans="1:7" hidden="1" x14ac:dyDescent="0.25">
      <c r="A8720" s="21">
        <v>8719</v>
      </c>
      <c r="B8720" s="7" t="s">
        <v>18195</v>
      </c>
      <c r="C8720" s="7" t="s">
        <v>18196</v>
      </c>
      <c r="G8720" s="8" t="s">
        <v>15</v>
      </c>
    </row>
    <row r="8721" spans="1:7" hidden="1" x14ac:dyDescent="0.25">
      <c r="A8721" s="21">
        <v>8720</v>
      </c>
      <c r="B8721" s="7" t="s">
        <v>18197</v>
      </c>
      <c r="C8721" s="7" t="s">
        <v>18198</v>
      </c>
      <c r="G8721" s="8" t="s">
        <v>15</v>
      </c>
    </row>
    <row r="8722" spans="1:7" hidden="1" x14ac:dyDescent="0.25">
      <c r="A8722" s="21">
        <v>8721</v>
      </c>
      <c r="B8722" s="7" t="s">
        <v>18199</v>
      </c>
      <c r="C8722" s="7" t="s">
        <v>18200</v>
      </c>
      <c r="G8722" s="8" t="s">
        <v>15</v>
      </c>
    </row>
    <row r="8723" spans="1:7" hidden="1" x14ac:dyDescent="0.25">
      <c r="A8723" s="21">
        <v>8722</v>
      </c>
      <c r="B8723" s="7" t="s">
        <v>18201</v>
      </c>
      <c r="C8723" s="7" t="s">
        <v>18202</v>
      </c>
      <c r="G8723" s="8" t="s">
        <v>15</v>
      </c>
    </row>
    <row r="8724" spans="1:7" hidden="1" x14ac:dyDescent="0.25">
      <c r="A8724" s="21">
        <v>8723</v>
      </c>
      <c r="B8724" s="7" t="s">
        <v>18203</v>
      </c>
      <c r="C8724" s="7" t="s">
        <v>18204</v>
      </c>
      <c r="G8724" s="8" t="s">
        <v>15</v>
      </c>
    </row>
    <row r="8725" spans="1:7" hidden="1" x14ac:dyDescent="0.25">
      <c r="A8725" s="21">
        <v>8724</v>
      </c>
      <c r="B8725" s="7" t="s">
        <v>18205</v>
      </c>
      <c r="C8725" s="7" t="s">
        <v>18206</v>
      </c>
      <c r="G8725" s="8" t="s">
        <v>15</v>
      </c>
    </row>
    <row r="8726" spans="1:7" hidden="1" x14ac:dyDescent="0.25">
      <c r="A8726" s="21">
        <v>8725</v>
      </c>
      <c r="B8726" s="7" t="s">
        <v>18207</v>
      </c>
      <c r="C8726" s="7" t="s">
        <v>18208</v>
      </c>
      <c r="G8726" s="8" t="s">
        <v>15</v>
      </c>
    </row>
    <row r="8727" spans="1:7" hidden="1" x14ac:dyDescent="0.25">
      <c r="A8727" s="21">
        <v>8726</v>
      </c>
      <c r="B8727" s="7" t="s">
        <v>18209</v>
      </c>
      <c r="C8727" s="7" t="s">
        <v>18210</v>
      </c>
      <c r="G8727" s="8" t="s">
        <v>15</v>
      </c>
    </row>
    <row r="8728" spans="1:7" hidden="1" x14ac:dyDescent="0.25">
      <c r="A8728" s="21">
        <v>8727</v>
      </c>
      <c r="B8728" s="7" t="s">
        <v>18211</v>
      </c>
      <c r="C8728" s="7" t="s">
        <v>18212</v>
      </c>
      <c r="G8728" s="8" t="s">
        <v>15</v>
      </c>
    </row>
    <row r="8729" spans="1:7" hidden="1" x14ac:dyDescent="0.25">
      <c r="A8729" s="21">
        <v>8728</v>
      </c>
      <c r="B8729" s="7" t="s">
        <v>18213</v>
      </c>
      <c r="C8729" s="7" t="s">
        <v>18214</v>
      </c>
      <c r="G8729" s="8" t="s">
        <v>15</v>
      </c>
    </row>
    <row r="8730" spans="1:7" hidden="1" x14ac:dyDescent="0.25">
      <c r="A8730" s="21">
        <v>8729</v>
      </c>
      <c r="B8730" s="7" t="s">
        <v>18215</v>
      </c>
      <c r="C8730" s="7" t="s">
        <v>18216</v>
      </c>
      <c r="G8730" s="8" t="s">
        <v>15</v>
      </c>
    </row>
    <row r="8731" spans="1:7" hidden="1" x14ac:dyDescent="0.25">
      <c r="A8731" s="21">
        <v>8730</v>
      </c>
      <c r="B8731" s="7" t="s">
        <v>18217</v>
      </c>
      <c r="C8731" s="7" t="s">
        <v>18218</v>
      </c>
      <c r="G8731" s="8" t="s">
        <v>15</v>
      </c>
    </row>
    <row r="8732" spans="1:7" hidden="1" x14ac:dyDescent="0.25">
      <c r="A8732" s="21">
        <v>8731</v>
      </c>
      <c r="B8732" s="7" t="s">
        <v>18219</v>
      </c>
      <c r="C8732" s="7" t="s">
        <v>18220</v>
      </c>
      <c r="G8732" s="8" t="s">
        <v>15</v>
      </c>
    </row>
    <row r="8733" spans="1:7" hidden="1" x14ac:dyDescent="0.25">
      <c r="A8733" s="21">
        <v>8732</v>
      </c>
      <c r="B8733" s="7" t="s">
        <v>18221</v>
      </c>
      <c r="C8733" s="7" t="s">
        <v>18222</v>
      </c>
      <c r="G8733" s="8" t="s">
        <v>15</v>
      </c>
    </row>
    <row r="8734" spans="1:7" hidden="1" x14ac:dyDescent="0.25">
      <c r="A8734" s="21">
        <v>8733</v>
      </c>
      <c r="B8734" s="7" t="s">
        <v>18223</v>
      </c>
      <c r="C8734" s="7" t="s">
        <v>18224</v>
      </c>
      <c r="G8734" s="8" t="s">
        <v>15</v>
      </c>
    </row>
    <row r="8735" spans="1:7" hidden="1" x14ac:dyDescent="0.25">
      <c r="A8735" s="21">
        <v>8734</v>
      </c>
      <c r="B8735" s="7" t="s">
        <v>18225</v>
      </c>
      <c r="C8735" s="7" t="s">
        <v>18226</v>
      </c>
      <c r="G8735" s="8" t="s">
        <v>15</v>
      </c>
    </row>
    <row r="8736" spans="1:7" hidden="1" x14ac:dyDescent="0.25">
      <c r="A8736" s="21">
        <v>8735</v>
      </c>
      <c r="B8736" s="7" t="s">
        <v>18227</v>
      </c>
      <c r="C8736" s="7" t="s">
        <v>18228</v>
      </c>
      <c r="G8736" s="8" t="s">
        <v>15</v>
      </c>
    </row>
    <row r="8737" spans="1:7" hidden="1" x14ac:dyDescent="0.25">
      <c r="A8737" s="21">
        <v>8736</v>
      </c>
      <c r="B8737" s="7" t="s">
        <v>18229</v>
      </c>
      <c r="C8737" s="7" t="s">
        <v>18230</v>
      </c>
      <c r="G8737" s="8" t="s">
        <v>15</v>
      </c>
    </row>
    <row r="8738" spans="1:7" hidden="1" x14ac:dyDescent="0.25">
      <c r="A8738" s="21">
        <v>8737</v>
      </c>
      <c r="B8738" s="7" t="s">
        <v>18231</v>
      </c>
      <c r="C8738" s="7" t="s">
        <v>18232</v>
      </c>
      <c r="G8738" s="8" t="s">
        <v>15</v>
      </c>
    </row>
    <row r="8739" spans="1:7" hidden="1" x14ac:dyDescent="0.25">
      <c r="A8739" s="21">
        <v>8738</v>
      </c>
      <c r="B8739" s="7" t="s">
        <v>18233</v>
      </c>
      <c r="C8739" s="7" t="s">
        <v>18234</v>
      </c>
      <c r="G8739" s="8" t="s">
        <v>15</v>
      </c>
    </row>
    <row r="8740" spans="1:7" hidden="1" x14ac:dyDescent="0.25">
      <c r="A8740" s="21">
        <v>8739</v>
      </c>
      <c r="B8740" s="7" t="s">
        <v>18235</v>
      </c>
      <c r="C8740" s="7" t="s">
        <v>18236</v>
      </c>
      <c r="G8740" s="8" t="s">
        <v>15</v>
      </c>
    </row>
    <row r="8741" spans="1:7" hidden="1" x14ac:dyDescent="0.25">
      <c r="A8741" s="21">
        <v>8740</v>
      </c>
      <c r="B8741" s="7" t="s">
        <v>18237</v>
      </c>
      <c r="C8741" s="7" t="s">
        <v>18238</v>
      </c>
      <c r="G8741" s="8" t="s">
        <v>15</v>
      </c>
    </row>
    <row r="8742" spans="1:7" hidden="1" x14ac:dyDescent="0.25">
      <c r="A8742" s="21">
        <v>8741</v>
      </c>
      <c r="B8742" s="7" t="s">
        <v>18239</v>
      </c>
      <c r="C8742" s="7" t="s">
        <v>18240</v>
      </c>
      <c r="G8742" s="8" t="s">
        <v>15</v>
      </c>
    </row>
    <row r="8743" spans="1:7" hidden="1" x14ac:dyDescent="0.25">
      <c r="A8743" s="21">
        <v>8742</v>
      </c>
      <c r="B8743" s="7" t="s">
        <v>18241</v>
      </c>
      <c r="C8743" s="7" t="s">
        <v>18242</v>
      </c>
      <c r="G8743" s="8" t="s">
        <v>15</v>
      </c>
    </row>
    <row r="8744" spans="1:7" hidden="1" x14ac:dyDescent="0.25">
      <c r="A8744" s="21">
        <v>8743</v>
      </c>
      <c r="B8744" s="7" t="s">
        <v>18243</v>
      </c>
      <c r="C8744" s="7" t="s">
        <v>18244</v>
      </c>
      <c r="G8744" s="8" t="s">
        <v>15</v>
      </c>
    </row>
    <row r="8745" spans="1:7" hidden="1" x14ac:dyDescent="0.25">
      <c r="A8745" s="21">
        <v>8744</v>
      </c>
      <c r="B8745" s="7" t="s">
        <v>18245</v>
      </c>
      <c r="C8745" s="7" t="s">
        <v>18246</v>
      </c>
      <c r="G8745" s="8" t="s">
        <v>15</v>
      </c>
    </row>
    <row r="8746" spans="1:7" hidden="1" x14ac:dyDescent="0.25">
      <c r="A8746" s="21">
        <v>8745</v>
      </c>
      <c r="B8746" s="7" t="s">
        <v>18247</v>
      </c>
      <c r="C8746" s="7" t="s">
        <v>18248</v>
      </c>
      <c r="G8746" s="8" t="s">
        <v>15</v>
      </c>
    </row>
    <row r="8747" spans="1:7" hidden="1" x14ac:dyDescent="0.25">
      <c r="A8747" s="21">
        <v>8746</v>
      </c>
      <c r="B8747" s="7" t="s">
        <v>18249</v>
      </c>
      <c r="C8747" s="7" t="s">
        <v>18250</v>
      </c>
      <c r="G8747" s="8" t="s">
        <v>15</v>
      </c>
    </row>
    <row r="8748" spans="1:7" hidden="1" x14ac:dyDescent="0.25">
      <c r="A8748" s="21">
        <v>8747</v>
      </c>
      <c r="B8748" s="7" t="s">
        <v>18251</v>
      </c>
      <c r="C8748" s="7" t="s">
        <v>18252</v>
      </c>
      <c r="G8748" s="8" t="s">
        <v>15</v>
      </c>
    </row>
    <row r="8749" spans="1:7" hidden="1" x14ac:dyDescent="0.25">
      <c r="A8749" s="21">
        <v>8748</v>
      </c>
      <c r="B8749" s="7" t="s">
        <v>18253</v>
      </c>
      <c r="C8749" s="7" t="s">
        <v>18254</v>
      </c>
      <c r="G8749" s="8" t="s">
        <v>15</v>
      </c>
    </row>
    <row r="8750" spans="1:7" hidden="1" x14ac:dyDescent="0.25">
      <c r="A8750" s="21">
        <v>8749</v>
      </c>
      <c r="B8750" s="7" t="s">
        <v>18255</v>
      </c>
      <c r="C8750" s="7" t="s">
        <v>18256</v>
      </c>
      <c r="G8750" s="8" t="s">
        <v>15</v>
      </c>
    </row>
    <row r="8751" spans="1:7" hidden="1" x14ac:dyDescent="0.25">
      <c r="A8751" s="21">
        <v>8750</v>
      </c>
      <c r="B8751" s="7" t="s">
        <v>18257</v>
      </c>
      <c r="C8751" s="7" t="s">
        <v>18258</v>
      </c>
      <c r="G8751" s="8" t="s">
        <v>15</v>
      </c>
    </row>
    <row r="8752" spans="1:7" hidden="1" x14ac:dyDescent="0.25">
      <c r="A8752" s="21">
        <v>8751</v>
      </c>
      <c r="B8752" s="7" t="s">
        <v>18259</v>
      </c>
      <c r="C8752" s="7" t="s">
        <v>18260</v>
      </c>
      <c r="G8752" s="8" t="s">
        <v>15</v>
      </c>
    </row>
    <row r="8753" spans="1:7" hidden="1" x14ac:dyDescent="0.25">
      <c r="A8753" s="21">
        <v>8752</v>
      </c>
      <c r="B8753" s="7" t="s">
        <v>18261</v>
      </c>
      <c r="C8753" s="7" t="s">
        <v>18262</v>
      </c>
      <c r="G8753" s="8" t="s">
        <v>15</v>
      </c>
    </row>
    <row r="8754" spans="1:7" hidden="1" x14ac:dyDescent="0.25">
      <c r="A8754" s="21">
        <v>8753</v>
      </c>
      <c r="B8754" s="7" t="s">
        <v>18263</v>
      </c>
      <c r="C8754" s="7" t="s">
        <v>18264</v>
      </c>
      <c r="G8754" s="8" t="s">
        <v>15</v>
      </c>
    </row>
    <row r="8755" spans="1:7" hidden="1" x14ac:dyDescent="0.25">
      <c r="A8755" s="21">
        <v>8754</v>
      </c>
      <c r="B8755" s="7" t="s">
        <v>18265</v>
      </c>
      <c r="C8755" s="7" t="s">
        <v>18266</v>
      </c>
      <c r="G8755" s="8" t="s">
        <v>15</v>
      </c>
    </row>
    <row r="8756" spans="1:7" hidden="1" x14ac:dyDescent="0.25">
      <c r="A8756" s="21">
        <v>8755</v>
      </c>
      <c r="B8756" s="7" t="s">
        <v>18267</v>
      </c>
      <c r="C8756" s="7" t="s">
        <v>18268</v>
      </c>
      <c r="G8756" s="8" t="s">
        <v>15</v>
      </c>
    </row>
    <row r="8757" spans="1:7" hidden="1" x14ac:dyDescent="0.25">
      <c r="A8757" s="21">
        <v>8756</v>
      </c>
      <c r="B8757" s="7" t="s">
        <v>18269</v>
      </c>
      <c r="C8757" s="7" t="s">
        <v>18270</v>
      </c>
      <c r="G8757" s="8" t="s">
        <v>15</v>
      </c>
    </row>
    <row r="8758" spans="1:7" hidden="1" x14ac:dyDescent="0.25">
      <c r="A8758" s="21">
        <v>8757</v>
      </c>
      <c r="B8758" s="7" t="s">
        <v>18271</v>
      </c>
      <c r="C8758" s="7" t="s">
        <v>18272</v>
      </c>
      <c r="G8758" s="8" t="s">
        <v>15</v>
      </c>
    </row>
    <row r="8759" spans="1:7" hidden="1" x14ac:dyDescent="0.25">
      <c r="A8759" s="21">
        <v>8758</v>
      </c>
      <c r="B8759" s="7" t="s">
        <v>18273</v>
      </c>
      <c r="C8759" s="7" t="s">
        <v>18274</v>
      </c>
      <c r="G8759" s="8" t="s">
        <v>15</v>
      </c>
    </row>
    <row r="8760" spans="1:7" hidden="1" x14ac:dyDescent="0.25">
      <c r="A8760" s="21">
        <v>8759</v>
      </c>
      <c r="B8760" s="7" t="s">
        <v>18275</v>
      </c>
      <c r="C8760" s="7" t="s">
        <v>18276</v>
      </c>
      <c r="G8760" s="8" t="s">
        <v>15</v>
      </c>
    </row>
    <row r="8761" spans="1:7" hidden="1" x14ac:dyDescent="0.25">
      <c r="A8761" s="21">
        <v>8760</v>
      </c>
      <c r="B8761" s="7" t="s">
        <v>18277</v>
      </c>
      <c r="C8761" s="7" t="s">
        <v>18278</v>
      </c>
      <c r="G8761" s="8" t="s">
        <v>15</v>
      </c>
    </row>
    <row r="8762" spans="1:7" hidden="1" x14ac:dyDescent="0.25">
      <c r="A8762" s="21">
        <v>8761</v>
      </c>
      <c r="B8762" s="7" t="s">
        <v>18279</v>
      </c>
      <c r="C8762" s="7" t="s">
        <v>18280</v>
      </c>
      <c r="G8762" s="8" t="s">
        <v>15</v>
      </c>
    </row>
    <row r="8763" spans="1:7" hidden="1" x14ac:dyDescent="0.25">
      <c r="A8763" s="21">
        <v>8762</v>
      </c>
      <c r="B8763" s="7" t="s">
        <v>18281</v>
      </c>
      <c r="C8763" s="7" t="s">
        <v>18282</v>
      </c>
      <c r="G8763" s="8" t="s">
        <v>15</v>
      </c>
    </row>
    <row r="8764" spans="1:7" hidden="1" x14ac:dyDescent="0.25">
      <c r="A8764" s="21">
        <v>8763</v>
      </c>
      <c r="B8764" s="7" t="s">
        <v>18283</v>
      </c>
      <c r="C8764" s="7" t="s">
        <v>18284</v>
      </c>
      <c r="G8764" s="8" t="s">
        <v>15</v>
      </c>
    </row>
    <row r="8765" spans="1:7" hidden="1" x14ac:dyDescent="0.25">
      <c r="A8765" s="21">
        <v>8764</v>
      </c>
      <c r="B8765" s="7" t="s">
        <v>18285</v>
      </c>
      <c r="C8765" s="7" t="s">
        <v>18286</v>
      </c>
      <c r="G8765" s="8" t="s">
        <v>15</v>
      </c>
    </row>
    <row r="8766" spans="1:7" hidden="1" x14ac:dyDescent="0.25">
      <c r="A8766" s="21">
        <v>8765</v>
      </c>
      <c r="B8766" s="7" t="s">
        <v>18287</v>
      </c>
      <c r="C8766" s="7" t="s">
        <v>18288</v>
      </c>
      <c r="G8766" s="8" t="s">
        <v>15</v>
      </c>
    </row>
    <row r="8767" spans="1:7" hidden="1" x14ac:dyDescent="0.25">
      <c r="A8767" s="21">
        <v>8766</v>
      </c>
      <c r="B8767" s="7" t="s">
        <v>18289</v>
      </c>
      <c r="C8767" s="7" t="s">
        <v>18290</v>
      </c>
      <c r="G8767" s="8" t="s">
        <v>15</v>
      </c>
    </row>
    <row r="8768" spans="1:7" hidden="1" x14ac:dyDescent="0.25">
      <c r="A8768" s="21">
        <v>8767</v>
      </c>
      <c r="B8768" s="7" t="s">
        <v>18291</v>
      </c>
      <c r="C8768" s="7" t="s">
        <v>18292</v>
      </c>
      <c r="G8768" s="8" t="s">
        <v>15</v>
      </c>
    </row>
    <row r="8769" spans="1:7" hidden="1" x14ac:dyDescent="0.25">
      <c r="A8769" s="21">
        <v>8768</v>
      </c>
      <c r="B8769" s="7" t="s">
        <v>18293</v>
      </c>
      <c r="C8769" s="7" t="s">
        <v>18294</v>
      </c>
      <c r="G8769" s="8" t="s">
        <v>15</v>
      </c>
    </row>
    <row r="8770" spans="1:7" hidden="1" x14ac:dyDescent="0.25">
      <c r="A8770" s="21">
        <v>8769</v>
      </c>
      <c r="B8770" s="7" t="s">
        <v>18295</v>
      </c>
      <c r="C8770" s="7" t="s">
        <v>18296</v>
      </c>
      <c r="G8770" s="8" t="s">
        <v>15</v>
      </c>
    </row>
    <row r="8771" spans="1:7" hidden="1" x14ac:dyDescent="0.25">
      <c r="A8771" s="21">
        <v>8770</v>
      </c>
      <c r="B8771" s="7" t="s">
        <v>18297</v>
      </c>
      <c r="C8771" s="7" t="s">
        <v>18298</v>
      </c>
      <c r="G8771" s="8" t="s">
        <v>15</v>
      </c>
    </row>
    <row r="8772" spans="1:7" hidden="1" x14ac:dyDescent="0.25">
      <c r="A8772" s="21">
        <v>8771</v>
      </c>
      <c r="B8772" s="7" t="s">
        <v>18299</v>
      </c>
      <c r="C8772" s="7" t="s">
        <v>18300</v>
      </c>
      <c r="G8772" s="8" t="s">
        <v>15</v>
      </c>
    </row>
    <row r="8773" spans="1:7" hidden="1" x14ac:dyDescent="0.25">
      <c r="A8773" s="21">
        <v>8772</v>
      </c>
      <c r="B8773" s="7" t="s">
        <v>18301</v>
      </c>
      <c r="C8773" s="7" t="s">
        <v>18302</v>
      </c>
      <c r="G8773" s="8" t="s">
        <v>15</v>
      </c>
    </row>
    <row r="8774" spans="1:7" hidden="1" x14ac:dyDescent="0.25">
      <c r="A8774" s="21">
        <v>8773</v>
      </c>
      <c r="B8774" s="7" t="s">
        <v>18303</v>
      </c>
      <c r="C8774" s="7" t="s">
        <v>18304</v>
      </c>
      <c r="G8774" s="8" t="s">
        <v>15</v>
      </c>
    </row>
    <row r="8775" spans="1:7" hidden="1" x14ac:dyDescent="0.25">
      <c r="A8775" s="21">
        <v>8774</v>
      </c>
      <c r="B8775" s="7" t="s">
        <v>18305</v>
      </c>
      <c r="C8775" s="7" t="s">
        <v>18306</v>
      </c>
      <c r="G8775" s="8" t="s">
        <v>15</v>
      </c>
    </row>
    <row r="8776" spans="1:7" hidden="1" x14ac:dyDescent="0.25">
      <c r="A8776" s="21">
        <v>8775</v>
      </c>
      <c r="B8776" s="7" t="s">
        <v>18307</v>
      </c>
      <c r="C8776" s="7" t="s">
        <v>18308</v>
      </c>
      <c r="G8776" s="8" t="s">
        <v>15</v>
      </c>
    </row>
    <row r="8777" spans="1:7" hidden="1" x14ac:dyDescent="0.25">
      <c r="A8777" s="21">
        <v>8776</v>
      </c>
      <c r="B8777" s="7" t="s">
        <v>18309</v>
      </c>
      <c r="C8777" s="7" t="s">
        <v>18310</v>
      </c>
      <c r="G8777" s="8" t="s">
        <v>15</v>
      </c>
    </row>
    <row r="8778" spans="1:7" hidden="1" x14ac:dyDescent="0.25">
      <c r="A8778" s="21">
        <v>8777</v>
      </c>
      <c r="B8778" s="7" t="s">
        <v>18311</v>
      </c>
      <c r="C8778" s="7" t="s">
        <v>18312</v>
      </c>
      <c r="G8778" s="8" t="s">
        <v>15</v>
      </c>
    </row>
    <row r="8779" spans="1:7" hidden="1" x14ac:dyDescent="0.25">
      <c r="A8779" s="21">
        <v>8778</v>
      </c>
      <c r="B8779" s="7" t="s">
        <v>18313</v>
      </c>
      <c r="C8779" s="7" t="s">
        <v>18314</v>
      </c>
      <c r="G8779" s="8" t="s">
        <v>15</v>
      </c>
    </row>
    <row r="8780" spans="1:7" hidden="1" x14ac:dyDescent="0.25">
      <c r="A8780" s="21">
        <v>8779</v>
      </c>
      <c r="B8780" s="7" t="s">
        <v>18315</v>
      </c>
      <c r="C8780" s="7" t="s">
        <v>18316</v>
      </c>
      <c r="G8780" s="8" t="s">
        <v>15</v>
      </c>
    </row>
    <row r="8781" spans="1:7" hidden="1" x14ac:dyDescent="0.25">
      <c r="A8781" s="21">
        <v>8780</v>
      </c>
      <c r="B8781" s="7" t="s">
        <v>18317</v>
      </c>
      <c r="C8781" s="7" t="s">
        <v>18318</v>
      </c>
      <c r="G8781" s="8" t="s">
        <v>15</v>
      </c>
    </row>
    <row r="8782" spans="1:7" hidden="1" x14ac:dyDescent="0.25">
      <c r="A8782" s="21">
        <v>8781</v>
      </c>
      <c r="B8782" s="7" t="s">
        <v>18319</v>
      </c>
      <c r="C8782" s="7" t="s">
        <v>18320</v>
      </c>
      <c r="G8782" s="8" t="s">
        <v>15</v>
      </c>
    </row>
    <row r="8783" spans="1:7" hidden="1" x14ac:dyDescent="0.25">
      <c r="A8783" s="21">
        <v>8782</v>
      </c>
      <c r="B8783" s="7" t="s">
        <v>18321</v>
      </c>
      <c r="C8783" s="7" t="s">
        <v>18322</v>
      </c>
      <c r="G8783" s="8" t="s">
        <v>15</v>
      </c>
    </row>
    <row r="8784" spans="1:7" hidden="1" x14ac:dyDescent="0.25">
      <c r="A8784" s="21">
        <v>8783</v>
      </c>
      <c r="B8784" s="7" t="s">
        <v>18323</v>
      </c>
      <c r="C8784" s="7" t="s">
        <v>18324</v>
      </c>
      <c r="G8784" s="8" t="s">
        <v>15</v>
      </c>
    </row>
    <row r="8785" spans="1:7" hidden="1" x14ac:dyDescent="0.25">
      <c r="A8785" s="21">
        <v>8784</v>
      </c>
      <c r="B8785" s="7" t="s">
        <v>18325</v>
      </c>
      <c r="C8785" s="7" t="s">
        <v>18326</v>
      </c>
      <c r="G8785" s="8" t="s">
        <v>15</v>
      </c>
    </row>
    <row r="8786" spans="1:7" hidden="1" x14ac:dyDescent="0.25">
      <c r="A8786" s="21">
        <v>8785</v>
      </c>
      <c r="B8786" s="7" t="s">
        <v>18327</v>
      </c>
      <c r="C8786" s="7" t="s">
        <v>18328</v>
      </c>
      <c r="G8786" s="8" t="s">
        <v>15</v>
      </c>
    </row>
    <row r="8787" spans="1:7" hidden="1" x14ac:dyDescent="0.25">
      <c r="A8787" s="21">
        <v>8786</v>
      </c>
      <c r="B8787" s="7" t="s">
        <v>18329</v>
      </c>
      <c r="C8787" s="7" t="s">
        <v>18330</v>
      </c>
      <c r="G8787" s="8" t="s">
        <v>15</v>
      </c>
    </row>
    <row r="8788" spans="1:7" hidden="1" x14ac:dyDescent="0.25">
      <c r="A8788" s="21">
        <v>8787</v>
      </c>
      <c r="B8788" s="7" t="s">
        <v>18331</v>
      </c>
      <c r="C8788" s="7" t="s">
        <v>18332</v>
      </c>
      <c r="G8788" s="8" t="s">
        <v>15</v>
      </c>
    </row>
    <row r="8789" spans="1:7" hidden="1" x14ac:dyDescent="0.25">
      <c r="A8789" s="21">
        <v>8788</v>
      </c>
      <c r="B8789" s="7" t="s">
        <v>18333</v>
      </c>
      <c r="C8789" s="7" t="s">
        <v>18334</v>
      </c>
      <c r="G8789" s="8" t="s">
        <v>15</v>
      </c>
    </row>
    <row r="8790" spans="1:7" hidden="1" x14ac:dyDescent="0.25">
      <c r="A8790" s="21">
        <v>8789</v>
      </c>
      <c r="B8790" s="7" t="s">
        <v>18335</v>
      </c>
      <c r="C8790" s="7" t="s">
        <v>18336</v>
      </c>
      <c r="G8790" s="8" t="s">
        <v>15</v>
      </c>
    </row>
    <row r="8791" spans="1:7" hidden="1" x14ac:dyDescent="0.25">
      <c r="A8791" s="21">
        <v>8790</v>
      </c>
      <c r="B8791" s="7" t="s">
        <v>18337</v>
      </c>
      <c r="C8791" s="7" t="s">
        <v>18338</v>
      </c>
      <c r="G8791" s="8" t="s">
        <v>15</v>
      </c>
    </row>
    <row r="8792" spans="1:7" hidden="1" x14ac:dyDescent="0.25">
      <c r="A8792" s="21">
        <v>8791</v>
      </c>
      <c r="B8792" s="7" t="s">
        <v>18339</v>
      </c>
      <c r="C8792" s="7" t="s">
        <v>18340</v>
      </c>
      <c r="G8792" s="8" t="s">
        <v>15</v>
      </c>
    </row>
    <row r="8793" spans="1:7" hidden="1" x14ac:dyDescent="0.25">
      <c r="A8793" s="21">
        <v>8792</v>
      </c>
      <c r="B8793" s="7" t="s">
        <v>18341</v>
      </c>
      <c r="C8793" s="7" t="s">
        <v>18342</v>
      </c>
      <c r="G8793" s="8" t="s">
        <v>15</v>
      </c>
    </row>
    <row r="8794" spans="1:7" hidden="1" x14ac:dyDescent="0.25">
      <c r="A8794" s="21">
        <v>8793</v>
      </c>
      <c r="B8794" s="7" t="s">
        <v>18343</v>
      </c>
      <c r="C8794" s="7" t="s">
        <v>18344</v>
      </c>
      <c r="G8794" s="8" t="s">
        <v>15</v>
      </c>
    </row>
    <row r="8795" spans="1:7" hidden="1" x14ac:dyDescent="0.25">
      <c r="A8795" s="21">
        <v>8794</v>
      </c>
      <c r="B8795" s="7" t="s">
        <v>18345</v>
      </c>
      <c r="C8795" s="7" t="s">
        <v>18346</v>
      </c>
      <c r="G8795" s="8" t="s">
        <v>15</v>
      </c>
    </row>
    <row r="8796" spans="1:7" hidden="1" x14ac:dyDescent="0.25">
      <c r="A8796" s="21">
        <v>8795</v>
      </c>
      <c r="B8796" s="7" t="s">
        <v>18347</v>
      </c>
      <c r="C8796" s="7" t="s">
        <v>18348</v>
      </c>
      <c r="G8796" s="8" t="s">
        <v>15</v>
      </c>
    </row>
    <row r="8797" spans="1:7" hidden="1" x14ac:dyDescent="0.25">
      <c r="A8797" s="21">
        <v>8796</v>
      </c>
      <c r="B8797" s="7" t="s">
        <v>18349</v>
      </c>
      <c r="C8797" s="7" t="s">
        <v>18350</v>
      </c>
      <c r="G8797" s="8" t="s">
        <v>15</v>
      </c>
    </row>
    <row r="8798" spans="1:7" hidden="1" x14ac:dyDescent="0.25">
      <c r="A8798" s="21">
        <v>8797</v>
      </c>
      <c r="B8798" s="7" t="s">
        <v>18351</v>
      </c>
      <c r="C8798" s="7" t="s">
        <v>18352</v>
      </c>
      <c r="G8798" s="8" t="s">
        <v>15</v>
      </c>
    </row>
    <row r="8799" spans="1:7" hidden="1" x14ac:dyDescent="0.25">
      <c r="A8799" s="21">
        <v>8798</v>
      </c>
      <c r="B8799" s="7" t="s">
        <v>18353</v>
      </c>
      <c r="C8799" s="7" t="s">
        <v>18354</v>
      </c>
      <c r="G8799" s="8" t="s">
        <v>15</v>
      </c>
    </row>
    <row r="8800" spans="1:7" hidden="1" x14ac:dyDescent="0.25">
      <c r="A8800" s="21">
        <v>8799</v>
      </c>
      <c r="B8800" s="7" t="s">
        <v>18355</v>
      </c>
      <c r="C8800" s="7" t="s">
        <v>18356</v>
      </c>
      <c r="G8800" s="8" t="s">
        <v>15</v>
      </c>
    </row>
    <row r="8801" spans="1:7" hidden="1" x14ac:dyDescent="0.25">
      <c r="A8801" s="21">
        <v>8800</v>
      </c>
      <c r="B8801" s="7" t="s">
        <v>18357</v>
      </c>
      <c r="C8801" s="7" t="s">
        <v>18358</v>
      </c>
      <c r="G8801" s="8" t="s">
        <v>15</v>
      </c>
    </row>
    <row r="8802" spans="1:7" hidden="1" x14ac:dyDescent="0.25">
      <c r="A8802" s="21">
        <v>8801</v>
      </c>
      <c r="B8802" s="7" t="s">
        <v>18359</v>
      </c>
      <c r="C8802" s="7" t="s">
        <v>18360</v>
      </c>
      <c r="G8802" s="8" t="s">
        <v>15</v>
      </c>
    </row>
    <row r="8803" spans="1:7" hidden="1" x14ac:dyDescent="0.25">
      <c r="A8803" s="21">
        <v>8802</v>
      </c>
      <c r="B8803" s="7" t="s">
        <v>18361</v>
      </c>
      <c r="C8803" s="7" t="s">
        <v>18362</v>
      </c>
      <c r="G8803" s="8" t="s">
        <v>15</v>
      </c>
    </row>
    <row r="8804" spans="1:7" hidden="1" x14ac:dyDescent="0.25">
      <c r="A8804" s="21">
        <v>8803</v>
      </c>
      <c r="B8804" s="7" t="s">
        <v>18363</v>
      </c>
      <c r="C8804" s="7" t="s">
        <v>18364</v>
      </c>
      <c r="G8804" s="8" t="s">
        <v>15</v>
      </c>
    </row>
    <row r="8805" spans="1:7" hidden="1" x14ac:dyDescent="0.25">
      <c r="A8805" s="21">
        <v>8804</v>
      </c>
      <c r="B8805" s="7" t="s">
        <v>18365</v>
      </c>
      <c r="C8805" s="7" t="s">
        <v>18366</v>
      </c>
      <c r="G8805" s="8" t="s">
        <v>15</v>
      </c>
    </row>
    <row r="8806" spans="1:7" hidden="1" x14ac:dyDescent="0.25">
      <c r="A8806" s="21">
        <v>8805</v>
      </c>
      <c r="B8806" s="7" t="s">
        <v>18367</v>
      </c>
      <c r="C8806" s="7" t="s">
        <v>18368</v>
      </c>
      <c r="G8806" s="8" t="s">
        <v>15</v>
      </c>
    </row>
    <row r="8807" spans="1:7" hidden="1" x14ac:dyDescent="0.25">
      <c r="A8807" s="21">
        <v>8806</v>
      </c>
      <c r="B8807" s="7" t="s">
        <v>18369</v>
      </c>
      <c r="C8807" s="7" t="s">
        <v>18370</v>
      </c>
      <c r="G8807" s="8" t="s">
        <v>15</v>
      </c>
    </row>
    <row r="8808" spans="1:7" hidden="1" x14ac:dyDescent="0.25">
      <c r="A8808" s="21">
        <v>8807</v>
      </c>
      <c r="B8808" s="7" t="s">
        <v>18371</v>
      </c>
      <c r="C8808" s="7" t="s">
        <v>18372</v>
      </c>
      <c r="G8808" s="8" t="s">
        <v>15</v>
      </c>
    </row>
    <row r="8809" spans="1:7" hidden="1" x14ac:dyDescent="0.25">
      <c r="A8809" s="21">
        <v>8808</v>
      </c>
      <c r="B8809" s="7" t="s">
        <v>18373</v>
      </c>
      <c r="C8809" s="7" t="s">
        <v>18374</v>
      </c>
      <c r="G8809" s="8" t="s">
        <v>15</v>
      </c>
    </row>
    <row r="8810" spans="1:7" hidden="1" x14ac:dyDescent="0.25">
      <c r="A8810" s="21">
        <v>8809</v>
      </c>
      <c r="B8810" s="7" t="s">
        <v>18375</v>
      </c>
      <c r="C8810" s="7" t="s">
        <v>18376</v>
      </c>
      <c r="G8810" s="8" t="s">
        <v>15</v>
      </c>
    </row>
    <row r="8811" spans="1:7" hidden="1" x14ac:dyDescent="0.25">
      <c r="A8811" s="21">
        <v>8810</v>
      </c>
      <c r="B8811" s="7" t="s">
        <v>18377</v>
      </c>
      <c r="C8811" s="7" t="s">
        <v>18378</v>
      </c>
      <c r="G8811" s="8" t="s">
        <v>15</v>
      </c>
    </row>
    <row r="8812" spans="1:7" hidden="1" x14ac:dyDescent="0.25">
      <c r="A8812" s="21">
        <v>8811</v>
      </c>
      <c r="B8812" s="7" t="s">
        <v>18379</v>
      </c>
      <c r="C8812" s="7" t="s">
        <v>18380</v>
      </c>
      <c r="G8812" s="8" t="s">
        <v>15</v>
      </c>
    </row>
    <row r="8813" spans="1:7" hidden="1" x14ac:dyDescent="0.25">
      <c r="A8813" s="21">
        <v>8812</v>
      </c>
      <c r="B8813" s="7" t="s">
        <v>18381</v>
      </c>
      <c r="C8813" s="7" t="s">
        <v>18382</v>
      </c>
      <c r="G8813" s="8" t="s">
        <v>15</v>
      </c>
    </row>
    <row r="8814" spans="1:7" hidden="1" x14ac:dyDescent="0.25">
      <c r="A8814" s="21">
        <v>8813</v>
      </c>
      <c r="B8814" s="7" t="s">
        <v>18383</v>
      </c>
      <c r="C8814" s="7" t="s">
        <v>18384</v>
      </c>
      <c r="G8814" s="8" t="s">
        <v>15</v>
      </c>
    </row>
    <row r="8815" spans="1:7" hidden="1" x14ac:dyDescent="0.25">
      <c r="A8815" s="21">
        <v>8814</v>
      </c>
      <c r="B8815" s="7" t="s">
        <v>18385</v>
      </c>
      <c r="C8815" s="7" t="s">
        <v>18386</v>
      </c>
      <c r="G8815" s="8" t="s">
        <v>15</v>
      </c>
    </row>
    <row r="8816" spans="1:7" hidden="1" x14ac:dyDescent="0.25">
      <c r="A8816" s="21">
        <v>8815</v>
      </c>
      <c r="B8816" s="7" t="s">
        <v>18387</v>
      </c>
      <c r="C8816" s="7" t="s">
        <v>18388</v>
      </c>
      <c r="G8816" s="8" t="s">
        <v>15</v>
      </c>
    </row>
    <row r="8817" spans="1:7" hidden="1" x14ac:dyDescent="0.25">
      <c r="A8817" s="21">
        <v>8816</v>
      </c>
      <c r="B8817" s="7" t="s">
        <v>18389</v>
      </c>
      <c r="C8817" s="7" t="s">
        <v>18390</v>
      </c>
      <c r="G8817" s="8" t="s">
        <v>15</v>
      </c>
    </row>
    <row r="8818" spans="1:7" hidden="1" x14ac:dyDescent="0.25">
      <c r="A8818" s="21">
        <v>8817</v>
      </c>
      <c r="B8818" s="7" t="s">
        <v>18391</v>
      </c>
      <c r="C8818" s="7" t="s">
        <v>18392</v>
      </c>
      <c r="G8818" s="8" t="s">
        <v>15</v>
      </c>
    </row>
    <row r="8819" spans="1:7" hidden="1" x14ac:dyDescent="0.25">
      <c r="A8819" s="21">
        <v>8818</v>
      </c>
      <c r="B8819" s="7" t="s">
        <v>18393</v>
      </c>
      <c r="C8819" s="7" t="s">
        <v>18394</v>
      </c>
      <c r="G8819" s="8" t="s">
        <v>15</v>
      </c>
    </row>
    <row r="8820" spans="1:7" hidden="1" x14ac:dyDescent="0.25">
      <c r="A8820" s="21">
        <v>8819</v>
      </c>
      <c r="B8820" s="7" t="s">
        <v>18395</v>
      </c>
      <c r="C8820" s="7" t="s">
        <v>18396</v>
      </c>
      <c r="G8820" s="8" t="s">
        <v>15</v>
      </c>
    </row>
    <row r="8821" spans="1:7" hidden="1" x14ac:dyDescent="0.25">
      <c r="A8821" s="21">
        <v>8820</v>
      </c>
      <c r="B8821" s="7" t="s">
        <v>18397</v>
      </c>
      <c r="C8821" s="7" t="s">
        <v>18398</v>
      </c>
      <c r="G8821" s="8" t="s">
        <v>15</v>
      </c>
    </row>
    <row r="8822" spans="1:7" hidden="1" x14ac:dyDescent="0.25">
      <c r="A8822" s="21">
        <v>8821</v>
      </c>
      <c r="B8822" s="7" t="s">
        <v>18399</v>
      </c>
      <c r="C8822" s="7" t="s">
        <v>18400</v>
      </c>
      <c r="G8822" s="8" t="s">
        <v>15</v>
      </c>
    </row>
    <row r="8823" spans="1:7" hidden="1" x14ac:dyDescent="0.25">
      <c r="A8823" s="21">
        <v>8822</v>
      </c>
      <c r="B8823" s="7" t="s">
        <v>18401</v>
      </c>
      <c r="C8823" s="7" t="s">
        <v>18402</v>
      </c>
      <c r="G8823" s="8" t="s">
        <v>15</v>
      </c>
    </row>
    <row r="8824" spans="1:7" hidden="1" x14ac:dyDescent="0.25">
      <c r="A8824" s="21">
        <v>8823</v>
      </c>
      <c r="B8824" s="7" t="s">
        <v>18403</v>
      </c>
      <c r="C8824" s="7" t="s">
        <v>18404</v>
      </c>
      <c r="G8824" s="8" t="s">
        <v>15</v>
      </c>
    </row>
    <row r="8825" spans="1:7" hidden="1" x14ac:dyDescent="0.25">
      <c r="A8825" s="21">
        <v>8824</v>
      </c>
      <c r="B8825" s="7" t="s">
        <v>18405</v>
      </c>
      <c r="C8825" s="7" t="s">
        <v>18406</v>
      </c>
      <c r="G8825" s="8" t="s">
        <v>15</v>
      </c>
    </row>
    <row r="8826" spans="1:7" hidden="1" x14ac:dyDescent="0.25">
      <c r="A8826" s="21">
        <v>8825</v>
      </c>
      <c r="B8826" s="7" t="s">
        <v>18407</v>
      </c>
      <c r="C8826" s="7" t="s">
        <v>18408</v>
      </c>
      <c r="G8826" s="8" t="s">
        <v>15</v>
      </c>
    </row>
    <row r="8827" spans="1:7" hidden="1" x14ac:dyDescent="0.25">
      <c r="A8827" s="21">
        <v>8826</v>
      </c>
      <c r="B8827" s="7" t="s">
        <v>18409</v>
      </c>
      <c r="C8827" s="7" t="s">
        <v>18410</v>
      </c>
      <c r="G8827" s="8" t="s">
        <v>15</v>
      </c>
    </row>
    <row r="8828" spans="1:7" hidden="1" x14ac:dyDescent="0.25">
      <c r="A8828" s="21">
        <v>8827</v>
      </c>
      <c r="B8828" s="7" t="s">
        <v>18411</v>
      </c>
      <c r="C8828" s="7" t="s">
        <v>18412</v>
      </c>
      <c r="G8828" s="8" t="s">
        <v>15</v>
      </c>
    </row>
    <row r="8829" spans="1:7" hidden="1" x14ac:dyDescent="0.25">
      <c r="A8829" s="21">
        <v>8828</v>
      </c>
      <c r="B8829" s="7" t="s">
        <v>18413</v>
      </c>
      <c r="C8829" s="7" t="s">
        <v>18414</v>
      </c>
      <c r="G8829" s="8" t="s">
        <v>15</v>
      </c>
    </row>
    <row r="8830" spans="1:7" hidden="1" x14ac:dyDescent="0.25">
      <c r="A8830" s="21">
        <v>8829</v>
      </c>
      <c r="B8830" s="7" t="s">
        <v>18415</v>
      </c>
      <c r="C8830" s="7" t="s">
        <v>18416</v>
      </c>
      <c r="G8830" s="8" t="s">
        <v>15</v>
      </c>
    </row>
    <row r="8831" spans="1:7" hidden="1" x14ac:dyDescent="0.25">
      <c r="A8831" s="21">
        <v>8830</v>
      </c>
      <c r="B8831" s="7" t="s">
        <v>18417</v>
      </c>
      <c r="C8831" s="7" t="s">
        <v>18418</v>
      </c>
      <c r="G8831" s="8" t="s">
        <v>15</v>
      </c>
    </row>
    <row r="8832" spans="1:7" hidden="1" x14ac:dyDescent="0.25">
      <c r="A8832" s="21">
        <v>8831</v>
      </c>
      <c r="B8832" s="7" t="s">
        <v>18419</v>
      </c>
      <c r="C8832" s="7" t="s">
        <v>18420</v>
      </c>
      <c r="G8832" s="8" t="s">
        <v>15</v>
      </c>
    </row>
    <row r="8833" spans="1:7" hidden="1" x14ac:dyDescent="0.25">
      <c r="A8833" s="21">
        <v>8832</v>
      </c>
      <c r="B8833" s="7" t="s">
        <v>18421</v>
      </c>
      <c r="C8833" s="7" t="s">
        <v>18422</v>
      </c>
      <c r="G8833" s="8" t="s">
        <v>15</v>
      </c>
    </row>
    <row r="8834" spans="1:7" hidden="1" x14ac:dyDescent="0.25">
      <c r="A8834" s="21">
        <v>8833</v>
      </c>
      <c r="B8834" s="7" t="s">
        <v>18423</v>
      </c>
      <c r="C8834" s="7" t="s">
        <v>18424</v>
      </c>
      <c r="G8834" s="8" t="s">
        <v>15</v>
      </c>
    </row>
    <row r="8835" spans="1:7" hidden="1" x14ac:dyDescent="0.25">
      <c r="A8835" s="21">
        <v>8834</v>
      </c>
      <c r="B8835" s="7" t="s">
        <v>18425</v>
      </c>
      <c r="C8835" s="7" t="s">
        <v>18426</v>
      </c>
      <c r="G8835" s="8" t="s">
        <v>15</v>
      </c>
    </row>
    <row r="8836" spans="1:7" hidden="1" x14ac:dyDescent="0.25">
      <c r="A8836" s="21">
        <v>8835</v>
      </c>
      <c r="B8836" s="7" t="s">
        <v>18427</v>
      </c>
      <c r="C8836" s="7" t="s">
        <v>18428</v>
      </c>
      <c r="G8836" s="8" t="s">
        <v>15</v>
      </c>
    </row>
    <row r="8837" spans="1:7" hidden="1" x14ac:dyDescent="0.25">
      <c r="A8837" s="21">
        <v>8836</v>
      </c>
      <c r="B8837" s="7" t="s">
        <v>18429</v>
      </c>
      <c r="C8837" s="7" t="s">
        <v>18430</v>
      </c>
      <c r="G8837" s="8" t="s">
        <v>15</v>
      </c>
    </row>
    <row r="8838" spans="1:7" hidden="1" x14ac:dyDescent="0.25">
      <c r="A8838" s="21">
        <v>8837</v>
      </c>
      <c r="B8838" s="7" t="s">
        <v>18431</v>
      </c>
      <c r="C8838" s="7" t="s">
        <v>18432</v>
      </c>
      <c r="G8838" s="8" t="s">
        <v>15</v>
      </c>
    </row>
    <row r="8839" spans="1:7" hidden="1" x14ac:dyDescent="0.25">
      <c r="A8839" s="21">
        <v>8838</v>
      </c>
      <c r="B8839" s="7" t="s">
        <v>18433</v>
      </c>
      <c r="C8839" s="7" t="s">
        <v>18434</v>
      </c>
      <c r="G8839" s="8" t="s">
        <v>15</v>
      </c>
    </row>
    <row r="8840" spans="1:7" hidden="1" x14ac:dyDescent="0.25">
      <c r="A8840" s="21">
        <v>8839</v>
      </c>
      <c r="B8840" s="7" t="s">
        <v>18435</v>
      </c>
      <c r="C8840" s="7" t="s">
        <v>18436</v>
      </c>
      <c r="G8840" s="8" t="s">
        <v>15</v>
      </c>
    </row>
    <row r="8841" spans="1:7" hidden="1" x14ac:dyDescent="0.25">
      <c r="A8841" s="21">
        <v>8840</v>
      </c>
      <c r="B8841" s="7" t="s">
        <v>18437</v>
      </c>
      <c r="C8841" s="7" t="s">
        <v>18438</v>
      </c>
      <c r="G8841" s="8" t="s">
        <v>15</v>
      </c>
    </row>
    <row r="8842" spans="1:7" hidden="1" x14ac:dyDescent="0.25">
      <c r="A8842" s="21">
        <v>8841</v>
      </c>
      <c r="B8842" s="7" t="s">
        <v>18439</v>
      </c>
      <c r="C8842" s="7" t="s">
        <v>18440</v>
      </c>
      <c r="G8842" s="8" t="s">
        <v>15</v>
      </c>
    </row>
    <row r="8843" spans="1:7" hidden="1" x14ac:dyDescent="0.25">
      <c r="A8843" s="21">
        <v>8842</v>
      </c>
      <c r="B8843" s="7" t="s">
        <v>18441</v>
      </c>
      <c r="C8843" s="7" t="s">
        <v>18442</v>
      </c>
      <c r="G8843" s="8" t="s">
        <v>15</v>
      </c>
    </row>
    <row r="8844" spans="1:7" hidden="1" x14ac:dyDescent="0.25">
      <c r="A8844" s="21">
        <v>8843</v>
      </c>
      <c r="B8844" s="7" t="s">
        <v>18443</v>
      </c>
      <c r="C8844" s="7" t="s">
        <v>18444</v>
      </c>
      <c r="G8844" s="8" t="s">
        <v>15</v>
      </c>
    </row>
    <row r="8845" spans="1:7" hidden="1" x14ac:dyDescent="0.25">
      <c r="A8845" s="21">
        <v>8844</v>
      </c>
      <c r="B8845" s="7" t="s">
        <v>18445</v>
      </c>
      <c r="C8845" s="7" t="s">
        <v>18446</v>
      </c>
      <c r="G8845" s="8" t="s">
        <v>15</v>
      </c>
    </row>
    <row r="8846" spans="1:7" hidden="1" x14ac:dyDescent="0.25">
      <c r="A8846" s="21">
        <v>8845</v>
      </c>
      <c r="B8846" s="7" t="s">
        <v>18447</v>
      </c>
      <c r="C8846" s="7" t="s">
        <v>18448</v>
      </c>
      <c r="G8846" s="8" t="s">
        <v>15</v>
      </c>
    </row>
    <row r="8847" spans="1:7" hidden="1" x14ac:dyDescent="0.25">
      <c r="A8847" s="21">
        <v>8846</v>
      </c>
      <c r="B8847" s="7" t="s">
        <v>18449</v>
      </c>
      <c r="C8847" s="7" t="s">
        <v>18450</v>
      </c>
      <c r="G8847" s="8" t="s">
        <v>15</v>
      </c>
    </row>
    <row r="8848" spans="1:7" hidden="1" x14ac:dyDescent="0.25">
      <c r="A8848" s="21">
        <v>8847</v>
      </c>
      <c r="B8848" s="7" t="s">
        <v>18451</v>
      </c>
      <c r="C8848" s="7" t="s">
        <v>18452</v>
      </c>
      <c r="G8848" s="8" t="s">
        <v>15</v>
      </c>
    </row>
    <row r="8849" spans="1:7" hidden="1" x14ac:dyDescent="0.25">
      <c r="A8849" s="21">
        <v>8848</v>
      </c>
      <c r="B8849" s="7" t="s">
        <v>18453</v>
      </c>
      <c r="C8849" s="7" t="s">
        <v>18454</v>
      </c>
      <c r="G8849" s="8" t="s">
        <v>15</v>
      </c>
    </row>
    <row r="8850" spans="1:7" hidden="1" x14ac:dyDescent="0.25">
      <c r="A8850" s="21">
        <v>8849</v>
      </c>
      <c r="B8850" s="7" t="s">
        <v>18455</v>
      </c>
      <c r="C8850" s="7" t="s">
        <v>18456</v>
      </c>
      <c r="G8850" s="8" t="s">
        <v>15</v>
      </c>
    </row>
    <row r="8851" spans="1:7" hidden="1" x14ac:dyDescent="0.25">
      <c r="A8851" s="21">
        <v>8850</v>
      </c>
      <c r="B8851" s="7" t="s">
        <v>18457</v>
      </c>
      <c r="C8851" s="7" t="s">
        <v>18458</v>
      </c>
      <c r="G8851" s="8" t="s">
        <v>15</v>
      </c>
    </row>
    <row r="8852" spans="1:7" hidden="1" x14ac:dyDescent="0.25">
      <c r="A8852" s="21">
        <v>8851</v>
      </c>
      <c r="B8852" s="7" t="s">
        <v>18459</v>
      </c>
      <c r="C8852" s="7" t="s">
        <v>18460</v>
      </c>
      <c r="G8852" s="8" t="s">
        <v>15</v>
      </c>
    </row>
    <row r="8853" spans="1:7" hidden="1" x14ac:dyDescent="0.25">
      <c r="A8853" s="21">
        <v>8852</v>
      </c>
      <c r="B8853" s="7" t="s">
        <v>18461</v>
      </c>
      <c r="C8853" s="7" t="s">
        <v>18462</v>
      </c>
      <c r="G8853" s="8" t="s">
        <v>15</v>
      </c>
    </row>
    <row r="8854" spans="1:7" hidden="1" x14ac:dyDescent="0.25">
      <c r="A8854" s="21">
        <v>8853</v>
      </c>
      <c r="B8854" s="7" t="s">
        <v>18463</v>
      </c>
      <c r="C8854" s="7" t="s">
        <v>18464</v>
      </c>
      <c r="G8854" s="8" t="s">
        <v>15</v>
      </c>
    </row>
    <row r="8855" spans="1:7" hidden="1" x14ac:dyDescent="0.25">
      <c r="A8855" s="21">
        <v>8854</v>
      </c>
      <c r="B8855" s="7" t="s">
        <v>18465</v>
      </c>
      <c r="C8855" s="7" t="s">
        <v>18466</v>
      </c>
      <c r="G8855" s="8" t="s">
        <v>15</v>
      </c>
    </row>
    <row r="8856" spans="1:7" hidden="1" x14ac:dyDescent="0.25">
      <c r="A8856" s="21">
        <v>8855</v>
      </c>
      <c r="B8856" s="7" t="s">
        <v>18467</v>
      </c>
      <c r="C8856" s="7" t="s">
        <v>18468</v>
      </c>
      <c r="G8856" s="8" t="s">
        <v>15</v>
      </c>
    </row>
    <row r="8857" spans="1:7" hidden="1" x14ac:dyDescent="0.25">
      <c r="A8857" s="21">
        <v>8856</v>
      </c>
      <c r="B8857" s="7" t="s">
        <v>18469</v>
      </c>
      <c r="C8857" s="7" t="s">
        <v>18470</v>
      </c>
      <c r="G8857" s="8" t="s">
        <v>15</v>
      </c>
    </row>
    <row r="8858" spans="1:7" hidden="1" x14ac:dyDescent="0.25">
      <c r="A8858" s="21">
        <v>8857</v>
      </c>
      <c r="B8858" s="7" t="s">
        <v>18471</v>
      </c>
      <c r="C8858" s="7" t="s">
        <v>18472</v>
      </c>
      <c r="G8858" s="8" t="s">
        <v>15</v>
      </c>
    </row>
    <row r="8859" spans="1:7" hidden="1" x14ac:dyDescent="0.25">
      <c r="A8859" s="21">
        <v>8858</v>
      </c>
      <c r="B8859" s="7" t="s">
        <v>18473</v>
      </c>
      <c r="C8859" s="7" t="s">
        <v>18474</v>
      </c>
      <c r="G8859" s="8" t="s">
        <v>15</v>
      </c>
    </row>
    <row r="8860" spans="1:7" hidden="1" x14ac:dyDescent="0.25">
      <c r="A8860" s="21">
        <v>8859</v>
      </c>
      <c r="B8860" s="7" t="s">
        <v>18475</v>
      </c>
      <c r="C8860" s="7" t="s">
        <v>18476</v>
      </c>
      <c r="G8860" s="8" t="s">
        <v>15</v>
      </c>
    </row>
    <row r="8861" spans="1:7" hidden="1" x14ac:dyDescent="0.25">
      <c r="A8861" s="21">
        <v>8860</v>
      </c>
      <c r="B8861" s="7" t="s">
        <v>18477</v>
      </c>
      <c r="C8861" s="7" t="s">
        <v>18478</v>
      </c>
      <c r="G8861" s="8" t="s">
        <v>15</v>
      </c>
    </row>
    <row r="8862" spans="1:7" hidden="1" x14ac:dyDescent="0.25">
      <c r="A8862" s="21">
        <v>8861</v>
      </c>
      <c r="B8862" s="7" t="s">
        <v>18479</v>
      </c>
      <c r="C8862" s="7" t="s">
        <v>18480</v>
      </c>
      <c r="G8862" s="8" t="s">
        <v>15</v>
      </c>
    </row>
    <row r="8863" spans="1:7" hidden="1" x14ac:dyDescent="0.25">
      <c r="A8863" s="21">
        <v>8862</v>
      </c>
      <c r="B8863" s="7" t="s">
        <v>18481</v>
      </c>
      <c r="C8863" s="7" t="s">
        <v>18482</v>
      </c>
      <c r="G8863" s="8" t="s">
        <v>15</v>
      </c>
    </row>
    <row r="8864" spans="1:7" hidden="1" x14ac:dyDescent="0.25">
      <c r="A8864" s="21">
        <v>8863</v>
      </c>
      <c r="B8864" s="7" t="s">
        <v>18483</v>
      </c>
      <c r="C8864" s="7" t="s">
        <v>18484</v>
      </c>
      <c r="G8864" s="8" t="s">
        <v>15</v>
      </c>
    </row>
    <row r="8865" spans="1:7" hidden="1" x14ac:dyDescent="0.25">
      <c r="A8865" s="21">
        <v>8864</v>
      </c>
      <c r="B8865" s="7" t="s">
        <v>18485</v>
      </c>
      <c r="C8865" s="7" t="s">
        <v>18486</v>
      </c>
      <c r="G8865" s="8" t="s">
        <v>15</v>
      </c>
    </row>
    <row r="8866" spans="1:7" hidden="1" x14ac:dyDescent="0.25">
      <c r="A8866" s="21">
        <v>8865</v>
      </c>
      <c r="B8866" s="7" t="s">
        <v>18487</v>
      </c>
      <c r="C8866" s="7" t="s">
        <v>18488</v>
      </c>
      <c r="G8866" s="8" t="s">
        <v>15</v>
      </c>
    </row>
    <row r="8867" spans="1:7" hidden="1" x14ac:dyDescent="0.25">
      <c r="A8867" s="21">
        <v>8866</v>
      </c>
      <c r="B8867" s="7" t="s">
        <v>18489</v>
      </c>
      <c r="C8867" s="7" t="s">
        <v>18490</v>
      </c>
      <c r="G8867" s="8" t="s">
        <v>15</v>
      </c>
    </row>
    <row r="8868" spans="1:7" hidden="1" x14ac:dyDescent="0.25">
      <c r="A8868" s="21">
        <v>8867</v>
      </c>
      <c r="B8868" s="7" t="s">
        <v>18491</v>
      </c>
      <c r="C8868" s="7" t="s">
        <v>18492</v>
      </c>
      <c r="G8868" s="8" t="s">
        <v>15</v>
      </c>
    </row>
    <row r="8869" spans="1:7" hidden="1" x14ac:dyDescent="0.25">
      <c r="A8869" s="21">
        <v>8868</v>
      </c>
      <c r="B8869" s="7" t="s">
        <v>18493</v>
      </c>
      <c r="C8869" s="7" t="s">
        <v>18494</v>
      </c>
      <c r="G8869" s="8" t="s">
        <v>15</v>
      </c>
    </row>
    <row r="8870" spans="1:7" hidden="1" x14ac:dyDescent="0.25">
      <c r="A8870" s="21">
        <v>8869</v>
      </c>
      <c r="B8870" s="7" t="s">
        <v>18495</v>
      </c>
      <c r="C8870" s="7" t="s">
        <v>18496</v>
      </c>
      <c r="G8870" s="8" t="s">
        <v>15</v>
      </c>
    </row>
    <row r="8871" spans="1:7" hidden="1" x14ac:dyDescent="0.25">
      <c r="A8871" s="21">
        <v>8870</v>
      </c>
      <c r="B8871" s="7" t="s">
        <v>18497</v>
      </c>
      <c r="C8871" s="7" t="s">
        <v>18498</v>
      </c>
      <c r="G8871" s="8" t="s">
        <v>15</v>
      </c>
    </row>
    <row r="8872" spans="1:7" hidden="1" x14ac:dyDescent="0.25">
      <c r="A8872" s="21">
        <v>8871</v>
      </c>
      <c r="B8872" s="7" t="s">
        <v>18499</v>
      </c>
      <c r="C8872" s="7" t="s">
        <v>18500</v>
      </c>
      <c r="G8872" s="8" t="s">
        <v>15</v>
      </c>
    </row>
    <row r="8873" spans="1:7" hidden="1" x14ac:dyDescent="0.25">
      <c r="A8873" s="21">
        <v>8872</v>
      </c>
      <c r="B8873" s="7" t="s">
        <v>18501</v>
      </c>
      <c r="C8873" s="7" t="s">
        <v>18502</v>
      </c>
      <c r="G8873" s="8" t="s">
        <v>15</v>
      </c>
    </row>
    <row r="8874" spans="1:7" hidden="1" x14ac:dyDescent="0.25">
      <c r="A8874" s="21">
        <v>8873</v>
      </c>
      <c r="B8874" s="7" t="s">
        <v>18503</v>
      </c>
      <c r="C8874" s="7" t="s">
        <v>18504</v>
      </c>
      <c r="G8874" s="8" t="s">
        <v>15</v>
      </c>
    </row>
    <row r="8875" spans="1:7" hidden="1" x14ac:dyDescent="0.25">
      <c r="A8875" s="21">
        <v>8874</v>
      </c>
      <c r="B8875" s="7" t="s">
        <v>18505</v>
      </c>
      <c r="C8875" s="7" t="s">
        <v>18506</v>
      </c>
      <c r="G8875" s="8" t="s">
        <v>15</v>
      </c>
    </row>
    <row r="8876" spans="1:7" hidden="1" x14ac:dyDescent="0.25">
      <c r="A8876" s="21">
        <v>8875</v>
      </c>
      <c r="B8876" s="7" t="s">
        <v>18507</v>
      </c>
      <c r="C8876" s="7" t="s">
        <v>18508</v>
      </c>
      <c r="G8876" s="8" t="s">
        <v>15</v>
      </c>
    </row>
    <row r="8877" spans="1:7" hidden="1" x14ac:dyDescent="0.25">
      <c r="A8877" s="21">
        <v>8876</v>
      </c>
      <c r="B8877" s="7" t="s">
        <v>18509</v>
      </c>
      <c r="C8877" s="7" t="s">
        <v>18510</v>
      </c>
      <c r="G8877" s="8" t="s">
        <v>15</v>
      </c>
    </row>
    <row r="8878" spans="1:7" hidden="1" x14ac:dyDescent="0.25">
      <c r="A8878" s="21">
        <v>8877</v>
      </c>
      <c r="B8878" s="7" t="s">
        <v>18511</v>
      </c>
      <c r="C8878" s="7" t="s">
        <v>18512</v>
      </c>
      <c r="G8878" s="8" t="s">
        <v>15</v>
      </c>
    </row>
    <row r="8879" spans="1:7" hidden="1" x14ac:dyDescent="0.25">
      <c r="A8879" s="21">
        <v>8878</v>
      </c>
      <c r="B8879" s="7" t="s">
        <v>18513</v>
      </c>
      <c r="C8879" s="7" t="s">
        <v>18514</v>
      </c>
      <c r="G8879" s="8" t="s">
        <v>15</v>
      </c>
    </row>
    <row r="8880" spans="1:7" hidden="1" x14ac:dyDescent="0.25">
      <c r="A8880" s="21">
        <v>8879</v>
      </c>
      <c r="B8880" s="7" t="s">
        <v>18515</v>
      </c>
      <c r="C8880" s="7" t="s">
        <v>18516</v>
      </c>
      <c r="G8880" s="8" t="s">
        <v>15</v>
      </c>
    </row>
    <row r="8881" spans="1:7" hidden="1" x14ac:dyDescent="0.25">
      <c r="A8881" s="21">
        <v>8880</v>
      </c>
      <c r="B8881" s="7" t="s">
        <v>18517</v>
      </c>
      <c r="C8881" s="7" t="s">
        <v>18518</v>
      </c>
      <c r="G8881" s="8" t="s">
        <v>15</v>
      </c>
    </row>
    <row r="8882" spans="1:7" hidden="1" x14ac:dyDescent="0.25">
      <c r="A8882" s="21">
        <v>8881</v>
      </c>
      <c r="B8882" s="7" t="s">
        <v>18519</v>
      </c>
      <c r="C8882" s="7" t="s">
        <v>18520</v>
      </c>
      <c r="G8882" s="8" t="s">
        <v>15</v>
      </c>
    </row>
    <row r="8883" spans="1:7" hidden="1" x14ac:dyDescent="0.25">
      <c r="A8883" s="21">
        <v>8882</v>
      </c>
      <c r="B8883" s="7" t="s">
        <v>18521</v>
      </c>
      <c r="C8883" s="7" t="s">
        <v>18522</v>
      </c>
      <c r="G8883" s="8" t="s">
        <v>15</v>
      </c>
    </row>
    <row r="8884" spans="1:7" hidden="1" x14ac:dyDescent="0.25">
      <c r="A8884" s="21">
        <v>8883</v>
      </c>
      <c r="B8884" s="7" t="s">
        <v>18523</v>
      </c>
      <c r="C8884" s="7" t="s">
        <v>18524</v>
      </c>
      <c r="G8884" s="8" t="s">
        <v>15</v>
      </c>
    </row>
    <row r="8885" spans="1:7" hidden="1" x14ac:dyDescent="0.25">
      <c r="A8885" s="21">
        <v>8884</v>
      </c>
      <c r="B8885" s="7" t="s">
        <v>18525</v>
      </c>
      <c r="C8885" s="7" t="s">
        <v>18526</v>
      </c>
      <c r="G8885" s="8" t="s">
        <v>15</v>
      </c>
    </row>
    <row r="8886" spans="1:7" hidden="1" x14ac:dyDescent="0.25">
      <c r="A8886" s="21">
        <v>8885</v>
      </c>
      <c r="B8886" s="7" t="s">
        <v>18527</v>
      </c>
      <c r="C8886" s="7" t="s">
        <v>18528</v>
      </c>
      <c r="G8886" s="8" t="s">
        <v>15</v>
      </c>
    </row>
    <row r="8887" spans="1:7" hidden="1" x14ac:dyDescent="0.25">
      <c r="A8887" s="21">
        <v>8886</v>
      </c>
      <c r="B8887" s="7" t="s">
        <v>18529</v>
      </c>
      <c r="C8887" s="7" t="s">
        <v>18530</v>
      </c>
      <c r="G8887" s="8" t="s">
        <v>15</v>
      </c>
    </row>
    <row r="8888" spans="1:7" hidden="1" x14ac:dyDescent="0.25">
      <c r="A8888" s="21">
        <v>8887</v>
      </c>
      <c r="B8888" s="7" t="s">
        <v>18531</v>
      </c>
      <c r="C8888" s="7" t="s">
        <v>18532</v>
      </c>
      <c r="G8888" s="8" t="s">
        <v>15</v>
      </c>
    </row>
    <row r="8889" spans="1:7" hidden="1" x14ac:dyDescent="0.25">
      <c r="A8889" s="21">
        <v>8888</v>
      </c>
      <c r="B8889" s="7" t="s">
        <v>18533</v>
      </c>
      <c r="C8889" s="7" t="s">
        <v>18534</v>
      </c>
      <c r="G8889" s="8" t="s">
        <v>15</v>
      </c>
    </row>
    <row r="8890" spans="1:7" hidden="1" x14ac:dyDescent="0.25">
      <c r="A8890" s="21">
        <v>8889</v>
      </c>
      <c r="B8890" s="7" t="s">
        <v>18535</v>
      </c>
      <c r="C8890" s="7" t="s">
        <v>18536</v>
      </c>
      <c r="G8890" s="8" t="s">
        <v>15</v>
      </c>
    </row>
    <row r="8891" spans="1:7" hidden="1" x14ac:dyDescent="0.25">
      <c r="A8891" s="21">
        <v>8890</v>
      </c>
      <c r="B8891" s="7" t="s">
        <v>18537</v>
      </c>
      <c r="C8891" s="7" t="s">
        <v>18538</v>
      </c>
      <c r="G8891" s="8" t="s">
        <v>15</v>
      </c>
    </row>
    <row r="8892" spans="1:7" hidden="1" x14ac:dyDescent="0.25">
      <c r="A8892" s="21">
        <v>8891</v>
      </c>
      <c r="B8892" s="7" t="s">
        <v>18539</v>
      </c>
      <c r="C8892" s="7" t="s">
        <v>18540</v>
      </c>
      <c r="G8892" s="8" t="s">
        <v>15</v>
      </c>
    </row>
    <row r="8893" spans="1:7" hidden="1" x14ac:dyDescent="0.25">
      <c r="A8893" s="21">
        <v>8892</v>
      </c>
      <c r="B8893" s="7" t="s">
        <v>18541</v>
      </c>
      <c r="C8893" s="7" t="s">
        <v>18542</v>
      </c>
      <c r="G8893" s="8" t="s">
        <v>15</v>
      </c>
    </row>
    <row r="8894" spans="1:7" hidden="1" x14ac:dyDescent="0.25">
      <c r="A8894" s="21">
        <v>8893</v>
      </c>
      <c r="B8894" s="7" t="s">
        <v>18543</v>
      </c>
      <c r="C8894" s="7" t="s">
        <v>18544</v>
      </c>
      <c r="G8894" s="8" t="s">
        <v>15</v>
      </c>
    </row>
    <row r="8895" spans="1:7" hidden="1" x14ac:dyDescent="0.25">
      <c r="A8895" s="21">
        <v>8894</v>
      </c>
      <c r="B8895" s="7" t="s">
        <v>18545</v>
      </c>
      <c r="C8895" s="7" t="s">
        <v>18546</v>
      </c>
      <c r="G8895" s="8" t="s">
        <v>15</v>
      </c>
    </row>
    <row r="8896" spans="1:7" hidden="1" x14ac:dyDescent="0.25">
      <c r="A8896" s="21">
        <v>8895</v>
      </c>
      <c r="B8896" s="7" t="s">
        <v>18547</v>
      </c>
      <c r="C8896" s="7" t="s">
        <v>18548</v>
      </c>
      <c r="G8896" s="8" t="s">
        <v>15</v>
      </c>
    </row>
    <row r="8897" spans="1:7" hidden="1" x14ac:dyDescent="0.25">
      <c r="A8897" s="21">
        <v>8896</v>
      </c>
      <c r="B8897" s="7" t="s">
        <v>18549</v>
      </c>
      <c r="C8897" s="7" t="s">
        <v>18550</v>
      </c>
      <c r="G8897" s="8" t="s">
        <v>15</v>
      </c>
    </row>
    <row r="8898" spans="1:7" hidden="1" x14ac:dyDescent="0.25">
      <c r="A8898" s="21">
        <v>8897</v>
      </c>
      <c r="B8898" s="7" t="s">
        <v>18551</v>
      </c>
      <c r="C8898" s="7" t="s">
        <v>18552</v>
      </c>
      <c r="G8898" s="8" t="s">
        <v>15</v>
      </c>
    </row>
    <row r="8899" spans="1:7" hidden="1" x14ac:dyDescent="0.25">
      <c r="A8899" s="21">
        <v>8898</v>
      </c>
      <c r="B8899" s="7" t="s">
        <v>18553</v>
      </c>
      <c r="C8899" s="7" t="s">
        <v>18554</v>
      </c>
      <c r="G8899" s="8" t="s">
        <v>15</v>
      </c>
    </row>
    <row r="8900" spans="1:7" hidden="1" x14ac:dyDescent="0.25">
      <c r="A8900" s="21">
        <v>8899</v>
      </c>
      <c r="B8900" s="7" t="s">
        <v>18555</v>
      </c>
      <c r="C8900" s="7" t="s">
        <v>18556</v>
      </c>
      <c r="G8900" s="8" t="s">
        <v>15</v>
      </c>
    </row>
    <row r="8901" spans="1:7" hidden="1" x14ac:dyDescent="0.25">
      <c r="A8901" s="21">
        <v>8900</v>
      </c>
      <c r="B8901" s="7" t="s">
        <v>18557</v>
      </c>
      <c r="C8901" s="7" t="s">
        <v>18558</v>
      </c>
      <c r="G8901" s="8" t="s">
        <v>15</v>
      </c>
    </row>
    <row r="8902" spans="1:7" hidden="1" x14ac:dyDescent="0.25">
      <c r="A8902" s="21">
        <v>8901</v>
      </c>
      <c r="B8902" s="7" t="s">
        <v>18559</v>
      </c>
      <c r="C8902" s="7" t="s">
        <v>18560</v>
      </c>
      <c r="G8902" s="8" t="s">
        <v>15</v>
      </c>
    </row>
    <row r="8903" spans="1:7" hidden="1" x14ac:dyDescent="0.25">
      <c r="A8903" s="21">
        <v>8902</v>
      </c>
      <c r="B8903" s="7" t="s">
        <v>18561</v>
      </c>
      <c r="C8903" s="7" t="s">
        <v>18562</v>
      </c>
      <c r="G8903" s="8" t="s">
        <v>15</v>
      </c>
    </row>
    <row r="8904" spans="1:7" hidden="1" x14ac:dyDescent="0.25">
      <c r="A8904" s="21">
        <v>8903</v>
      </c>
      <c r="B8904" s="7" t="s">
        <v>18563</v>
      </c>
      <c r="C8904" s="7" t="s">
        <v>18564</v>
      </c>
      <c r="G8904" s="8" t="s">
        <v>15</v>
      </c>
    </row>
    <row r="8905" spans="1:7" hidden="1" x14ac:dyDescent="0.25">
      <c r="A8905" s="21">
        <v>8904</v>
      </c>
      <c r="B8905" s="7" t="s">
        <v>18565</v>
      </c>
      <c r="C8905" s="7" t="s">
        <v>18566</v>
      </c>
      <c r="G8905" s="8" t="s">
        <v>15</v>
      </c>
    </row>
    <row r="8906" spans="1:7" hidden="1" x14ac:dyDescent="0.25">
      <c r="A8906" s="21">
        <v>8905</v>
      </c>
      <c r="B8906" s="7" t="s">
        <v>18567</v>
      </c>
      <c r="C8906" s="7" t="s">
        <v>18568</v>
      </c>
      <c r="G8906" s="8" t="s">
        <v>15</v>
      </c>
    </row>
    <row r="8907" spans="1:7" hidden="1" x14ac:dyDescent="0.25">
      <c r="A8907" s="21">
        <v>8906</v>
      </c>
      <c r="B8907" s="7" t="s">
        <v>18569</v>
      </c>
      <c r="C8907" s="7" t="s">
        <v>18570</v>
      </c>
      <c r="G8907" s="8" t="s">
        <v>15</v>
      </c>
    </row>
    <row r="8908" spans="1:7" hidden="1" x14ac:dyDescent="0.25">
      <c r="A8908" s="21">
        <v>8907</v>
      </c>
      <c r="B8908" s="7" t="s">
        <v>18571</v>
      </c>
      <c r="C8908" s="7" t="s">
        <v>18572</v>
      </c>
      <c r="G8908" s="8" t="s">
        <v>15</v>
      </c>
    </row>
    <row r="8909" spans="1:7" hidden="1" x14ac:dyDescent="0.25">
      <c r="A8909" s="21">
        <v>8908</v>
      </c>
      <c r="B8909" s="7" t="s">
        <v>18573</v>
      </c>
      <c r="C8909" s="7" t="s">
        <v>18574</v>
      </c>
      <c r="G8909" s="8" t="s">
        <v>15</v>
      </c>
    </row>
    <row r="8910" spans="1:7" hidden="1" x14ac:dyDescent="0.25">
      <c r="A8910" s="21">
        <v>8909</v>
      </c>
      <c r="B8910" s="7" t="s">
        <v>18575</v>
      </c>
      <c r="C8910" s="7" t="s">
        <v>18576</v>
      </c>
      <c r="G8910" s="8" t="s">
        <v>15</v>
      </c>
    </row>
    <row r="8911" spans="1:7" hidden="1" x14ac:dyDescent="0.25">
      <c r="A8911" s="21">
        <v>8910</v>
      </c>
      <c r="B8911" s="7" t="s">
        <v>18577</v>
      </c>
      <c r="C8911" s="7" t="s">
        <v>18578</v>
      </c>
      <c r="G8911" s="8" t="s">
        <v>15</v>
      </c>
    </row>
    <row r="8912" spans="1:7" hidden="1" x14ac:dyDescent="0.25">
      <c r="A8912" s="21">
        <v>8911</v>
      </c>
      <c r="B8912" s="7" t="s">
        <v>18579</v>
      </c>
      <c r="C8912" s="7" t="s">
        <v>18580</v>
      </c>
      <c r="G8912" s="8" t="s">
        <v>15</v>
      </c>
    </row>
    <row r="8913" spans="1:7" hidden="1" x14ac:dyDescent="0.25">
      <c r="A8913" s="21">
        <v>8912</v>
      </c>
      <c r="B8913" s="7" t="s">
        <v>18581</v>
      </c>
      <c r="C8913" s="7" t="s">
        <v>18582</v>
      </c>
      <c r="G8913" s="8" t="s">
        <v>15</v>
      </c>
    </row>
    <row r="8914" spans="1:7" hidden="1" x14ac:dyDescent="0.25">
      <c r="A8914" s="21">
        <v>8913</v>
      </c>
      <c r="B8914" s="7" t="s">
        <v>18583</v>
      </c>
      <c r="C8914" s="7" t="s">
        <v>18584</v>
      </c>
      <c r="G8914" s="8" t="s">
        <v>15</v>
      </c>
    </row>
    <row r="8915" spans="1:7" hidden="1" x14ac:dyDescent="0.25">
      <c r="A8915" s="21">
        <v>8914</v>
      </c>
      <c r="B8915" s="7" t="s">
        <v>18585</v>
      </c>
      <c r="C8915" s="7" t="s">
        <v>18586</v>
      </c>
      <c r="G8915" s="8" t="s">
        <v>15</v>
      </c>
    </row>
    <row r="8916" spans="1:7" hidden="1" x14ac:dyDescent="0.25">
      <c r="A8916" s="21">
        <v>8915</v>
      </c>
      <c r="B8916" s="7" t="s">
        <v>18587</v>
      </c>
      <c r="C8916" s="7" t="s">
        <v>18588</v>
      </c>
      <c r="G8916" s="8" t="s">
        <v>15</v>
      </c>
    </row>
    <row r="8917" spans="1:7" hidden="1" x14ac:dyDescent="0.25">
      <c r="A8917" s="21">
        <v>8916</v>
      </c>
      <c r="B8917" s="7" t="s">
        <v>18589</v>
      </c>
      <c r="C8917" s="7" t="s">
        <v>18590</v>
      </c>
      <c r="G8917" s="8" t="s">
        <v>15</v>
      </c>
    </row>
    <row r="8918" spans="1:7" hidden="1" x14ac:dyDescent="0.25">
      <c r="A8918" s="21">
        <v>8917</v>
      </c>
      <c r="B8918" s="7" t="s">
        <v>18591</v>
      </c>
      <c r="C8918" s="7" t="s">
        <v>18592</v>
      </c>
      <c r="G8918" s="8" t="s">
        <v>15</v>
      </c>
    </row>
    <row r="8919" spans="1:7" hidden="1" x14ac:dyDescent="0.25">
      <c r="A8919" s="21">
        <v>8918</v>
      </c>
      <c r="B8919" s="7" t="s">
        <v>18593</v>
      </c>
      <c r="C8919" s="7" t="s">
        <v>18594</v>
      </c>
      <c r="G8919" s="8" t="s">
        <v>15</v>
      </c>
    </row>
    <row r="8920" spans="1:7" hidden="1" x14ac:dyDescent="0.25">
      <c r="A8920" s="21">
        <v>8919</v>
      </c>
      <c r="B8920" s="7" t="s">
        <v>18595</v>
      </c>
      <c r="C8920" s="7" t="s">
        <v>18596</v>
      </c>
      <c r="G8920" s="8" t="s">
        <v>15</v>
      </c>
    </row>
    <row r="8921" spans="1:7" hidden="1" x14ac:dyDescent="0.25">
      <c r="A8921" s="21">
        <v>8920</v>
      </c>
      <c r="B8921" s="7" t="s">
        <v>18597</v>
      </c>
      <c r="C8921" s="7" t="s">
        <v>18598</v>
      </c>
      <c r="G8921" s="8" t="s">
        <v>15</v>
      </c>
    </row>
    <row r="8922" spans="1:7" hidden="1" x14ac:dyDescent="0.25">
      <c r="A8922" s="21">
        <v>8921</v>
      </c>
      <c r="B8922" s="7" t="s">
        <v>18599</v>
      </c>
      <c r="C8922" s="7" t="s">
        <v>18600</v>
      </c>
      <c r="G8922" s="8" t="s">
        <v>15</v>
      </c>
    </row>
    <row r="8923" spans="1:7" hidden="1" x14ac:dyDescent="0.25">
      <c r="A8923" s="21">
        <v>8922</v>
      </c>
      <c r="B8923" s="7" t="s">
        <v>18601</v>
      </c>
      <c r="C8923" s="7" t="s">
        <v>18602</v>
      </c>
      <c r="G8923" s="8" t="s">
        <v>15</v>
      </c>
    </row>
    <row r="8924" spans="1:7" hidden="1" x14ac:dyDescent="0.25">
      <c r="A8924" s="21">
        <v>8923</v>
      </c>
      <c r="B8924" s="7" t="s">
        <v>18603</v>
      </c>
      <c r="C8924" s="7" t="s">
        <v>18604</v>
      </c>
      <c r="G8924" s="8" t="s">
        <v>15</v>
      </c>
    </row>
    <row r="8925" spans="1:7" hidden="1" x14ac:dyDescent="0.25">
      <c r="A8925" s="21">
        <v>8924</v>
      </c>
      <c r="B8925" s="7" t="s">
        <v>18605</v>
      </c>
      <c r="C8925" s="7" t="s">
        <v>18606</v>
      </c>
      <c r="G8925" s="8" t="s">
        <v>15</v>
      </c>
    </row>
    <row r="8926" spans="1:7" hidden="1" x14ac:dyDescent="0.25">
      <c r="A8926" s="21">
        <v>8925</v>
      </c>
      <c r="B8926" s="7" t="s">
        <v>18607</v>
      </c>
      <c r="C8926" s="7" t="s">
        <v>18608</v>
      </c>
      <c r="G8926" s="8" t="s">
        <v>15</v>
      </c>
    </row>
    <row r="8927" spans="1:7" hidden="1" x14ac:dyDescent="0.25">
      <c r="A8927" s="21">
        <v>8926</v>
      </c>
      <c r="B8927" s="7" t="s">
        <v>18609</v>
      </c>
      <c r="C8927" s="7" t="s">
        <v>18610</v>
      </c>
      <c r="G8927" s="8" t="s">
        <v>15</v>
      </c>
    </row>
    <row r="8928" spans="1:7" hidden="1" x14ac:dyDescent="0.25">
      <c r="A8928" s="21">
        <v>8927</v>
      </c>
      <c r="B8928" s="7" t="s">
        <v>18611</v>
      </c>
      <c r="C8928" s="7" t="s">
        <v>18612</v>
      </c>
      <c r="G8928" s="8" t="s">
        <v>15</v>
      </c>
    </row>
    <row r="8929" spans="1:7" hidden="1" x14ac:dyDescent="0.25">
      <c r="A8929" s="21">
        <v>8928</v>
      </c>
      <c r="B8929" s="7" t="s">
        <v>18613</v>
      </c>
      <c r="C8929" s="7" t="s">
        <v>18614</v>
      </c>
      <c r="G8929" s="8" t="s">
        <v>15</v>
      </c>
    </row>
    <row r="8930" spans="1:7" hidden="1" x14ac:dyDescent="0.25">
      <c r="A8930" s="21">
        <v>8929</v>
      </c>
      <c r="B8930" s="7" t="s">
        <v>18615</v>
      </c>
      <c r="C8930" s="7" t="s">
        <v>18616</v>
      </c>
      <c r="G8930" s="8" t="s">
        <v>15</v>
      </c>
    </row>
    <row r="8931" spans="1:7" hidden="1" x14ac:dyDescent="0.25">
      <c r="A8931" s="21">
        <v>8930</v>
      </c>
      <c r="B8931" s="7" t="s">
        <v>18617</v>
      </c>
      <c r="C8931" s="7" t="s">
        <v>18618</v>
      </c>
      <c r="G8931" s="8" t="s">
        <v>15</v>
      </c>
    </row>
    <row r="8932" spans="1:7" hidden="1" x14ac:dyDescent="0.25">
      <c r="A8932" s="21">
        <v>8931</v>
      </c>
      <c r="B8932" s="7" t="s">
        <v>18619</v>
      </c>
      <c r="C8932" s="7" t="s">
        <v>18620</v>
      </c>
      <c r="G8932" s="8" t="s">
        <v>15</v>
      </c>
    </row>
    <row r="8933" spans="1:7" hidden="1" x14ac:dyDescent="0.25">
      <c r="A8933" s="21">
        <v>8932</v>
      </c>
      <c r="B8933" s="7" t="s">
        <v>18621</v>
      </c>
      <c r="C8933" s="7" t="s">
        <v>18622</v>
      </c>
      <c r="G8933" s="8" t="s">
        <v>15</v>
      </c>
    </row>
    <row r="8934" spans="1:7" hidden="1" x14ac:dyDescent="0.25">
      <c r="A8934" s="21">
        <v>8933</v>
      </c>
      <c r="B8934" s="7" t="s">
        <v>18623</v>
      </c>
      <c r="C8934" s="7" t="s">
        <v>18624</v>
      </c>
      <c r="G8934" s="8" t="s">
        <v>15</v>
      </c>
    </row>
    <row r="8935" spans="1:7" hidden="1" x14ac:dyDescent="0.25">
      <c r="A8935" s="21">
        <v>8934</v>
      </c>
      <c r="B8935" s="7" t="s">
        <v>18625</v>
      </c>
      <c r="C8935" s="7" t="s">
        <v>18626</v>
      </c>
      <c r="G8935" s="8" t="s">
        <v>15</v>
      </c>
    </row>
    <row r="8936" spans="1:7" hidden="1" x14ac:dyDescent="0.25">
      <c r="A8936" s="21">
        <v>8935</v>
      </c>
      <c r="B8936" s="7" t="s">
        <v>18627</v>
      </c>
      <c r="C8936" s="7" t="s">
        <v>18628</v>
      </c>
      <c r="G8936" s="8" t="s">
        <v>15</v>
      </c>
    </row>
    <row r="8937" spans="1:7" hidden="1" x14ac:dyDescent="0.25">
      <c r="A8937" s="21">
        <v>8936</v>
      </c>
      <c r="B8937" s="7" t="s">
        <v>18629</v>
      </c>
      <c r="C8937" s="7" t="s">
        <v>18630</v>
      </c>
      <c r="G8937" s="8" t="s">
        <v>15</v>
      </c>
    </row>
    <row r="8938" spans="1:7" hidden="1" x14ac:dyDescent="0.25">
      <c r="A8938" s="21">
        <v>8937</v>
      </c>
      <c r="B8938" s="7" t="s">
        <v>18631</v>
      </c>
      <c r="C8938" s="7" t="s">
        <v>18632</v>
      </c>
      <c r="G8938" s="8" t="s">
        <v>15</v>
      </c>
    </row>
    <row r="8939" spans="1:7" hidden="1" x14ac:dyDescent="0.25">
      <c r="A8939" s="21">
        <v>8938</v>
      </c>
      <c r="B8939" s="7" t="s">
        <v>18633</v>
      </c>
      <c r="C8939" s="7" t="s">
        <v>18634</v>
      </c>
      <c r="G8939" s="8" t="s">
        <v>15</v>
      </c>
    </row>
    <row r="8940" spans="1:7" hidden="1" x14ac:dyDescent="0.25">
      <c r="A8940" s="21">
        <v>8939</v>
      </c>
      <c r="B8940" s="7" t="s">
        <v>18635</v>
      </c>
      <c r="C8940" s="7" t="s">
        <v>18636</v>
      </c>
      <c r="G8940" s="8" t="s">
        <v>15</v>
      </c>
    </row>
    <row r="8941" spans="1:7" hidden="1" x14ac:dyDescent="0.25">
      <c r="A8941" s="21">
        <v>8940</v>
      </c>
      <c r="B8941" s="7" t="s">
        <v>18637</v>
      </c>
      <c r="C8941" s="7" t="s">
        <v>18638</v>
      </c>
      <c r="G8941" s="8" t="s">
        <v>15</v>
      </c>
    </row>
    <row r="8942" spans="1:7" hidden="1" x14ac:dyDescent="0.25">
      <c r="A8942" s="21">
        <v>8941</v>
      </c>
      <c r="B8942" s="7" t="s">
        <v>18639</v>
      </c>
      <c r="C8942" s="7" t="s">
        <v>18640</v>
      </c>
      <c r="G8942" s="8" t="s">
        <v>15</v>
      </c>
    </row>
    <row r="8943" spans="1:7" hidden="1" x14ac:dyDescent="0.25">
      <c r="A8943" s="21">
        <v>8942</v>
      </c>
      <c r="B8943" s="7" t="s">
        <v>18641</v>
      </c>
      <c r="C8943" s="7" t="s">
        <v>18642</v>
      </c>
      <c r="G8943" s="8" t="s">
        <v>15</v>
      </c>
    </row>
    <row r="8944" spans="1:7" hidden="1" x14ac:dyDescent="0.25">
      <c r="A8944" s="21">
        <v>8943</v>
      </c>
      <c r="B8944" s="7" t="s">
        <v>18643</v>
      </c>
      <c r="C8944" s="7" t="s">
        <v>18644</v>
      </c>
      <c r="G8944" s="8" t="s">
        <v>15</v>
      </c>
    </row>
    <row r="8945" spans="1:7" hidden="1" x14ac:dyDescent="0.25">
      <c r="A8945" s="21">
        <v>8944</v>
      </c>
      <c r="B8945" s="7" t="s">
        <v>18645</v>
      </c>
      <c r="C8945" s="7" t="s">
        <v>18646</v>
      </c>
      <c r="G8945" s="8" t="s">
        <v>15</v>
      </c>
    </row>
    <row r="8946" spans="1:7" hidden="1" x14ac:dyDescent="0.25">
      <c r="A8946" s="21">
        <v>8945</v>
      </c>
      <c r="B8946" s="7" t="s">
        <v>18647</v>
      </c>
      <c r="C8946" s="7" t="s">
        <v>18648</v>
      </c>
      <c r="G8946" s="8" t="s">
        <v>15</v>
      </c>
    </row>
    <row r="8947" spans="1:7" hidden="1" x14ac:dyDescent="0.25">
      <c r="A8947" s="21">
        <v>8946</v>
      </c>
      <c r="B8947" s="7" t="s">
        <v>18649</v>
      </c>
      <c r="C8947" s="7" t="s">
        <v>18650</v>
      </c>
      <c r="G8947" s="8" t="s">
        <v>15</v>
      </c>
    </row>
    <row r="8948" spans="1:7" hidden="1" x14ac:dyDescent="0.25">
      <c r="A8948" s="21">
        <v>8947</v>
      </c>
      <c r="B8948" s="7" t="s">
        <v>18651</v>
      </c>
      <c r="C8948" s="7" t="s">
        <v>18652</v>
      </c>
      <c r="G8948" s="8" t="s">
        <v>15</v>
      </c>
    </row>
    <row r="8949" spans="1:7" hidden="1" x14ac:dyDescent="0.25">
      <c r="A8949" s="21">
        <v>8948</v>
      </c>
      <c r="B8949" s="7" t="s">
        <v>18653</v>
      </c>
      <c r="C8949" s="7" t="s">
        <v>18654</v>
      </c>
      <c r="G8949" s="8" t="s">
        <v>15</v>
      </c>
    </row>
    <row r="8950" spans="1:7" hidden="1" x14ac:dyDescent="0.25">
      <c r="A8950" s="21">
        <v>8949</v>
      </c>
      <c r="B8950" s="7" t="s">
        <v>18655</v>
      </c>
      <c r="C8950" s="7" t="s">
        <v>18656</v>
      </c>
      <c r="G8950" s="8" t="s">
        <v>15</v>
      </c>
    </row>
    <row r="8951" spans="1:7" hidden="1" x14ac:dyDescent="0.25">
      <c r="A8951" s="21">
        <v>8950</v>
      </c>
      <c r="B8951" s="7" t="s">
        <v>18657</v>
      </c>
      <c r="C8951" s="7" t="s">
        <v>18658</v>
      </c>
      <c r="G8951" s="8" t="s">
        <v>15</v>
      </c>
    </row>
    <row r="8952" spans="1:7" hidden="1" x14ac:dyDescent="0.25">
      <c r="A8952" s="21">
        <v>8951</v>
      </c>
      <c r="B8952" s="7" t="s">
        <v>18659</v>
      </c>
      <c r="C8952" s="7" t="s">
        <v>18660</v>
      </c>
      <c r="G8952" s="8" t="s">
        <v>15</v>
      </c>
    </row>
    <row r="8953" spans="1:7" hidden="1" x14ac:dyDescent="0.25">
      <c r="A8953" s="21">
        <v>8952</v>
      </c>
      <c r="B8953" s="7" t="s">
        <v>18661</v>
      </c>
      <c r="C8953" s="7" t="s">
        <v>18662</v>
      </c>
      <c r="G8953" s="8" t="s">
        <v>15</v>
      </c>
    </row>
    <row r="8954" spans="1:7" hidden="1" x14ac:dyDescent="0.25">
      <c r="A8954" s="21">
        <v>8953</v>
      </c>
      <c r="B8954" s="7" t="s">
        <v>18663</v>
      </c>
      <c r="C8954" s="7" t="s">
        <v>18664</v>
      </c>
      <c r="G8954" s="8" t="s">
        <v>15</v>
      </c>
    </row>
    <row r="8955" spans="1:7" hidden="1" x14ac:dyDescent="0.25">
      <c r="A8955" s="21">
        <v>8954</v>
      </c>
      <c r="B8955" s="7" t="s">
        <v>18665</v>
      </c>
      <c r="C8955" s="7" t="s">
        <v>18666</v>
      </c>
      <c r="G8955" s="8" t="s">
        <v>15</v>
      </c>
    </row>
    <row r="8956" spans="1:7" hidden="1" x14ac:dyDescent="0.25">
      <c r="A8956" s="21">
        <v>8955</v>
      </c>
      <c r="B8956" s="7" t="s">
        <v>18667</v>
      </c>
      <c r="C8956" s="7" t="s">
        <v>18668</v>
      </c>
      <c r="G8956" s="8" t="s">
        <v>15</v>
      </c>
    </row>
    <row r="8957" spans="1:7" hidden="1" x14ac:dyDescent="0.25">
      <c r="A8957" s="21">
        <v>8956</v>
      </c>
      <c r="B8957" s="7" t="s">
        <v>18669</v>
      </c>
      <c r="C8957" s="7" t="s">
        <v>18670</v>
      </c>
      <c r="G8957" s="8" t="s">
        <v>15</v>
      </c>
    </row>
    <row r="8958" spans="1:7" hidden="1" x14ac:dyDescent="0.25">
      <c r="A8958" s="21">
        <v>8957</v>
      </c>
      <c r="B8958" s="7" t="s">
        <v>18671</v>
      </c>
      <c r="C8958" s="7" t="s">
        <v>18672</v>
      </c>
      <c r="G8958" s="8" t="s">
        <v>15</v>
      </c>
    </row>
    <row r="8959" spans="1:7" hidden="1" x14ac:dyDescent="0.25">
      <c r="A8959" s="21">
        <v>8958</v>
      </c>
      <c r="B8959" s="7" t="s">
        <v>18673</v>
      </c>
      <c r="C8959" s="7" t="s">
        <v>18674</v>
      </c>
      <c r="G8959" s="8" t="s">
        <v>15</v>
      </c>
    </row>
    <row r="8960" spans="1:7" hidden="1" x14ac:dyDescent="0.25">
      <c r="A8960" s="21">
        <v>8959</v>
      </c>
      <c r="B8960" s="7" t="s">
        <v>18675</v>
      </c>
      <c r="C8960" s="7" t="s">
        <v>18676</v>
      </c>
      <c r="G8960" s="8" t="s">
        <v>15</v>
      </c>
    </row>
    <row r="8961" spans="1:7" hidden="1" x14ac:dyDescent="0.25">
      <c r="A8961" s="21">
        <v>8960</v>
      </c>
      <c r="B8961" s="7" t="s">
        <v>18677</v>
      </c>
      <c r="C8961" s="7" t="s">
        <v>18678</v>
      </c>
      <c r="G8961" s="8" t="s">
        <v>15</v>
      </c>
    </row>
    <row r="8962" spans="1:7" hidden="1" x14ac:dyDescent="0.25">
      <c r="A8962" s="21">
        <v>8961</v>
      </c>
      <c r="B8962" s="7" t="s">
        <v>18679</v>
      </c>
      <c r="C8962" s="7" t="s">
        <v>18680</v>
      </c>
      <c r="G8962" s="8" t="s">
        <v>15</v>
      </c>
    </row>
    <row r="8963" spans="1:7" hidden="1" x14ac:dyDescent="0.25">
      <c r="A8963" s="21">
        <v>8962</v>
      </c>
      <c r="B8963" s="7" t="s">
        <v>18681</v>
      </c>
      <c r="C8963" s="7" t="s">
        <v>18682</v>
      </c>
      <c r="G8963" s="8" t="s">
        <v>15</v>
      </c>
    </row>
    <row r="8964" spans="1:7" hidden="1" x14ac:dyDescent="0.25">
      <c r="A8964" s="21">
        <v>8963</v>
      </c>
      <c r="B8964" s="7" t="s">
        <v>18683</v>
      </c>
      <c r="C8964" s="7" t="s">
        <v>18684</v>
      </c>
      <c r="G8964" s="8" t="s">
        <v>15</v>
      </c>
    </row>
    <row r="8965" spans="1:7" hidden="1" x14ac:dyDescent="0.25">
      <c r="A8965" s="21">
        <v>8964</v>
      </c>
      <c r="B8965" s="7" t="s">
        <v>18685</v>
      </c>
      <c r="C8965" s="7" t="s">
        <v>18686</v>
      </c>
      <c r="G8965" s="8" t="s">
        <v>15</v>
      </c>
    </row>
    <row r="8966" spans="1:7" hidden="1" x14ac:dyDescent="0.25">
      <c r="A8966" s="21">
        <v>8965</v>
      </c>
      <c r="B8966" s="7" t="s">
        <v>18687</v>
      </c>
      <c r="C8966" s="7" t="s">
        <v>18688</v>
      </c>
      <c r="G8966" s="8" t="s">
        <v>15</v>
      </c>
    </row>
    <row r="8967" spans="1:7" hidden="1" x14ac:dyDescent="0.25">
      <c r="A8967" s="21">
        <v>8966</v>
      </c>
      <c r="B8967" s="7" t="s">
        <v>18689</v>
      </c>
      <c r="C8967" s="7" t="s">
        <v>18690</v>
      </c>
      <c r="G8967" s="8" t="s">
        <v>15</v>
      </c>
    </row>
    <row r="8968" spans="1:7" hidden="1" x14ac:dyDescent="0.25">
      <c r="A8968" s="21">
        <v>8967</v>
      </c>
      <c r="B8968" s="7" t="s">
        <v>18691</v>
      </c>
      <c r="C8968" s="7" t="s">
        <v>18692</v>
      </c>
      <c r="G8968" s="8" t="s">
        <v>15</v>
      </c>
    </row>
    <row r="8969" spans="1:7" hidden="1" x14ac:dyDescent="0.25">
      <c r="A8969" s="21">
        <v>8968</v>
      </c>
      <c r="B8969" s="7" t="s">
        <v>18693</v>
      </c>
      <c r="C8969" s="7" t="s">
        <v>18694</v>
      </c>
      <c r="G8969" s="8" t="s">
        <v>15</v>
      </c>
    </row>
    <row r="8970" spans="1:7" hidden="1" x14ac:dyDescent="0.25">
      <c r="A8970" s="21">
        <v>8969</v>
      </c>
      <c r="B8970" s="7" t="s">
        <v>18695</v>
      </c>
      <c r="C8970" s="7" t="s">
        <v>18696</v>
      </c>
      <c r="G8970" s="8" t="s">
        <v>15</v>
      </c>
    </row>
    <row r="8971" spans="1:7" hidden="1" x14ac:dyDescent="0.25">
      <c r="A8971" s="21">
        <v>8970</v>
      </c>
      <c r="B8971" s="7" t="s">
        <v>18697</v>
      </c>
      <c r="C8971" s="7" t="s">
        <v>18698</v>
      </c>
      <c r="G8971" s="8" t="s">
        <v>15</v>
      </c>
    </row>
    <row r="8972" spans="1:7" hidden="1" x14ac:dyDescent="0.25">
      <c r="A8972" s="21">
        <v>8971</v>
      </c>
      <c r="B8972" s="7" t="s">
        <v>18699</v>
      </c>
      <c r="C8972" s="7" t="s">
        <v>18700</v>
      </c>
      <c r="G8972" s="8" t="s">
        <v>15</v>
      </c>
    </row>
    <row r="8973" spans="1:7" hidden="1" x14ac:dyDescent="0.25">
      <c r="A8973" s="21">
        <v>8972</v>
      </c>
      <c r="B8973" s="7" t="s">
        <v>18701</v>
      </c>
      <c r="C8973" s="7" t="s">
        <v>18702</v>
      </c>
      <c r="G8973" s="8" t="s">
        <v>15</v>
      </c>
    </row>
    <row r="8974" spans="1:7" hidden="1" x14ac:dyDescent="0.25">
      <c r="A8974" s="21">
        <v>8973</v>
      </c>
      <c r="B8974" s="7" t="s">
        <v>18703</v>
      </c>
      <c r="C8974" s="7" t="s">
        <v>18704</v>
      </c>
      <c r="G8974" s="8" t="s">
        <v>15</v>
      </c>
    </row>
    <row r="8975" spans="1:7" hidden="1" x14ac:dyDescent="0.25">
      <c r="A8975" s="21">
        <v>8974</v>
      </c>
      <c r="B8975" s="7" t="s">
        <v>18705</v>
      </c>
      <c r="C8975" s="7" t="s">
        <v>18706</v>
      </c>
      <c r="G8975" s="8" t="s">
        <v>15</v>
      </c>
    </row>
    <row r="8976" spans="1:7" hidden="1" x14ac:dyDescent="0.25">
      <c r="A8976" s="21">
        <v>8975</v>
      </c>
      <c r="B8976" s="7" t="s">
        <v>18707</v>
      </c>
      <c r="C8976" s="7" t="s">
        <v>18708</v>
      </c>
      <c r="G8976" s="8" t="s">
        <v>15</v>
      </c>
    </row>
    <row r="8977" spans="1:7" hidden="1" x14ac:dyDescent="0.25">
      <c r="A8977" s="21">
        <v>8976</v>
      </c>
      <c r="B8977" s="7" t="s">
        <v>18709</v>
      </c>
      <c r="C8977" s="7" t="s">
        <v>18710</v>
      </c>
      <c r="G8977" s="8" t="s">
        <v>15</v>
      </c>
    </row>
    <row r="8978" spans="1:7" hidden="1" x14ac:dyDescent="0.25">
      <c r="A8978" s="21">
        <v>8977</v>
      </c>
      <c r="B8978" s="7" t="s">
        <v>18711</v>
      </c>
      <c r="C8978" s="7" t="s">
        <v>18712</v>
      </c>
      <c r="G8978" s="8" t="s">
        <v>15</v>
      </c>
    </row>
    <row r="8979" spans="1:7" hidden="1" x14ac:dyDescent="0.25">
      <c r="A8979" s="21">
        <v>8978</v>
      </c>
      <c r="B8979" s="7" t="s">
        <v>18713</v>
      </c>
      <c r="C8979" s="7" t="s">
        <v>18714</v>
      </c>
      <c r="G8979" s="8" t="s">
        <v>15</v>
      </c>
    </row>
    <row r="8980" spans="1:7" hidden="1" x14ac:dyDescent="0.25">
      <c r="A8980" s="21">
        <v>8979</v>
      </c>
      <c r="B8980" s="7" t="s">
        <v>18715</v>
      </c>
      <c r="C8980" s="7" t="s">
        <v>18716</v>
      </c>
      <c r="G8980" s="8" t="s">
        <v>15</v>
      </c>
    </row>
    <row r="8981" spans="1:7" hidden="1" x14ac:dyDescent="0.25">
      <c r="A8981" s="21">
        <v>8980</v>
      </c>
      <c r="B8981" s="7" t="s">
        <v>18717</v>
      </c>
      <c r="C8981" s="7" t="s">
        <v>18718</v>
      </c>
      <c r="G8981" s="8" t="s">
        <v>15</v>
      </c>
    </row>
    <row r="8982" spans="1:7" hidden="1" x14ac:dyDescent="0.25">
      <c r="A8982" s="21">
        <v>8981</v>
      </c>
      <c r="B8982" s="7" t="s">
        <v>18719</v>
      </c>
      <c r="C8982" s="7" t="s">
        <v>18720</v>
      </c>
      <c r="G8982" s="8" t="s">
        <v>15</v>
      </c>
    </row>
    <row r="8983" spans="1:7" hidden="1" x14ac:dyDescent="0.25">
      <c r="A8983" s="21">
        <v>8982</v>
      </c>
      <c r="B8983" s="7" t="s">
        <v>18721</v>
      </c>
      <c r="C8983" s="7" t="s">
        <v>18722</v>
      </c>
      <c r="G8983" s="8" t="s">
        <v>15</v>
      </c>
    </row>
    <row r="8984" spans="1:7" hidden="1" x14ac:dyDescent="0.25">
      <c r="A8984" s="21">
        <v>8983</v>
      </c>
      <c r="B8984" s="7" t="s">
        <v>18723</v>
      </c>
      <c r="C8984" s="7" t="s">
        <v>18724</v>
      </c>
      <c r="G8984" s="8" t="s">
        <v>15</v>
      </c>
    </row>
    <row r="8985" spans="1:7" hidden="1" x14ac:dyDescent="0.25">
      <c r="A8985" s="21">
        <v>8984</v>
      </c>
      <c r="B8985" s="7" t="s">
        <v>18725</v>
      </c>
      <c r="C8985" s="7" t="s">
        <v>18726</v>
      </c>
      <c r="G8985" s="8" t="s">
        <v>15</v>
      </c>
    </row>
    <row r="8986" spans="1:7" hidden="1" x14ac:dyDescent="0.25">
      <c r="A8986" s="21">
        <v>8985</v>
      </c>
      <c r="B8986" s="7" t="s">
        <v>18727</v>
      </c>
      <c r="C8986" s="7" t="s">
        <v>18728</v>
      </c>
      <c r="G8986" s="8" t="s">
        <v>15</v>
      </c>
    </row>
    <row r="8987" spans="1:7" hidden="1" x14ac:dyDescent="0.25">
      <c r="A8987" s="21">
        <v>8986</v>
      </c>
      <c r="B8987" s="7" t="s">
        <v>18729</v>
      </c>
      <c r="C8987" s="7" t="s">
        <v>18730</v>
      </c>
      <c r="G8987" s="8" t="s">
        <v>15</v>
      </c>
    </row>
    <row r="8988" spans="1:7" hidden="1" x14ac:dyDescent="0.25">
      <c r="A8988" s="21">
        <v>8987</v>
      </c>
      <c r="B8988" s="7" t="s">
        <v>18731</v>
      </c>
      <c r="C8988" s="7" t="s">
        <v>18732</v>
      </c>
      <c r="G8988" s="8" t="s">
        <v>15</v>
      </c>
    </row>
    <row r="8989" spans="1:7" hidden="1" x14ac:dyDescent="0.25">
      <c r="A8989" s="21">
        <v>8988</v>
      </c>
      <c r="B8989" s="7" t="s">
        <v>18733</v>
      </c>
      <c r="C8989" s="7" t="s">
        <v>18734</v>
      </c>
      <c r="G8989" s="8" t="s">
        <v>15</v>
      </c>
    </row>
    <row r="8990" spans="1:7" hidden="1" x14ac:dyDescent="0.25">
      <c r="A8990" s="21">
        <v>8989</v>
      </c>
      <c r="B8990" s="7" t="s">
        <v>18735</v>
      </c>
      <c r="C8990" s="7" t="s">
        <v>18736</v>
      </c>
      <c r="G8990" s="8" t="s">
        <v>15</v>
      </c>
    </row>
    <row r="8991" spans="1:7" hidden="1" x14ac:dyDescent="0.25">
      <c r="A8991" s="21">
        <v>8990</v>
      </c>
      <c r="B8991" s="7" t="s">
        <v>18737</v>
      </c>
      <c r="C8991" s="7" t="s">
        <v>18738</v>
      </c>
      <c r="G8991" s="8" t="s">
        <v>15</v>
      </c>
    </row>
    <row r="8992" spans="1:7" hidden="1" x14ac:dyDescent="0.25">
      <c r="A8992" s="21">
        <v>8991</v>
      </c>
      <c r="B8992" s="7" t="s">
        <v>18739</v>
      </c>
      <c r="C8992" s="7" t="s">
        <v>18740</v>
      </c>
      <c r="G8992" s="8" t="s">
        <v>15</v>
      </c>
    </row>
    <row r="8993" spans="1:7" hidden="1" x14ac:dyDescent="0.25">
      <c r="A8993" s="21">
        <v>8992</v>
      </c>
      <c r="B8993" s="7" t="s">
        <v>18741</v>
      </c>
      <c r="C8993" s="7" t="s">
        <v>18742</v>
      </c>
      <c r="G8993" s="8" t="s">
        <v>15</v>
      </c>
    </row>
    <row r="8994" spans="1:7" hidden="1" x14ac:dyDescent="0.25">
      <c r="A8994" s="21">
        <v>8993</v>
      </c>
      <c r="B8994" s="7" t="s">
        <v>18743</v>
      </c>
      <c r="C8994" s="7" t="s">
        <v>18744</v>
      </c>
      <c r="G8994" s="8" t="s">
        <v>15</v>
      </c>
    </row>
    <row r="8995" spans="1:7" hidden="1" x14ac:dyDescent="0.25">
      <c r="A8995" s="21">
        <v>8994</v>
      </c>
      <c r="B8995" s="7" t="s">
        <v>18745</v>
      </c>
      <c r="C8995" s="7" t="s">
        <v>18746</v>
      </c>
      <c r="G8995" s="8" t="s">
        <v>15</v>
      </c>
    </row>
    <row r="8996" spans="1:7" hidden="1" x14ac:dyDescent="0.25">
      <c r="A8996" s="21">
        <v>8995</v>
      </c>
      <c r="B8996" s="7" t="s">
        <v>18747</v>
      </c>
      <c r="C8996" s="7" t="s">
        <v>18748</v>
      </c>
      <c r="G8996" s="8" t="s">
        <v>15</v>
      </c>
    </row>
    <row r="8997" spans="1:7" hidden="1" x14ac:dyDescent="0.25">
      <c r="A8997" s="21">
        <v>8996</v>
      </c>
      <c r="B8997" s="7" t="s">
        <v>18749</v>
      </c>
      <c r="C8997" s="7" t="s">
        <v>18750</v>
      </c>
      <c r="G8997" s="8" t="s">
        <v>15</v>
      </c>
    </row>
    <row r="8998" spans="1:7" hidden="1" x14ac:dyDescent="0.25">
      <c r="A8998" s="21">
        <v>8997</v>
      </c>
      <c r="B8998" s="7" t="s">
        <v>18751</v>
      </c>
      <c r="C8998" s="7" t="s">
        <v>18752</v>
      </c>
      <c r="G8998" s="8" t="s">
        <v>15</v>
      </c>
    </row>
    <row r="8999" spans="1:7" hidden="1" x14ac:dyDescent="0.25">
      <c r="A8999" s="21">
        <v>8998</v>
      </c>
      <c r="B8999" s="7" t="s">
        <v>18753</v>
      </c>
      <c r="C8999" s="7" t="s">
        <v>18754</v>
      </c>
      <c r="G8999" s="8" t="s">
        <v>15</v>
      </c>
    </row>
    <row r="9000" spans="1:7" hidden="1" x14ac:dyDescent="0.25">
      <c r="A9000" s="21">
        <v>8999</v>
      </c>
      <c r="B9000" s="7" t="s">
        <v>18755</v>
      </c>
      <c r="C9000" s="7" t="s">
        <v>18756</v>
      </c>
      <c r="G9000" s="8" t="s">
        <v>15</v>
      </c>
    </row>
    <row r="9001" spans="1:7" hidden="1" x14ac:dyDescent="0.25">
      <c r="A9001" s="21">
        <v>9000</v>
      </c>
      <c r="B9001" s="7" t="s">
        <v>18757</v>
      </c>
      <c r="C9001" s="7" t="s">
        <v>18758</v>
      </c>
      <c r="G9001" s="8" t="s">
        <v>15</v>
      </c>
    </row>
    <row r="9002" spans="1:7" hidden="1" x14ac:dyDescent="0.25">
      <c r="A9002" s="21">
        <v>9001</v>
      </c>
      <c r="B9002" s="7" t="s">
        <v>18759</v>
      </c>
      <c r="C9002" s="7" t="s">
        <v>18760</v>
      </c>
      <c r="G9002" s="8" t="s">
        <v>15</v>
      </c>
    </row>
    <row r="9003" spans="1:7" hidden="1" x14ac:dyDescent="0.25">
      <c r="A9003" s="21">
        <v>9002</v>
      </c>
      <c r="B9003" s="7" t="s">
        <v>18761</v>
      </c>
      <c r="C9003" s="7" t="s">
        <v>18762</v>
      </c>
      <c r="G9003" s="8" t="s">
        <v>15</v>
      </c>
    </row>
    <row r="9004" spans="1:7" hidden="1" x14ac:dyDescent="0.25">
      <c r="A9004" s="21">
        <v>9003</v>
      </c>
      <c r="B9004" s="7" t="s">
        <v>18763</v>
      </c>
      <c r="C9004" s="7" t="s">
        <v>18764</v>
      </c>
      <c r="G9004" s="8" t="s">
        <v>15</v>
      </c>
    </row>
    <row r="9005" spans="1:7" hidden="1" x14ac:dyDescent="0.25">
      <c r="A9005" s="21">
        <v>9004</v>
      </c>
      <c r="B9005" s="7" t="s">
        <v>18765</v>
      </c>
      <c r="C9005" s="7" t="s">
        <v>18766</v>
      </c>
      <c r="G9005" s="8" t="s">
        <v>15</v>
      </c>
    </row>
    <row r="9006" spans="1:7" hidden="1" x14ac:dyDescent="0.25">
      <c r="A9006" s="21">
        <v>9005</v>
      </c>
      <c r="B9006" s="7" t="s">
        <v>18767</v>
      </c>
      <c r="C9006" s="7" t="s">
        <v>18768</v>
      </c>
      <c r="G9006" s="8" t="s">
        <v>15</v>
      </c>
    </row>
    <row r="9007" spans="1:7" hidden="1" x14ac:dyDescent="0.25">
      <c r="A9007" s="21">
        <v>9006</v>
      </c>
      <c r="B9007" s="7" t="s">
        <v>18769</v>
      </c>
      <c r="C9007" s="7" t="s">
        <v>18770</v>
      </c>
      <c r="G9007" s="8" t="s">
        <v>15</v>
      </c>
    </row>
    <row r="9008" spans="1:7" hidden="1" x14ac:dyDescent="0.25">
      <c r="A9008" s="21">
        <v>9007</v>
      </c>
      <c r="B9008" s="7" t="s">
        <v>18771</v>
      </c>
      <c r="C9008" s="7" t="s">
        <v>18772</v>
      </c>
      <c r="G9008" s="8" t="s">
        <v>15</v>
      </c>
    </row>
    <row r="9009" spans="1:7" hidden="1" x14ac:dyDescent="0.25">
      <c r="A9009" s="21">
        <v>9008</v>
      </c>
      <c r="B9009" s="7" t="s">
        <v>18773</v>
      </c>
      <c r="C9009" s="7" t="s">
        <v>18774</v>
      </c>
      <c r="G9009" s="8" t="s">
        <v>15</v>
      </c>
    </row>
    <row r="9010" spans="1:7" hidden="1" x14ac:dyDescent="0.25">
      <c r="A9010" s="21">
        <v>9009</v>
      </c>
      <c r="B9010" s="7" t="s">
        <v>18775</v>
      </c>
      <c r="C9010" s="7" t="s">
        <v>18776</v>
      </c>
      <c r="G9010" s="8" t="s">
        <v>15</v>
      </c>
    </row>
    <row r="9011" spans="1:7" hidden="1" x14ac:dyDescent="0.25">
      <c r="A9011" s="21">
        <v>9010</v>
      </c>
      <c r="B9011" s="7" t="s">
        <v>18777</v>
      </c>
      <c r="C9011" s="7" t="s">
        <v>18778</v>
      </c>
      <c r="G9011" s="8" t="s">
        <v>15</v>
      </c>
    </row>
    <row r="9012" spans="1:7" hidden="1" x14ac:dyDescent="0.25">
      <c r="A9012" s="21">
        <v>9011</v>
      </c>
      <c r="B9012" s="7" t="s">
        <v>18779</v>
      </c>
      <c r="C9012" s="7" t="s">
        <v>18780</v>
      </c>
      <c r="G9012" s="8" t="s">
        <v>15</v>
      </c>
    </row>
    <row r="9013" spans="1:7" hidden="1" x14ac:dyDescent="0.25">
      <c r="A9013" s="21">
        <v>9012</v>
      </c>
      <c r="B9013" s="7" t="s">
        <v>18781</v>
      </c>
      <c r="C9013" s="7" t="s">
        <v>18782</v>
      </c>
      <c r="G9013" s="8" t="s">
        <v>15</v>
      </c>
    </row>
    <row r="9014" spans="1:7" hidden="1" x14ac:dyDescent="0.25">
      <c r="A9014" s="21">
        <v>9013</v>
      </c>
      <c r="B9014" s="7" t="s">
        <v>18783</v>
      </c>
      <c r="C9014" s="7" t="s">
        <v>18784</v>
      </c>
      <c r="G9014" s="8" t="s">
        <v>15</v>
      </c>
    </row>
    <row r="9015" spans="1:7" hidden="1" x14ac:dyDescent="0.25">
      <c r="A9015" s="21">
        <v>9014</v>
      </c>
      <c r="B9015" s="7" t="s">
        <v>18785</v>
      </c>
      <c r="C9015" s="7" t="s">
        <v>18786</v>
      </c>
      <c r="G9015" s="8" t="s">
        <v>15</v>
      </c>
    </row>
    <row r="9016" spans="1:7" hidden="1" x14ac:dyDescent="0.25">
      <c r="A9016" s="21">
        <v>9015</v>
      </c>
      <c r="B9016" s="7" t="s">
        <v>18787</v>
      </c>
      <c r="C9016" s="7" t="s">
        <v>18788</v>
      </c>
      <c r="G9016" s="8" t="s">
        <v>15</v>
      </c>
    </row>
    <row r="9017" spans="1:7" hidden="1" x14ac:dyDescent="0.25">
      <c r="A9017" s="21">
        <v>9016</v>
      </c>
      <c r="B9017" s="7" t="s">
        <v>18789</v>
      </c>
      <c r="C9017" s="7" t="s">
        <v>18790</v>
      </c>
      <c r="G9017" s="8" t="s">
        <v>15</v>
      </c>
    </row>
    <row r="9018" spans="1:7" hidden="1" x14ac:dyDescent="0.25">
      <c r="A9018" s="21">
        <v>9017</v>
      </c>
      <c r="B9018" s="7" t="s">
        <v>18791</v>
      </c>
      <c r="C9018" s="7" t="s">
        <v>18792</v>
      </c>
      <c r="G9018" s="8" t="s">
        <v>15</v>
      </c>
    </row>
    <row r="9019" spans="1:7" hidden="1" x14ac:dyDescent="0.25">
      <c r="A9019" s="21">
        <v>9018</v>
      </c>
      <c r="B9019" s="7" t="s">
        <v>18793</v>
      </c>
      <c r="C9019" s="7" t="s">
        <v>18794</v>
      </c>
      <c r="G9019" s="8" t="s">
        <v>15</v>
      </c>
    </row>
    <row r="9020" spans="1:7" hidden="1" x14ac:dyDescent="0.25">
      <c r="A9020" s="21">
        <v>9019</v>
      </c>
      <c r="B9020" s="7" t="s">
        <v>18795</v>
      </c>
      <c r="C9020" s="7" t="s">
        <v>18796</v>
      </c>
      <c r="G9020" s="8" t="s">
        <v>15</v>
      </c>
    </row>
    <row r="9021" spans="1:7" hidden="1" x14ac:dyDescent="0.25">
      <c r="A9021" s="21">
        <v>9020</v>
      </c>
      <c r="B9021" s="7" t="s">
        <v>18797</v>
      </c>
      <c r="C9021" s="7" t="s">
        <v>18798</v>
      </c>
      <c r="G9021" s="8" t="s">
        <v>15</v>
      </c>
    </row>
    <row r="9022" spans="1:7" hidden="1" x14ac:dyDescent="0.25">
      <c r="A9022" s="21">
        <v>9021</v>
      </c>
      <c r="B9022" s="7" t="s">
        <v>18799</v>
      </c>
      <c r="C9022" s="7" t="s">
        <v>18800</v>
      </c>
      <c r="G9022" s="8" t="s">
        <v>15</v>
      </c>
    </row>
    <row r="9023" spans="1:7" hidden="1" x14ac:dyDescent="0.25">
      <c r="A9023" s="21">
        <v>9022</v>
      </c>
      <c r="B9023" s="7" t="s">
        <v>18801</v>
      </c>
      <c r="C9023" s="7" t="s">
        <v>18802</v>
      </c>
      <c r="G9023" s="8" t="s">
        <v>15</v>
      </c>
    </row>
    <row r="9024" spans="1:7" hidden="1" x14ac:dyDescent="0.25">
      <c r="A9024" s="21">
        <v>9023</v>
      </c>
      <c r="B9024" s="7" t="s">
        <v>18803</v>
      </c>
      <c r="C9024" s="7" t="s">
        <v>18804</v>
      </c>
      <c r="G9024" s="8" t="s">
        <v>15</v>
      </c>
    </row>
    <row r="9025" spans="1:7" hidden="1" x14ac:dyDescent="0.25">
      <c r="A9025" s="21">
        <v>9024</v>
      </c>
      <c r="B9025" s="7" t="s">
        <v>18805</v>
      </c>
      <c r="C9025" s="7" t="s">
        <v>18806</v>
      </c>
      <c r="G9025" s="8" t="s">
        <v>15</v>
      </c>
    </row>
    <row r="9026" spans="1:7" hidden="1" x14ac:dyDescent="0.25">
      <c r="A9026" s="21">
        <v>9025</v>
      </c>
      <c r="B9026" s="7" t="s">
        <v>18807</v>
      </c>
      <c r="C9026" s="7" t="s">
        <v>18808</v>
      </c>
      <c r="G9026" s="8" t="s">
        <v>15</v>
      </c>
    </row>
    <row r="9027" spans="1:7" hidden="1" x14ac:dyDescent="0.25">
      <c r="A9027" s="21">
        <v>9026</v>
      </c>
      <c r="B9027" s="7" t="s">
        <v>18809</v>
      </c>
      <c r="C9027" s="7" t="s">
        <v>18810</v>
      </c>
      <c r="G9027" s="8" t="s">
        <v>15</v>
      </c>
    </row>
    <row r="9028" spans="1:7" hidden="1" x14ac:dyDescent="0.25">
      <c r="A9028" s="21">
        <v>9027</v>
      </c>
      <c r="B9028" s="7" t="s">
        <v>18811</v>
      </c>
      <c r="C9028" s="7" t="s">
        <v>18812</v>
      </c>
      <c r="G9028" s="8" t="s">
        <v>15</v>
      </c>
    </row>
    <row r="9029" spans="1:7" hidden="1" x14ac:dyDescent="0.25">
      <c r="A9029" s="21">
        <v>9028</v>
      </c>
      <c r="B9029" s="7" t="s">
        <v>18813</v>
      </c>
      <c r="C9029" s="7" t="s">
        <v>18814</v>
      </c>
      <c r="G9029" s="8" t="s">
        <v>15</v>
      </c>
    </row>
    <row r="9030" spans="1:7" hidden="1" x14ac:dyDescent="0.25">
      <c r="A9030" s="21">
        <v>9029</v>
      </c>
      <c r="B9030" s="7" t="s">
        <v>18815</v>
      </c>
      <c r="C9030" s="7" t="s">
        <v>18816</v>
      </c>
      <c r="G9030" s="8" t="s">
        <v>15</v>
      </c>
    </row>
    <row r="9031" spans="1:7" hidden="1" x14ac:dyDescent="0.25">
      <c r="A9031" s="21">
        <v>9030</v>
      </c>
      <c r="B9031" s="7" t="s">
        <v>18817</v>
      </c>
      <c r="C9031" s="7" t="s">
        <v>18818</v>
      </c>
      <c r="G9031" s="8" t="s">
        <v>15</v>
      </c>
    </row>
    <row r="9032" spans="1:7" hidden="1" x14ac:dyDescent="0.25">
      <c r="A9032" s="21">
        <v>9031</v>
      </c>
      <c r="B9032" s="7" t="s">
        <v>18819</v>
      </c>
      <c r="C9032" s="7" t="s">
        <v>18820</v>
      </c>
      <c r="G9032" s="8" t="s">
        <v>15</v>
      </c>
    </row>
    <row r="9033" spans="1:7" hidden="1" x14ac:dyDescent="0.25">
      <c r="A9033" s="21">
        <v>9032</v>
      </c>
      <c r="B9033" s="7" t="s">
        <v>18821</v>
      </c>
      <c r="C9033" s="7" t="s">
        <v>18822</v>
      </c>
      <c r="G9033" s="8" t="s">
        <v>15</v>
      </c>
    </row>
    <row r="9034" spans="1:7" hidden="1" x14ac:dyDescent="0.25">
      <c r="A9034" s="21">
        <v>9033</v>
      </c>
      <c r="B9034" s="7" t="s">
        <v>18823</v>
      </c>
      <c r="C9034" s="7" t="s">
        <v>18824</v>
      </c>
      <c r="G9034" s="8" t="s">
        <v>15</v>
      </c>
    </row>
    <row r="9035" spans="1:7" hidden="1" x14ac:dyDescent="0.25">
      <c r="A9035" s="21">
        <v>9034</v>
      </c>
      <c r="B9035" s="7" t="s">
        <v>18825</v>
      </c>
      <c r="C9035" s="7" t="s">
        <v>18826</v>
      </c>
      <c r="G9035" s="8" t="s">
        <v>15</v>
      </c>
    </row>
    <row r="9036" spans="1:7" hidden="1" x14ac:dyDescent="0.25">
      <c r="A9036" s="21">
        <v>9035</v>
      </c>
      <c r="B9036" s="7" t="s">
        <v>18827</v>
      </c>
      <c r="C9036" s="7" t="s">
        <v>18828</v>
      </c>
      <c r="G9036" s="8" t="s">
        <v>15</v>
      </c>
    </row>
    <row r="9037" spans="1:7" hidden="1" x14ac:dyDescent="0.25">
      <c r="A9037" s="21">
        <v>9036</v>
      </c>
      <c r="B9037" s="7" t="s">
        <v>18829</v>
      </c>
      <c r="C9037" s="7" t="s">
        <v>18830</v>
      </c>
      <c r="G9037" s="8" t="s">
        <v>15</v>
      </c>
    </row>
    <row r="9038" spans="1:7" hidden="1" x14ac:dyDescent="0.25">
      <c r="A9038" s="21">
        <v>9037</v>
      </c>
      <c r="B9038" s="7" t="s">
        <v>18831</v>
      </c>
      <c r="C9038" s="7" t="s">
        <v>18832</v>
      </c>
      <c r="G9038" s="8" t="s">
        <v>15</v>
      </c>
    </row>
    <row r="9039" spans="1:7" hidden="1" x14ac:dyDescent="0.25">
      <c r="A9039" s="21">
        <v>9038</v>
      </c>
      <c r="B9039" s="7" t="s">
        <v>18833</v>
      </c>
      <c r="C9039" s="7" t="s">
        <v>18834</v>
      </c>
      <c r="G9039" s="8" t="s">
        <v>15</v>
      </c>
    </row>
    <row r="9040" spans="1:7" hidden="1" x14ac:dyDescent="0.25">
      <c r="A9040" s="21">
        <v>9039</v>
      </c>
      <c r="B9040" s="7" t="s">
        <v>18835</v>
      </c>
      <c r="C9040" s="7" t="s">
        <v>18836</v>
      </c>
      <c r="G9040" s="8" t="s">
        <v>15</v>
      </c>
    </row>
    <row r="9041" spans="1:7" hidden="1" x14ac:dyDescent="0.25">
      <c r="A9041" s="21">
        <v>9040</v>
      </c>
      <c r="B9041" s="7" t="s">
        <v>18837</v>
      </c>
      <c r="C9041" s="7" t="s">
        <v>18838</v>
      </c>
      <c r="G9041" s="8" t="s">
        <v>15</v>
      </c>
    </row>
    <row r="9042" spans="1:7" hidden="1" x14ac:dyDescent="0.25">
      <c r="A9042" s="21">
        <v>9041</v>
      </c>
      <c r="B9042" s="7" t="s">
        <v>18839</v>
      </c>
      <c r="C9042" s="7" t="s">
        <v>18840</v>
      </c>
      <c r="G9042" s="8" t="s">
        <v>15</v>
      </c>
    </row>
    <row r="9043" spans="1:7" hidden="1" x14ac:dyDescent="0.25">
      <c r="A9043" s="21">
        <v>9042</v>
      </c>
      <c r="B9043" s="7" t="s">
        <v>18841</v>
      </c>
      <c r="C9043" s="7" t="s">
        <v>18842</v>
      </c>
      <c r="G9043" s="8" t="s">
        <v>15</v>
      </c>
    </row>
    <row r="9044" spans="1:7" hidden="1" x14ac:dyDescent="0.25">
      <c r="A9044" s="21">
        <v>9043</v>
      </c>
      <c r="B9044" s="7" t="s">
        <v>18843</v>
      </c>
      <c r="C9044" s="7" t="s">
        <v>18844</v>
      </c>
      <c r="G9044" s="8" t="s">
        <v>15</v>
      </c>
    </row>
    <row r="9045" spans="1:7" hidden="1" x14ac:dyDescent="0.25">
      <c r="A9045" s="21">
        <v>9044</v>
      </c>
      <c r="B9045" s="7" t="s">
        <v>18845</v>
      </c>
      <c r="C9045" s="7" t="s">
        <v>18846</v>
      </c>
      <c r="G9045" s="8" t="s">
        <v>15</v>
      </c>
    </row>
    <row r="9046" spans="1:7" hidden="1" x14ac:dyDescent="0.25">
      <c r="A9046" s="21">
        <v>9045</v>
      </c>
      <c r="B9046" s="7" t="s">
        <v>18847</v>
      </c>
      <c r="C9046" s="7" t="s">
        <v>18848</v>
      </c>
      <c r="G9046" s="8" t="s">
        <v>15</v>
      </c>
    </row>
    <row r="9047" spans="1:7" hidden="1" x14ac:dyDescent="0.25">
      <c r="A9047" s="21">
        <v>9046</v>
      </c>
      <c r="B9047" s="7" t="s">
        <v>18849</v>
      </c>
      <c r="C9047" s="7" t="s">
        <v>18850</v>
      </c>
      <c r="G9047" s="8" t="s">
        <v>15</v>
      </c>
    </row>
    <row r="9048" spans="1:7" hidden="1" x14ac:dyDescent="0.25">
      <c r="A9048" s="21">
        <v>9047</v>
      </c>
      <c r="B9048" s="7" t="s">
        <v>18851</v>
      </c>
      <c r="C9048" s="7" t="s">
        <v>18852</v>
      </c>
      <c r="G9048" s="8" t="s">
        <v>15</v>
      </c>
    </row>
    <row r="9049" spans="1:7" hidden="1" x14ac:dyDescent="0.25">
      <c r="A9049" s="21">
        <v>9048</v>
      </c>
      <c r="B9049" s="7" t="s">
        <v>18853</v>
      </c>
      <c r="C9049" s="7" t="s">
        <v>18854</v>
      </c>
      <c r="G9049" s="8" t="s">
        <v>15</v>
      </c>
    </row>
    <row r="9050" spans="1:7" hidden="1" x14ac:dyDescent="0.25">
      <c r="A9050" s="21">
        <v>9049</v>
      </c>
      <c r="B9050" s="7" t="s">
        <v>18855</v>
      </c>
      <c r="C9050" s="7" t="s">
        <v>18856</v>
      </c>
      <c r="G9050" s="8" t="s">
        <v>15</v>
      </c>
    </row>
    <row r="9051" spans="1:7" hidden="1" x14ac:dyDescent="0.25">
      <c r="A9051" s="21">
        <v>9050</v>
      </c>
      <c r="B9051" s="7" t="s">
        <v>18857</v>
      </c>
      <c r="C9051" s="7" t="s">
        <v>18858</v>
      </c>
      <c r="G9051" s="8" t="s">
        <v>15</v>
      </c>
    </row>
    <row r="9052" spans="1:7" hidden="1" x14ac:dyDescent="0.25">
      <c r="A9052" s="21">
        <v>9051</v>
      </c>
      <c r="B9052" s="7" t="s">
        <v>18859</v>
      </c>
      <c r="C9052" s="7" t="s">
        <v>18860</v>
      </c>
      <c r="G9052" s="8" t="s">
        <v>15</v>
      </c>
    </row>
    <row r="9053" spans="1:7" hidden="1" x14ac:dyDescent="0.25">
      <c r="A9053" s="21">
        <v>9052</v>
      </c>
      <c r="B9053" s="7" t="s">
        <v>18861</v>
      </c>
      <c r="C9053" s="7" t="s">
        <v>18862</v>
      </c>
      <c r="G9053" s="8" t="s">
        <v>15</v>
      </c>
    </row>
    <row r="9054" spans="1:7" hidden="1" x14ac:dyDescent="0.25">
      <c r="A9054" s="21">
        <v>9053</v>
      </c>
      <c r="B9054" s="7" t="s">
        <v>18863</v>
      </c>
      <c r="C9054" s="7" t="s">
        <v>18864</v>
      </c>
      <c r="G9054" s="8" t="s">
        <v>15</v>
      </c>
    </row>
    <row r="9055" spans="1:7" hidden="1" x14ac:dyDescent="0.25">
      <c r="A9055" s="21">
        <v>9054</v>
      </c>
      <c r="B9055" s="7" t="s">
        <v>18865</v>
      </c>
      <c r="C9055" s="7" t="s">
        <v>18866</v>
      </c>
      <c r="G9055" s="8" t="s">
        <v>15</v>
      </c>
    </row>
    <row r="9056" spans="1:7" hidden="1" x14ac:dyDescent="0.25">
      <c r="A9056" s="21">
        <v>9055</v>
      </c>
      <c r="B9056" s="7" t="s">
        <v>18867</v>
      </c>
      <c r="C9056" s="7" t="s">
        <v>18868</v>
      </c>
      <c r="G9056" s="8" t="s">
        <v>15</v>
      </c>
    </row>
    <row r="9057" spans="1:7" hidden="1" x14ac:dyDescent="0.25">
      <c r="A9057" s="21">
        <v>9056</v>
      </c>
      <c r="B9057" s="7" t="s">
        <v>18869</v>
      </c>
      <c r="C9057" s="7" t="s">
        <v>18870</v>
      </c>
      <c r="G9057" s="8" t="s">
        <v>15</v>
      </c>
    </row>
    <row r="9058" spans="1:7" hidden="1" x14ac:dyDescent="0.25">
      <c r="A9058" s="21">
        <v>9057</v>
      </c>
      <c r="B9058" s="7" t="s">
        <v>18871</v>
      </c>
      <c r="C9058" s="7" t="s">
        <v>18872</v>
      </c>
      <c r="G9058" s="8" t="s">
        <v>15</v>
      </c>
    </row>
    <row r="9059" spans="1:7" hidden="1" x14ac:dyDescent="0.25">
      <c r="A9059" s="21">
        <v>9058</v>
      </c>
      <c r="B9059" s="7" t="s">
        <v>18873</v>
      </c>
      <c r="C9059" s="7" t="s">
        <v>18874</v>
      </c>
      <c r="G9059" s="8" t="s">
        <v>15</v>
      </c>
    </row>
    <row r="9060" spans="1:7" hidden="1" x14ac:dyDescent="0.25">
      <c r="A9060" s="21">
        <v>9059</v>
      </c>
      <c r="B9060" s="7" t="s">
        <v>18875</v>
      </c>
      <c r="C9060" s="7" t="s">
        <v>18876</v>
      </c>
      <c r="G9060" s="8" t="s">
        <v>15</v>
      </c>
    </row>
    <row r="9061" spans="1:7" hidden="1" x14ac:dyDescent="0.25">
      <c r="A9061" s="21">
        <v>9060</v>
      </c>
      <c r="B9061" s="7" t="s">
        <v>18877</v>
      </c>
      <c r="C9061" s="7" t="s">
        <v>18878</v>
      </c>
      <c r="G9061" s="8" t="s">
        <v>15</v>
      </c>
    </row>
    <row r="9062" spans="1:7" hidden="1" x14ac:dyDescent="0.25">
      <c r="A9062" s="21">
        <v>9061</v>
      </c>
      <c r="B9062" s="7" t="s">
        <v>18879</v>
      </c>
      <c r="C9062" s="7" t="s">
        <v>18880</v>
      </c>
      <c r="G9062" s="8" t="s">
        <v>15</v>
      </c>
    </row>
    <row r="9063" spans="1:7" hidden="1" x14ac:dyDescent="0.25">
      <c r="A9063" s="21">
        <v>9062</v>
      </c>
      <c r="B9063" s="7" t="s">
        <v>18881</v>
      </c>
      <c r="C9063" s="7" t="s">
        <v>18882</v>
      </c>
      <c r="G9063" s="8" t="s">
        <v>15</v>
      </c>
    </row>
    <row r="9064" spans="1:7" hidden="1" x14ac:dyDescent="0.25">
      <c r="A9064" s="21">
        <v>9063</v>
      </c>
      <c r="B9064" s="7" t="s">
        <v>18883</v>
      </c>
      <c r="C9064" s="7" t="s">
        <v>18884</v>
      </c>
      <c r="G9064" s="8" t="s">
        <v>15</v>
      </c>
    </row>
    <row r="9065" spans="1:7" hidden="1" x14ac:dyDescent="0.25">
      <c r="A9065" s="21">
        <v>9064</v>
      </c>
      <c r="B9065" s="7" t="s">
        <v>18885</v>
      </c>
      <c r="C9065" s="7" t="s">
        <v>18886</v>
      </c>
      <c r="G9065" s="8" t="s">
        <v>15</v>
      </c>
    </row>
    <row r="9066" spans="1:7" hidden="1" x14ac:dyDescent="0.25">
      <c r="A9066" s="21">
        <v>9065</v>
      </c>
      <c r="B9066" s="7" t="s">
        <v>18887</v>
      </c>
      <c r="C9066" s="7" t="s">
        <v>18888</v>
      </c>
      <c r="G9066" s="8" t="s">
        <v>15</v>
      </c>
    </row>
    <row r="9067" spans="1:7" hidden="1" x14ac:dyDescent="0.25">
      <c r="A9067" s="21">
        <v>9066</v>
      </c>
      <c r="B9067" s="7" t="s">
        <v>18889</v>
      </c>
      <c r="C9067" s="7" t="s">
        <v>18890</v>
      </c>
      <c r="G9067" s="8" t="s">
        <v>15</v>
      </c>
    </row>
    <row r="9068" spans="1:7" ht="15.75" hidden="1" thickBot="1" x14ac:dyDescent="0.3">
      <c r="A9068" s="21">
        <v>9067</v>
      </c>
      <c r="B9068" s="19" t="s">
        <v>18891</v>
      </c>
      <c r="C9068" s="16" t="s">
        <v>18892</v>
      </c>
      <c r="G9068" s="8" t="s">
        <v>15</v>
      </c>
    </row>
    <row r="9069" spans="1:7" hidden="1" x14ac:dyDescent="0.25">
      <c r="A9069" s="21">
        <v>9068</v>
      </c>
      <c r="B9069" s="22" t="s">
        <v>18893</v>
      </c>
      <c r="C9069" s="20" t="s">
        <v>18894</v>
      </c>
      <c r="G9069" s="8" t="s">
        <v>15</v>
      </c>
    </row>
    <row r="9070" spans="1:7" hidden="1" x14ac:dyDescent="0.25">
      <c r="A9070" s="21">
        <v>9069</v>
      </c>
      <c r="B9070" s="22" t="s">
        <v>18895</v>
      </c>
      <c r="C9070" s="20" t="s">
        <v>18896</v>
      </c>
      <c r="G9070" s="8" t="s">
        <v>15</v>
      </c>
    </row>
    <row r="9071" spans="1:7" hidden="1" x14ac:dyDescent="0.25">
      <c r="A9071" s="21">
        <v>9070</v>
      </c>
      <c r="B9071" s="22" t="s">
        <v>18897</v>
      </c>
      <c r="C9071" s="20" t="s">
        <v>18898</v>
      </c>
      <c r="G9071" s="8" t="s">
        <v>15</v>
      </c>
    </row>
    <row r="9072" spans="1:7" hidden="1" x14ac:dyDescent="0.25">
      <c r="A9072" s="21">
        <v>9071</v>
      </c>
      <c r="B9072" s="22" t="s">
        <v>18899</v>
      </c>
      <c r="C9072" s="20" t="s">
        <v>18900</v>
      </c>
      <c r="G9072" s="8" t="s">
        <v>15</v>
      </c>
    </row>
    <row r="9073" spans="1:7" hidden="1" x14ac:dyDescent="0.25">
      <c r="A9073" s="21">
        <v>9072</v>
      </c>
      <c r="B9073" s="22" t="s">
        <v>18901</v>
      </c>
      <c r="C9073" s="20" t="s">
        <v>18902</v>
      </c>
      <c r="G9073" s="8" t="s">
        <v>15</v>
      </c>
    </row>
    <row r="9074" spans="1:7" hidden="1" x14ac:dyDescent="0.25">
      <c r="A9074" s="21">
        <v>9073</v>
      </c>
      <c r="B9074" s="22" t="s">
        <v>18903</v>
      </c>
      <c r="C9074" s="20" t="s">
        <v>18904</v>
      </c>
      <c r="G9074" s="8" t="s">
        <v>15</v>
      </c>
    </row>
    <row r="9075" spans="1:7" hidden="1" x14ac:dyDescent="0.25">
      <c r="A9075" s="21">
        <v>9074</v>
      </c>
      <c r="B9075" s="22" t="s">
        <v>18905</v>
      </c>
      <c r="C9075" s="20" t="s">
        <v>18906</v>
      </c>
      <c r="G9075" s="8" t="s">
        <v>15</v>
      </c>
    </row>
    <row r="9076" spans="1:7" hidden="1" x14ac:dyDescent="0.25">
      <c r="A9076" s="21">
        <v>9075</v>
      </c>
      <c r="B9076" s="22" t="s">
        <v>18907</v>
      </c>
      <c r="C9076" s="20" t="s">
        <v>18908</v>
      </c>
      <c r="G9076" s="8" t="s">
        <v>15</v>
      </c>
    </row>
    <row r="9077" spans="1:7" hidden="1" x14ac:dyDescent="0.25">
      <c r="A9077" s="21">
        <v>9076</v>
      </c>
      <c r="B9077" s="22" t="s">
        <v>18909</v>
      </c>
      <c r="C9077" s="20" t="s">
        <v>18910</v>
      </c>
      <c r="G9077" s="8" t="s">
        <v>15</v>
      </c>
    </row>
    <row r="9078" spans="1:7" hidden="1" x14ac:dyDescent="0.25">
      <c r="A9078" s="21">
        <v>9077</v>
      </c>
      <c r="B9078" s="22" t="s">
        <v>18911</v>
      </c>
      <c r="C9078" s="20" t="s">
        <v>18912</v>
      </c>
      <c r="G9078" s="8" t="s">
        <v>15</v>
      </c>
    </row>
    <row r="9079" spans="1:7" hidden="1" x14ac:dyDescent="0.25">
      <c r="A9079" s="21">
        <v>9078</v>
      </c>
      <c r="B9079" s="22" t="s">
        <v>18913</v>
      </c>
      <c r="C9079" s="20" t="s">
        <v>18914</v>
      </c>
      <c r="G9079" s="8" t="s">
        <v>15</v>
      </c>
    </row>
    <row r="9080" spans="1:7" hidden="1" x14ac:dyDescent="0.25">
      <c r="A9080" s="21">
        <v>9079</v>
      </c>
      <c r="B9080" s="22" t="s">
        <v>18915</v>
      </c>
      <c r="C9080" s="20" t="s">
        <v>18916</v>
      </c>
      <c r="G9080" s="8" t="s">
        <v>15</v>
      </c>
    </row>
    <row r="9081" spans="1:7" hidden="1" x14ac:dyDescent="0.25">
      <c r="A9081" s="21">
        <v>9080</v>
      </c>
      <c r="B9081" s="22" t="s">
        <v>18917</v>
      </c>
      <c r="C9081" s="20" t="s">
        <v>18918</v>
      </c>
      <c r="G9081" s="8" t="s">
        <v>15</v>
      </c>
    </row>
    <row r="9082" spans="1:7" hidden="1" x14ac:dyDescent="0.25">
      <c r="A9082" s="21">
        <v>9081</v>
      </c>
      <c r="B9082" s="22" t="s">
        <v>18919</v>
      </c>
      <c r="C9082" s="20" t="s">
        <v>18920</v>
      </c>
      <c r="G9082" s="8" t="s">
        <v>15</v>
      </c>
    </row>
    <row r="9083" spans="1:7" hidden="1" x14ac:dyDescent="0.25">
      <c r="A9083" s="21">
        <v>9082</v>
      </c>
      <c r="B9083" s="22" t="s">
        <v>18921</v>
      </c>
      <c r="C9083" s="20" t="s">
        <v>18922</v>
      </c>
      <c r="G9083" s="8" t="s">
        <v>15</v>
      </c>
    </row>
    <row r="9084" spans="1:7" hidden="1" x14ac:dyDescent="0.25">
      <c r="A9084" s="21">
        <v>9083</v>
      </c>
      <c r="B9084" s="22" t="s">
        <v>18923</v>
      </c>
      <c r="C9084" s="20" t="s">
        <v>18924</v>
      </c>
      <c r="G9084" s="8" t="s">
        <v>15</v>
      </c>
    </row>
    <row r="9085" spans="1:7" hidden="1" x14ac:dyDescent="0.25">
      <c r="A9085" s="21">
        <v>9084</v>
      </c>
      <c r="B9085" s="22" t="s">
        <v>18925</v>
      </c>
      <c r="C9085" s="20" t="s">
        <v>18926</v>
      </c>
      <c r="G9085" s="8" t="s">
        <v>15</v>
      </c>
    </row>
    <row r="9086" spans="1:7" hidden="1" x14ac:dyDescent="0.25">
      <c r="A9086" s="21">
        <v>9085</v>
      </c>
      <c r="B9086" s="22" t="s">
        <v>18927</v>
      </c>
      <c r="C9086" s="20" t="s">
        <v>18928</v>
      </c>
      <c r="G9086" s="8" t="s">
        <v>15</v>
      </c>
    </row>
    <row r="9087" spans="1:7" hidden="1" x14ac:dyDescent="0.25">
      <c r="A9087" s="21">
        <v>9086</v>
      </c>
      <c r="B9087" s="22" t="s">
        <v>18929</v>
      </c>
      <c r="C9087" s="20" t="s">
        <v>18930</v>
      </c>
      <c r="G9087" s="8" t="s">
        <v>15</v>
      </c>
    </row>
    <row r="9088" spans="1:7" hidden="1" x14ac:dyDescent="0.25">
      <c r="A9088" s="21">
        <v>9087</v>
      </c>
      <c r="B9088" s="22" t="s">
        <v>18931</v>
      </c>
      <c r="C9088" s="20" t="s">
        <v>18932</v>
      </c>
      <c r="G9088" s="8" t="s">
        <v>15</v>
      </c>
    </row>
    <row r="9089" spans="1:7" hidden="1" x14ac:dyDescent="0.25">
      <c r="A9089" s="21">
        <v>9088</v>
      </c>
      <c r="B9089" s="22" t="s">
        <v>18933</v>
      </c>
      <c r="C9089" s="20" t="s">
        <v>18934</v>
      </c>
      <c r="G9089" s="8" t="s">
        <v>15</v>
      </c>
    </row>
    <row r="9090" spans="1:7" hidden="1" x14ac:dyDescent="0.25">
      <c r="A9090" s="21">
        <v>9089</v>
      </c>
      <c r="B9090" s="22" t="s">
        <v>18935</v>
      </c>
      <c r="C9090" s="20" t="s">
        <v>18936</v>
      </c>
      <c r="G9090" s="8" t="s">
        <v>15</v>
      </c>
    </row>
    <row r="9091" spans="1:7" hidden="1" x14ac:dyDescent="0.25">
      <c r="A9091" s="21">
        <v>9090</v>
      </c>
      <c r="B9091" s="22" t="s">
        <v>18937</v>
      </c>
      <c r="C9091" s="20" t="s">
        <v>18938</v>
      </c>
      <c r="G9091" s="8" t="s">
        <v>15</v>
      </c>
    </row>
    <row r="9092" spans="1:7" hidden="1" x14ac:dyDescent="0.25">
      <c r="A9092" s="21">
        <v>9091</v>
      </c>
      <c r="B9092" s="22" t="s">
        <v>18939</v>
      </c>
      <c r="C9092" s="20" t="s">
        <v>18940</v>
      </c>
      <c r="G9092" s="8" t="s">
        <v>15</v>
      </c>
    </row>
    <row r="9093" spans="1:7" hidden="1" x14ac:dyDescent="0.25">
      <c r="A9093" s="21">
        <v>9092</v>
      </c>
      <c r="B9093" s="22" t="s">
        <v>18941</v>
      </c>
      <c r="C9093" s="20" t="s">
        <v>18942</v>
      </c>
      <c r="G9093" s="8" t="s">
        <v>15</v>
      </c>
    </row>
    <row r="9094" spans="1:7" hidden="1" x14ac:dyDescent="0.25">
      <c r="A9094" s="21">
        <v>9093</v>
      </c>
      <c r="B9094" s="22" t="s">
        <v>18943</v>
      </c>
      <c r="C9094" s="20" t="s">
        <v>18944</v>
      </c>
      <c r="G9094" s="8" t="s">
        <v>15</v>
      </c>
    </row>
    <row r="9095" spans="1:7" hidden="1" x14ac:dyDescent="0.25">
      <c r="A9095" s="21">
        <v>9094</v>
      </c>
      <c r="B9095" s="22" t="s">
        <v>18945</v>
      </c>
      <c r="C9095" s="20" t="s">
        <v>18946</v>
      </c>
      <c r="G9095" s="8" t="s">
        <v>15</v>
      </c>
    </row>
    <row r="9096" spans="1:7" hidden="1" x14ac:dyDescent="0.25">
      <c r="A9096" s="21">
        <v>9095</v>
      </c>
      <c r="B9096" s="22" t="s">
        <v>18947</v>
      </c>
      <c r="C9096" s="20" t="s">
        <v>18948</v>
      </c>
      <c r="G9096" s="8" t="s">
        <v>15</v>
      </c>
    </row>
    <row r="9097" spans="1:7" hidden="1" x14ac:dyDescent="0.25">
      <c r="A9097" s="21">
        <v>9096</v>
      </c>
      <c r="B9097" s="22" t="s">
        <v>18949</v>
      </c>
      <c r="C9097" s="20" t="s">
        <v>18950</v>
      </c>
      <c r="G9097" s="8" t="s">
        <v>15</v>
      </c>
    </row>
    <row r="9098" spans="1:7" hidden="1" x14ac:dyDescent="0.25">
      <c r="A9098" s="21">
        <v>9097</v>
      </c>
      <c r="B9098" s="22" t="s">
        <v>18951</v>
      </c>
      <c r="C9098" s="20" t="s">
        <v>18952</v>
      </c>
      <c r="G9098" s="8" t="s">
        <v>15</v>
      </c>
    </row>
    <row r="9099" spans="1:7" hidden="1" x14ac:dyDescent="0.25">
      <c r="A9099" s="21">
        <v>9098</v>
      </c>
      <c r="B9099" s="22" t="s">
        <v>18953</v>
      </c>
      <c r="C9099" s="20" t="s">
        <v>18954</v>
      </c>
      <c r="G9099" s="8" t="s">
        <v>15</v>
      </c>
    </row>
    <row r="9100" spans="1:7" hidden="1" x14ac:dyDescent="0.25">
      <c r="A9100" s="21">
        <v>9099</v>
      </c>
      <c r="B9100" s="22" t="s">
        <v>18955</v>
      </c>
      <c r="C9100" s="20" t="s">
        <v>18956</v>
      </c>
      <c r="G9100" s="8" t="s">
        <v>15</v>
      </c>
    </row>
    <row r="9101" spans="1:7" hidden="1" x14ac:dyDescent="0.25">
      <c r="A9101" s="21">
        <v>9100</v>
      </c>
      <c r="B9101" s="22" t="s">
        <v>18957</v>
      </c>
      <c r="C9101" s="20" t="s">
        <v>18958</v>
      </c>
      <c r="G9101" s="8" t="s">
        <v>15</v>
      </c>
    </row>
    <row r="9102" spans="1:7" hidden="1" x14ac:dyDescent="0.25">
      <c r="A9102" s="21">
        <v>9101</v>
      </c>
      <c r="B9102" s="22" t="s">
        <v>18959</v>
      </c>
      <c r="C9102" s="20" t="s">
        <v>18960</v>
      </c>
      <c r="G9102" s="8" t="s">
        <v>15</v>
      </c>
    </row>
    <row r="9103" spans="1:7" hidden="1" x14ac:dyDescent="0.25">
      <c r="A9103" s="21">
        <v>9102</v>
      </c>
      <c r="B9103" s="22" t="s">
        <v>18961</v>
      </c>
      <c r="C9103" s="20" t="s">
        <v>18962</v>
      </c>
      <c r="G9103" s="8" t="s">
        <v>15</v>
      </c>
    </row>
    <row r="9104" spans="1:7" hidden="1" x14ac:dyDescent="0.25">
      <c r="A9104" s="21">
        <v>9103</v>
      </c>
      <c r="B9104" s="22" t="s">
        <v>18963</v>
      </c>
      <c r="C9104" s="20" t="s">
        <v>18964</v>
      </c>
      <c r="G9104" s="8" t="s">
        <v>15</v>
      </c>
    </row>
    <row r="9105" spans="1:7" hidden="1" x14ac:dyDescent="0.25">
      <c r="A9105" s="21">
        <v>9104</v>
      </c>
      <c r="B9105" s="22" t="s">
        <v>18965</v>
      </c>
      <c r="C9105" s="20" t="s">
        <v>18966</v>
      </c>
      <c r="G9105" s="8" t="s">
        <v>15</v>
      </c>
    </row>
    <row r="9106" spans="1:7" hidden="1" x14ac:dyDescent="0.25">
      <c r="A9106" s="21">
        <v>9105</v>
      </c>
      <c r="B9106" s="22" t="s">
        <v>18967</v>
      </c>
      <c r="C9106" s="20" t="s">
        <v>18968</v>
      </c>
      <c r="G9106" s="8" t="s">
        <v>15</v>
      </c>
    </row>
    <row r="9107" spans="1:7" hidden="1" x14ac:dyDescent="0.25">
      <c r="A9107" s="21">
        <v>9106</v>
      </c>
      <c r="B9107" s="22" t="s">
        <v>18969</v>
      </c>
      <c r="C9107" s="20" t="s">
        <v>18970</v>
      </c>
      <c r="G9107" s="8" t="s">
        <v>15</v>
      </c>
    </row>
    <row r="9108" spans="1:7" hidden="1" x14ac:dyDescent="0.25">
      <c r="A9108" s="21">
        <v>9107</v>
      </c>
      <c r="B9108" s="22" t="s">
        <v>18971</v>
      </c>
      <c r="C9108" s="20" t="s">
        <v>18972</v>
      </c>
      <c r="G9108" s="8" t="s">
        <v>15</v>
      </c>
    </row>
    <row r="9109" spans="1:7" hidden="1" x14ac:dyDescent="0.25">
      <c r="A9109" s="21">
        <v>9108</v>
      </c>
      <c r="B9109" s="22" t="s">
        <v>18973</v>
      </c>
      <c r="C9109" s="20" t="s">
        <v>18974</v>
      </c>
      <c r="G9109" s="8" t="s">
        <v>15</v>
      </c>
    </row>
    <row r="9110" spans="1:7" hidden="1" x14ac:dyDescent="0.25">
      <c r="A9110" s="21">
        <v>9109</v>
      </c>
      <c r="B9110" s="22" t="s">
        <v>18975</v>
      </c>
      <c r="C9110" s="20" t="s">
        <v>18976</v>
      </c>
      <c r="G9110" s="8" t="s">
        <v>15</v>
      </c>
    </row>
    <row r="9111" spans="1:7" hidden="1" x14ac:dyDescent="0.25">
      <c r="A9111" s="21">
        <v>9110</v>
      </c>
      <c r="B9111" s="22" t="s">
        <v>18977</v>
      </c>
      <c r="C9111" s="20" t="s">
        <v>18978</v>
      </c>
      <c r="G9111" s="8" t="s">
        <v>15</v>
      </c>
    </row>
    <row r="9112" spans="1:7" hidden="1" x14ac:dyDescent="0.25">
      <c r="A9112" s="21">
        <v>9111</v>
      </c>
      <c r="B9112" s="22" t="s">
        <v>18979</v>
      </c>
      <c r="C9112" s="20" t="s">
        <v>18980</v>
      </c>
      <c r="G9112" s="8" t="s">
        <v>15</v>
      </c>
    </row>
    <row r="9113" spans="1:7" hidden="1" x14ac:dyDescent="0.25">
      <c r="A9113" s="21">
        <v>9112</v>
      </c>
      <c r="B9113" s="22" t="s">
        <v>18981</v>
      </c>
      <c r="C9113" s="20" t="s">
        <v>18982</v>
      </c>
      <c r="G9113" s="8" t="s">
        <v>15</v>
      </c>
    </row>
    <row r="9114" spans="1:7" hidden="1" x14ac:dyDescent="0.25">
      <c r="A9114" s="21">
        <v>9113</v>
      </c>
      <c r="B9114" s="22" t="s">
        <v>18983</v>
      </c>
      <c r="C9114" s="20" t="s">
        <v>18984</v>
      </c>
      <c r="G9114" s="8" t="s">
        <v>15</v>
      </c>
    </row>
    <row r="9115" spans="1:7" hidden="1" x14ac:dyDescent="0.25">
      <c r="A9115" s="21">
        <v>9114</v>
      </c>
      <c r="B9115" s="22" t="s">
        <v>18985</v>
      </c>
      <c r="C9115" s="20" t="s">
        <v>18986</v>
      </c>
      <c r="G9115" s="8" t="s">
        <v>15</v>
      </c>
    </row>
    <row r="9116" spans="1:7" hidden="1" x14ac:dyDescent="0.25">
      <c r="A9116" s="21">
        <v>9115</v>
      </c>
      <c r="B9116" s="22" t="s">
        <v>18987</v>
      </c>
      <c r="C9116" s="20" t="s">
        <v>18988</v>
      </c>
      <c r="G9116" s="8" t="s">
        <v>15</v>
      </c>
    </row>
    <row r="9117" spans="1:7" hidden="1" x14ac:dyDescent="0.25">
      <c r="A9117" s="21">
        <v>9116</v>
      </c>
      <c r="B9117" s="22" t="s">
        <v>18989</v>
      </c>
      <c r="C9117" s="20" t="s">
        <v>18990</v>
      </c>
      <c r="G9117" s="8" t="s">
        <v>15</v>
      </c>
    </row>
    <row r="9118" spans="1:7" hidden="1" x14ac:dyDescent="0.25">
      <c r="A9118" s="21">
        <v>9117</v>
      </c>
      <c r="B9118" s="22" t="s">
        <v>18991</v>
      </c>
      <c r="C9118" s="20" t="s">
        <v>18992</v>
      </c>
      <c r="G9118" s="8" t="s">
        <v>15</v>
      </c>
    </row>
    <row r="9119" spans="1:7" hidden="1" x14ac:dyDescent="0.25">
      <c r="A9119" s="21">
        <v>9118</v>
      </c>
      <c r="B9119" s="22" t="s">
        <v>18993</v>
      </c>
      <c r="C9119" s="20" t="s">
        <v>18994</v>
      </c>
      <c r="G9119" s="8" t="s">
        <v>15</v>
      </c>
    </row>
    <row r="9120" spans="1:7" hidden="1" x14ac:dyDescent="0.25">
      <c r="A9120" s="21">
        <v>9119</v>
      </c>
      <c r="B9120" s="22" t="s">
        <v>18995</v>
      </c>
      <c r="C9120" s="20" t="s">
        <v>18996</v>
      </c>
      <c r="F9120" t="s">
        <v>1603</v>
      </c>
      <c r="G9120" s="8" t="s">
        <v>15</v>
      </c>
    </row>
    <row r="9121" spans="1:7" hidden="1" x14ac:dyDescent="0.25">
      <c r="A9121" s="21">
        <v>9120</v>
      </c>
      <c r="B9121" s="22" t="s">
        <v>18997</v>
      </c>
      <c r="C9121" s="20" t="s">
        <v>18998</v>
      </c>
      <c r="F9121" t="s">
        <v>1603</v>
      </c>
      <c r="G9121" s="8" t="s">
        <v>15</v>
      </c>
    </row>
    <row r="9122" spans="1:7" hidden="1" x14ac:dyDescent="0.25">
      <c r="A9122" s="21">
        <v>9121</v>
      </c>
      <c r="B9122" s="22" t="s">
        <v>18999</v>
      </c>
      <c r="C9122" s="20" t="s">
        <v>19000</v>
      </c>
      <c r="F9122" t="s">
        <v>1603</v>
      </c>
      <c r="G9122" s="8" t="s">
        <v>15</v>
      </c>
    </row>
    <row r="9123" spans="1:7" hidden="1" x14ac:dyDescent="0.25">
      <c r="A9123" s="21">
        <v>9122</v>
      </c>
      <c r="B9123" s="22" t="s">
        <v>19001</v>
      </c>
      <c r="C9123" s="20" t="s">
        <v>19002</v>
      </c>
      <c r="F9123" t="s">
        <v>1603</v>
      </c>
      <c r="G9123" s="8" t="s">
        <v>15</v>
      </c>
    </row>
    <row r="9124" spans="1:7" hidden="1" x14ac:dyDescent="0.25">
      <c r="A9124" s="21">
        <v>9123</v>
      </c>
      <c r="B9124" s="22" t="s">
        <v>19003</v>
      </c>
      <c r="C9124" s="20" t="s">
        <v>19004</v>
      </c>
      <c r="F9124" t="s">
        <v>1603</v>
      </c>
      <c r="G9124" s="8" t="s">
        <v>15</v>
      </c>
    </row>
    <row r="9125" spans="1:7" hidden="1" x14ac:dyDescent="0.25">
      <c r="A9125" s="21">
        <v>9124</v>
      </c>
      <c r="B9125" s="22" t="s">
        <v>19005</v>
      </c>
      <c r="C9125" s="20" t="s">
        <v>19006</v>
      </c>
      <c r="F9125" t="s">
        <v>1603</v>
      </c>
      <c r="G9125" s="8" t="s">
        <v>15</v>
      </c>
    </row>
    <row r="9126" spans="1:7" hidden="1" x14ac:dyDescent="0.25">
      <c r="A9126" s="21">
        <v>9125</v>
      </c>
      <c r="B9126" s="22" t="s">
        <v>19007</v>
      </c>
      <c r="C9126" s="20" t="s">
        <v>19008</v>
      </c>
      <c r="F9126" t="s">
        <v>1603</v>
      </c>
      <c r="G9126" s="8" t="s">
        <v>15</v>
      </c>
    </row>
    <row r="9127" spans="1:7" hidden="1" x14ac:dyDescent="0.25">
      <c r="A9127" s="21">
        <v>9126</v>
      </c>
      <c r="B9127" s="22" t="s">
        <v>19009</v>
      </c>
      <c r="C9127" s="20" t="s">
        <v>19010</v>
      </c>
      <c r="F9127" t="s">
        <v>1603</v>
      </c>
      <c r="G9127" s="8" t="s">
        <v>15</v>
      </c>
    </row>
    <row r="9128" spans="1:7" hidden="1" x14ac:dyDescent="0.25">
      <c r="A9128" s="21">
        <v>9127</v>
      </c>
      <c r="B9128" s="22" t="s">
        <v>19011</v>
      </c>
      <c r="C9128" s="20" t="s">
        <v>19012</v>
      </c>
      <c r="F9128" t="s">
        <v>1603</v>
      </c>
      <c r="G9128" s="8" t="s">
        <v>15</v>
      </c>
    </row>
    <row r="9129" spans="1:7" hidden="1" x14ac:dyDescent="0.25">
      <c r="A9129" s="21">
        <v>9128</v>
      </c>
      <c r="B9129" s="22" t="s">
        <v>19013</v>
      </c>
      <c r="C9129" s="20" t="s">
        <v>19014</v>
      </c>
      <c r="F9129" t="s">
        <v>1603</v>
      </c>
      <c r="G9129" s="8" t="s">
        <v>15</v>
      </c>
    </row>
    <row r="9130" spans="1:7" hidden="1" x14ac:dyDescent="0.25">
      <c r="A9130" s="21">
        <v>9129</v>
      </c>
      <c r="B9130" s="22" t="s">
        <v>19015</v>
      </c>
      <c r="C9130" s="20" t="s">
        <v>19016</v>
      </c>
      <c r="F9130" t="s">
        <v>1603</v>
      </c>
      <c r="G9130" s="8" t="s">
        <v>15</v>
      </c>
    </row>
    <row r="9131" spans="1:7" hidden="1" x14ac:dyDescent="0.25">
      <c r="A9131" s="21">
        <v>9130</v>
      </c>
      <c r="B9131" s="22" t="s">
        <v>19017</v>
      </c>
      <c r="C9131" s="20" t="s">
        <v>19018</v>
      </c>
      <c r="F9131" t="s">
        <v>1603</v>
      </c>
      <c r="G9131" s="8" t="s">
        <v>15</v>
      </c>
    </row>
    <row r="9132" spans="1:7" hidden="1" x14ac:dyDescent="0.25">
      <c r="A9132" s="21">
        <v>9131</v>
      </c>
      <c r="B9132" s="22" t="s">
        <v>19019</v>
      </c>
      <c r="C9132" s="20" t="s">
        <v>19020</v>
      </c>
      <c r="F9132" t="s">
        <v>1603</v>
      </c>
      <c r="G9132" s="8" t="s">
        <v>15</v>
      </c>
    </row>
    <row r="9133" spans="1:7" hidden="1" x14ac:dyDescent="0.25">
      <c r="A9133" s="21">
        <v>9132</v>
      </c>
      <c r="B9133" s="22" t="s">
        <v>19021</v>
      </c>
      <c r="C9133" s="20" t="s">
        <v>19022</v>
      </c>
      <c r="F9133" t="s">
        <v>1603</v>
      </c>
      <c r="G9133" s="8" t="s">
        <v>15</v>
      </c>
    </row>
    <row r="9134" spans="1:7" hidden="1" x14ac:dyDescent="0.25">
      <c r="A9134" s="21">
        <v>9133</v>
      </c>
      <c r="B9134" s="22" t="s">
        <v>19023</v>
      </c>
      <c r="C9134" s="20" t="s">
        <v>19024</v>
      </c>
      <c r="F9134" t="s">
        <v>1603</v>
      </c>
      <c r="G9134" s="8" t="s">
        <v>15</v>
      </c>
    </row>
    <row r="9135" spans="1:7" hidden="1" x14ac:dyDescent="0.25">
      <c r="A9135" s="21">
        <v>9134</v>
      </c>
      <c r="B9135" s="22" t="s">
        <v>19025</v>
      </c>
      <c r="C9135" s="20" t="s">
        <v>19026</v>
      </c>
      <c r="F9135" t="s">
        <v>1603</v>
      </c>
      <c r="G9135" s="8" t="s">
        <v>15</v>
      </c>
    </row>
    <row r="9136" spans="1:7" hidden="1" x14ac:dyDescent="0.25">
      <c r="A9136" s="21">
        <v>9135</v>
      </c>
      <c r="B9136" s="22" t="s">
        <v>19027</v>
      </c>
      <c r="C9136" s="20" t="s">
        <v>19028</v>
      </c>
      <c r="F9136" t="s">
        <v>1603</v>
      </c>
      <c r="G9136" s="8" t="s">
        <v>15</v>
      </c>
    </row>
    <row r="9137" spans="1:7" hidden="1" x14ac:dyDescent="0.25">
      <c r="A9137" s="21">
        <v>9136</v>
      </c>
      <c r="B9137" s="22" t="s">
        <v>19029</v>
      </c>
      <c r="C9137" s="20" t="s">
        <v>19030</v>
      </c>
      <c r="F9137" t="s">
        <v>1603</v>
      </c>
      <c r="G9137" s="8" t="s">
        <v>15</v>
      </c>
    </row>
    <row r="9138" spans="1:7" hidden="1" x14ac:dyDescent="0.25">
      <c r="A9138" s="21">
        <v>9137</v>
      </c>
      <c r="B9138" s="22" t="s">
        <v>19031</v>
      </c>
      <c r="C9138" s="20" t="s">
        <v>19032</v>
      </c>
      <c r="F9138" t="s">
        <v>1603</v>
      </c>
      <c r="G9138" s="8" t="s">
        <v>15</v>
      </c>
    </row>
    <row r="9139" spans="1:7" hidden="1" x14ac:dyDescent="0.25">
      <c r="A9139" s="21">
        <v>9138</v>
      </c>
      <c r="B9139" s="22" t="s">
        <v>19033</v>
      </c>
      <c r="C9139" s="20" t="s">
        <v>19034</v>
      </c>
      <c r="F9139" t="s">
        <v>1603</v>
      </c>
      <c r="G9139" s="8" t="s">
        <v>15</v>
      </c>
    </row>
    <row r="9140" spans="1:7" hidden="1" x14ac:dyDescent="0.25">
      <c r="A9140" s="21">
        <v>9139</v>
      </c>
      <c r="B9140" s="22" t="s">
        <v>19035</v>
      </c>
      <c r="C9140" s="20" t="s">
        <v>19036</v>
      </c>
      <c r="F9140" t="s">
        <v>1603</v>
      </c>
      <c r="G9140" s="8" t="s">
        <v>15</v>
      </c>
    </row>
    <row r="9141" spans="1:7" hidden="1" x14ac:dyDescent="0.25">
      <c r="A9141" s="21">
        <v>9140</v>
      </c>
      <c r="B9141" s="22" t="s">
        <v>19037</v>
      </c>
      <c r="C9141" s="20" t="s">
        <v>19038</v>
      </c>
      <c r="F9141" t="s">
        <v>1603</v>
      </c>
      <c r="G9141" s="8" t="s">
        <v>15</v>
      </c>
    </row>
    <row r="9142" spans="1:7" hidden="1" x14ac:dyDescent="0.25">
      <c r="A9142" s="21">
        <v>9141</v>
      </c>
      <c r="B9142" s="22" t="s">
        <v>19039</v>
      </c>
      <c r="C9142" s="20" t="s">
        <v>19040</v>
      </c>
      <c r="F9142" t="s">
        <v>1603</v>
      </c>
      <c r="G9142" s="8" t="s">
        <v>15</v>
      </c>
    </row>
    <row r="9143" spans="1:7" hidden="1" x14ac:dyDescent="0.25">
      <c r="A9143" s="21">
        <v>9142</v>
      </c>
      <c r="B9143" s="22" t="s">
        <v>19041</v>
      </c>
      <c r="C9143" s="20" t="s">
        <v>19042</v>
      </c>
      <c r="F9143" t="s">
        <v>1603</v>
      </c>
      <c r="G9143" s="8" t="s">
        <v>15</v>
      </c>
    </row>
    <row r="9144" spans="1:7" hidden="1" x14ac:dyDescent="0.25">
      <c r="A9144" s="21">
        <v>9143</v>
      </c>
      <c r="B9144" s="22" t="s">
        <v>19043</v>
      </c>
      <c r="C9144" s="20" t="s">
        <v>19044</v>
      </c>
      <c r="F9144" t="s">
        <v>1603</v>
      </c>
      <c r="G9144" s="8" t="s">
        <v>15</v>
      </c>
    </row>
    <row r="9145" spans="1:7" hidden="1" x14ac:dyDescent="0.25">
      <c r="A9145" s="21">
        <v>9144</v>
      </c>
      <c r="B9145" s="22" t="s">
        <v>19045</v>
      </c>
      <c r="C9145" s="20" t="s">
        <v>19046</v>
      </c>
      <c r="F9145" t="s">
        <v>1603</v>
      </c>
      <c r="G9145" s="8" t="s">
        <v>15</v>
      </c>
    </row>
    <row r="9146" spans="1:7" hidden="1" x14ac:dyDescent="0.25">
      <c r="A9146" s="21">
        <v>9145</v>
      </c>
      <c r="B9146" s="22" t="s">
        <v>19047</v>
      </c>
      <c r="C9146" s="20" t="s">
        <v>19048</v>
      </c>
      <c r="F9146" t="s">
        <v>1603</v>
      </c>
      <c r="G9146" s="8" t="s">
        <v>15</v>
      </c>
    </row>
    <row r="9147" spans="1:7" hidden="1" x14ac:dyDescent="0.25">
      <c r="A9147" s="21">
        <v>9146</v>
      </c>
      <c r="B9147" s="22" t="s">
        <v>19049</v>
      </c>
      <c r="C9147" s="20" t="s">
        <v>19050</v>
      </c>
      <c r="F9147" t="s">
        <v>1603</v>
      </c>
      <c r="G9147" s="8" t="s">
        <v>15</v>
      </c>
    </row>
    <row r="9148" spans="1:7" hidden="1" x14ac:dyDescent="0.25">
      <c r="A9148" s="21">
        <v>9147</v>
      </c>
      <c r="B9148" s="22" t="s">
        <v>19051</v>
      </c>
      <c r="C9148" s="20" t="s">
        <v>19052</v>
      </c>
      <c r="F9148" t="s">
        <v>1603</v>
      </c>
      <c r="G9148" s="8" t="s">
        <v>15</v>
      </c>
    </row>
    <row r="9149" spans="1:7" hidden="1" x14ac:dyDescent="0.25">
      <c r="A9149" s="21">
        <v>9148</v>
      </c>
      <c r="B9149" s="22" t="s">
        <v>19053</v>
      </c>
      <c r="C9149" s="20" t="s">
        <v>19054</v>
      </c>
      <c r="F9149" t="s">
        <v>1603</v>
      </c>
      <c r="G9149" s="8" t="s">
        <v>15</v>
      </c>
    </row>
    <row r="9150" spans="1:7" hidden="1" x14ac:dyDescent="0.25">
      <c r="A9150" s="21">
        <v>9149</v>
      </c>
      <c r="B9150" s="22" t="s">
        <v>19055</v>
      </c>
      <c r="C9150" s="20" t="s">
        <v>19056</v>
      </c>
      <c r="F9150" t="s">
        <v>1603</v>
      </c>
      <c r="G9150" s="8" t="s">
        <v>15</v>
      </c>
    </row>
    <row r="9151" spans="1:7" hidden="1" x14ac:dyDescent="0.25">
      <c r="A9151" s="21">
        <v>9150</v>
      </c>
      <c r="B9151" s="22" t="s">
        <v>19057</v>
      </c>
      <c r="C9151" s="20" t="s">
        <v>19058</v>
      </c>
      <c r="F9151" t="s">
        <v>1603</v>
      </c>
      <c r="G9151" s="8" t="s">
        <v>15</v>
      </c>
    </row>
    <row r="9152" spans="1:7" hidden="1" x14ac:dyDescent="0.25">
      <c r="A9152" s="21">
        <v>9151</v>
      </c>
      <c r="B9152" s="22" t="s">
        <v>19059</v>
      </c>
      <c r="C9152" s="20" t="s">
        <v>19060</v>
      </c>
      <c r="F9152" t="s">
        <v>1603</v>
      </c>
      <c r="G9152" s="8" t="s">
        <v>15</v>
      </c>
    </row>
    <row r="9153" spans="1:7" hidden="1" x14ac:dyDescent="0.25">
      <c r="A9153" s="21">
        <v>9152</v>
      </c>
      <c r="B9153" s="22" t="s">
        <v>19061</v>
      </c>
      <c r="C9153" s="20" t="s">
        <v>19062</v>
      </c>
      <c r="F9153" t="s">
        <v>1603</v>
      </c>
      <c r="G9153" s="8" t="s">
        <v>15</v>
      </c>
    </row>
    <row r="9154" spans="1:7" hidden="1" x14ac:dyDescent="0.25">
      <c r="A9154" s="21">
        <v>9153</v>
      </c>
      <c r="B9154" s="22" t="s">
        <v>19063</v>
      </c>
      <c r="C9154" s="20" t="s">
        <v>19064</v>
      </c>
      <c r="F9154" t="s">
        <v>1603</v>
      </c>
      <c r="G9154" s="8" t="s">
        <v>15</v>
      </c>
    </row>
    <row r="9155" spans="1:7" hidden="1" x14ac:dyDescent="0.25">
      <c r="A9155" s="21">
        <v>9154</v>
      </c>
      <c r="B9155" s="22" t="s">
        <v>19065</v>
      </c>
      <c r="C9155" s="20" t="s">
        <v>19066</v>
      </c>
      <c r="G9155" s="8" t="s">
        <v>15</v>
      </c>
    </row>
    <row r="9156" spans="1:7" hidden="1" x14ac:dyDescent="0.25">
      <c r="A9156" s="21">
        <v>9155</v>
      </c>
      <c r="B9156" s="22" t="s">
        <v>19067</v>
      </c>
      <c r="C9156" s="20" t="s">
        <v>19068</v>
      </c>
      <c r="G9156" s="8" t="s">
        <v>15</v>
      </c>
    </row>
    <row r="9157" spans="1:7" hidden="1" x14ac:dyDescent="0.25">
      <c r="A9157" s="21">
        <v>9156</v>
      </c>
      <c r="B9157" s="22" t="s">
        <v>19069</v>
      </c>
      <c r="C9157" s="20" t="s">
        <v>19070</v>
      </c>
      <c r="G9157" s="8" t="s">
        <v>15</v>
      </c>
    </row>
    <row r="9158" spans="1:7" hidden="1" x14ac:dyDescent="0.25">
      <c r="A9158" s="21">
        <v>9157</v>
      </c>
      <c r="B9158" s="22" t="s">
        <v>19071</v>
      </c>
      <c r="C9158" s="20" t="s">
        <v>19072</v>
      </c>
      <c r="G9158" s="8" t="s">
        <v>15</v>
      </c>
    </row>
    <row r="9159" spans="1:7" hidden="1" x14ac:dyDescent="0.25">
      <c r="A9159" s="21">
        <v>9158</v>
      </c>
      <c r="B9159" s="22" t="s">
        <v>19073</v>
      </c>
      <c r="C9159" s="20" t="s">
        <v>19074</v>
      </c>
      <c r="G9159" s="8" t="s">
        <v>15</v>
      </c>
    </row>
    <row r="9160" spans="1:7" hidden="1" x14ac:dyDescent="0.25">
      <c r="A9160" s="21">
        <v>9159</v>
      </c>
      <c r="B9160" s="22" t="s">
        <v>19075</v>
      </c>
      <c r="C9160" s="20" t="s">
        <v>19076</v>
      </c>
      <c r="G9160" s="8" t="s">
        <v>15</v>
      </c>
    </row>
    <row r="9161" spans="1:7" hidden="1" x14ac:dyDescent="0.25">
      <c r="A9161" s="21">
        <v>9160</v>
      </c>
      <c r="B9161" s="22" t="s">
        <v>19077</v>
      </c>
      <c r="C9161" s="20" t="s">
        <v>19078</v>
      </c>
      <c r="G9161" s="8" t="s">
        <v>15</v>
      </c>
    </row>
    <row r="9162" spans="1:7" hidden="1" x14ac:dyDescent="0.25">
      <c r="A9162" s="21">
        <v>9161</v>
      </c>
      <c r="B9162" s="22" t="s">
        <v>19079</v>
      </c>
      <c r="C9162" s="20" t="s">
        <v>19080</v>
      </c>
      <c r="G9162" s="8" t="s">
        <v>15</v>
      </c>
    </row>
    <row r="9163" spans="1:7" hidden="1" x14ac:dyDescent="0.25">
      <c r="A9163" s="21">
        <v>9162</v>
      </c>
      <c r="B9163" s="22" t="s">
        <v>19081</v>
      </c>
      <c r="C9163" s="20" t="s">
        <v>19082</v>
      </c>
      <c r="G9163" s="8" t="s">
        <v>15</v>
      </c>
    </row>
    <row r="9164" spans="1:7" hidden="1" x14ac:dyDescent="0.25">
      <c r="A9164" s="21">
        <v>9163</v>
      </c>
      <c r="B9164" s="22" t="s">
        <v>19083</v>
      </c>
      <c r="C9164" s="20" t="s">
        <v>19084</v>
      </c>
      <c r="G9164" s="8" t="s">
        <v>15</v>
      </c>
    </row>
    <row r="9165" spans="1:7" hidden="1" x14ac:dyDescent="0.25">
      <c r="A9165" s="21">
        <v>9164</v>
      </c>
      <c r="B9165" s="22" t="s">
        <v>19085</v>
      </c>
      <c r="C9165" s="20" t="s">
        <v>19086</v>
      </c>
      <c r="G9165" s="8" t="s">
        <v>15</v>
      </c>
    </row>
    <row r="9166" spans="1:7" hidden="1" x14ac:dyDescent="0.25">
      <c r="A9166" s="21">
        <v>9165</v>
      </c>
      <c r="B9166" s="22" t="s">
        <v>19087</v>
      </c>
      <c r="C9166" s="20" t="s">
        <v>19088</v>
      </c>
      <c r="G9166" s="8" t="s">
        <v>15</v>
      </c>
    </row>
    <row r="9167" spans="1:7" hidden="1" x14ac:dyDescent="0.25">
      <c r="A9167" s="21">
        <v>9166</v>
      </c>
      <c r="B9167" s="22" t="s">
        <v>19089</v>
      </c>
      <c r="C9167" s="20" t="s">
        <v>19090</v>
      </c>
      <c r="G9167" s="8" t="s">
        <v>15</v>
      </c>
    </row>
    <row r="9168" spans="1:7" hidden="1" x14ac:dyDescent="0.25">
      <c r="A9168" s="21">
        <v>9167</v>
      </c>
      <c r="B9168" s="22" t="s">
        <v>19091</v>
      </c>
      <c r="C9168" s="20" t="s">
        <v>19092</v>
      </c>
      <c r="G9168" s="8" t="s">
        <v>15</v>
      </c>
    </row>
    <row r="9169" spans="1:7" hidden="1" x14ac:dyDescent="0.25">
      <c r="A9169" s="21">
        <v>9168</v>
      </c>
      <c r="B9169" s="22" t="s">
        <v>19093</v>
      </c>
      <c r="C9169" s="20" t="s">
        <v>19094</v>
      </c>
      <c r="G9169" s="8" t="s">
        <v>15</v>
      </c>
    </row>
    <row r="9170" spans="1:7" hidden="1" x14ac:dyDescent="0.25">
      <c r="A9170" s="21">
        <v>9169</v>
      </c>
      <c r="B9170" s="22" t="s">
        <v>19095</v>
      </c>
      <c r="C9170" s="20" t="s">
        <v>19096</v>
      </c>
      <c r="G9170" s="8" t="s">
        <v>15</v>
      </c>
    </row>
    <row r="9171" spans="1:7" hidden="1" x14ac:dyDescent="0.25">
      <c r="A9171" s="21">
        <v>9170</v>
      </c>
      <c r="B9171" s="22" t="s">
        <v>19097</v>
      </c>
      <c r="C9171" s="20" t="s">
        <v>19098</v>
      </c>
      <c r="G9171" s="8" t="s">
        <v>15</v>
      </c>
    </row>
    <row r="9172" spans="1:7" hidden="1" x14ac:dyDescent="0.25">
      <c r="A9172" s="21">
        <v>9171</v>
      </c>
      <c r="B9172" s="22" t="s">
        <v>19099</v>
      </c>
      <c r="C9172" s="20" t="s">
        <v>19100</v>
      </c>
      <c r="G9172" s="8" t="s">
        <v>15</v>
      </c>
    </row>
    <row r="9173" spans="1:7" hidden="1" x14ac:dyDescent="0.25">
      <c r="A9173" s="21">
        <v>9172</v>
      </c>
      <c r="B9173" s="22" t="s">
        <v>19101</v>
      </c>
      <c r="C9173" s="20" t="s">
        <v>19102</v>
      </c>
      <c r="G9173" s="8" t="s">
        <v>15</v>
      </c>
    </row>
    <row r="9174" spans="1:7" hidden="1" x14ac:dyDescent="0.25">
      <c r="A9174" s="21">
        <v>9173</v>
      </c>
      <c r="B9174" s="22" t="s">
        <v>19103</v>
      </c>
      <c r="C9174" s="20" t="s">
        <v>19104</v>
      </c>
      <c r="G9174" s="8" t="s">
        <v>15</v>
      </c>
    </row>
    <row r="9175" spans="1:7" hidden="1" x14ac:dyDescent="0.25">
      <c r="A9175" s="21">
        <v>9174</v>
      </c>
      <c r="B9175" s="22" t="s">
        <v>19105</v>
      </c>
      <c r="C9175" s="20" t="s">
        <v>19106</v>
      </c>
      <c r="G9175" s="8" t="s">
        <v>15</v>
      </c>
    </row>
    <row r="9176" spans="1:7" hidden="1" x14ac:dyDescent="0.25">
      <c r="A9176" s="21">
        <v>9175</v>
      </c>
      <c r="B9176" s="22" t="s">
        <v>19107</v>
      </c>
      <c r="C9176" s="20" t="s">
        <v>19108</v>
      </c>
      <c r="G9176" s="8" t="s">
        <v>15</v>
      </c>
    </row>
    <row r="9177" spans="1:7" hidden="1" x14ac:dyDescent="0.25">
      <c r="A9177" s="21">
        <v>9176</v>
      </c>
      <c r="B9177" s="22" t="s">
        <v>19109</v>
      </c>
      <c r="C9177" s="20" t="s">
        <v>19110</v>
      </c>
      <c r="G9177" s="8" t="s">
        <v>15</v>
      </c>
    </row>
    <row r="9178" spans="1:7" hidden="1" x14ac:dyDescent="0.25">
      <c r="A9178" s="21">
        <v>9177</v>
      </c>
      <c r="B9178" s="22" t="s">
        <v>19111</v>
      </c>
      <c r="C9178" s="20" t="s">
        <v>19112</v>
      </c>
      <c r="G9178" s="8" t="s">
        <v>15</v>
      </c>
    </row>
    <row r="9179" spans="1:7" hidden="1" x14ac:dyDescent="0.25">
      <c r="A9179" s="21">
        <v>9178</v>
      </c>
      <c r="B9179" s="22" t="s">
        <v>19113</v>
      </c>
      <c r="C9179" s="20" t="s">
        <v>19114</v>
      </c>
      <c r="G9179" s="8" t="s">
        <v>15</v>
      </c>
    </row>
    <row r="9180" spans="1:7" hidden="1" x14ac:dyDescent="0.25">
      <c r="A9180" s="21">
        <v>9179</v>
      </c>
      <c r="B9180" s="22" t="s">
        <v>19115</v>
      </c>
      <c r="C9180" s="20" t="s">
        <v>19116</v>
      </c>
      <c r="G9180" s="8" t="s">
        <v>15</v>
      </c>
    </row>
    <row r="9181" spans="1:7" hidden="1" x14ac:dyDescent="0.25">
      <c r="A9181" s="21">
        <v>9180</v>
      </c>
      <c r="B9181" s="22" t="s">
        <v>19117</v>
      </c>
      <c r="C9181" t="s">
        <v>19118</v>
      </c>
      <c r="G9181" s="8" t="s">
        <v>15</v>
      </c>
    </row>
    <row r="9182" spans="1:7" hidden="1" x14ac:dyDescent="0.25">
      <c r="A9182" s="21">
        <v>9181</v>
      </c>
      <c r="B9182" s="22" t="s">
        <v>19119</v>
      </c>
      <c r="C9182" t="s">
        <v>19120</v>
      </c>
      <c r="G9182" s="8" t="s">
        <v>15</v>
      </c>
    </row>
    <row r="9183" spans="1:7" hidden="1" x14ac:dyDescent="0.25">
      <c r="A9183" s="21">
        <v>9182</v>
      </c>
      <c r="B9183" s="22" t="s">
        <v>19121</v>
      </c>
      <c r="C9183" t="s">
        <v>19122</v>
      </c>
      <c r="G9183" s="8" t="s">
        <v>15</v>
      </c>
    </row>
    <row r="9184" spans="1:7" hidden="1" x14ac:dyDescent="0.25">
      <c r="A9184" s="21">
        <v>9183</v>
      </c>
      <c r="B9184" s="22" t="s">
        <v>19123</v>
      </c>
      <c r="C9184" t="s">
        <v>19124</v>
      </c>
      <c r="G9184" s="8" t="s">
        <v>15</v>
      </c>
    </row>
    <row r="9185" spans="1:7" hidden="1" x14ac:dyDescent="0.25">
      <c r="A9185" s="21">
        <v>9184</v>
      </c>
      <c r="B9185" s="22" t="s">
        <v>19125</v>
      </c>
      <c r="C9185" t="s">
        <v>19126</v>
      </c>
      <c r="G9185" s="8" t="s">
        <v>15</v>
      </c>
    </row>
    <row r="9186" spans="1:7" hidden="1" x14ac:dyDescent="0.25">
      <c r="A9186" s="21">
        <v>9185</v>
      </c>
      <c r="B9186" s="22" t="s">
        <v>19127</v>
      </c>
      <c r="C9186" t="s">
        <v>19128</v>
      </c>
      <c r="G9186" s="8" t="s">
        <v>15</v>
      </c>
    </row>
    <row r="9187" spans="1:7" hidden="1" x14ac:dyDescent="0.25">
      <c r="A9187" s="21">
        <v>9186</v>
      </c>
      <c r="B9187" s="22" t="s">
        <v>19129</v>
      </c>
      <c r="C9187" t="s">
        <v>19130</v>
      </c>
      <c r="G9187" s="8" t="s">
        <v>15</v>
      </c>
    </row>
    <row r="9188" spans="1:7" hidden="1" x14ac:dyDescent="0.25">
      <c r="A9188" s="21">
        <v>9187</v>
      </c>
      <c r="B9188" s="22" t="s">
        <v>19131</v>
      </c>
      <c r="C9188" t="s">
        <v>19132</v>
      </c>
      <c r="G9188" s="8" t="s">
        <v>15</v>
      </c>
    </row>
    <row r="9189" spans="1:7" hidden="1" x14ac:dyDescent="0.25">
      <c r="A9189" s="21">
        <v>9188</v>
      </c>
      <c r="B9189" s="22" t="s">
        <v>19133</v>
      </c>
      <c r="C9189" t="s">
        <v>19134</v>
      </c>
      <c r="G9189" s="8" t="s">
        <v>15</v>
      </c>
    </row>
    <row r="9190" spans="1:7" hidden="1" x14ac:dyDescent="0.25">
      <c r="A9190" s="21">
        <v>9189</v>
      </c>
      <c r="B9190" s="22" t="s">
        <v>19135</v>
      </c>
      <c r="C9190" t="s">
        <v>19136</v>
      </c>
      <c r="F9190" t="s">
        <v>3306</v>
      </c>
      <c r="G9190" s="8" t="s">
        <v>15</v>
      </c>
    </row>
    <row r="9191" spans="1:7" hidden="1" x14ac:dyDescent="0.25">
      <c r="A9191" s="21">
        <v>9190</v>
      </c>
      <c r="B9191" s="22" t="s">
        <v>19137</v>
      </c>
      <c r="C9191" t="s">
        <v>19138</v>
      </c>
      <c r="G9191" s="8" t="s">
        <v>15</v>
      </c>
    </row>
    <row r="9192" spans="1:7" hidden="1" x14ac:dyDescent="0.25">
      <c r="A9192" s="21">
        <v>9191</v>
      </c>
      <c r="B9192" s="22" t="s">
        <v>19139</v>
      </c>
      <c r="C9192" t="s">
        <v>19140</v>
      </c>
      <c r="F9192" s="8" t="s">
        <v>253</v>
      </c>
      <c r="G9192" s="8" t="s">
        <v>15</v>
      </c>
    </row>
    <row r="9193" spans="1:7" hidden="1" x14ac:dyDescent="0.25">
      <c r="A9193" s="21">
        <v>9192</v>
      </c>
      <c r="B9193" s="22" t="s">
        <v>19141</v>
      </c>
      <c r="C9193" t="s">
        <v>19142</v>
      </c>
      <c r="F9193" t="s">
        <v>2360</v>
      </c>
      <c r="G9193" s="8" t="s">
        <v>15</v>
      </c>
    </row>
    <row r="9194" spans="1:7" hidden="1" x14ac:dyDescent="0.25">
      <c r="A9194" s="21">
        <v>9193</v>
      </c>
      <c r="B9194" s="22" t="s">
        <v>19143</v>
      </c>
      <c r="C9194" t="s">
        <v>19144</v>
      </c>
      <c r="G9194" s="8" t="s">
        <v>15</v>
      </c>
    </row>
    <row r="9195" spans="1:7" hidden="1" x14ac:dyDescent="0.25">
      <c r="A9195" s="21">
        <v>9194</v>
      </c>
      <c r="B9195" s="22" t="s">
        <v>19145</v>
      </c>
      <c r="C9195" t="s">
        <v>19146</v>
      </c>
      <c r="G9195" s="8" t="s">
        <v>15</v>
      </c>
    </row>
    <row r="9196" spans="1:7" hidden="1" x14ac:dyDescent="0.25">
      <c r="A9196" s="21">
        <v>9195</v>
      </c>
      <c r="B9196" s="22" t="s">
        <v>19147</v>
      </c>
      <c r="C9196" t="s">
        <v>19148</v>
      </c>
      <c r="G9196" s="8" t="s">
        <v>15</v>
      </c>
    </row>
    <row r="9197" spans="1:7" hidden="1" x14ac:dyDescent="0.25">
      <c r="A9197" s="21">
        <v>9196</v>
      </c>
      <c r="B9197" s="22" t="s">
        <v>19149</v>
      </c>
      <c r="C9197" t="s">
        <v>19150</v>
      </c>
      <c r="G9197" s="8" t="s">
        <v>15</v>
      </c>
    </row>
    <row r="9198" spans="1:7" hidden="1" x14ac:dyDescent="0.25">
      <c r="A9198" s="21">
        <v>9197</v>
      </c>
      <c r="B9198" s="22" t="s">
        <v>19151</v>
      </c>
      <c r="C9198" t="s">
        <v>19152</v>
      </c>
      <c r="G9198" s="8" t="s">
        <v>15</v>
      </c>
    </row>
    <row r="9199" spans="1:7" hidden="1" x14ac:dyDescent="0.25">
      <c r="A9199" s="21">
        <v>9198</v>
      </c>
      <c r="B9199" s="22" t="s">
        <v>19153</v>
      </c>
      <c r="C9199" t="s">
        <v>19154</v>
      </c>
      <c r="G9199" s="8" t="s">
        <v>15</v>
      </c>
    </row>
    <row r="9200" spans="1:7" hidden="1" x14ac:dyDescent="0.25">
      <c r="A9200" s="21">
        <v>9199</v>
      </c>
      <c r="B9200" s="22" t="s">
        <v>19155</v>
      </c>
      <c r="C9200" t="s">
        <v>19156</v>
      </c>
      <c r="G9200" s="8" t="s">
        <v>15</v>
      </c>
    </row>
    <row r="9201" spans="1:7" hidden="1" x14ac:dyDescent="0.25">
      <c r="A9201" s="21">
        <v>9200</v>
      </c>
      <c r="B9201" s="22" t="s">
        <v>19157</v>
      </c>
      <c r="C9201" s="20" t="s">
        <v>19158</v>
      </c>
      <c r="G9201" s="8" t="s">
        <v>15</v>
      </c>
    </row>
    <row r="9202" spans="1:7" hidden="1" x14ac:dyDescent="0.25">
      <c r="A9202" s="21">
        <v>9201</v>
      </c>
      <c r="B9202" s="22" t="s">
        <v>19159</v>
      </c>
      <c r="C9202" s="20" t="s">
        <v>19160</v>
      </c>
      <c r="G9202" s="8" t="s">
        <v>15</v>
      </c>
    </row>
    <row r="9203" spans="1:7" hidden="1" x14ac:dyDescent="0.25">
      <c r="A9203" s="21">
        <v>9202</v>
      </c>
      <c r="B9203" s="22" t="s">
        <v>19161</v>
      </c>
      <c r="C9203" s="20" t="s">
        <v>19162</v>
      </c>
      <c r="G9203" s="8" t="s">
        <v>15</v>
      </c>
    </row>
    <row r="9204" spans="1:7" hidden="1" x14ac:dyDescent="0.25">
      <c r="A9204" s="21">
        <v>9203</v>
      </c>
      <c r="B9204" s="22" t="s">
        <v>19163</v>
      </c>
      <c r="C9204" s="20" t="s">
        <v>19164</v>
      </c>
      <c r="G9204" s="8" t="s">
        <v>15</v>
      </c>
    </row>
    <row r="9205" spans="1:7" hidden="1" x14ac:dyDescent="0.25">
      <c r="A9205" s="21">
        <v>9204</v>
      </c>
      <c r="B9205" s="22" t="s">
        <v>19165</v>
      </c>
      <c r="C9205" s="20" t="s">
        <v>19166</v>
      </c>
      <c r="G9205" s="8" t="s">
        <v>15</v>
      </c>
    </row>
    <row r="9206" spans="1:7" hidden="1" x14ac:dyDescent="0.25">
      <c r="A9206" s="21">
        <v>9205</v>
      </c>
      <c r="B9206" s="22" t="s">
        <v>19167</v>
      </c>
      <c r="C9206" s="20" t="s">
        <v>19168</v>
      </c>
      <c r="G9206" s="8" t="s">
        <v>15</v>
      </c>
    </row>
    <row r="9207" spans="1:7" hidden="1" x14ac:dyDescent="0.25">
      <c r="A9207" s="21">
        <v>9206</v>
      </c>
      <c r="B9207" s="22" t="s">
        <v>19169</v>
      </c>
      <c r="C9207" s="20" t="s">
        <v>19170</v>
      </c>
      <c r="G9207" s="8" t="s">
        <v>15</v>
      </c>
    </row>
    <row r="9208" spans="1:7" hidden="1" x14ac:dyDescent="0.25">
      <c r="A9208" s="21">
        <v>9207</v>
      </c>
      <c r="B9208" s="22" t="s">
        <v>19171</v>
      </c>
      <c r="C9208" s="20" t="s">
        <v>19172</v>
      </c>
      <c r="G9208" s="8" t="s">
        <v>15</v>
      </c>
    </row>
    <row r="9209" spans="1:7" hidden="1" x14ac:dyDescent="0.25">
      <c r="A9209" s="21">
        <v>9208</v>
      </c>
      <c r="B9209" s="22" t="s">
        <v>19173</v>
      </c>
      <c r="C9209" s="20" t="s">
        <v>19174</v>
      </c>
      <c r="G9209" s="8" t="s">
        <v>15</v>
      </c>
    </row>
    <row r="9210" spans="1:7" hidden="1" x14ac:dyDescent="0.25">
      <c r="A9210" s="21">
        <v>9209</v>
      </c>
      <c r="B9210" s="22" t="s">
        <v>19175</v>
      </c>
      <c r="C9210" s="20" t="s">
        <v>19176</v>
      </c>
      <c r="G9210" s="8" t="s">
        <v>15</v>
      </c>
    </row>
    <row r="9211" spans="1:7" hidden="1" x14ac:dyDescent="0.25">
      <c r="A9211" s="21">
        <v>9210</v>
      </c>
      <c r="B9211" s="22" t="s">
        <v>19177</v>
      </c>
      <c r="C9211" s="20" t="s">
        <v>19178</v>
      </c>
      <c r="G9211" s="8" t="s">
        <v>15</v>
      </c>
    </row>
    <row r="9212" spans="1:7" hidden="1" x14ac:dyDescent="0.25">
      <c r="A9212" s="21">
        <v>9211</v>
      </c>
      <c r="B9212" s="22" t="s">
        <v>19179</v>
      </c>
      <c r="C9212" s="20" t="s">
        <v>19180</v>
      </c>
      <c r="G9212" s="8" t="s">
        <v>15</v>
      </c>
    </row>
    <row r="9213" spans="1:7" hidden="1" x14ac:dyDescent="0.25">
      <c r="A9213" s="21">
        <v>9212</v>
      </c>
      <c r="B9213" s="22" t="s">
        <v>19181</v>
      </c>
      <c r="C9213" s="20" t="s">
        <v>19182</v>
      </c>
      <c r="G9213" s="8" t="s">
        <v>15</v>
      </c>
    </row>
    <row r="9214" spans="1:7" hidden="1" x14ac:dyDescent="0.25">
      <c r="A9214" s="21">
        <v>9213</v>
      </c>
      <c r="B9214" s="22" t="s">
        <v>19183</v>
      </c>
      <c r="C9214" s="20" t="s">
        <v>19184</v>
      </c>
      <c r="G9214" s="8" t="s">
        <v>15</v>
      </c>
    </row>
    <row r="9215" spans="1:7" hidden="1" x14ac:dyDescent="0.25">
      <c r="A9215" s="21">
        <v>9214</v>
      </c>
      <c r="B9215" s="22" t="s">
        <v>19185</v>
      </c>
      <c r="C9215" s="20" t="s">
        <v>19186</v>
      </c>
      <c r="G9215" s="8" t="s">
        <v>15</v>
      </c>
    </row>
    <row r="9216" spans="1:7" hidden="1" x14ac:dyDescent="0.25">
      <c r="A9216" s="21">
        <v>9215</v>
      </c>
      <c r="B9216" s="22" t="s">
        <v>19187</v>
      </c>
      <c r="C9216" s="20" t="s">
        <v>19188</v>
      </c>
      <c r="G9216" s="8" t="s">
        <v>15</v>
      </c>
    </row>
    <row r="9217" spans="1:7" hidden="1" x14ac:dyDescent="0.25">
      <c r="A9217" s="21">
        <v>9216</v>
      </c>
      <c r="B9217" s="22" t="s">
        <v>19189</v>
      </c>
      <c r="C9217" s="20" t="s">
        <v>19190</v>
      </c>
      <c r="G9217" s="8" t="s">
        <v>15</v>
      </c>
    </row>
    <row r="9218" spans="1:7" hidden="1" x14ac:dyDescent="0.25">
      <c r="A9218" s="21">
        <v>9217</v>
      </c>
      <c r="B9218" s="22" t="s">
        <v>19191</v>
      </c>
      <c r="C9218" s="20" t="s">
        <v>19192</v>
      </c>
      <c r="G9218" s="8" t="s">
        <v>15</v>
      </c>
    </row>
    <row r="9219" spans="1:7" hidden="1" x14ac:dyDescent="0.25">
      <c r="A9219" s="21">
        <v>9218</v>
      </c>
      <c r="B9219" s="22" t="s">
        <v>19193</v>
      </c>
      <c r="C9219" s="20" t="s">
        <v>19194</v>
      </c>
      <c r="G9219" s="8" t="s">
        <v>15</v>
      </c>
    </row>
    <row r="9220" spans="1:7" hidden="1" x14ac:dyDescent="0.25">
      <c r="A9220" s="21">
        <v>9219</v>
      </c>
      <c r="B9220" s="22" t="s">
        <v>19195</v>
      </c>
      <c r="C9220" s="20" t="s">
        <v>19196</v>
      </c>
      <c r="G9220" s="8" t="s">
        <v>15</v>
      </c>
    </row>
    <row r="9221" spans="1:7" hidden="1" x14ac:dyDescent="0.25">
      <c r="A9221" s="21">
        <v>9220</v>
      </c>
      <c r="B9221" s="22" t="s">
        <v>19197</v>
      </c>
      <c r="C9221" s="20" t="s">
        <v>19198</v>
      </c>
      <c r="G9221" s="8" t="s">
        <v>15</v>
      </c>
    </row>
    <row r="9222" spans="1:7" hidden="1" x14ac:dyDescent="0.25">
      <c r="A9222" s="21">
        <v>9221</v>
      </c>
      <c r="B9222" s="22" t="s">
        <v>19199</v>
      </c>
      <c r="C9222" s="20" t="s">
        <v>19200</v>
      </c>
      <c r="G9222" s="8" t="s">
        <v>15</v>
      </c>
    </row>
    <row r="9223" spans="1:7" hidden="1" x14ac:dyDescent="0.25">
      <c r="A9223" s="21">
        <v>9222</v>
      </c>
      <c r="B9223" s="22" t="s">
        <v>19201</v>
      </c>
      <c r="C9223" s="20" t="s">
        <v>19202</v>
      </c>
      <c r="G9223" s="8" t="s">
        <v>15</v>
      </c>
    </row>
    <row r="9224" spans="1:7" hidden="1" x14ac:dyDescent="0.25">
      <c r="A9224" s="21">
        <v>9223</v>
      </c>
      <c r="B9224" s="22" t="s">
        <v>19203</v>
      </c>
      <c r="C9224" s="20" t="s">
        <v>19204</v>
      </c>
      <c r="G9224" s="8" t="s">
        <v>15</v>
      </c>
    </row>
    <row r="9225" spans="1:7" hidden="1" x14ac:dyDescent="0.25">
      <c r="A9225" s="21">
        <v>9224</v>
      </c>
      <c r="B9225" s="22" t="s">
        <v>19205</v>
      </c>
      <c r="C9225" s="20" t="s">
        <v>19206</v>
      </c>
      <c r="G9225" s="8" t="s">
        <v>15</v>
      </c>
    </row>
    <row r="9226" spans="1:7" hidden="1" x14ac:dyDescent="0.25">
      <c r="A9226" s="21">
        <v>9225</v>
      </c>
      <c r="B9226" s="22" t="s">
        <v>19207</v>
      </c>
      <c r="C9226" s="20" t="s">
        <v>19208</v>
      </c>
      <c r="G9226" s="8" t="s">
        <v>15</v>
      </c>
    </row>
    <row r="9227" spans="1:7" hidden="1" x14ac:dyDescent="0.25">
      <c r="A9227" s="21">
        <v>9226</v>
      </c>
      <c r="B9227" s="22" t="s">
        <v>19209</v>
      </c>
      <c r="C9227" s="20" t="s">
        <v>19210</v>
      </c>
      <c r="G9227" s="8" t="s">
        <v>15</v>
      </c>
    </row>
    <row r="9228" spans="1:7" hidden="1" x14ac:dyDescent="0.25">
      <c r="A9228" s="21">
        <v>9227</v>
      </c>
      <c r="B9228" s="22" t="s">
        <v>19211</v>
      </c>
      <c r="C9228" s="20" t="s">
        <v>19212</v>
      </c>
      <c r="G9228" s="8" t="s">
        <v>15</v>
      </c>
    </row>
    <row r="9229" spans="1:7" hidden="1" x14ac:dyDescent="0.25">
      <c r="A9229" s="21">
        <v>9228</v>
      </c>
      <c r="B9229" s="22" t="s">
        <v>19213</v>
      </c>
      <c r="C9229" s="20" t="s">
        <v>19214</v>
      </c>
      <c r="G9229" s="8" t="s">
        <v>15</v>
      </c>
    </row>
    <row r="9230" spans="1:7" hidden="1" x14ac:dyDescent="0.25">
      <c r="A9230" s="21">
        <v>9229</v>
      </c>
      <c r="B9230" s="22" t="s">
        <v>19215</v>
      </c>
      <c r="C9230" s="20" t="s">
        <v>19216</v>
      </c>
      <c r="G9230" s="8" t="s">
        <v>15</v>
      </c>
    </row>
    <row r="9231" spans="1:7" hidden="1" x14ac:dyDescent="0.25">
      <c r="A9231" s="21">
        <v>9230</v>
      </c>
      <c r="B9231" s="22" t="s">
        <v>19217</v>
      </c>
      <c r="C9231" s="20" t="s">
        <v>19218</v>
      </c>
      <c r="G9231" s="8" t="s">
        <v>15</v>
      </c>
    </row>
    <row r="9232" spans="1:7" hidden="1" x14ac:dyDescent="0.25">
      <c r="A9232" s="21">
        <v>9231</v>
      </c>
      <c r="B9232" s="22" t="s">
        <v>19219</v>
      </c>
      <c r="C9232" s="20" t="s">
        <v>19220</v>
      </c>
      <c r="G9232" s="8" t="s">
        <v>15</v>
      </c>
    </row>
    <row r="9233" spans="1:7" hidden="1" x14ac:dyDescent="0.25">
      <c r="A9233" s="21">
        <v>9232</v>
      </c>
      <c r="B9233" s="22" t="s">
        <v>19221</v>
      </c>
      <c r="C9233" s="20" t="s">
        <v>19222</v>
      </c>
      <c r="G9233" s="8" t="s">
        <v>15</v>
      </c>
    </row>
    <row r="9234" spans="1:7" hidden="1" x14ac:dyDescent="0.25">
      <c r="A9234" s="21">
        <v>9233</v>
      </c>
      <c r="B9234" s="22" t="s">
        <v>19223</v>
      </c>
      <c r="C9234" s="20" t="s">
        <v>19224</v>
      </c>
      <c r="G9234" s="8" t="s">
        <v>15</v>
      </c>
    </row>
    <row r="9235" spans="1:7" hidden="1" x14ac:dyDescent="0.25">
      <c r="A9235" s="21">
        <v>9234</v>
      </c>
      <c r="B9235" s="22" t="s">
        <v>19225</v>
      </c>
      <c r="C9235" s="20" t="s">
        <v>19226</v>
      </c>
      <c r="G9235" s="8" t="s">
        <v>15</v>
      </c>
    </row>
    <row r="9236" spans="1:7" hidden="1" x14ac:dyDescent="0.25">
      <c r="A9236" s="21">
        <v>9235</v>
      </c>
      <c r="B9236" s="22" t="s">
        <v>19227</v>
      </c>
      <c r="C9236" s="20" t="s">
        <v>19228</v>
      </c>
      <c r="G9236" s="8" t="s">
        <v>15</v>
      </c>
    </row>
    <row r="9237" spans="1:7" hidden="1" x14ac:dyDescent="0.25">
      <c r="A9237" s="21">
        <v>9236</v>
      </c>
      <c r="B9237" s="22" t="s">
        <v>19229</v>
      </c>
      <c r="C9237" s="20" t="s">
        <v>19230</v>
      </c>
      <c r="G9237" s="8" t="s">
        <v>15</v>
      </c>
    </row>
    <row r="9238" spans="1:7" hidden="1" x14ac:dyDescent="0.25">
      <c r="A9238" s="21">
        <v>9237</v>
      </c>
      <c r="B9238" s="22" t="s">
        <v>19231</v>
      </c>
      <c r="C9238" s="20" t="s">
        <v>19232</v>
      </c>
      <c r="G9238" s="8" t="s">
        <v>15</v>
      </c>
    </row>
    <row r="9239" spans="1:7" hidden="1" x14ac:dyDescent="0.25">
      <c r="A9239" s="21">
        <v>9238</v>
      </c>
      <c r="B9239" s="22" t="s">
        <v>19233</v>
      </c>
      <c r="C9239" s="20" t="s">
        <v>19234</v>
      </c>
      <c r="G9239" s="8" t="s">
        <v>15</v>
      </c>
    </row>
    <row r="9240" spans="1:7" hidden="1" x14ac:dyDescent="0.25">
      <c r="A9240" s="21">
        <v>9239</v>
      </c>
      <c r="B9240" s="22" t="s">
        <v>19235</v>
      </c>
      <c r="C9240" s="20" t="s">
        <v>19236</v>
      </c>
      <c r="G9240" s="8" t="s">
        <v>15</v>
      </c>
    </row>
    <row r="9241" spans="1:7" hidden="1" x14ac:dyDescent="0.25">
      <c r="A9241" s="21">
        <v>9240</v>
      </c>
      <c r="B9241" s="22" t="s">
        <v>19237</v>
      </c>
      <c r="C9241" s="20" t="s">
        <v>19238</v>
      </c>
      <c r="G9241" s="8" t="s">
        <v>15</v>
      </c>
    </row>
    <row r="9242" spans="1:7" hidden="1" x14ac:dyDescent="0.25">
      <c r="A9242" s="21">
        <v>9241</v>
      </c>
      <c r="B9242" s="22" t="s">
        <v>19239</v>
      </c>
      <c r="C9242" s="20" t="s">
        <v>19240</v>
      </c>
      <c r="G9242" s="8" t="s">
        <v>15</v>
      </c>
    </row>
    <row r="9243" spans="1:7" hidden="1" x14ac:dyDescent="0.25">
      <c r="A9243" s="21">
        <v>9242</v>
      </c>
      <c r="B9243" s="22" t="s">
        <v>19241</v>
      </c>
      <c r="C9243" s="20" t="s">
        <v>19242</v>
      </c>
      <c r="G9243" s="8" t="s">
        <v>15</v>
      </c>
    </row>
    <row r="9244" spans="1:7" hidden="1" x14ac:dyDescent="0.25">
      <c r="A9244" s="21">
        <v>9243</v>
      </c>
      <c r="B9244" s="22" t="s">
        <v>19243</v>
      </c>
      <c r="C9244" s="20" t="s">
        <v>19244</v>
      </c>
      <c r="G9244" s="8" t="s">
        <v>15</v>
      </c>
    </row>
    <row r="9245" spans="1:7" hidden="1" x14ac:dyDescent="0.25">
      <c r="A9245" s="21">
        <v>9244</v>
      </c>
      <c r="B9245" s="22" t="s">
        <v>19245</v>
      </c>
      <c r="C9245" s="20" t="s">
        <v>19246</v>
      </c>
      <c r="G9245" s="8" t="s">
        <v>15</v>
      </c>
    </row>
    <row r="9246" spans="1:7" hidden="1" x14ac:dyDescent="0.25">
      <c r="A9246" s="21">
        <v>9245</v>
      </c>
      <c r="B9246" s="22" t="s">
        <v>19247</v>
      </c>
      <c r="C9246" s="20" t="s">
        <v>19248</v>
      </c>
      <c r="G9246" s="8" t="s">
        <v>15</v>
      </c>
    </row>
    <row r="9247" spans="1:7" hidden="1" x14ac:dyDescent="0.25">
      <c r="A9247" s="21">
        <v>9246</v>
      </c>
      <c r="B9247" s="22" t="s">
        <v>19249</v>
      </c>
      <c r="C9247" s="20" t="s">
        <v>19250</v>
      </c>
      <c r="G9247" s="8" t="s">
        <v>15</v>
      </c>
    </row>
    <row r="9248" spans="1:7" hidden="1" x14ac:dyDescent="0.25">
      <c r="A9248" s="21">
        <v>9247</v>
      </c>
      <c r="B9248" s="22" t="s">
        <v>19251</v>
      </c>
      <c r="C9248" s="20" t="s">
        <v>19252</v>
      </c>
      <c r="G9248" s="8" t="s">
        <v>15</v>
      </c>
    </row>
    <row r="9249" spans="1:7" hidden="1" x14ac:dyDescent="0.25">
      <c r="A9249" s="21">
        <v>9248</v>
      </c>
      <c r="B9249" s="22" t="s">
        <v>19253</v>
      </c>
      <c r="C9249" s="20" t="s">
        <v>19254</v>
      </c>
      <c r="G9249" s="8" t="s">
        <v>15</v>
      </c>
    </row>
    <row r="9250" spans="1:7" hidden="1" x14ac:dyDescent="0.25">
      <c r="A9250" s="21">
        <v>9249</v>
      </c>
      <c r="B9250" s="22" t="s">
        <v>19255</v>
      </c>
      <c r="C9250" s="20" t="s">
        <v>19256</v>
      </c>
      <c r="G9250" s="8" t="s">
        <v>15</v>
      </c>
    </row>
    <row r="9251" spans="1:7" hidden="1" x14ac:dyDescent="0.25">
      <c r="A9251" s="21">
        <v>9250</v>
      </c>
      <c r="B9251" s="22" t="s">
        <v>19257</v>
      </c>
      <c r="C9251" s="20" t="s">
        <v>19258</v>
      </c>
      <c r="G9251" s="8" t="s">
        <v>15</v>
      </c>
    </row>
    <row r="9252" spans="1:7" hidden="1" x14ac:dyDescent="0.25">
      <c r="A9252" s="21">
        <v>9251</v>
      </c>
      <c r="B9252" s="22" t="s">
        <v>19259</v>
      </c>
      <c r="C9252" s="20" t="s">
        <v>19260</v>
      </c>
      <c r="G9252" s="8" t="s">
        <v>15</v>
      </c>
    </row>
    <row r="9253" spans="1:7" hidden="1" x14ac:dyDescent="0.25">
      <c r="A9253" s="21">
        <v>9252</v>
      </c>
      <c r="B9253" s="22" t="s">
        <v>19261</v>
      </c>
      <c r="C9253" s="20" t="s">
        <v>19262</v>
      </c>
      <c r="G9253" s="8" t="s">
        <v>15</v>
      </c>
    </row>
    <row r="9254" spans="1:7" hidden="1" x14ac:dyDescent="0.25">
      <c r="A9254" s="21">
        <v>9253</v>
      </c>
      <c r="B9254" s="22" t="s">
        <v>19263</v>
      </c>
      <c r="C9254" s="20" t="s">
        <v>19264</v>
      </c>
      <c r="G9254" s="8" t="s">
        <v>15</v>
      </c>
    </row>
    <row r="9255" spans="1:7" hidden="1" x14ac:dyDescent="0.25">
      <c r="A9255" s="21">
        <v>9254</v>
      </c>
      <c r="B9255" s="22" t="s">
        <v>19265</v>
      </c>
      <c r="C9255" s="20" t="s">
        <v>19266</v>
      </c>
      <c r="G9255" s="8" t="s">
        <v>15</v>
      </c>
    </row>
    <row r="9256" spans="1:7" hidden="1" x14ac:dyDescent="0.25">
      <c r="A9256" s="21">
        <v>9255</v>
      </c>
      <c r="B9256" s="22" t="s">
        <v>19267</v>
      </c>
      <c r="C9256" s="20" t="s">
        <v>19268</v>
      </c>
      <c r="G9256" s="8" t="s">
        <v>15</v>
      </c>
    </row>
    <row r="9257" spans="1:7" hidden="1" x14ac:dyDescent="0.25">
      <c r="A9257" s="21">
        <v>9256</v>
      </c>
      <c r="B9257" s="22" t="s">
        <v>19269</v>
      </c>
      <c r="C9257" s="20" t="s">
        <v>19270</v>
      </c>
      <c r="G9257" s="8" t="s">
        <v>15</v>
      </c>
    </row>
    <row r="9258" spans="1:7" hidden="1" x14ac:dyDescent="0.25">
      <c r="A9258" s="21">
        <v>9257</v>
      </c>
      <c r="B9258" s="22" t="s">
        <v>19271</v>
      </c>
      <c r="C9258" s="20" t="s">
        <v>19272</v>
      </c>
      <c r="G9258" s="8" t="s">
        <v>15</v>
      </c>
    </row>
    <row r="9259" spans="1:7" hidden="1" x14ac:dyDescent="0.25">
      <c r="A9259" s="21">
        <v>9258</v>
      </c>
      <c r="B9259" s="22" t="s">
        <v>19273</v>
      </c>
      <c r="C9259" s="20" t="s">
        <v>19274</v>
      </c>
      <c r="G9259" s="8" t="s">
        <v>15</v>
      </c>
    </row>
    <row r="9260" spans="1:7" hidden="1" x14ac:dyDescent="0.25">
      <c r="A9260" s="21">
        <v>9259</v>
      </c>
      <c r="B9260" s="22" t="s">
        <v>19275</v>
      </c>
      <c r="C9260" s="20" t="s">
        <v>19276</v>
      </c>
      <c r="G9260" s="8" t="s">
        <v>15</v>
      </c>
    </row>
    <row r="9261" spans="1:7" hidden="1" x14ac:dyDescent="0.25">
      <c r="A9261" s="21">
        <v>9260</v>
      </c>
      <c r="B9261" s="22" t="s">
        <v>19277</v>
      </c>
      <c r="C9261" s="20" t="s">
        <v>19278</v>
      </c>
      <c r="G9261" s="8" t="s">
        <v>15</v>
      </c>
    </row>
    <row r="9262" spans="1:7" hidden="1" x14ac:dyDescent="0.25">
      <c r="A9262" s="21">
        <v>9261</v>
      </c>
      <c r="B9262" s="22" t="s">
        <v>19279</v>
      </c>
      <c r="C9262" s="20" t="s">
        <v>19280</v>
      </c>
      <c r="G9262" s="8" t="s">
        <v>15</v>
      </c>
    </row>
    <row r="9263" spans="1:7" hidden="1" x14ac:dyDescent="0.25">
      <c r="A9263" s="21">
        <v>9262</v>
      </c>
      <c r="B9263" s="22" t="s">
        <v>19281</v>
      </c>
      <c r="C9263" s="20" t="s">
        <v>19282</v>
      </c>
      <c r="G9263" s="8" t="s">
        <v>15</v>
      </c>
    </row>
    <row r="9264" spans="1:7" hidden="1" x14ac:dyDescent="0.25">
      <c r="A9264" s="21">
        <v>9263</v>
      </c>
      <c r="B9264" s="22" t="s">
        <v>19283</v>
      </c>
      <c r="C9264" s="20" t="s">
        <v>19284</v>
      </c>
      <c r="G9264" s="8" t="s">
        <v>15</v>
      </c>
    </row>
    <row r="9265" spans="1:7" hidden="1" x14ac:dyDescent="0.25">
      <c r="A9265" s="21">
        <v>9264</v>
      </c>
      <c r="B9265" s="22" t="s">
        <v>19285</v>
      </c>
      <c r="C9265" s="20" t="s">
        <v>19286</v>
      </c>
      <c r="G9265" s="8" t="s">
        <v>15</v>
      </c>
    </row>
    <row r="9266" spans="1:7" hidden="1" x14ac:dyDescent="0.25">
      <c r="A9266" s="21">
        <v>9265</v>
      </c>
      <c r="B9266" s="22" t="s">
        <v>19287</v>
      </c>
      <c r="C9266" s="20" t="s">
        <v>19288</v>
      </c>
      <c r="G9266" s="8" t="s">
        <v>15</v>
      </c>
    </row>
    <row r="9267" spans="1:7" hidden="1" x14ac:dyDescent="0.25">
      <c r="A9267" s="21">
        <v>9266</v>
      </c>
      <c r="B9267" s="22" t="s">
        <v>19289</v>
      </c>
      <c r="C9267" s="20" t="s">
        <v>19290</v>
      </c>
      <c r="G9267" s="8" t="s">
        <v>15</v>
      </c>
    </row>
    <row r="9268" spans="1:7" hidden="1" x14ac:dyDescent="0.25">
      <c r="A9268" s="21">
        <v>9267</v>
      </c>
      <c r="B9268" s="22" t="s">
        <v>19291</v>
      </c>
      <c r="C9268" s="20" t="s">
        <v>19292</v>
      </c>
      <c r="G9268" s="8" t="s">
        <v>15</v>
      </c>
    </row>
    <row r="9269" spans="1:7" hidden="1" x14ac:dyDescent="0.25">
      <c r="A9269" s="21">
        <v>9268</v>
      </c>
      <c r="B9269" s="22" t="s">
        <v>19293</v>
      </c>
      <c r="C9269" s="20" t="s">
        <v>19294</v>
      </c>
      <c r="G9269" s="8" t="s">
        <v>15</v>
      </c>
    </row>
    <row r="9270" spans="1:7" hidden="1" x14ac:dyDescent="0.25">
      <c r="A9270" s="21">
        <v>9269</v>
      </c>
      <c r="B9270" s="22" t="s">
        <v>19295</v>
      </c>
      <c r="C9270" s="20" t="s">
        <v>19296</v>
      </c>
      <c r="G9270" s="8" t="s">
        <v>15</v>
      </c>
    </row>
    <row r="9271" spans="1:7" hidden="1" x14ac:dyDescent="0.25">
      <c r="A9271" s="21">
        <v>9270</v>
      </c>
      <c r="B9271" s="22" t="s">
        <v>19297</v>
      </c>
      <c r="C9271" s="20" t="s">
        <v>19298</v>
      </c>
      <c r="G9271" s="8" t="s">
        <v>15</v>
      </c>
    </row>
    <row r="9272" spans="1:7" hidden="1" x14ac:dyDescent="0.25">
      <c r="A9272" s="21">
        <v>9271</v>
      </c>
      <c r="B9272" s="22" t="s">
        <v>19299</v>
      </c>
      <c r="C9272" s="20" t="s">
        <v>19300</v>
      </c>
      <c r="G9272" s="8" t="s">
        <v>15</v>
      </c>
    </row>
    <row r="9273" spans="1:7" hidden="1" x14ac:dyDescent="0.25">
      <c r="A9273" s="21">
        <v>9272</v>
      </c>
      <c r="B9273" s="22" t="s">
        <v>19301</v>
      </c>
      <c r="C9273" s="20" t="s">
        <v>19302</v>
      </c>
      <c r="G9273" s="8" t="s">
        <v>15</v>
      </c>
    </row>
    <row r="9274" spans="1:7" hidden="1" x14ac:dyDescent="0.25">
      <c r="A9274" s="21">
        <v>9273</v>
      </c>
      <c r="B9274" s="22" t="s">
        <v>19303</v>
      </c>
      <c r="C9274" s="20" t="s">
        <v>19304</v>
      </c>
      <c r="G9274" s="8" t="s">
        <v>15</v>
      </c>
    </row>
    <row r="9275" spans="1:7" hidden="1" x14ac:dyDescent="0.25">
      <c r="A9275" s="21">
        <v>9274</v>
      </c>
      <c r="B9275" s="22" t="s">
        <v>19305</v>
      </c>
      <c r="C9275" s="20" t="s">
        <v>19306</v>
      </c>
      <c r="G9275" s="8" t="s">
        <v>15</v>
      </c>
    </row>
    <row r="9276" spans="1:7" hidden="1" x14ac:dyDescent="0.25">
      <c r="A9276" s="21">
        <v>9275</v>
      </c>
      <c r="B9276" s="22" t="s">
        <v>19307</v>
      </c>
      <c r="C9276" s="20" t="s">
        <v>19308</v>
      </c>
      <c r="G9276" s="8" t="s">
        <v>15</v>
      </c>
    </row>
    <row r="9277" spans="1:7" hidden="1" x14ac:dyDescent="0.25">
      <c r="A9277" s="21">
        <v>9276</v>
      </c>
      <c r="B9277" s="22" t="s">
        <v>19309</v>
      </c>
      <c r="C9277" s="20" t="s">
        <v>19310</v>
      </c>
      <c r="G9277" s="8" t="s">
        <v>15</v>
      </c>
    </row>
    <row r="9278" spans="1:7" hidden="1" x14ac:dyDescent="0.25">
      <c r="A9278" s="21">
        <v>9277</v>
      </c>
      <c r="B9278" s="22" t="s">
        <v>19311</v>
      </c>
      <c r="C9278" s="20" t="s">
        <v>19312</v>
      </c>
      <c r="G9278" s="8" t="s">
        <v>15</v>
      </c>
    </row>
    <row r="9279" spans="1:7" hidden="1" x14ac:dyDescent="0.25">
      <c r="A9279" s="21">
        <v>9278</v>
      </c>
      <c r="B9279" s="22" t="s">
        <v>19313</v>
      </c>
      <c r="C9279" s="20" t="s">
        <v>19314</v>
      </c>
      <c r="G9279" s="8" t="s">
        <v>15</v>
      </c>
    </row>
    <row r="9280" spans="1:7" hidden="1" x14ac:dyDescent="0.25">
      <c r="A9280" s="21">
        <v>9279</v>
      </c>
      <c r="B9280" s="22" t="s">
        <v>19315</v>
      </c>
      <c r="C9280" s="20" t="s">
        <v>19316</v>
      </c>
      <c r="G9280" s="8" t="s">
        <v>15</v>
      </c>
    </row>
    <row r="9281" spans="1:7" hidden="1" x14ac:dyDescent="0.25">
      <c r="A9281" s="21">
        <v>9280</v>
      </c>
      <c r="B9281" s="22" t="s">
        <v>19317</v>
      </c>
      <c r="C9281" s="20" t="s">
        <v>19318</v>
      </c>
      <c r="G9281" s="8" t="s">
        <v>15</v>
      </c>
    </row>
    <row r="9282" spans="1:7" hidden="1" x14ac:dyDescent="0.25">
      <c r="A9282" s="21">
        <v>9281</v>
      </c>
      <c r="B9282" s="22" t="s">
        <v>19319</v>
      </c>
      <c r="C9282" s="20" t="s">
        <v>19320</v>
      </c>
      <c r="G9282" s="8" t="s">
        <v>15</v>
      </c>
    </row>
    <row r="9283" spans="1:7" hidden="1" x14ac:dyDescent="0.25">
      <c r="A9283" s="21">
        <v>9282</v>
      </c>
      <c r="B9283" s="22" t="s">
        <v>19321</v>
      </c>
      <c r="C9283" s="20" t="s">
        <v>19322</v>
      </c>
      <c r="G9283" s="8" t="s">
        <v>15</v>
      </c>
    </row>
    <row r="9284" spans="1:7" hidden="1" x14ac:dyDescent="0.25">
      <c r="A9284" s="21">
        <v>9283</v>
      </c>
      <c r="B9284" s="22" t="s">
        <v>19323</v>
      </c>
      <c r="C9284" s="20" t="s">
        <v>19324</v>
      </c>
      <c r="G9284" s="8" t="s">
        <v>15</v>
      </c>
    </row>
    <row r="9285" spans="1:7" hidden="1" x14ac:dyDescent="0.25">
      <c r="A9285" s="21">
        <v>9284</v>
      </c>
      <c r="B9285" s="22" t="s">
        <v>19325</v>
      </c>
      <c r="C9285" s="20" t="s">
        <v>19326</v>
      </c>
      <c r="G9285" s="8" t="s">
        <v>15</v>
      </c>
    </row>
    <row r="9286" spans="1:7" hidden="1" x14ac:dyDescent="0.25">
      <c r="A9286" s="21">
        <v>9285</v>
      </c>
      <c r="B9286" s="22" t="s">
        <v>19327</v>
      </c>
      <c r="C9286" s="20" t="s">
        <v>19328</v>
      </c>
      <c r="G9286" s="8" t="s">
        <v>15</v>
      </c>
    </row>
    <row r="9287" spans="1:7" hidden="1" x14ac:dyDescent="0.25">
      <c r="A9287" s="21">
        <v>9286</v>
      </c>
      <c r="B9287" s="22" t="s">
        <v>19329</v>
      </c>
      <c r="C9287" s="20" t="s">
        <v>19330</v>
      </c>
      <c r="G9287" s="8" t="s">
        <v>15</v>
      </c>
    </row>
    <row r="9288" spans="1:7" hidden="1" x14ac:dyDescent="0.25">
      <c r="A9288" s="21">
        <v>9287</v>
      </c>
      <c r="B9288" s="22" t="s">
        <v>19331</v>
      </c>
      <c r="C9288" s="20" t="s">
        <v>19332</v>
      </c>
      <c r="G9288" s="8" t="s">
        <v>15</v>
      </c>
    </row>
    <row r="9289" spans="1:7" hidden="1" x14ac:dyDescent="0.25">
      <c r="A9289" s="21">
        <v>9288</v>
      </c>
      <c r="B9289" s="22" t="s">
        <v>19333</v>
      </c>
      <c r="C9289" s="20" t="s">
        <v>19334</v>
      </c>
      <c r="G9289" s="8" t="s">
        <v>15</v>
      </c>
    </row>
    <row r="9290" spans="1:7" hidden="1" x14ac:dyDescent="0.25">
      <c r="A9290" s="21">
        <v>9289</v>
      </c>
      <c r="B9290" s="22" t="s">
        <v>19335</v>
      </c>
      <c r="C9290" s="20" t="s">
        <v>19336</v>
      </c>
      <c r="G9290" s="8" t="s">
        <v>15</v>
      </c>
    </row>
    <row r="9291" spans="1:7" hidden="1" x14ac:dyDescent="0.25">
      <c r="A9291" s="21">
        <v>9290</v>
      </c>
      <c r="B9291" s="22" t="s">
        <v>19337</v>
      </c>
      <c r="C9291" s="20" t="s">
        <v>19338</v>
      </c>
      <c r="G9291" s="8" t="s">
        <v>15</v>
      </c>
    </row>
    <row r="9292" spans="1:7" hidden="1" x14ac:dyDescent="0.25">
      <c r="A9292" s="21">
        <v>9291</v>
      </c>
      <c r="B9292" s="22" t="s">
        <v>19339</v>
      </c>
      <c r="C9292" s="20" t="s">
        <v>19340</v>
      </c>
      <c r="G9292" s="8" t="s">
        <v>15</v>
      </c>
    </row>
    <row r="9293" spans="1:7" hidden="1" x14ac:dyDescent="0.25">
      <c r="A9293" s="21">
        <v>9292</v>
      </c>
      <c r="B9293" s="22" t="s">
        <v>19341</v>
      </c>
      <c r="C9293" s="20" t="s">
        <v>19342</v>
      </c>
      <c r="G9293" s="8" t="s">
        <v>15</v>
      </c>
    </row>
    <row r="9294" spans="1:7" hidden="1" x14ac:dyDescent="0.25">
      <c r="A9294" s="21">
        <v>9293</v>
      </c>
      <c r="B9294" s="22" t="s">
        <v>19343</v>
      </c>
      <c r="C9294" s="20" t="s">
        <v>19344</v>
      </c>
      <c r="G9294" s="8" t="s">
        <v>15</v>
      </c>
    </row>
    <row r="9295" spans="1:7" hidden="1" x14ac:dyDescent="0.25">
      <c r="A9295" s="21">
        <v>9294</v>
      </c>
      <c r="B9295" s="22" t="s">
        <v>19345</v>
      </c>
      <c r="C9295" s="20" t="s">
        <v>19346</v>
      </c>
      <c r="G9295" s="8" t="s">
        <v>15</v>
      </c>
    </row>
    <row r="9296" spans="1:7" hidden="1" x14ac:dyDescent="0.25">
      <c r="A9296" s="21">
        <v>9295</v>
      </c>
      <c r="B9296" s="22" t="s">
        <v>19347</v>
      </c>
      <c r="C9296" s="20" t="s">
        <v>19348</v>
      </c>
      <c r="G9296" s="8" t="s">
        <v>15</v>
      </c>
    </row>
    <row r="9297" spans="1:7" hidden="1" x14ac:dyDescent="0.25">
      <c r="A9297" s="21">
        <v>9296</v>
      </c>
      <c r="B9297" s="22" t="s">
        <v>19349</v>
      </c>
      <c r="C9297" s="20" t="s">
        <v>19350</v>
      </c>
      <c r="G9297" s="8" t="s">
        <v>15</v>
      </c>
    </row>
    <row r="9298" spans="1:7" hidden="1" x14ac:dyDescent="0.25">
      <c r="A9298" s="21">
        <v>9297</v>
      </c>
      <c r="B9298" s="22" t="s">
        <v>19351</v>
      </c>
      <c r="C9298" s="20" t="s">
        <v>19352</v>
      </c>
      <c r="G9298" s="8" t="s">
        <v>15</v>
      </c>
    </row>
    <row r="9299" spans="1:7" hidden="1" x14ac:dyDescent="0.25">
      <c r="A9299" s="21">
        <v>9298</v>
      </c>
      <c r="B9299" s="22" t="s">
        <v>19353</v>
      </c>
      <c r="C9299" s="20" t="s">
        <v>19354</v>
      </c>
      <c r="G9299" s="8" t="s">
        <v>15</v>
      </c>
    </row>
    <row r="9300" spans="1:7" hidden="1" x14ac:dyDescent="0.25">
      <c r="A9300" s="21">
        <v>9299</v>
      </c>
      <c r="B9300" s="22" t="s">
        <v>19355</v>
      </c>
      <c r="C9300" s="20" t="s">
        <v>19356</v>
      </c>
      <c r="G9300" s="8" t="s">
        <v>15</v>
      </c>
    </row>
    <row r="9301" spans="1:7" hidden="1" x14ac:dyDescent="0.25">
      <c r="A9301" s="21">
        <v>9300</v>
      </c>
      <c r="B9301" s="22" t="s">
        <v>19357</v>
      </c>
      <c r="C9301" s="20" t="s">
        <v>19358</v>
      </c>
      <c r="G9301" s="8" t="s">
        <v>15</v>
      </c>
    </row>
    <row r="9302" spans="1:7" hidden="1" x14ac:dyDescent="0.25">
      <c r="A9302" s="21">
        <v>9301</v>
      </c>
      <c r="B9302" s="22" t="s">
        <v>19359</v>
      </c>
      <c r="C9302" s="20" t="s">
        <v>19360</v>
      </c>
      <c r="G9302" s="8" t="s">
        <v>15</v>
      </c>
    </row>
    <row r="9303" spans="1:7" hidden="1" x14ac:dyDescent="0.25">
      <c r="A9303" s="21">
        <v>9302</v>
      </c>
      <c r="B9303" s="22" t="s">
        <v>19361</v>
      </c>
      <c r="C9303" s="20" t="s">
        <v>19362</v>
      </c>
      <c r="G9303" s="8" t="s">
        <v>15</v>
      </c>
    </row>
    <row r="9304" spans="1:7" hidden="1" x14ac:dyDescent="0.25">
      <c r="A9304" s="21">
        <v>9303</v>
      </c>
      <c r="B9304" s="22" t="s">
        <v>19363</v>
      </c>
      <c r="C9304" s="20" t="s">
        <v>19364</v>
      </c>
      <c r="G9304" s="8" t="s">
        <v>15</v>
      </c>
    </row>
    <row r="9305" spans="1:7" hidden="1" x14ac:dyDescent="0.25">
      <c r="A9305" s="21">
        <v>9304</v>
      </c>
      <c r="B9305" s="22" t="s">
        <v>19365</v>
      </c>
      <c r="C9305" s="20" t="s">
        <v>19366</v>
      </c>
      <c r="G9305" s="8" t="s">
        <v>15</v>
      </c>
    </row>
    <row r="9306" spans="1:7" hidden="1" x14ac:dyDescent="0.25">
      <c r="A9306" s="21">
        <v>9305</v>
      </c>
      <c r="B9306" s="22" t="s">
        <v>19367</v>
      </c>
      <c r="C9306" s="20" t="s">
        <v>19368</v>
      </c>
      <c r="G9306" s="8" t="s">
        <v>15</v>
      </c>
    </row>
    <row r="9307" spans="1:7" hidden="1" x14ac:dyDescent="0.25">
      <c r="A9307" s="21">
        <v>9306</v>
      </c>
      <c r="B9307" s="22" t="s">
        <v>19369</v>
      </c>
      <c r="C9307" s="20" t="s">
        <v>19370</v>
      </c>
      <c r="G9307" s="8" t="s">
        <v>15</v>
      </c>
    </row>
    <row r="9308" spans="1:7" hidden="1" x14ac:dyDescent="0.25">
      <c r="A9308" s="21">
        <v>9307</v>
      </c>
      <c r="B9308" s="22" t="s">
        <v>19371</v>
      </c>
      <c r="C9308" s="20" t="s">
        <v>19372</v>
      </c>
      <c r="G9308" s="8" t="s">
        <v>15</v>
      </c>
    </row>
    <row r="9309" spans="1:7" hidden="1" x14ac:dyDescent="0.25">
      <c r="A9309" s="21">
        <v>9308</v>
      </c>
      <c r="B9309" s="22" t="s">
        <v>19373</v>
      </c>
      <c r="C9309" s="20" t="s">
        <v>19374</v>
      </c>
      <c r="G9309" s="8" t="s">
        <v>15</v>
      </c>
    </row>
    <row r="9310" spans="1:7" hidden="1" x14ac:dyDescent="0.25">
      <c r="A9310" s="21">
        <v>9309</v>
      </c>
      <c r="B9310" s="22" t="s">
        <v>19375</v>
      </c>
      <c r="C9310" s="20" t="s">
        <v>19376</v>
      </c>
      <c r="G9310" s="8" t="s">
        <v>15</v>
      </c>
    </row>
    <row r="9311" spans="1:7" hidden="1" x14ac:dyDescent="0.25">
      <c r="A9311" s="21">
        <v>9310</v>
      </c>
      <c r="B9311" s="22" t="s">
        <v>19377</v>
      </c>
      <c r="C9311" s="20" t="s">
        <v>19378</v>
      </c>
      <c r="G9311" s="8" t="s">
        <v>15</v>
      </c>
    </row>
    <row r="9312" spans="1:7" hidden="1" x14ac:dyDescent="0.25">
      <c r="A9312" s="21">
        <v>9311</v>
      </c>
      <c r="B9312" s="22" t="s">
        <v>19379</v>
      </c>
      <c r="C9312" s="20" t="s">
        <v>19380</v>
      </c>
      <c r="G9312" s="8" t="s">
        <v>15</v>
      </c>
    </row>
    <row r="9313" spans="1:7" hidden="1" x14ac:dyDescent="0.25">
      <c r="A9313" s="21">
        <v>9312</v>
      </c>
      <c r="B9313" s="22" t="s">
        <v>19381</v>
      </c>
      <c r="C9313" s="20" t="s">
        <v>19382</v>
      </c>
      <c r="G9313" s="8" t="s">
        <v>15</v>
      </c>
    </row>
    <row r="9314" spans="1:7" hidden="1" x14ac:dyDescent="0.25">
      <c r="A9314" s="21">
        <v>9313</v>
      </c>
      <c r="B9314" s="22" t="s">
        <v>19383</v>
      </c>
      <c r="C9314" s="20" t="s">
        <v>19384</v>
      </c>
      <c r="G9314" s="8" t="s">
        <v>15</v>
      </c>
    </row>
    <row r="9315" spans="1:7" hidden="1" x14ac:dyDescent="0.25">
      <c r="A9315" s="21">
        <v>9314</v>
      </c>
      <c r="B9315" s="22" t="s">
        <v>19385</v>
      </c>
      <c r="C9315" s="20" t="s">
        <v>19386</v>
      </c>
      <c r="F9315" t="s">
        <v>19387</v>
      </c>
      <c r="G9315" s="8" t="s">
        <v>15</v>
      </c>
    </row>
    <row r="9316" spans="1:7" hidden="1" x14ac:dyDescent="0.25">
      <c r="A9316" s="21">
        <v>9315</v>
      </c>
      <c r="B9316" s="22" t="s">
        <v>19388</v>
      </c>
      <c r="C9316" s="20" t="s">
        <v>19389</v>
      </c>
      <c r="F9316" t="s">
        <v>19387</v>
      </c>
      <c r="G9316" s="8" t="s">
        <v>15</v>
      </c>
    </row>
    <row r="9317" spans="1:7" hidden="1" x14ac:dyDescent="0.25">
      <c r="A9317" s="21">
        <v>9316</v>
      </c>
      <c r="B9317" s="22" t="s">
        <v>19390</v>
      </c>
      <c r="C9317" s="20" t="s">
        <v>19391</v>
      </c>
      <c r="F9317" t="s">
        <v>19387</v>
      </c>
      <c r="G9317" s="8" t="s">
        <v>15</v>
      </c>
    </row>
    <row r="9318" spans="1:7" hidden="1" x14ac:dyDescent="0.25">
      <c r="A9318" s="21">
        <v>9317</v>
      </c>
      <c r="B9318" s="22" t="s">
        <v>19392</v>
      </c>
      <c r="C9318" s="20" t="s">
        <v>19393</v>
      </c>
      <c r="F9318" t="s">
        <v>19387</v>
      </c>
      <c r="G9318" s="8" t="s">
        <v>15</v>
      </c>
    </row>
    <row r="9319" spans="1:7" hidden="1" x14ac:dyDescent="0.25">
      <c r="A9319" s="21">
        <v>9318</v>
      </c>
      <c r="B9319" s="22" t="s">
        <v>19394</v>
      </c>
      <c r="C9319" s="20" t="s">
        <v>19395</v>
      </c>
      <c r="F9319" t="s">
        <v>19387</v>
      </c>
      <c r="G9319" s="8" t="s">
        <v>15</v>
      </c>
    </row>
    <row r="9320" spans="1:7" hidden="1" x14ac:dyDescent="0.25">
      <c r="A9320" s="21">
        <v>9319</v>
      </c>
      <c r="B9320" s="22" t="s">
        <v>19396</v>
      </c>
      <c r="C9320" s="20" t="s">
        <v>19397</v>
      </c>
      <c r="F9320" t="s">
        <v>19387</v>
      </c>
      <c r="G9320" s="8" t="s">
        <v>15</v>
      </c>
    </row>
    <row r="9321" spans="1:7" hidden="1" x14ac:dyDescent="0.25">
      <c r="A9321" s="21">
        <v>9320</v>
      </c>
      <c r="B9321" s="22" t="s">
        <v>19398</v>
      </c>
      <c r="C9321" s="20" t="s">
        <v>19399</v>
      </c>
      <c r="F9321" t="s">
        <v>19387</v>
      </c>
      <c r="G9321" s="8" t="s">
        <v>15</v>
      </c>
    </row>
    <row r="9322" spans="1:7" hidden="1" x14ac:dyDescent="0.25">
      <c r="A9322" s="21">
        <v>9321</v>
      </c>
      <c r="B9322" s="22" t="s">
        <v>19400</v>
      </c>
      <c r="C9322" s="20" t="s">
        <v>19401</v>
      </c>
      <c r="F9322" t="s">
        <v>19387</v>
      </c>
      <c r="G9322" s="8" t="s">
        <v>15</v>
      </c>
    </row>
    <row r="9323" spans="1:7" hidden="1" x14ac:dyDescent="0.25">
      <c r="A9323" s="21">
        <v>9322</v>
      </c>
      <c r="B9323" s="22" t="s">
        <v>19402</v>
      </c>
      <c r="C9323" s="20" t="s">
        <v>19403</v>
      </c>
      <c r="G9323" s="8" t="s">
        <v>15</v>
      </c>
    </row>
    <row r="9324" spans="1:7" hidden="1" x14ac:dyDescent="0.25">
      <c r="A9324" s="21">
        <v>9323</v>
      </c>
      <c r="B9324" s="22" t="s">
        <v>19404</v>
      </c>
      <c r="C9324" s="20" t="s">
        <v>19405</v>
      </c>
      <c r="G9324" s="8" t="s">
        <v>15</v>
      </c>
    </row>
    <row r="9325" spans="1:7" hidden="1" x14ac:dyDescent="0.25">
      <c r="A9325" s="21">
        <v>9324</v>
      </c>
      <c r="B9325" s="22" t="s">
        <v>19406</v>
      </c>
      <c r="C9325" s="20" t="s">
        <v>19407</v>
      </c>
      <c r="G9325" s="8" t="s">
        <v>15</v>
      </c>
    </row>
    <row r="9326" spans="1:7" hidden="1" x14ac:dyDescent="0.25">
      <c r="A9326" s="21">
        <v>9325</v>
      </c>
      <c r="B9326" s="22" t="s">
        <v>19408</v>
      </c>
      <c r="C9326" s="20" t="s">
        <v>19409</v>
      </c>
      <c r="G9326" s="8" t="s">
        <v>15</v>
      </c>
    </row>
    <row r="9327" spans="1:7" hidden="1" x14ac:dyDescent="0.25">
      <c r="A9327" s="21">
        <v>9326</v>
      </c>
      <c r="B9327" s="22" t="s">
        <v>19410</v>
      </c>
      <c r="C9327" s="20" t="s">
        <v>19411</v>
      </c>
      <c r="G9327" s="8" t="s">
        <v>15</v>
      </c>
    </row>
    <row r="9328" spans="1:7" hidden="1" x14ac:dyDescent="0.25">
      <c r="A9328" s="21">
        <v>9327</v>
      </c>
      <c r="B9328" s="22" t="s">
        <v>19412</v>
      </c>
      <c r="C9328" s="20" t="s">
        <v>19413</v>
      </c>
      <c r="G9328" s="8" t="s">
        <v>15</v>
      </c>
    </row>
    <row r="9329" spans="1:7" hidden="1" x14ac:dyDescent="0.25">
      <c r="A9329" s="21">
        <v>9328</v>
      </c>
      <c r="B9329" s="22" t="s">
        <v>19414</v>
      </c>
      <c r="C9329" s="20" t="s">
        <v>19415</v>
      </c>
      <c r="G9329" s="8" t="s">
        <v>15</v>
      </c>
    </row>
    <row r="9330" spans="1:7" hidden="1" x14ac:dyDescent="0.25">
      <c r="A9330" s="21">
        <v>9329</v>
      </c>
      <c r="B9330" s="22" t="s">
        <v>19416</v>
      </c>
      <c r="C9330" s="20" t="s">
        <v>19417</v>
      </c>
      <c r="G9330" s="8" t="s">
        <v>15</v>
      </c>
    </row>
    <row r="9331" spans="1:7" hidden="1" x14ac:dyDescent="0.25">
      <c r="A9331" s="21">
        <v>9330</v>
      </c>
      <c r="B9331" s="22" t="s">
        <v>19418</v>
      </c>
      <c r="C9331" s="20" t="s">
        <v>19419</v>
      </c>
      <c r="G9331" s="8" t="s">
        <v>15</v>
      </c>
    </row>
    <row r="9332" spans="1:7" hidden="1" x14ac:dyDescent="0.25">
      <c r="A9332" s="21">
        <v>9331</v>
      </c>
      <c r="B9332" s="22" t="s">
        <v>19420</v>
      </c>
      <c r="C9332" s="20" t="s">
        <v>19421</v>
      </c>
      <c r="G9332" s="8" t="s">
        <v>15</v>
      </c>
    </row>
    <row r="9333" spans="1:7" hidden="1" x14ac:dyDescent="0.25">
      <c r="A9333" s="21">
        <v>9332</v>
      </c>
      <c r="B9333" s="22" t="s">
        <v>19422</v>
      </c>
      <c r="C9333" s="20" t="s">
        <v>19423</v>
      </c>
      <c r="G9333" s="8" t="s">
        <v>15</v>
      </c>
    </row>
    <row r="9334" spans="1:7" hidden="1" x14ac:dyDescent="0.25">
      <c r="A9334" s="21">
        <v>9333</v>
      </c>
      <c r="B9334" s="22" t="s">
        <v>19424</v>
      </c>
      <c r="C9334" s="20" t="s">
        <v>19425</v>
      </c>
      <c r="G9334" s="8" t="s">
        <v>15</v>
      </c>
    </row>
    <row r="9335" spans="1:7" hidden="1" x14ac:dyDescent="0.25">
      <c r="A9335" s="21">
        <v>9334</v>
      </c>
      <c r="B9335" s="22" t="s">
        <v>19426</v>
      </c>
      <c r="C9335" s="20" t="s">
        <v>19427</v>
      </c>
      <c r="G9335" s="8" t="s">
        <v>15</v>
      </c>
    </row>
    <row r="9336" spans="1:7" hidden="1" x14ac:dyDescent="0.25">
      <c r="A9336" s="21">
        <v>9335</v>
      </c>
      <c r="B9336" s="22" t="s">
        <v>19428</v>
      </c>
      <c r="C9336" s="20" t="s">
        <v>19429</v>
      </c>
      <c r="G9336" s="8" t="s">
        <v>15</v>
      </c>
    </row>
    <row r="9337" spans="1:7" hidden="1" x14ac:dyDescent="0.25">
      <c r="A9337" s="21">
        <v>9336</v>
      </c>
      <c r="B9337" s="22" t="s">
        <v>19430</v>
      </c>
      <c r="C9337" s="20" t="s">
        <v>19431</v>
      </c>
      <c r="G9337" s="8" t="s">
        <v>15</v>
      </c>
    </row>
    <row r="9338" spans="1:7" hidden="1" x14ac:dyDescent="0.25">
      <c r="A9338" s="21">
        <v>9337</v>
      </c>
      <c r="B9338" s="22" t="s">
        <v>19432</v>
      </c>
      <c r="C9338" s="20" t="s">
        <v>19433</v>
      </c>
      <c r="G9338" s="8" t="s">
        <v>15</v>
      </c>
    </row>
    <row r="9339" spans="1:7" hidden="1" x14ac:dyDescent="0.25">
      <c r="A9339" s="21">
        <v>9338</v>
      </c>
      <c r="B9339" s="22" t="s">
        <v>19434</v>
      </c>
      <c r="C9339" s="20" t="s">
        <v>19435</v>
      </c>
      <c r="G9339" s="8" t="s">
        <v>15</v>
      </c>
    </row>
    <row r="9340" spans="1:7" hidden="1" x14ac:dyDescent="0.25">
      <c r="A9340" s="21">
        <v>9344</v>
      </c>
      <c r="B9340" s="23" t="s">
        <v>19867</v>
      </c>
      <c r="C9340" s="24" t="s">
        <v>19868</v>
      </c>
    </row>
    <row r="9341" spans="1:7" hidden="1" x14ac:dyDescent="0.25">
      <c r="A9341" s="21">
        <v>9345</v>
      </c>
      <c r="B9341" s="23" t="s">
        <v>19869</v>
      </c>
      <c r="C9341" s="24" t="s">
        <v>19870</v>
      </c>
    </row>
    <row r="9342" spans="1:7" hidden="1" x14ac:dyDescent="0.25">
      <c r="A9342" s="21">
        <v>9346</v>
      </c>
      <c r="B9342" s="23" t="s">
        <v>19871</v>
      </c>
      <c r="C9342" s="24" t="s">
        <v>19872</v>
      </c>
    </row>
    <row r="9343" spans="1:7" hidden="1" x14ac:dyDescent="0.25">
      <c r="A9343" s="21">
        <v>9347</v>
      </c>
      <c r="B9343" s="23" t="s">
        <v>19873</v>
      </c>
      <c r="C9343" s="24" t="s">
        <v>19874</v>
      </c>
    </row>
    <row r="9344" spans="1:7" hidden="1" x14ac:dyDescent="0.25">
      <c r="A9344" s="21">
        <v>9348</v>
      </c>
      <c r="B9344" s="23" t="s">
        <v>19875</v>
      </c>
      <c r="C9344" s="24" t="s">
        <v>19876</v>
      </c>
    </row>
    <row r="9345" spans="1:3" hidden="1" x14ac:dyDescent="0.25">
      <c r="A9345" s="21">
        <v>9349</v>
      </c>
      <c r="B9345" s="23" t="s">
        <v>19878</v>
      </c>
      <c r="C9345" s="24" t="s">
        <v>19879</v>
      </c>
    </row>
    <row r="9346" spans="1:3" hidden="1" x14ac:dyDescent="0.25">
      <c r="A9346" s="21">
        <v>9350</v>
      </c>
      <c r="B9346" s="23" t="s">
        <v>19880</v>
      </c>
      <c r="C9346" s="24" t="s">
        <v>19881</v>
      </c>
    </row>
    <row r="9347" spans="1:3" hidden="1" x14ac:dyDescent="0.25">
      <c r="A9347" s="21">
        <v>9351</v>
      </c>
      <c r="B9347" s="23" t="s">
        <v>19882</v>
      </c>
      <c r="C9347" s="24" t="s">
        <v>19883</v>
      </c>
    </row>
    <row r="9348" spans="1:3" hidden="1" x14ac:dyDescent="0.25">
      <c r="A9348" s="21">
        <v>9352</v>
      </c>
      <c r="B9348" s="23" t="s">
        <v>19884</v>
      </c>
      <c r="C9348" s="24" t="s">
        <v>19885</v>
      </c>
    </row>
    <row r="9349" spans="1:3" hidden="1" x14ac:dyDescent="0.25">
      <c r="A9349" s="21">
        <v>9353</v>
      </c>
      <c r="B9349" s="23" t="s">
        <v>19886</v>
      </c>
      <c r="C9349" s="24" t="s">
        <v>19887</v>
      </c>
    </row>
    <row r="9350" spans="1:3" hidden="1" x14ac:dyDescent="0.25">
      <c r="A9350" s="21">
        <v>9354</v>
      </c>
      <c r="B9350" s="23" t="s">
        <v>19888</v>
      </c>
      <c r="C9350" s="24" t="s">
        <v>19889</v>
      </c>
    </row>
    <row r="9351" spans="1:3" hidden="1" x14ac:dyDescent="0.25">
      <c r="A9351" s="21">
        <v>9355</v>
      </c>
      <c r="B9351" s="23" t="s">
        <v>19890</v>
      </c>
      <c r="C9351" s="24" t="s">
        <v>19891</v>
      </c>
    </row>
    <row r="9352" spans="1:3" hidden="1" x14ac:dyDescent="0.25">
      <c r="A9352" s="21">
        <v>9356</v>
      </c>
      <c r="B9352" s="23" t="s">
        <v>19892</v>
      </c>
      <c r="C9352" s="24" t="s">
        <v>19893</v>
      </c>
    </row>
    <row r="9353" spans="1:3" hidden="1" x14ac:dyDescent="0.25">
      <c r="A9353" s="21">
        <v>9357</v>
      </c>
      <c r="B9353" s="23" t="s">
        <v>19894</v>
      </c>
      <c r="C9353" s="24" t="s">
        <v>19895</v>
      </c>
    </row>
    <row r="9354" spans="1:3" hidden="1" x14ac:dyDescent="0.25">
      <c r="A9354" s="21">
        <v>9358</v>
      </c>
      <c r="B9354" s="23" t="s">
        <v>19896</v>
      </c>
      <c r="C9354" s="24" t="s">
        <v>19897</v>
      </c>
    </row>
    <row r="9355" spans="1:3" hidden="1" x14ac:dyDescent="0.25">
      <c r="A9355" s="21">
        <v>9359</v>
      </c>
      <c r="B9355" s="23" t="s">
        <v>19898</v>
      </c>
      <c r="C9355" s="24" t="s">
        <v>19899</v>
      </c>
    </row>
    <row r="9356" spans="1:3" hidden="1" x14ac:dyDescent="0.25">
      <c r="A9356" s="21">
        <v>9360</v>
      </c>
      <c r="B9356" s="23" t="s">
        <v>19900</v>
      </c>
      <c r="C9356" s="24" t="s">
        <v>19901</v>
      </c>
    </row>
    <row r="9357" spans="1:3" hidden="1" x14ac:dyDescent="0.25">
      <c r="A9357" s="21">
        <v>9361</v>
      </c>
      <c r="B9357" s="23" t="s">
        <v>19902</v>
      </c>
      <c r="C9357" s="24" t="s">
        <v>19903</v>
      </c>
    </row>
    <row r="9358" spans="1:3" hidden="1" x14ac:dyDescent="0.25">
      <c r="A9358" s="21">
        <v>9362</v>
      </c>
      <c r="B9358" s="23" t="s">
        <v>19904</v>
      </c>
      <c r="C9358" s="24" t="s">
        <v>19905</v>
      </c>
    </row>
    <row r="9359" spans="1:3" hidden="1" x14ac:dyDescent="0.25">
      <c r="A9359" s="21">
        <v>9363</v>
      </c>
      <c r="B9359" s="23" t="s">
        <v>19906</v>
      </c>
      <c r="C9359" s="24" t="s">
        <v>19907</v>
      </c>
    </row>
    <row r="9360" spans="1:3" hidden="1" x14ac:dyDescent="0.25">
      <c r="A9360" s="21">
        <v>9364</v>
      </c>
      <c r="B9360" s="23" t="s">
        <v>19908</v>
      </c>
      <c r="C9360" s="24" t="s">
        <v>19909</v>
      </c>
    </row>
    <row r="9361" spans="1:3" hidden="1" x14ac:dyDescent="0.25">
      <c r="A9361" s="21">
        <v>9365</v>
      </c>
      <c r="B9361" s="23" t="s">
        <v>19910</v>
      </c>
      <c r="C9361" s="24" t="s">
        <v>19911</v>
      </c>
    </row>
    <row r="9362" spans="1:3" hidden="1" x14ac:dyDescent="0.25">
      <c r="A9362" s="21">
        <v>9366</v>
      </c>
      <c r="B9362" s="23" t="s">
        <v>19912</v>
      </c>
      <c r="C9362" s="24" t="s">
        <v>19913</v>
      </c>
    </row>
    <row r="9363" spans="1:3" hidden="1" x14ac:dyDescent="0.25">
      <c r="A9363" s="21">
        <v>9367</v>
      </c>
      <c r="B9363" s="23" t="s">
        <v>19914</v>
      </c>
      <c r="C9363" s="24" t="s">
        <v>19915</v>
      </c>
    </row>
    <row r="9364" spans="1:3" hidden="1" x14ac:dyDescent="0.25">
      <c r="A9364" s="21">
        <v>9368</v>
      </c>
      <c r="B9364" s="23" t="s">
        <v>19916</v>
      </c>
      <c r="C9364" s="24" t="s">
        <v>19917</v>
      </c>
    </row>
    <row r="9365" spans="1:3" hidden="1" x14ac:dyDescent="0.25">
      <c r="A9365" s="21">
        <v>9369</v>
      </c>
      <c r="B9365" s="23" t="s">
        <v>19918</v>
      </c>
      <c r="C9365" s="24" t="s">
        <v>19919</v>
      </c>
    </row>
    <row r="9366" spans="1:3" hidden="1" x14ac:dyDescent="0.25">
      <c r="A9366" s="21">
        <v>9370</v>
      </c>
      <c r="B9366" s="23" t="s">
        <v>19920</v>
      </c>
      <c r="C9366" s="24" t="s">
        <v>19921</v>
      </c>
    </row>
    <row r="9367" spans="1:3" hidden="1" x14ac:dyDescent="0.25">
      <c r="A9367" s="21">
        <v>9371</v>
      </c>
      <c r="B9367" s="23" t="s">
        <v>19922</v>
      </c>
      <c r="C9367" s="24" t="s">
        <v>19923</v>
      </c>
    </row>
    <row r="9368" spans="1:3" hidden="1" x14ac:dyDescent="0.25">
      <c r="A9368" s="21">
        <v>9372</v>
      </c>
      <c r="B9368" s="23" t="s">
        <v>19924</v>
      </c>
      <c r="C9368" s="24" t="s">
        <v>19925</v>
      </c>
    </row>
    <row r="9369" spans="1:3" hidden="1" x14ac:dyDescent="0.25">
      <c r="A9369" s="21">
        <v>9373</v>
      </c>
      <c r="B9369" s="23" t="s">
        <v>19926</v>
      </c>
      <c r="C9369" s="24" t="s">
        <v>19927</v>
      </c>
    </row>
    <row r="9370" spans="1:3" hidden="1" x14ac:dyDescent="0.25">
      <c r="A9370" s="21">
        <v>9374</v>
      </c>
      <c r="B9370" s="23" t="s">
        <v>19928</v>
      </c>
      <c r="C9370" s="24" t="s">
        <v>19929</v>
      </c>
    </row>
    <row r="9371" spans="1:3" hidden="1" x14ac:dyDescent="0.25">
      <c r="A9371" s="21">
        <v>9375</v>
      </c>
      <c r="B9371" s="23" t="s">
        <v>19930</v>
      </c>
      <c r="C9371" s="24" t="s">
        <v>19931</v>
      </c>
    </row>
    <row r="9372" spans="1:3" hidden="1" x14ac:dyDescent="0.25">
      <c r="A9372" s="21">
        <v>9376</v>
      </c>
      <c r="B9372" s="23" t="s">
        <v>19932</v>
      </c>
      <c r="C9372" s="24" t="s">
        <v>19933</v>
      </c>
    </row>
    <row r="9373" spans="1:3" hidden="1" x14ac:dyDescent="0.25">
      <c r="A9373" s="21">
        <v>9377</v>
      </c>
      <c r="B9373" s="23" t="s">
        <v>19934</v>
      </c>
      <c r="C9373" s="24" t="s">
        <v>19935</v>
      </c>
    </row>
    <row r="9374" spans="1:3" hidden="1" x14ac:dyDescent="0.25">
      <c r="A9374" s="21">
        <v>9378</v>
      </c>
      <c r="B9374" s="23" t="s">
        <v>19936</v>
      </c>
      <c r="C9374" s="24" t="s">
        <v>19937</v>
      </c>
    </row>
    <row r="9375" spans="1:3" hidden="1" x14ac:dyDescent="0.25">
      <c r="A9375" s="21">
        <v>9379</v>
      </c>
      <c r="B9375" s="23" t="s">
        <v>19938</v>
      </c>
      <c r="C9375" s="24" t="s">
        <v>19939</v>
      </c>
    </row>
    <row r="9376" spans="1:3" hidden="1" x14ac:dyDescent="0.25">
      <c r="A9376" s="21">
        <v>9380</v>
      </c>
      <c r="B9376" s="23" t="s">
        <v>19940</v>
      </c>
      <c r="C9376" s="24" t="s">
        <v>19941</v>
      </c>
    </row>
    <row r="9377" spans="1:10" hidden="1" x14ac:dyDescent="0.25">
      <c r="A9377" s="21">
        <v>9381</v>
      </c>
      <c r="B9377" s="23" t="s">
        <v>19942</v>
      </c>
      <c r="C9377" s="24" t="s">
        <v>19943</v>
      </c>
    </row>
    <row r="9378" spans="1:10" hidden="1" x14ac:dyDescent="0.25">
      <c r="A9378" s="21">
        <v>9382</v>
      </c>
      <c r="B9378" s="23" t="s">
        <v>19944</v>
      </c>
      <c r="C9378" s="24" t="s">
        <v>19945</v>
      </c>
    </row>
    <row r="9379" spans="1:10" hidden="1" x14ac:dyDescent="0.25">
      <c r="A9379" s="21">
        <v>9339</v>
      </c>
      <c r="B9379" s="17" t="s">
        <v>19442</v>
      </c>
      <c r="C9379" s="14" t="s">
        <v>19441</v>
      </c>
      <c r="D9379" s="1" t="s">
        <v>19446</v>
      </c>
      <c r="E9379" t="s">
        <v>19445</v>
      </c>
      <c r="H9379" t="str">
        <f>_xlfn.XLOOKUP(B9379,Data!T:T,Data!F:F)</f>
        <v>10 ml x 20 Amps</v>
      </c>
      <c r="J9379" t="s">
        <v>19444</v>
      </c>
    </row>
    <row r="9380" spans="1:10" hidden="1" x14ac:dyDescent="0.25">
      <c r="A9380" s="21">
        <v>9340</v>
      </c>
      <c r="B9380" s="10" t="s">
        <v>19790</v>
      </c>
      <c r="C9380" s="14" t="s">
        <v>19791</v>
      </c>
    </row>
    <row r="9381" spans="1:10" hidden="1" x14ac:dyDescent="0.25">
      <c r="A9381" s="21">
        <v>9341</v>
      </c>
      <c r="B9381" s="10" t="s">
        <v>19857</v>
      </c>
      <c r="C9381" s="14" t="s">
        <v>19338</v>
      </c>
    </row>
    <row r="9382" spans="1:10" hidden="1" x14ac:dyDescent="0.25">
      <c r="A9382" s="21">
        <v>9342</v>
      </c>
      <c r="B9382" s="10" t="s">
        <v>19858</v>
      </c>
      <c r="C9382" s="14" t="s">
        <v>19336</v>
      </c>
    </row>
    <row r="9383" spans="1:10" hidden="1" x14ac:dyDescent="0.25">
      <c r="A9383" s="21">
        <v>9343</v>
      </c>
      <c r="B9383" s="10" t="s">
        <v>19859</v>
      </c>
      <c r="C9383" s="14" t="s">
        <v>19334</v>
      </c>
    </row>
    <row r="9384" spans="1:10" hidden="1" x14ac:dyDescent="0.25">
      <c r="A9384" s="21">
        <v>9344</v>
      </c>
      <c r="B9384" s="10" t="s">
        <v>19969</v>
      </c>
      <c r="C9384" s="14" t="s">
        <v>19970</v>
      </c>
    </row>
    <row r="9385" spans="1:10" hidden="1" x14ac:dyDescent="0.25">
      <c r="A9385" s="21">
        <v>9345</v>
      </c>
      <c r="B9385" s="10" t="s">
        <v>19976</v>
      </c>
      <c r="C9385" s="14" t="s">
        <v>19981</v>
      </c>
    </row>
    <row r="9386" spans="1:10" hidden="1" x14ac:dyDescent="0.25">
      <c r="A9386" s="21">
        <v>9346</v>
      </c>
      <c r="B9386" s="10" t="s">
        <v>19977</v>
      </c>
      <c r="C9386" s="14" t="s">
        <v>19982</v>
      </c>
    </row>
    <row r="9387" spans="1:10" hidden="1" x14ac:dyDescent="0.25">
      <c r="A9387" s="21">
        <v>9347</v>
      </c>
      <c r="B9387" s="10" t="s">
        <v>19978</v>
      </c>
      <c r="C9387" s="14" t="s">
        <v>19983</v>
      </c>
    </row>
    <row r="9388" spans="1:10" hidden="1" x14ac:dyDescent="0.25">
      <c r="A9388" s="21">
        <v>9348</v>
      </c>
      <c r="B9388" s="10" t="s">
        <v>19979</v>
      </c>
      <c r="C9388" s="14" t="s">
        <v>19984</v>
      </c>
    </row>
    <row r="9389" spans="1:10" hidden="1" x14ac:dyDescent="0.25">
      <c r="A9389" s="21">
        <v>9349</v>
      </c>
      <c r="B9389" s="10" t="s">
        <v>19980</v>
      </c>
      <c r="C9389" s="14" t="s">
        <v>19985</v>
      </c>
    </row>
  </sheetData>
  <autoFilter ref="A1:M9389" xr:uid="{07F1DC45-79AD-4494-8D94-98CB8CDB0DC5}">
    <filterColumn colId="2">
      <filters>
        <filter val="CALCIDOS (CAL. + VIT D3) B/ 3 X10 CES"/>
        <filter val="CALCIDOS (CAL. + VIT. D3) SIRUP 100ML"/>
        <filter val="CALCIDOS (CAL.1000MG + VIT D3 880IU) EFF. B/10 CES"/>
      </filters>
    </filterColumn>
  </autoFilter>
  <phoneticPr fontId="8" type="noConversion"/>
  <conditionalFormatting sqref="B1:B1048576">
    <cfRule type="duplicateValues" dxfId="5" priority="78"/>
    <cfRule type="duplicateValues" dxfId="4" priority="79"/>
  </conditionalFormatting>
  <dataValidations count="1">
    <dataValidation type="list" allowBlank="1" showInputMessage="1" showErrorMessage="1" sqref="B1" xr:uid="{28146C43-3E24-4D19-9298-AD4C40BE63E1}">
      <formula1>$B:$B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EE28-6D12-4A08-BBA6-986E49FCC813}">
  <sheetPr filterMode="1"/>
  <dimension ref="A1:H104"/>
  <sheetViews>
    <sheetView tabSelected="1" workbookViewId="0">
      <selection activeCell="B123" sqref="B122:B123"/>
    </sheetView>
  </sheetViews>
  <sheetFormatPr defaultRowHeight="15" x14ac:dyDescent="0.25"/>
  <cols>
    <col min="1" max="1" width="64" customWidth="1"/>
    <col min="2" max="2" width="64.140625" customWidth="1"/>
    <col min="3" max="3" width="32" customWidth="1"/>
    <col min="4" max="4" width="9.7109375" bestFit="1" customWidth="1"/>
    <col min="6" max="6" width="9.42578125" bestFit="1" customWidth="1"/>
    <col min="7" max="7" width="45.5703125" customWidth="1"/>
    <col min="8" max="8" width="17.28515625" customWidth="1"/>
  </cols>
  <sheetData>
    <row r="1" spans="1:8" x14ac:dyDescent="0.25">
      <c r="A1" s="5" t="s">
        <v>19690</v>
      </c>
      <c r="B1" s="6" t="s">
        <v>19684</v>
      </c>
      <c r="C1" s="6" t="s">
        <v>19685</v>
      </c>
      <c r="D1" t="s">
        <v>20156</v>
      </c>
      <c r="E1" t="s">
        <v>20157</v>
      </c>
      <c r="F1" t="s">
        <v>20158</v>
      </c>
      <c r="G1" t="s">
        <v>20159</v>
      </c>
      <c r="H1" t="s">
        <v>20160</v>
      </c>
    </row>
    <row r="2" spans="1:8" hidden="1" x14ac:dyDescent="0.25">
      <c r="A2" s="1" t="s">
        <v>19446</v>
      </c>
    </row>
    <row r="3" spans="1:8" hidden="1" x14ac:dyDescent="0.25">
      <c r="A3" s="1" t="s">
        <v>19447</v>
      </c>
    </row>
    <row r="4" spans="1:8" hidden="1" x14ac:dyDescent="0.25">
      <c r="A4" s="1" t="s">
        <v>19448</v>
      </c>
    </row>
    <row r="5" spans="1:8" hidden="1" x14ac:dyDescent="0.25">
      <c r="A5" s="1" t="s">
        <v>19449</v>
      </c>
    </row>
    <row r="6" spans="1:8" hidden="1" x14ac:dyDescent="0.25">
      <c r="A6" s="1" t="s">
        <v>19450</v>
      </c>
    </row>
    <row r="7" spans="1:8" hidden="1" x14ac:dyDescent="0.25">
      <c r="A7" s="1" t="s">
        <v>19451</v>
      </c>
    </row>
    <row r="8" spans="1:8" hidden="1" x14ac:dyDescent="0.25">
      <c r="A8" s="2" t="s">
        <v>19452</v>
      </c>
    </row>
    <row r="9" spans="1:8" hidden="1" x14ac:dyDescent="0.25">
      <c r="A9" s="1" t="s">
        <v>19453</v>
      </c>
    </row>
    <row r="10" spans="1:8" hidden="1" x14ac:dyDescent="0.25">
      <c r="A10" s="1" t="s">
        <v>19454</v>
      </c>
    </row>
    <row r="11" spans="1:8" hidden="1" x14ac:dyDescent="0.25">
      <c r="A11" s="1" t="s">
        <v>19455</v>
      </c>
    </row>
    <row r="12" spans="1:8" hidden="1" x14ac:dyDescent="0.25">
      <c r="A12" s="1" t="s">
        <v>19456</v>
      </c>
    </row>
    <row r="13" spans="1:8" hidden="1" x14ac:dyDescent="0.25">
      <c r="A13" s="1" t="s">
        <v>19457</v>
      </c>
    </row>
    <row r="14" spans="1:8" hidden="1" x14ac:dyDescent="0.25">
      <c r="A14" s="1" t="s">
        <v>19458</v>
      </c>
    </row>
    <row r="15" spans="1:8" hidden="1" x14ac:dyDescent="0.25">
      <c r="A15" s="1" t="s">
        <v>19459</v>
      </c>
    </row>
    <row r="16" spans="1:8" hidden="1" x14ac:dyDescent="0.25">
      <c r="A16" s="1" t="s">
        <v>19460</v>
      </c>
    </row>
    <row r="17" spans="1:1" hidden="1" x14ac:dyDescent="0.25">
      <c r="A17" s="1" t="s">
        <v>19461</v>
      </c>
    </row>
    <row r="18" spans="1:1" hidden="1" x14ac:dyDescent="0.25">
      <c r="A18" s="1" t="s">
        <v>19462</v>
      </c>
    </row>
    <row r="19" spans="1:1" hidden="1" x14ac:dyDescent="0.25">
      <c r="A19" s="1" t="s">
        <v>19463</v>
      </c>
    </row>
    <row r="20" spans="1:1" hidden="1" x14ac:dyDescent="0.25">
      <c r="A20" s="1" t="s">
        <v>19464</v>
      </c>
    </row>
    <row r="21" spans="1:1" hidden="1" x14ac:dyDescent="0.25">
      <c r="A21" s="1" t="s">
        <v>19465</v>
      </c>
    </row>
    <row r="22" spans="1:1" hidden="1" x14ac:dyDescent="0.25">
      <c r="A22" s="1" t="s">
        <v>19466</v>
      </c>
    </row>
    <row r="23" spans="1:1" hidden="1" x14ac:dyDescent="0.25">
      <c r="A23" s="1" t="s">
        <v>19467</v>
      </c>
    </row>
    <row r="24" spans="1:1" hidden="1" x14ac:dyDescent="0.25">
      <c r="A24" s="1" t="s">
        <v>19468</v>
      </c>
    </row>
    <row r="25" spans="1:1" hidden="1" x14ac:dyDescent="0.25">
      <c r="A25" s="1" t="s">
        <v>19469</v>
      </c>
    </row>
    <row r="26" spans="1:1" hidden="1" x14ac:dyDescent="0.25">
      <c r="A26" s="1" t="s">
        <v>19470</v>
      </c>
    </row>
    <row r="27" spans="1:1" hidden="1" x14ac:dyDescent="0.25">
      <c r="A27" s="1" t="s">
        <v>19471</v>
      </c>
    </row>
    <row r="28" spans="1:1" hidden="1" x14ac:dyDescent="0.25">
      <c r="A28" s="2" t="s">
        <v>19472</v>
      </c>
    </row>
    <row r="29" spans="1:1" hidden="1" x14ac:dyDescent="0.25">
      <c r="A29" s="1" t="s">
        <v>19473</v>
      </c>
    </row>
    <row r="30" spans="1:1" hidden="1" x14ac:dyDescent="0.25">
      <c r="A30" s="1" t="s">
        <v>19474</v>
      </c>
    </row>
    <row r="31" spans="1:1" hidden="1" x14ac:dyDescent="0.25">
      <c r="A31" s="1" t="s">
        <v>19475</v>
      </c>
    </row>
    <row r="32" spans="1:1" hidden="1" x14ac:dyDescent="0.25">
      <c r="A32" s="1" t="s">
        <v>19476</v>
      </c>
    </row>
    <row r="33" spans="1:1" hidden="1" x14ac:dyDescent="0.25">
      <c r="A33" s="1" t="s">
        <v>19477</v>
      </c>
    </row>
    <row r="34" spans="1:1" hidden="1" x14ac:dyDescent="0.25">
      <c r="A34" s="1" t="s">
        <v>19478</v>
      </c>
    </row>
    <row r="35" spans="1:1" hidden="1" x14ac:dyDescent="0.25">
      <c r="A35" s="1" t="s">
        <v>19479</v>
      </c>
    </row>
    <row r="36" spans="1:1" hidden="1" x14ac:dyDescent="0.25">
      <c r="A36" s="1" t="s">
        <v>19480</v>
      </c>
    </row>
    <row r="37" spans="1:1" hidden="1" x14ac:dyDescent="0.25">
      <c r="A37" s="1" t="s">
        <v>19481</v>
      </c>
    </row>
    <row r="38" spans="1:1" hidden="1" x14ac:dyDescent="0.25">
      <c r="A38" s="1" t="s">
        <v>19482</v>
      </c>
    </row>
    <row r="39" spans="1:1" hidden="1" x14ac:dyDescent="0.25">
      <c r="A39" s="1" t="s">
        <v>19483</v>
      </c>
    </row>
    <row r="40" spans="1:1" hidden="1" x14ac:dyDescent="0.25">
      <c r="A40" s="2" t="s">
        <v>19484</v>
      </c>
    </row>
    <row r="41" spans="1:1" hidden="1" x14ac:dyDescent="0.25">
      <c r="A41" s="1" t="s">
        <v>19485</v>
      </c>
    </row>
    <row r="42" spans="1:1" hidden="1" x14ac:dyDescent="0.25">
      <c r="A42" s="1" t="s">
        <v>19486</v>
      </c>
    </row>
    <row r="43" spans="1:1" hidden="1" x14ac:dyDescent="0.25">
      <c r="A43" s="1" t="s">
        <v>19487</v>
      </c>
    </row>
    <row r="44" spans="1:1" hidden="1" x14ac:dyDescent="0.25">
      <c r="A44" s="1" t="s">
        <v>19488</v>
      </c>
    </row>
    <row r="45" spans="1:1" hidden="1" x14ac:dyDescent="0.25">
      <c r="A45" s="1" t="s">
        <v>19489</v>
      </c>
    </row>
    <row r="46" spans="1:1" hidden="1" x14ac:dyDescent="0.25">
      <c r="A46" s="1" t="s">
        <v>19490</v>
      </c>
    </row>
    <row r="47" spans="1:1" hidden="1" x14ac:dyDescent="0.25">
      <c r="A47" s="1" t="s">
        <v>19491</v>
      </c>
    </row>
    <row r="48" spans="1:1" hidden="1" x14ac:dyDescent="0.25">
      <c r="A48" s="1" t="s">
        <v>19492</v>
      </c>
    </row>
    <row r="49" spans="1:8" hidden="1" x14ac:dyDescent="0.25">
      <c r="A49" s="1" t="s">
        <v>19493</v>
      </c>
    </row>
    <row r="50" spans="1:8" hidden="1" x14ac:dyDescent="0.25">
      <c r="A50" s="2" t="s">
        <v>19494</v>
      </c>
    </row>
    <row r="51" spans="1:8" hidden="1" x14ac:dyDescent="0.25">
      <c r="A51" s="1" t="s">
        <v>19495</v>
      </c>
    </row>
    <row r="52" spans="1:8" hidden="1" x14ac:dyDescent="0.25">
      <c r="A52" s="1" t="s">
        <v>19496</v>
      </c>
    </row>
    <row r="53" spans="1:8" hidden="1" x14ac:dyDescent="0.25">
      <c r="A53" s="1" t="s">
        <v>19497</v>
      </c>
    </row>
    <row r="54" spans="1:8" hidden="1" x14ac:dyDescent="0.25">
      <c r="A54" s="1" t="s">
        <v>19498</v>
      </c>
    </row>
    <row r="55" spans="1:8" x14ac:dyDescent="0.25">
      <c r="A55" s="1" t="s">
        <v>19499</v>
      </c>
      <c r="B55" t="s">
        <v>19686</v>
      </c>
      <c r="C55" t="s">
        <v>20155</v>
      </c>
      <c r="D55" s="75">
        <v>46044</v>
      </c>
      <c r="E55" s="76" t="s">
        <v>19554</v>
      </c>
      <c r="F55" s="75">
        <v>46225</v>
      </c>
      <c r="G55" s="75" t="s">
        <v>16043</v>
      </c>
      <c r="H55" s="76">
        <f>F55-D55</f>
        <v>181</v>
      </c>
    </row>
    <row r="56" spans="1:8" hidden="1" x14ac:dyDescent="0.25">
      <c r="A56" s="1" t="s">
        <v>19500</v>
      </c>
    </row>
    <row r="57" spans="1:8" hidden="1" x14ac:dyDescent="0.25">
      <c r="A57" s="1" t="s">
        <v>19501</v>
      </c>
    </row>
    <row r="58" spans="1:8" hidden="1" x14ac:dyDescent="0.25">
      <c r="A58" s="1" t="s">
        <v>19502</v>
      </c>
    </row>
    <row r="59" spans="1:8" hidden="1" x14ac:dyDescent="0.25">
      <c r="A59" s="1" t="s">
        <v>19503</v>
      </c>
    </row>
    <row r="60" spans="1:8" hidden="1" x14ac:dyDescent="0.25">
      <c r="A60" s="1" t="s">
        <v>19504</v>
      </c>
    </row>
    <row r="61" spans="1:8" hidden="1" x14ac:dyDescent="0.25">
      <c r="A61" s="1" t="s">
        <v>19505</v>
      </c>
    </row>
    <row r="62" spans="1:8" hidden="1" x14ac:dyDescent="0.25">
      <c r="A62" s="1" t="s">
        <v>19506</v>
      </c>
    </row>
    <row r="63" spans="1:8" hidden="1" x14ac:dyDescent="0.25">
      <c r="A63" s="1" t="s">
        <v>19507</v>
      </c>
    </row>
    <row r="64" spans="1:8" hidden="1" x14ac:dyDescent="0.25">
      <c r="A64" s="1" t="s">
        <v>19508</v>
      </c>
    </row>
    <row r="65" spans="1:1" hidden="1" x14ac:dyDescent="0.25">
      <c r="A65" s="1" t="s">
        <v>19509</v>
      </c>
    </row>
    <row r="66" spans="1:1" hidden="1" x14ac:dyDescent="0.25">
      <c r="A66" s="1" t="s">
        <v>19510</v>
      </c>
    </row>
    <row r="67" spans="1:1" hidden="1" x14ac:dyDescent="0.25">
      <c r="A67" s="1" t="s">
        <v>19511</v>
      </c>
    </row>
    <row r="68" spans="1:1" hidden="1" x14ac:dyDescent="0.25">
      <c r="A68" s="1" t="s">
        <v>19512</v>
      </c>
    </row>
    <row r="69" spans="1:1" hidden="1" x14ac:dyDescent="0.25">
      <c r="A69" s="1" t="s">
        <v>19513</v>
      </c>
    </row>
    <row r="70" spans="1:1" hidden="1" x14ac:dyDescent="0.25">
      <c r="A70" s="1" t="s">
        <v>19514</v>
      </c>
    </row>
    <row r="71" spans="1:1" hidden="1" x14ac:dyDescent="0.25">
      <c r="A71" s="1" t="s">
        <v>19515</v>
      </c>
    </row>
    <row r="72" spans="1:1" hidden="1" x14ac:dyDescent="0.25">
      <c r="A72" s="1" t="s">
        <v>19516</v>
      </c>
    </row>
    <row r="73" spans="1:1" hidden="1" x14ac:dyDescent="0.25">
      <c r="A73" s="1" t="s">
        <v>19517</v>
      </c>
    </row>
    <row r="74" spans="1:1" hidden="1" x14ac:dyDescent="0.25">
      <c r="A74" s="3" t="s">
        <v>19518</v>
      </c>
    </row>
    <row r="75" spans="1:1" hidden="1" x14ac:dyDescent="0.25">
      <c r="A75" s="4" t="s">
        <v>19519</v>
      </c>
    </row>
    <row r="76" spans="1:1" hidden="1" x14ac:dyDescent="0.25">
      <c r="A76" s="4" t="s">
        <v>19520</v>
      </c>
    </row>
    <row r="77" spans="1:1" hidden="1" x14ac:dyDescent="0.25">
      <c r="A77" s="4" t="s">
        <v>19521</v>
      </c>
    </row>
    <row r="78" spans="1:1" hidden="1" x14ac:dyDescent="0.25">
      <c r="A78" s="4" t="s">
        <v>19522</v>
      </c>
    </row>
    <row r="79" spans="1:1" hidden="1" x14ac:dyDescent="0.25">
      <c r="A79" s="4" t="s">
        <v>19523</v>
      </c>
    </row>
    <row r="80" spans="1:1" hidden="1" x14ac:dyDescent="0.25">
      <c r="A80" s="4" t="s">
        <v>19524</v>
      </c>
    </row>
    <row r="81" spans="1:1" hidden="1" x14ac:dyDescent="0.25">
      <c r="A81" s="4" t="s">
        <v>19525</v>
      </c>
    </row>
    <row r="82" spans="1:1" hidden="1" x14ac:dyDescent="0.25">
      <c r="A82" s="4" t="s">
        <v>19526</v>
      </c>
    </row>
    <row r="83" spans="1:1" hidden="1" x14ac:dyDescent="0.25">
      <c r="A83" s="4" t="s">
        <v>19527</v>
      </c>
    </row>
    <row r="84" spans="1:1" hidden="1" x14ac:dyDescent="0.25">
      <c r="A84" s="4" t="s">
        <v>19528</v>
      </c>
    </row>
    <row r="85" spans="1:1" hidden="1" x14ac:dyDescent="0.25">
      <c r="A85" s="4" t="s">
        <v>19529</v>
      </c>
    </row>
    <row r="86" spans="1:1" hidden="1" x14ac:dyDescent="0.25">
      <c r="A86" s="4" t="s">
        <v>19530</v>
      </c>
    </row>
    <row r="87" spans="1:1" hidden="1" x14ac:dyDescent="0.25">
      <c r="A87" s="4" t="s">
        <v>19531</v>
      </c>
    </row>
    <row r="88" spans="1:1" hidden="1" x14ac:dyDescent="0.25">
      <c r="A88" s="4" t="s">
        <v>19532</v>
      </c>
    </row>
    <row r="89" spans="1:1" hidden="1" x14ac:dyDescent="0.25">
      <c r="A89" s="4" t="s">
        <v>19533</v>
      </c>
    </row>
    <row r="90" spans="1:1" hidden="1" x14ac:dyDescent="0.25">
      <c r="A90" s="4" t="s">
        <v>19534</v>
      </c>
    </row>
    <row r="91" spans="1:1" hidden="1" x14ac:dyDescent="0.25">
      <c r="A91" s="4" t="s">
        <v>19535</v>
      </c>
    </row>
    <row r="92" spans="1:1" hidden="1" x14ac:dyDescent="0.25">
      <c r="A92" s="4" t="s">
        <v>19536</v>
      </c>
    </row>
    <row r="93" spans="1:1" hidden="1" x14ac:dyDescent="0.25">
      <c r="A93" s="4" t="s">
        <v>19537</v>
      </c>
    </row>
    <row r="94" spans="1:1" hidden="1" x14ac:dyDescent="0.25">
      <c r="A94" s="4" t="s">
        <v>19538</v>
      </c>
    </row>
    <row r="95" spans="1:1" hidden="1" x14ac:dyDescent="0.25">
      <c r="A95" s="4" t="s">
        <v>19539</v>
      </c>
    </row>
    <row r="96" spans="1:1" hidden="1" x14ac:dyDescent="0.25">
      <c r="A96" s="4" t="s">
        <v>19540</v>
      </c>
    </row>
    <row r="97" spans="1:8" hidden="1" x14ac:dyDescent="0.25">
      <c r="A97" s="4" t="s">
        <v>19541</v>
      </c>
    </row>
    <row r="98" spans="1:8" hidden="1" x14ac:dyDescent="0.25">
      <c r="A98" s="4" t="s">
        <v>19542</v>
      </c>
    </row>
    <row r="99" spans="1:8" hidden="1" x14ac:dyDescent="0.25">
      <c r="A99" s="4" t="s">
        <v>19543</v>
      </c>
    </row>
    <row r="100" spans="1:8" hidden="1" x14ac:dyDescent="0.25">
      <c r="A100" s="4" t="s">
        <v>19544</v>
      </c>
    </row>
    <row r="101" spans="1:8" hidden="1" x14ac:dyDescent="0.25">
      <c r="A101" s="4" t="s">
        <v>19545</v>
      </c>
    </row>
    <row r="102" spans="1:8" hidden="1" x14ac:dyDescent="0.25">
      <c r="A102" s="4" t="s">
        <v>19546</v>
      </c>
    </row>
    <row r="103" spans="1:8" x14ac:dyDescent="0.25">
      <c r="D103" s="75">
        <v>46044</v>
      </c>
      <c r="E103" s="76" t="s">
        <v>19554</v>
      </c>
      <c r="F103" s="75">
        <v>46192</v>
      </c>
      <c r="G103" s="76" t="s">
        <v>16167</v>
      </c>
      <c r="H103" s="76">
        <f>F103-D103</f>
        <v>148</v>
      </c>
    </row>
    <row r="104" spans="1:8" x14ac:dyDescent="0.25">
      <c r="D104" s="75">
        <v>46007</v>
      </c>
      <c r="E104" s="76" t="s">
        <v>19563</v>
      </c>
      <c r="F104" s="75">
        <v>46192</v>
      </c>
      <c r="G104" s="76" t="s">
        <v>16336</v>
      </c>
      <c r="H104" s="76">
        <f>F104-D104</f>
        <v>185</v>
      </c>
    </row>
  </sheetData>
  <autoFilter ref="A1:C102" xr:uid="{5EFDEE28-6D12-4A08-BBA6-986E49FCC813}">
    <filterColumn colId="0">
      <filters>
        <filter val="Pharmax India Pvt Ltd"/>
      </filters>
    </filterColumn>
  </autoFilter>
  <conditionalFormatting sqref="E55">
    <cfRule type="duplicateValues" dxfId="3" priority="2"/>
  </conditionalFormatting>
  <conditionalFormatting sqref="E10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Sheet1</vt:lpstr>
      <vt:lpstr>Information</vt:lpstr>
      <vt:lpstr>Units</vt:lpstr>
      <vt:lpstr>PRF Location</vt:lpstr>
      <vt:lpstr>Company</vt:lpstr>
      <vt:lpstr>item master</vt:lpstr>
      <vt:lpstr>Supplier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2015-06-05T18:17:20Z</dcterms:created>
  <dcterms:modified xsi:type="dcterms:W3CDTF">2026-08-29T05:49:23Z</dcterms:modified>
</cp:coreProperties>
</file>